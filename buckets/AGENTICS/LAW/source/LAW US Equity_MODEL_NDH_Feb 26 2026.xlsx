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yuuji\Dropbox\Kaissa Consumer\Mosaic\buckets\AGENTICS\LAW\source\"/>
    </mc:Choice>
  </mc:AlternateContent>
  <xr:revisionPtr revIDLastSave="0" documentId="8_{D7720EC0-D4CA-4BFF-8908-89D6222AD9E4}" xr6:coauthVersionLast="47" xr6:coauthVersionMax="47" xr10:uidLastSave="{00000000-0000-0000-0000-000000000000}"/>
  <bookViews>
    <workbookView xWindow="-98" yWindow="-98" windowWidth="21795" windowHeight="12975" firstSheet="1" activeTab="4" xr2:uid="{A61C77D3-245A-426E-BCF1-A02FF752D14A}"/>
  </bookViews>
  <sheets>
    <sheet name="__FDSCACHE__" sheetId="29" state="veryHidden" r:id="rId1"/>
    <sheet name="Comparison" sheetId="15" r:id="rId2"/>
    <sheet name="G Chg" sheetId="30" r:id="rId3"/>
    <sheet name="IS" sheetId="12" r:id="rId4"/>
    <sheet name="BS" sheetId="14" r:id="rId5"/>
    <sheet name="CF" sheetId="13" r:id="rId6"/>
    <sheet name="Metrics" sheetId="25" r:id="rId7"/>
    <sheet name="V" sheetId="27" r:id="rId8"/>
    <sheet name="BM Upload" sheetId="10" r:id="rId9"/>
    <sheet name="DCF" sheetId="11" state="hidden" r:id="rId10"/>
    <sheet name="Summary Metrics" sheetId="23" r:id="rId11"/>
    <sheet name="Initiation" sheetId="19" r:id="rId12"/>
    <sheet name="CF Metrics" sheetId="26" r:id="rId13"/>
    <sheet name="V Sensitivity" sheetId="28" r:id="rId14"/>
    <sheet name="Sheet1" sheetId="31"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s>
  <definedNames>
    <definedName name="\P" localSheetId="2">#REF!</definedName>
    <definedName name="\P" localSheetId="7">#REF!</definedName>
    <definedName name="\P" localSheetId="13">#REF!</definedName>
    <definedName name="\P">#REF!</definedName>
    <definedName name="\Q" localSheetId="2">[1]TSFW!#REF!</definedName>
    <definedName name="\Q" localSheetId="7">[1]TSFW!#REF!</definedName>
    <definedName name="\Q" localSheetId="13">[1]TSFW!#REF!</definedName>
    <definedName name="\Q">[1]TSFW!#REF!</definedName>
    <definedName name="\S" localSheetId="2">'[2]US$'!#REF!</definedName>
    <definedName name="\S">'[2]US$'!#REF!</definedName>
    <definedName name="\X" localSheetId="2">[1]TSFW!#REF!</definedName>
    <definedName name="\X">[1]TSFW!#REF!</definedName>
    <definedName name="__FDS_HYPERLINK_TOGGLE_STATE__" hidden="1">"ON"</definedName>
    <definedName name="__FDS_UNIQUE_RANGE_ID_GENERATOR_COUNTER" hidden="1">1</definedName>
    <definedName name="__n324" hidden="1">"c39"</definedName>
    <definedName name="__new1" hidden="1">"c32"</definedName>
    <definedName name="__new2" hidden="1">"c8"</definedName>
    <definedName name="__new3" hidden="1">"c7"</definedName>
    <definedName name="__new5" hidden="1">"c1471"</definedName>
    <definedName name="_1997" localSheetId="2">#REF!</definedName>
    <definedName name="_1997" localSheetId="7">#REF!</definedName>
    <definedName name="_1997" localSheetId="13">#REF!</definedName>
    <definedName name="_1997">#REF!</definedName>
    <definedName name="_1998" localSheetId="7">#REF!</definedName>
    <definedName name="_1998" localSheetId="13">#REF!</definedName>
    <definedName name="_1998">#REF!</definedName>
    <definedName name="_1999" localSheetId="7">#REF!</definedName>
    <definedName name="_1999" localSheetId="13">#REF!</definedName>
    <definedName name="_1999">#REF!</definedName>
    <definedName name="_1st_year">'[3]LINKS&amp;INPUTS'!$D$52</definedName>
    <definedName name="_2000" localSheetId="2">#REF!</definedName>
    <definedName name="_2000" localSheetId="7">#REF!</definedName>
    <definedName name="_2000" localSheetId="13">#REF!</definedName>
    <definedName name="_2000">#REF!</definedName>
    <definedName name="_2000_EPS" localSheetId="7">#REF!</definedName>
    <definedName name="_2000_EPS" localSheetId="13">#REF!</definedName>
    <definedName name="_2000_EPS">#REF!</definedName>
    <definedName name="_2000_Rev" localSheetId="7">#REF!</definedName>
    <definedName name="_2000_Rev" localSheetId="13">#REF!</definedName>
    <definedName name="_2000_Rev">#REF!</definedName>
    <definedName name="_2001">#REF!</definedName>
    <definedName name="_2001_EPS">#REF!</definedName>
    <definedName name="_2001_Rev">#REF!</definedName>
    <definedName name="_2002">#REF!</definedName>
    <definedName name="_2002_EPS">#REF!</definedName>
    <definedName name="_2002_Rev">#REF!</definedName>
    <definedName name="_2003">#REF!</definedName>
    <definedName name="_2003_EPS">#REF!</definedName>
    <definedName name="_2003_Rev">#REF!</definedName>
    <definedName name="_2004">#REF!</definedName>
    <definedName name="_2004_EPS">#REF!</definedName>
    <definedName name="_2004_Rev">#REF!</definedName>
    <definedName name="_2005">#REF!</definedName>
    <definedName name="_2005_cfps">[4]NAV!#REF!</definedName>
    <definedName name="_2005_EPS" localSheetId="2">#REF!</definedName>
    <definedName name="_2005_EPS" localSheetId="7">#REF!</definedName>
    <definedName name="_2005_EPS" localSheetId="13">#REF!</definedName>
    <definedName name="_2005_EPS">#REF!</definedName>
    <definedName name="_2005_Rev" localSheetId="7">#REF!</definedName>
    <definedName name="_2005_Rev" localSheetId="13">#REF!</definedName>
    <definedName name="_2005_Rev">#REF!</definedName>
    <definedName name="_2006" localSheetId="7">#REF!</definedName>
    <definedName name="_2006" localSheetId="13">#REF!</definedName>
    <definedName name="_2006">#REF!</definedName>
    <definedName name="_2006_cfps" localSheetId="7">[4]NAV!#REF!</definedName>
    <definedName name="_2006_cfps" localSheetId="13">[4]NAV!#REF!</definedName>
    <definedName name="_2006_cfps">[4]NAV!#REF!</definedName>
    <definedName name="_2006_eps" localSheetId="7">[4]NAV!#REF!</definedName>
    <definedName name="_2006_eps" localSheetId="13">[4]NAV!#REF!</definedName>
    <definedName name="_2006_eps">[4]NAV!#REF!</definedName>
    <definedName name="_2007" localSheetId="2">#REF!</definedName>
    <definedName name="_2007" localSheetId="7">#REF!</definedName>
    <definedName name="_2007" localSheetId="13">#REF!</definedName>
    <definedName name="_2007">#REF!</definedName>
    <definedName name="_2008" localSheetId="7">#REF!</definedName>
    <definedName name="_2008" localSheetId="13">#REF!</definedName>
    <definedName name="_2008">#REF!</definedName>
    <definedName name="_2009" localSheetId="7">#REF!</definedName>
    <definedName name="_2009" localSheetId="13">#REF!</definedName>
    <definedName name="_2009">#REF!</definedName>
    <definedName name="_2010">#REF!</definedName>
    <definedName name="_2011">#REF!</definedName>
    <definedName name="_2012">#REF!</definedName>
    <definedName name="_2013">#REF!</definedName>
    <definedName name="_2014">#REF!</definedName>
    <definedName name="_2015">#REF!</definedName>
    <definedName name="_2016">#REF!</definedName>
    <definedName name="_2017">#REF!</definedName>
    <definedName name="_2018">#REF!</definedName>
    <definedName name="_2019">#REF!</definedName>
    <definedName name="_2020">#REF!</definedName>
    <definedName name="_300K">[5]MODEL!$485:$485</definedName>
    <definedName name="_3YR_EPS_GROWTH" localSheetId="2">#REF!</definedName>
    <definedName name="_3YR_EPS_GROWTH" localSheetId="7">#REF!</definedName>
    <definedName name="_3YR_EPS_GROWTH" localSheetId="13">#REF!</definedName>
    <definedName name="_3YR_EPS_GROWTH">#REF!</definedName>
    <definedName name="_bdm.A41748D8CDC148869DAC28F2A19A85E3.edm" localSheetId="6" hidden="1">#REF!</definedName>
    <definedName name="_bdm.A41748D8CDC148869DAC28F2A19A85E3.edm" localSheetId="7" hidden="1">#REF!</definedName>
    <definedName name="_bdm.A41748D8CDC148869DAC28F2A19A85E3.edm" localSheetId="13" hidden="1">#REF!</definedName>
    <definedName name="_bdm.A41748D8CDC148869DAC28F2A19A85E3.edm" hidden="1">#REF!</definedName>
    <definedName name="_dh6">[6]Model!#REF!</definedName>
    <definedName name="_div1995">[7]Model!#REF!</definedName>
    <definedName name="_div1996">[7]Model!#REF!</definedName>
    <definedName name="_div1998">[7]Model!#REF!</definedName>
    <definedName name="_eps01">[8]Model!#REF!</definedName>
    <definedName name="_eps02">[8]Model!#REF!</definedName>
    <definedName name="_eps03">[8]Model!#REF!</definedName>
    <definedName name="_EPS1998">[9]LaRonde!#REF!</definedName>
    <definedName name="_eps94">[7]Model!#REF!</definedName>
    <definedName name="_eps95">[7]Model!#REF!</definedName>
    <definedName name="_eps96">[8]Model!#REF!</definedName>
    <definedName name="_eps97">[8]Model!#REF!</definedName>
    <definedName name="_eps98">[8]Model!#REF!</definedName>
    <definedName name="_eps99">[8]Model!#REF!</definedName>
    <definedName name="_EXH1" localSheetId="2">#REF!</definedName>
    <definedName name="_EXH1" localSheetId="7">#REF!</definedName>
    <definedName name="_EXH1" localSheetId="13">#REF!</definedName>
    <definedName name="_EXH1">#REF!</definedName>
    <definedName name="_EXH2" localSheetId="7">#REF!</definedName>
    <definedName name="_EXH2" localSheetId="13">#REF!</definedName>
    <definedName name="_EXH2">#REF!</definedName>
    <definedName name="_EXH3" localSheetId="7">#REF!</definedName>
    <definedName name="_EXH3" localSheetId="13">#REF!</definedName>
    <definedName name="_EXH3">#REF!</definedName>
    <definedName name="_EXH4">#REF!</definedName>
    <definedName name="_EXH5">#REF!</definedName>
    <definedName name="_mac1">[6]Model!#REF!</definedName>
    <definedName name="_mac2">[6]Model!#REF!</definedName>
    <definedName name="_Max2">'[10]NA Tech Conference'!$D$183</definedName>
    <definedName name="_Min2">'[10]NA Tech Conference'!$D$185</definedName>
    <definedName name="_n324" hidden="1">"c39"</definedName>
    <definedName name="_new1" hidden="1">"c32"</definedName>
    <definedName name="_new2" hidden="1">"c8"</definedName>
    <definedName name="_new3" hidden="1">"c7"</definedName>
    <definedName name="_new5" hidden="1">"c1471"</definedName>
    <definedName name="_Order1" hidden="1">255</definedName>
    <definedName name="_PEG2" localSheetId="2">#REF!</definedName>
    <definedName name="_PEG2" localSheetId="7">#REF!</definedName>
    <definedName name="_PEG2" localSheetId="13">#REF!</definedName>
    <definedName name="_PEG2">#REF!</definedName>
    <definedName name="_REV1" localSheetId="2">[11]MODEL!#REF!</definedName>
    <definedName name="_REV1" localSheetId="7">[11]MODEL!#REF!</definedName>
    <definedName name="_REV1" localSheetId="13">[11]MODEL!#REF!</definedName>
    <definedName name="_REV1">[11]MODEL!#REF!</definedName>
    <definedName name="_REV2" localSheetId="2">[3]MODEL!#REF!</definedName>
    <definedName name="_REV2" localSheetId="7">[3]MODEL!#REF!</definedName>
    <definedName name="_REV2" localSheetId="13">[3]MODEL!#REF!</definedName>
    <definedName name="_REV2">[3]MODEL!#REF!</definedName>
    <definedName name="_REV3" localSheetId="7">[3]MODEL!#REF!</definedName>
    <definedName name="_REV3" localSheetId="13">[3]MODEL!#REF!</definedName>
    <definedName name="_REV3">[3]MODEL!#REF!</definedName>
    <definedName name="_REV4" localSheetId="7">[3]MODEL!#REF!</definedName>
    <definedName name="_REV4" localSheetId="13">[3]MODEL!#REF!</definedName>
    <definedName name="_REV4">[3]MODEL!#REF!</definedName>
    <definedName name="_REV5" localSheetId="7">[3]MODEL!#REF!</definedName>
    <definedName name="_REV5" localSheetId="13">[3]MODEL!#REF!</definedName>
    <definedName name="_REV5">[3]MODEL!#REF!</definedName>
    <definedName name="_REV6">[5]MODEL!$11:$11</definedName>
    <definedName name="_Table2_In2" localSheetId="2">[9]LaRonde!#REF!</definedName>
    <definedName name="_Table2_In2" localSheetId="7">[9]LaRonde!#REF!</definedName>
    <definedName name="_Table2_In2" localSheetId="13">[9]LaRonde!#REF!</definedName>
    <definedName name="_Table2_In2">[9]LaRonde!#REF!</definedName>
    <definedName name="_tui65" localSheetId="2">[6]Model!#REF!</definedName>
    <definedName name="_tui65" localSheetId="7">[6]Model!#REF!</definedName>
    <definedName name="_tui65" localSheetId="13">[6]Model!#REF!</definedName>
    <definedName name="_tui65">[6]Model!#REF!</definedName>
    <definedName name="_UUID_0" hidden="1">589638</definedName>
    <definedName name="_UUID_1" hidden="1">262297</definedName>
    <definedName name="_UUID_2" hidden="1">875385</definedName>
    <definedName name="_wt4" localSheetId="2">[6]Model!#REF!</definedName>
    <definedName name="_wt4" localSheetId="7">[6]Model!#REF!</definedName>
    <definedName name="_wt4" localSheetId="13">[6]Model!#REF!</definedName>
    <definedName name="_wt4">[6]Model!#REF!</definedName>
    <definedName name="AAR_P3" localSheetId="2">[3]MODEL!#REF!</definedName>
    <definedName name="AAR_P3" localSheetId="7">[3]MODEL!#REF!</definedName>
    <definedName name="AAR_P3" localSheetId="13">[3]MODEL!#REF!</definedName>
    <definedName name="AAR_P3">[3]MODEL!#REF!</definedName>
    <definedName name="AARPU" localSheetId="7">[3]MODEL!#REF!</definedName>
    <definedName name="AARPU" localSheetId="13">[3]MODEL!#REF!</definedName>
    <definedName name="AARPU">[3]MODEL!#REF!</definedName>
    <definedName name="Abnormals.Y1999D">'[12]Income Stmt'!$GW$34</definedName>
    <definedName name="Abnormals.Y2001D">'[12]Income Stmt'!$GY$34</definedName>
    <definedName name="Abnormals.Y2002D">'[12]Income Stmt'!$GZ$34</definedName>
    <definedName name="ACC_COMP">[13]MODEL!$421:$421</definedName>
    <definedName name="Acc_Sev_NCL" localSheetId="2">[14]MODEL!#REF!</definedName>
    <definedName name="Acc_Sev_NCL" localSheetId="7">[14]MODEL!#REF!</definedName>
    <definedName name="Acc_Sev_NCL" localSheetId="13">[14]MODEL!#REF!</definedName>
    <definedName name="Acc_Sev_NCL">[14]MODEL!#REF!</definedName>
    <definedName name="Accounts_payable">[11]MODEL!$575:$575</definedName>
    <definedName name="Accounts_receivable">[11]MODEL!$572:$572</definedName>
    <definedName name="ACCRUED_COMP">[3]MODEL!$529:$529</definedName>
    <definedName name="ACCRUED_EMPL_COM">[3]MODEL!$408:$408</definedName>
    <definedName name="ACCRUED_EXP" localSheetId="2">[3]MODEL!#REF!</definedName>
    <definedName name="ACCRUED_EXP" localSheetId="7">[3]MODEL!#REF!</definedName>
    <definedName name="ACCRUED_EXP" localSheetId="13">[3]MODEL!#REF!</definedName>
    <definedName name="ACCRUED_EXP">[3]MODEL!#REF!</definedName>
    <definedName name="ACCRUED_INT">[3]MODEL!$605:$605</definedName>
    <definedName name="ACCRUED_LIA">[15]MODEL!$445:$445</definedName>
    <definedName name="ACCRUED_OTHER">[3]MODEL!$530:$530</definedName>
    <definedName name="Accumulated_Deficit">[16]MODEL!$513:$513</definedName>
    <definedName name="Accured_liabilities">[11]MODEL!$576:$576</definedName>
    <definedName name="Ad_Rate__Cost_per_millions___CPM__Assumptions" localSheetId="2">#REF!</definedName>
    <definedName name="Ad_Rate__Cost_per_millions___CPM__Assumptions" localSheetId="7">#REF!</definedName>
    <definedName name="Ad_Rate__Cost_per_millions___CPM__Assumptions" localSheetId="13">#REF!</definedName>
    <definedName name="Ad_Rate__Cost_per_millions___CPM__Assumptions">#REF!</definedName>
    <definedName name="Additional_Paid_In_Capital">[16]MODEL!$511:$511</definedName>
    <definedName name="ADJMKTCAP" localSheetId="2">#REF!</definedName>
    <definedName name="ADJMKTCAP" localSheetId="7">#REF!</definedName>
    <definedName name="ADJMKTCAP" localSheetId="13">#REF!</definedName>
    <definedName name="ADJMKTCAP">#REF!</definedName>
    <definedName name="Admin" localSheetId="7">#REF!</definedName>
    <definedName name="Admin" localSheetId="13">#REF!</definedName>
    <definedName name="Admin">#REF!</definedName>
    <definedName name="adrev">[17]other!$G$10</definedName>
    <definedName name="aewrgtr" localSheetId="2">[6]Model!#REF!</definedName>
    <definedName name="aewrgtr" localSheetId="7">[6]Model!#REF!</definedName>
    <definedName name="aewrgtr" localSheetId="13">[6]Model!#REF!</definedName>
    <definedName name="aewrgtr">[6]Model!#REF!</definedName>
    <definedName name="ag" localSheetId="2">[6]Model!#REF!</definedName>
    <definedName name="ag" localSheetId="7">[6]Model!#REF!</definedName>
    <definedName name="ag" localSheetId="13">[6]Model!#REF!</definedName>
    <definedName name="ag">[6]Model!#REF!</definedName>
    <definedName name="ALL" localSheetId="2">#REF!</definedName>
    <definedName name="ALL" localSheetId="7">#REF!</definedName>
    <definedName name="ALL" localSheetId="13">#REF!</definedName>
    <definedName name="ALL">#REF!</definedName>
    <definedName name="AMC" localSheetId="2">[8]Model!#REF!</definedName>
    <definedName name="AMC" localSheetId="7">[8]Model!#REF!</definedName>
    <definedName name="AMC" localSheetId="13">[8]Model!#REF!</definedName>
    <definedName name="AMC">[8]Model!#REF!</definedName>
    <definedName name="AMC_98Prod" localSheetId="2">[8]Model!#REF!</definedName>
    <definedName name="AMC_98Prod" localSheetId="7">[8]Model!#REF!</definedName>
    <definedName name="AMC_98Prod" localSheetId="13">[8]Model!#REF!</definedName>
    <definedName name="AMC_98Prod">[8]Model!#REF!</definedName>
    <definedName name="AMC_99Prod" localSheetId="7">[8]Model!#REF!</definedName>
    <definedName name="AMC_99Prod" localSheetId="13">[8]Model!#REF!</definedName>
    <definedName name="AMC_99Prod">[8]Model!#REF!</definedName>
    <definedName name="amc97p" localSheetId="7">[8]Model!#REF!</definedName>
    <definedName name="amc97p" localSheetId="13">[8]Model!#REF!</definedName>
    <definedName name="amc97p">[8]Model!#REF!</definedName>
    <definedName name="amc97prod">'[18]NAV Summary'!#REF!</definedName>
    <definedName name="amc98p">[8]Model!#REF!</definedName>
    <definedName name="amc98prod">'[18]NAV Summary'!#REF!</definedName>
    <definedName name="AMC99PROD">'[18]NAV Summary'!#REF!</definedName>
    <definedName name="amcozprod" localSheetId="2">#REF!</definedName>
    <definedName name="amcozprod" localSheetId="7">#REF!</definedName>
    <definedName name="amcozprod" localSheetId="13">#REF!</definedName>
    <definedName name="amcozprod">#REF!</definedName>
    <definedName name="amcozreserve" localSheetId="7">#REF!</definedName>
    <definedName name="amcozreserve" localSheetId="13">#REF!</definedName>
    <definedName name="amcozreserve">#REF!</definedName>
    <definedName name="amcozresource" localSheetId="7">#REF!</definedName>
    <definedName name="amcozresource" localSheetId="13">#REF!</definedName>
    <definedName name="amcozresource">#REF!</definedName>
    <definedName name="amcpp" localSheetId="7">[8]Model!#REF!</definedName>
    <definedName name="amcpp" localSheetId="13">[8]Model!#REF!</definedName>
    <definedName name="amcpp">[8]Model!#REF!</definedName>
    <definedName name="amcppp" localSheetId="7">[8]Model!#REF!</definedName>
    <definedName name="amcppp" localSheetId="13">[8]Model!#REF!</definedName>
    <definedName name="amcppp">[8]Model!#REF!</definedName>
    <definedName name="AMORT_DC">[3]MODEL!$486:$486</definedName>
    <definedName name="AMORT_DEF_FIN">[3]MODEL!$603:$603</definedName>
    <definedName name="Amort_Other">[3]MODEL!$24:$24</definedName>
    <definedName name="AMORTIZATION" localSheetId="2">[3]MODEL!#REF!</definedName>
    <definedName name="AMORTIZATION" localSheetId="7">[3]MODEL!#REF!</definedName>
    <definedName name="AMORTIZATION" localSheetId="13">[3]MODEL!#REF!</definedName>
    <definedName name="AMORTIZATION">[3]MODEL!#REF!</definedName>
    <definedName name="Amortization_of_Deferred_Commissions_and_Other">[16]MODEL!$598:$598</definedName>
    <definedName name="ANNUAL_BALANCE" localSheetId="2">[19]Summary!#REF!</definedName>
    <definedName name="ANNUAL_BALANCE" localSheetId="7">[19]Summary!#REF!</definedName>
    <definedName name="ANNUAL_BALANCE" localSheetId="13">[19]Summary!#REF!</definedName>
    <definedName name="ANNUAL_BALANCE">[19]Summary!#REF!</definedName>
    <definedName name="aregh" localSheetId="2">[6]Model!#REF!</definedName>
    <definedName name="aregh" localSheetId="7">[6]Model!#REF!</definedName>
    <definedName name="aregh" localSheetId="13">[6]Model!#REF!</definedName>
    <definedName name="aregh">[6]Model!#REF!</definedName>
    <definedName name="arg" localSheetId="7">[6]Model!#REF!</definedName>
    <definedName name="arg" localSheetId="13">[6]Model!#REF!</definedName>
    <definedName name="arg">[6]Model!#REF!</definedName>
    <definedName name="argt" localSheetId="7">[6]Model!#REF!</definedName>
    <definedName name="argt" localSheetId="13">[6]Model!#REF!</definedName>
    <definedName name="argt">[6]Model!#REF!</definedName>
    <definedName name="Arial">[20]Glossary!$A$6</definedName>
    <definedName name="as" hidden="1">"c2127"</definedName>
    <definedName name="asd" hidden="1">"c1630"</definedName>
    <definedName name="asdf">[21]Output!$Q$15</definedName>
    <definedName name="ASP" localSheetId="2">[3]MODEL!#REF!</definedName>
    <definedName name="ASP" localSheetId="7">[3]MODEL!#REF!</definedName>
    <definedName name="ASP" localSheetId="13">[3]MODEL!#REF!</definedName>
    <definedName name="ASP">[3]MODEL!#REF!</definedName>
    <definedName name="Asset_Amort" localSheetId="2">[3]MODEL!#REF!</definedName>
    <definedName name="Asset_Amort" localSheetId="7">[3]MODEL!#REF!</definedName>
    <definedName name="Asset_Amort" localSheetId="13">[3]MODEL!#REF!</definedName>
    <definedName name="Asset_Amort">[3]MODEL!#REF!</definedName>
    <definedName name="ASSETTOEQUITY" localSheetId="2">#REF!</definedName>
    <definedName name="ASSETTOEQUITY" localSheetId="7">#REF!</definedName>
    <definedName name="ASSETTOEQUITY" localSheetId="13">#REF!</definedName>
    <definedName name="ASSETTOEQUITY">#REF!</definedName>
    <definedName name="ASSETTURNOVER" localSheetId="7">#REF!</definedName>
    <definedName name="ASSETTURNOVER" localSheetId="13">#REF!</definedName>
    <definedName name="ASSETTURNOVER">#REF!</definedName>
    <definedName name="ATRS">[5]MODEL!$9:$9</definedName>
    <definedName name="auprice97" localSheetId="2">[8]Model!#REF!</definedName>
    <definedName name="auprice97" localSheetId="7">[8]Model!#REF!</definedName>
    <definedName name="auprice97" localSheetId="13">[8]Model!#REF!</definedName>
    <definedName name="auprice97">[8]Model!#REF!</definedName>
    <definedName name="auprice98" localSheetId="2">[8]Model!#REF!</definedName>
    <definedName name="auprice98" localSheetId="7">[8]Model!#REF!</definedName>
    <definedName name="auprice98" localSheetId="13">[8]Model!#REF!</definedName>
    <definedName name="auprice98">[8]Model!#REF!</definedName>
    <definedName name="auprice99" localSheetId="7">[8]Model!#REF!</definedName>
    <definedName name="auprice99" localSheetId="13">[8]Model!#REF!</definedName>
    <definedName name="auprice99">[8]Model!#REF!</definedName>
    <definedName name="AuSensi">[22]Model!$D$3</definedName>
    <definedName name="Average_invested_capital_DCF">[23]Sheet1!$C$78:$AZ$78</definedName>
    <definedName name="Average_Monthly_Streams">[3]MODEL!$205:$205</definedName>
    <definedName name="AVG_DEAL">[24]MODEL!$40:$40</definedName>
    <definedName name="AVGAUPRICE_00" localSheetId="2">[8]Model!#REF!</definedName>
    <definedName name="AVGAUPRICE_00" localSheetId="7">[8]Model!#REF!</definedName>
    <definedName name="AVGAUPRICE_00" localSheetId="13">[8]Model!#REF!</definedName>
    <definedName name="AVGAUPRICE_00">[8]Model!#REF!</definedName>
    <definedName name="AVGAUPRICE_96" localSheetId="2">[7]Model!#REF!</definedName>
    <definedName name="AVGAUPRICE_96" localSheetId="7">[7]Model!#REF!</definedName>
    <definedName name="AVGAUPRICE_96" localSheetId="13">[7]Model!#REF!</definedName>
    <definedName name="AVGAUPRICE_96">[7]Model!#REF!</definedName>
    <definedName name="AVGAUPRICE_97" localSheetId="7">[8]Model!#REF!</definedName>
    <definedName name="AVGAUPRICE_97" localSheetId="13">[8]Model!#REF!</definedName>
    <definedName name="AVGAUPRICE_97">[8]Model!#REF!</definedName>
    <definedName name="AVGAUPRICE_98" localSheetId="7">[8]Model!#REF!</definedName>
    <definedName name="AVGAUPRICE_98" localSheetId="13">[8]Model!#REF!</definedName>
    <definedName name="AVGAUPRICE_98">[8]Model!#REF!</definedName>
    <definedName name="AVGAUPRICE_99">[8]Model!#REF!</definedName>
    <definedName name="AVOPERATINGMARGIN" localSheetId="2">#REF!</definedName>
    <definedName name="AVOPERATINGMARGIN" localSheetId="7">#REF!</definedName>
    <definedName name="AVOPERATINGMARGIN" localSheetId="13">#REF!</definedName>
    <definedName name="AVOPERATINGMARGIN">#REF!</definedName>
    <definedName name="AWg" localSheetId="2">[6]Model!#REF!</definedName>
    <definedName name="AWg" localSheetId="7">[6]Model!#REF!</definedName>
    <definedName name="AWg" localSheetId="13">[6]Model!#REF!</definedName>
    <definedName name="AWg">[6]Model!#REF!</definedName>
    <definedName name="aWGV" localSheetId="2">[6]Model!#REF!</definedName>
    <definedName name="aWGV">[6]Model!#REF!</definedName>
    <definedName name="ayesha" localSheetId="2" hidden="1">{"p1TOC",#N/A,FALSE,"DCF_Summary";"p23summary",#N/A,FALSE,"DCF_Summary";"p4contact",#N/A,FALSE,"Contact Lake";"p5kumtor",#N/A,FALSE,"Kumtor";#N/A,#N/A,FALSE,"CCAU_NAV";"p8compdata",#N/A,FALSE,"Gold_Comps";#N/A,#N/A,FALSE,"Comp_Valuation"}</definedName>
    <definedName name="ayesha" localSheetId="7" hidden="1">{"p1TOC",#N/A,FALSE,"DCF_Summary";"p23summary",#N/A,FALSE,"DCF_Summary";"p4contact",#N/A,FALSE,"Contact Lake";"p5kumtor",#N/A,FALSE,"Kumtor";#N/A,#N/A,FALSE,"CCAU_NAV";"p8compdata",#N/A,FALSE,"Gold_Comps";#N/A,#N/A,FALSE,"Comp_Valuation"}</definedName>
    <definedName name="ayesha" localSheetId="13" hidden="1">{"p1TOC",#N/A,FALSE,"DCF_Summary";"p23summary",#N/A,FALSE,"DCF_Summary";"p4contact",#N/A,FALSE,"Contact Lake";"p5kumtor",#N/A,FALSE,"Kumtor";#N/A,#N/A,FALSE,"CCAU_NAV";"p8compdata",#N/A,FALSE,"Gold_Comps";#N/A,#N/A,FALSE,"Comp_Valuation"}</definedName>
    <definedName name="ayesha" hidden="1">{"p1TOC",#N/A,FALSE,"DCF_Summary";"p23summary",#N/A,FALSE,"DCF_Summary";"p4contact",#N/A,FALSE,"Contact Lake";"p5kumtor",#N/A,FALSE,"Kumtor";#N/A,#N/A,FALSE,"CCAU_NAV";"p8compdata",#N/A,FALSE,"Gold_Comps";#N/A,#N/A,FALSE,"Comp_Valuation"}</definedName>
    <definedName name="BACKLOG">[3]MODEL!#REF!</definedName>
    <definedName name="BAD_DEBT">[3]MODEL!#REF!</definedName>
    <definedName name="BALANCE_SHEET" localSheetId="2">#REF!</definedName>
    <definedName name="BALANCE_SHEET" localSheetId="7">#REF!</definedName>
    <definedName name="BALANCE_SHEET" localSheetId="13">#REF!</definedName>
    <definedName name="BALANCE_SHEET">#REF!</definedName>
    <definedName name="Balance_Sht" localSheetId="7">#REF!</definedName>
    <definedName name="Balance_Sht" localSheetId="13">#REF!</definedName>
    <definedName name="Balance_Sht">#REF!</definedName>
    <definedName name="balsheet" localSheetId="7">#REF!</definedName>
    <definedName name="balsheet" localSheetId="13">#REF!</definedName>
    <definedName name="balsheet">#REF!</definedName>
    <definedName name="BANK_SEG" localSheetId="7">[3]MODEL!#REF!</definedName>
    <definedName name="BANK_SEG" localSheetId="13">[3]MODEL!#REF!</definedName>
    <definedName name="BANK_SEG">[3]MODEL!#REF!</definedName>
    <definedName name="BANKS" localSheetId="7">[3]MODEL!#REF!</definedName>
    <definedName name="BANKS" localSheetId="13">[3]MODEL!#REF!</definedName>
    <definedName name="BANKS">[3]MODEL!#REF!</definedName>
    <definedName name="bc" localSheetId="7">[6]Model!#REF!</definedName>
    <definedName name="bc" localSheetId="13">[6]Model!#REF!</definedName>
    <definedName name="bc">[6]Model!#REF!</definedName>
    <definedName name="begins" localSheetId="2">#REF!</definedName>
    <definedName name="begins" localSheetId="7">#REF!</definedName>
    <definedName name="begins" localSheetId="13">#REF!</definedName>
    <definedName name="begins">#REF!</definedName>
    <definedName name="bf" localSheetId="2">[6]Model!#REF!</definedName>
    <definedName name="bf" localSheetId="7">[6]Model!#REF!</definedName>
    <definedName name="bf" localSheetId="13">[6]Model!#REF!</definedName>
    <definedName name="bf">[6]Model!#REF!</definedName>
    <definedName name="BILLINGS">[25]MODEL!$10:$10</definedName>
    <definedName name="blank" localSheetId="2">#REF!</definedName>
    <definedName name="blank" localSheetId="11">#REF!</definedName>
    <definedName name="blank" localSheetId="6">#REF!</definedName>
    <definedName name="blank" localSheetId="7">#REF!</definedName>
    <definedName name="blank" localSheetId="13">#REF!</definedName>
    <definedName name="blank">#REF!</definedName>
    <definedName name="Blyth">#REF!</definedName>
    <definedName name="Book_Value">'[18]NAV Summary'!#REF!</definedName>
    <definedName name="Bookvalue" localSheetId="2">#REF!</definedName>
    <definedName name="Bookvalue" localSheetId="7">#REF!</definedName>
    <definedName name="Bookvalue" localSheetId="13">#REF!</definedName>
    <definedName name="Bookvalue">#REF!</definedName>
    <definedName name="Bousquet" localSheetId="2">[7]Model!#REF!</definedName>
    <definedName name="Bousquet" localSheetId="7">[7]Model!#REF!</definedName>
    <definedName name="Bousquet" localSheetId="13">[7]Model!#REF!</definedName>
    <definedName name="Bousquet">[7]Model!#REF!</definedName>
    <definedName name="BQ">'[14]LINKS&amp;INPUTS'!$E$3</definedName>
    <definedName name="bs" localSheetId="2">#REF!</definedName>
    <definedName name="bs" localSheetId="7">#REF!</definedName>
    <definedName name="bs" localSheetId="13">#REF!</definedName>
    <definedName name="bs">#REF!</definedName>
    <definedName name="BS_D" localSheetId="7">#REF!</definedName>
    <definedName name="BS_D" localSheetId="13">#REF!</definedName>
    <definedName name="BS_D">#REF!</definedName>
    <definedName name="BuyBackToggle" localSheetId="7">#REF!</definedName>
    <definedName name="BuyBackToggle" localSheetId="13">#REF!</definedName>
    <definedName name="BuyBackToggle">#REF!</definedName>
    <definedName name="bv">#REF!</definedName>
    <definedName name="BY">'[14]LINKS&amp;INPUTS'!$E$4</definedName>
    <definedName name="CABLE" localSheetId="2">#REF!</definedName>
    <definedName name="CABLE" localSheetId="7">#REF!</definedName>
    <definedName name="CABLE" localSheetId="13">#REF!</definedName>
    <definedName name="CABLE">#REF!</definedName>
    <definedName name="CAL_88_EPS" localSheetId="2">[19]Summary!#REF!</definedName>
    <definedName name="CAL_88_EPS" localSheetId="7">[19]Summary!#REF!</definedName>
    <definedName name="CAL_88_EPS" localSheetId="13">[19]Summary!#REF!</definedName>
    <definedName name="CAL_88_EPS">[19]Summary!#REF!</definedName>
    <definedName name="CAL_89_EPS" localSheetId="2">[19]Summary!#REF!</definedName>
    <definedName name="CAL_89_EPS">[19]Summary!#REF!</definedName>
    <definedName name="cal_89_roe" localSheetId="2">ref</definedName>
    <definedName name="cal_89_roe" localSheetId="7">ref</definedName>
    <definedName name="cal_89_roe" localSheetId="13">ref</definedName>
    <definedName name="cal_89_roe">ref</definedName>
    <definedName name="CAL_90_EPS" localSheetId="2">[19]Summary!#REF!</definedName>
    <definedName name="CAL_90_EPS" localSheetId="7">[19]Summary!#REF!</definedName>
    <definedName name="CAL_90_EPS" localSheetId="13">[19]Summary!#REF!</definedName>
    <definedName name="CAL_90_EPS">[19]Summary!#REF!</definedName>
    <definedName name="cal_90_roe" localSheetId="7">[19]Summary!#REF!</definedName>
    <definedName name="cal_90_roe" localSheetId="13">[19]Summary!#REF!</definedName>
    <definedName name="cal_90_roe">[19]Summary!#REF!</definedName>
    <definedName name="CAL_91_ROE" localSheetId="2">ref</definedName>
    <definedName name="CAL_91_ROE" localSheetId="7">ref</definedName>
    <definedName name="CAL_91_ROE" localSheetId="13">ref</definedName>
    <definedName name="CAL_91_ROE">ref</definedName>
    <definedName name="cal_92_eps" localSheetId="2">[19]Summary!#REF!</definedName>
    <definedName name="cal_92_eps" localSheetId="7">[19]Summary!#REF!</definedName>
    <definedName name="cal_92_eps" localSheetId="13">[19]Summary!#REF!</definedName>
    <definedName name="cal_92_eps">[19]Summary!#REF!</definedName>
    <definedName name="CAL_ACC_LEGAL" localSheetId="7">[3]MODEL!#REF!</definedName>
    <definedName name="CAL_ACC_LEGAL" localSheetId="13">[3]MODEL!#REF!</definedName>
    <definedName name="CAL_ACC_LEGAL">[3]MODEL!#REF!</definedName>
    <definedName name="CAL_ACC_OTHER" localSheetId="7">[3]MODEL!#REF!</definedName>
    <definedName name="CAL_ACC_OTHER" localSheetId="13">[3]MODEL!#REF!</definedName>
    <definedName name="CAL_ACC_OTHER">[3]MODEL!#REF!</definedName>
    <definedName name="CAL_ACCRUED_COMP">[3]MODEL!$618:$618</definedName>
    <definedName name="CAL_AP" localSheetId="2">[3]MODEL!#REF!</definedName>
    <definedName name="CAL_AP" localSheetId="7">[3]MODEL!#REF!</definedName>
    <definedName name="CAL_AP" localSheetId="13">[3]MODEL!#REF!</definedName>
    <definedName name="CAL_AP">[3]MODEL!#REF!</definedName>
    <definedName name="CAL_AR" localSheetId="2">[3]MODEL!#REF!</definedName>
    <definedName name="CAL_AR" localSheetId="7">[3]MODEL!#REF!</definedName>
    <definedName name="CAL_AR" localSheetId="13">[3]MODEL!#REF!</definedName>
    <definedName name="CAL_AR">[3]MODEL!#REF!</definedName>
    <definedName name="CAL_COMMISSIONS">[3]MODEL!$619:$619</definedName>
    <definedName name="CAL_DEF_REV" localSheetId="2">[3]MODEL!#REF!</definedName>
    <definedName name="CAL_DEF_REV" localSheetId="7">[3]MODEL!#REF!</definedName>
    <definedName name="CAL_DEF_REV" localSheetId="13">[3]MODEL!#REF!</definedName>
    <definedName name="CAL_DEF_REV">[3]MODEL!#REF!</definedName>
    <definedName name="CAL_eps_97" localSheetId="2">[19]Summary!#REF!</definedName>
    <definedName name="CAL_eps_97" localSheetId="7">[19]Summary!#REF!</definedName>
    <definedName name="CAL_eps_97" localSheetId="13">[19]Summary!#REF!</definedName>
    <definedName name="CAL_eps_97">[19]Summary!#REF!</definedName>
    <definedName name="CAL_INTANG">[3]MODEL!$616:$616</definedName>
    <definedName name="CAL_INVENTORIES" localSheetId="2">[3]MODEL!#REF!</definedName>
    <definedName name="CAL_INVENTORIES" localSheetId="7">[3]MODEL!#REF!</definedName>
    <definedName name="CAL_INVENTORIES" localSheetId="13">[3]MODEL!#REF!</definedName>
    <definedName name="CAL_INVENTORIES">[3]MODEL!#REF!</definedName>
    <definedName name="CAL_OTHER" localSheetId="2">[3]MODEL!#REF!</definedName>
    <definedName name="CAL_OTHER" localSheetId="7">[3]MODEL!#REF!</definedName>
    <definedName name="CAL_OTHER" localSheetId="13">[3]MODEL!#REF!</definedName>
    <definedName name="CAL_OTHER">[3]MODEL!#REF!</definedName>
    <definedName name="CAL_OTHER_LIAB" localSheetId="7">[3]MODEL!#REF!</definedName>
    <definedName name="CAL_OTHER_LIAB" localSheetId="13">[3]MODEL!#REF!</definedName>
    <definedName name="CAL_OTHER_LIAB">[3]MODEL!#REF!</definedName>
    <definedName name="CAL_OTHER_LTL">[3]MODEL!$501:$501</definedName>
    <definedName name="CAL_PREPAID">[3]MODEL!$491:$491</definedName>
    <definedName name="CAL_SEC_DEP" localSheetId="2">[3]MODEL!#REF!</definedName>
    <definedName name="CAL_SEC_DEP" localSheetId="7">[3]MODEL!#REF!</definedName>
    <definedName name="CAL_SEC_DEP" localSheetId="13">[3]MODEL!#REF!</definedName>
    <definedName name="CAL_SEC_DEP">[3]MODEL!#REF!</definedName>
    <definedName name="cal00_eps">'[26]Main Model'!$G$6</definedName>
    <definedName name="cal00_rev">'[26]Main Model'!$G$5</definedName>
    <definedName name="cal01_eps" localSheetId="2">#REF!</definedName>
    <definedName name="cal01_eps" localSheetId="7">#REF!</definedName>
    <definedName name="cal01_eps" localSheetId="13">#REF!</definedName>
    <definedName name="cal01_eps">#REF!</definedName>
    <definedName name="cal01_rev" localSheetId="7">#REF!</definedName>
    <definedName name="cal01_rev" localSheetId="13">#REF!</definedName>
    <definedName name="cal01_rev">#REF!</definedName>
    <definedName name="cal93_eps" localSheetId="7">#REF!</definedName>
    <definedName name="cal93_eps" localSheetId="13">#REF!</definedName>
    <definedName name="cal93_eps">#REF!</definedName>
    <definedName name="cal93_rev">#REF!</definedName>
    <definedName name="cal94_eps">#REF!</definedName>
    <definedName name="cal94_rev">#REF!</definedName>
    <definedName name="cal95_eps">#REF!</definedName>
    <definedName name="cal95_rev">#REF!</definedName>
    <definedName name="cal97_rev">#REF!</definedName>
    <definedName name="cal98_eps">#REF!</definedName>
    <definedName name="cal98_rev">#REF!</definedName>
    <definedName name="cal99_eps">'[26]Main Model'!$F$6</definedName>
    <definedName name="cal99_rev" localSheetId="2">#REF!</definedName>
    <definedName name="cal99_rev" localSheetId="7">#REF!</definedName>
    <definedName name="cal99_rev" localSheetId="13">#REF!</definedName>
    <definedName name="cal99_rev">#REF!</definedName>
    <definedName name="Call_Note" localSheetId="2">[27]Model!#REF!</definedName>
    <definedName name="Call_Note" localSheetId="7">[27]Model!#REF!</definedName>
    <definedName name="Call_Note" localSheetId="13">[27]Model!#REF!</definedName>
    <definedName name="Call_Note">[27]Model!#REF!</definedName>
    <definedName name="CAP_LEASE" localSheetId="2">[3]MODEL!#REF!</definedName>
    <definedName name="CAP_LEASE">[3]MODEL!#REF!</definedName>
    <definedName name="CAP_LEASE_LT" localSheetId="2">[3]MODEL!#REF!</definedName>
    <definedName name="CAP_LEASE_LT">[3]MODEL!#REF!</definedName>
    <definedName name="Cap_Software">[16]MODEL!$484:$484</definedName>
    <definedName name="CAPEX">[28]MODEL!$546:$546</definedName>
    <definedName name="CapEx_Efficiency" localSheetId="2">[3]MODEL!#REF!</definedName>
    <definedName name="CapEx_Efficiency" localSheetId="7">[3]MODEL!#REF!</definedName>
    <definedName name="CapEx_Efficiency" localSheetId="13">[3]MODEL!#REF!</definedName>
    <definedName name="CapEx_Efficiency">[3]MODEL!#REF!</definedName>
    <definedName name="CapEx_Input">'[10]SENSITIVITY ANALYSIS'!$E$80</definedName>
    <definedName name="CapEx_Toggle">'[10]SENSITIVITY ANALYSIS'!$I$78</definedName>
    <definedName name="CapexAcq" localSheetId="2">#REF!</definedName>
    <definedName name="CapexAcq" localSheetId="7">#REF!</definedName>
    <definedName name="CapexAcq" localSheetId="13">#REF!</definedName>
    <definedName name="CapexAcq">#REF!</definedName>
    <definedName name="CapexMaint" localSheetId="7">#REF!</definedName>
    <definedName name="CapexMaint" localSheetId="13">#REF!</definedName>
    <definedName name="CapexMaint">#REF!</definedName>
    <definedName name="CAPITAL_EXP" localSheetId="7">[3]MODEL!#REF!</definedName>
    <definedName name="CAPITAL_EXP" localSheetId="13">[3]MODEL!#REF!</definedName>
    <definedName name="CAPITAL_EXP">[3]MODEL!#REF!</definedName>
    <definedName name="CAPITAL_LEASE">[3]MODEL!$532:$532</definedName>
    <definedName name="CAPITAL_LEASE_LT" localSheetId="2">[3]MODEL!#REF!</definedName>
    <definedName name="CAPITAL_LEASE_LT" localSheetId="7">[3]MODEL!#REF!</definedName>
    <definedName name="CAPITAL_LEASE_LT" localSheetId="13">[3]MODEL!#REF!</definedName>
    <definedName name="CAPITAL_LEASE_LT">[3]MODEL!#REF!</definedName>
    <definedName name="CaseTitle">[29]Input!$C$2</definedName>
    <definedName name="CASH">[14]MODEL!$97:$97</definedName>
    <definedName name="Cash_Costs.Y2000D">'[12]Gold production'!$GX$109</definedName>
    <definedName name="Cash_Costs.Y2001D">'[12]Gold production'!$GY$109</definedName>
    <definedName name="Cash_Costs.Y2002D">'[12]Gold production'!$GZ$109</definedName>
    <definedName name="cash_flow" localSheetId="2">#REF!</definedName>
    <definedName name="cash_flow" localSheetId="7">#REF!</definedName>
    <definedName name="cash_flow" localSheetId="13">#REF!</definedName>
    <definedName name="cash_flow">#REF!</definedName>
    <definedName name="CASHCOSTS" localSheetId="7">#REF!</definedName>
    <definedName name="CASHCOSTS" localSheetId="13">#REF!</definedName>
    <definedName name="CASHCOSTS">#REF!</definedName>
    <definedName name="CashTax" localSheetId="7">#REF!</definedName>
    <definedName name="CashTax" localSheetId="13">#REF!</definedName>
    <definedName name="CashTax">#REF!</definedName>
    <definedName name="ccost00" localSheetId="7">[8]Model!#REF!</definedName>
    <definedName name="ccost00" localSheetId="13">[8]Model!#REF!</definedName>
    <definedName name="ccost00">[8]Model!#REF!</definedName>
    <definedName name="ccost01">[30]Model!$AR$57</definedName>
    <definedName name="ccost02">[30]Model!$AS$57</definedName>
    <definedName name="ccost03">[30]Model!$AT$57</definedName>
    <definedName name="ccost96" localSheetId="2">[8]Model!#REF!</definedName>
    <definedName name="ccost96" localSheetId="7">[8]Model!#REF!</definedName>
    <definedName name="ccost96" localSheetId="13">[8]Model!#REF!</definedName>
    <definedName name="ccost96">[8]Model!#REF!</definedName>
    <definedName name="ccost97" localSheetId="2">[8]Model!#REF!</definedName>
    <definedName name="ccost97" localSheetId="7">[8]Model!#REF!</definedName>
    <definedName name="ccost97" localSheetId="13">[8]Model!#REF!</definedName>
    <definedName name="ccost97">[8]Model!#REF!</definedName>
    <definedName name="ccost98" localSheetId="7">[8]Model!#REF!</definedName>
    <definedName name="ccost98" localSheetId="13">[8]Model!#REF!</definedName>
    <definedName name="ccost98">[8]Model!#REF!</definedName>
    <definedName name="ccost99" localSheetId="7">[8]Model!#REF!</definedName>
    <definedName name="ccost99" localSheetId="13">[8]Model!#REF!</definedName>
    <definedName name="ccost99">[8]Model!#REF!</definedName>
    <definedName name="cdn">[31]Michelin!$F$673</definedName>
    <definedName name="cdn_s">[31]Michelin!$F$681</definedName>
    <definedName name="cf" localSheetId="2">#REF!</definedName>
    <definedName name="cf" localSheetId="7">#REF!</definedName>
    <definedName name="cf" localSheetId="13">#REF!</definedName>
    <definedName name="cf">#REF!</definedName>
    <definedName name="CF_DIT" localSheetId="2">[3]MODEL!#REF!</definedName>
    <definedName name="CF_DIT" localSheetId="7">[3]MODEL!#REF!</definedName>
    <definedName name="CF_DIT" localSheetId="13">[3]MODEL!#REF!</definedName>
    <definedName name="CF_DIT">[3]MODEL!#REF!</definedName>
    <definedName name="CF_DTA" localSheetId="2">[14]MODEL!#REF!</definedName>
    <definedName name="CF_DTA">[14]MODEL!#REF!</definedName>
    <definedName name="CF_NP" localSheetId="2">[3]MODEL!#REF!</definedName>
    <definedName name="CF_NP" localSheetId="7">[3]MODEL!#REF!</definedName>
    <definedName name="CF_NP" localSheetId="13">[3]MODEL!#REF!</definedName>
    <definedName name="CF_NP">[3]MODEL!#REF!</definedName>
    <definedName name="CFO">[14]MODEL!$554:$554</definedName>
    <definedName name="CFO_Accrued_L">[11]MODEL!$576:$576</definedName>
    <definedName name="CFO_AEC">[3]MODEL!$499:$499</definedName>
    <definedName name="CFO_DC">[3]MODEL!$490:$490</definedName>
    <definedName name="CFO_Deferred_revenue">[11]MODEL!$577:$577</definedName>
    <definedName name="CFO_LTTP">[3]MODEL!$500:$500</definedName>
    <definedName name="CFO_MARGIN">[15]MODEL!$77:$77</definedName>
    <definedName name="CFO_Other_assets">[11]MODEL!$574:$574</definedName>
    <definedName name="CFPS">[14]MODEL!$106:$106</definedName>
    <definedName name="CFPS_1994" localSheetId="2">[9]LaRonde!#REF!</definedName>
    <definedName name="CFPS_1994" localSheetId="7">[9]LaRonde!#REF!</definedName>
    <definedName name="CFPS_1994" localSheetId="13">[9]LaRonde!#REF!</definedName>
    <definedName name="CFPS_1994">[9]LaRonde!#REF!</definedName>
    <definedName name="cfps00" localSheetId="2">[8]Model!#REF!</definedName>
    <definedName name="cfps00" localSheetId="7">[8]Model!#REF!</definedName>
    <definedName name="cfps00" localSheetId="13">[8]Model!#REF!</definedName>
    <definedName name="cfps00">[8]Model!#REF!</definedName>
    <definedName name="cfps01" localSheetId="7">[8]Model!#REF!</definedName>
    <definedName name="cfps01" localSheetId="13">[8]Model!#REF!</definedName>
    <definedName name="cfps01">[8]Model!#REF!</definedName>
    <definedName name="cfps02" localSheetId="7">[8]Model!#REF!</definedName>
    <definedName name="cfps02" localSheetId="13">[8]Model!#REF!</definedName>
    <definedName name="cfps02">[8]Model!#REF!</definedName>
    <definedName name="cfps03">[8]Model!#REF!</definedName>
    <definedName name="CFPS1998">[9]LaRonde!#REF!</definedName>
    <definedName name="cfps96">[8]Model!#REF!</definedName>
    <definedName name="cfps97">[8]Model!#REF!</definedName>
    <definedName name="cfps98">[8]Model!#REF!</definedName>
    <definedName name="cfps99">[8]Model!#REF!</definedName>
    <definedName name="Change_in_Accounts_Payable_and_Accruals">[16]MODEL!$604:$604</definedName>
    <definedName name="Change_in_Accounts_Receivable">[16]MODEL!$601:$601</definedName>
    <definedName name="Change_in_Accrued_Compensation">[16]MODEL!$608:$608</definedName>
    <definedName name="Change_in_Deferred_Revenue">[16]MODEL!$605:$605</definedName>
    <definedName name="Change_in_Income_Tax_Receivable">[16]MODEL!$603:$603</definedName>
    <definedName name="Change_in_Prepaid_Assets">[16]MODEL!$602:$602</definedName>
    <definedName name="Change_in_Prepaids_and_Other_Assets">[16]MODEL!$606:$606</definedName>
    <definedName name="channel" localSheetId="2">#REF!</definedName>
    <definedName name="channel" localSheetId="7">#REF!</definedName>
    <definedName name="channel" localSheetId="13">#REF!</definedName>
    <definedName name="channel">#REF!</definedName>
    <definedName name="CHECKSUM" localSheetId="7">#REF!</definedName>
    <definedName name="CHECKSUM" localSheetId="13">#REF!</definedName>
    <definedName name="CHECKSUM">#REF!</definedName>
    <definedName name="ChgWC" localSheetId="7">#REF!</definedName>
    <definedName name="ChgWC" localSheetId="13">#REF!</definedName>
    <definedName name="ChgWC">#REF!</definedName>
    <definedName name="Client_Server_Market">#REF!</definedName>
    <definedName name="closeoutvalue">#REF!</definedName>
    <definedName name="Closing_price">[23]Sheet1!$C$54:$G$54</definedName>
    <definedName name="COGS4" localSheetId="2">[15]MODEL!#REF!</definedName>
    <definedName name="COGS4" localSheetId="7">[15]MODEL!#REF!</definedName>
    <definedName name="COGS4" localSheetId="13">[15]MODEL!#REF!</definedName>
    <definedName name="COGS4">[15]MODEL!#REF!</definedName>
    <definedName name="ComCap" localSheetId="2">#REF!</definedName>
    <definedName name="ComCap" localSheetId="7">#REF!</definedName>
    <definedName name="ComCap" localSheetId="13">#REF!</definedName>
    <definedName name="ComCap">#REF!</definedName>
    <definedName name="COMMISSIONS_PAY" localSheetId="2">[32]MODEL!#REF!</definedName>
    <definedName name="COMMISSIONS_PAY" localSheetId="7">[32]MODEL!#REF!</definedName>
    <definedName name="COMMISSIONS_PAY" localSheetId="13">[32]MODEL!#REF!</definedName>
    <definedName name="COMMISSIONS_PAY">[32]MODEL!#REF!</definedName>
    <definedName name="common" localSheetId="2">#REF!</definedName>
    <definedName name="common" localSheetId="7">#REF!</definedName>
    <definedName name="common" localSheetId="13">#REF!</definedName>
    <definedName name="common">#REF!</definedName>
    <definedName name="CompanyData">'[33]Co.Data'!$6:$40</definedName>
    <definedName name="CompanyName">[29]Input!$C$1</definedName>
    <definedName name="Competition" localSheetId="2">[19]Summary!#REF!</definedName>
    <definedName name="Competition" localSheetId="7">[19]Summary!#REF!</definedName>
    <definedName name="Competition" localSheetId="13">[19]Summary!#REF!</definedName>
    <definedName name="Competition">[19]Summary!#REF!</definedName>
    <definedName name="ConsolidLine" localSheetId="2">#REF!</definedName>
    <definedName name="ConsolidLine" localSheetId="7">#REF!</definedName>
    <definedName name="ConsolidLine" localSheetId="13">#REF!</definedName>
    <definedName name="ConsolidLine">#REF!</definedName>
    <definedName name="Consumer_Revenue">[34]MODEL!$6:$6</definedName>
    <definedName name="conv" localSheetId="2">[23]Sheet1!#REF!</definedName>
    <definedName name="conv" localSheetId="7">[23]Sheet1!#REF!</definedName>
    <definedName name="conv" localSheetId="13">[23]Sheet1!#REF!</definedName>
    <definedName name="conv">[23]Sheet1!#REF!</definedName>
    <definedName name="Coporate.Y2001D">'[12]Income Stmt'!$GY$20</definedName>
    <definedName name="Coporate.Y2002D">'[12]Income Stmt'!$GZ$20</definedName>
    <definedName name="Cost_of_License">[3]MODEL!$10:$10</definedName>
    <definedName name="CPI" localSheetId="2">#REF!</definedName>
    <definedName name="CPI" localSheetId="7">#REF!</definedName>
    <definedName name="CPI" localSheetId="13">#REF!</definedName>
    <definedName name="CPI">#REF!</definedName>
    <definedName name="cpm">[17]other!$G$9</definedName>
    <definedName name="CPNFRP" localSheetId="2">[14]MODEL!#REF!</definedName>
    <definedName name="CPNFRP" localSheetId="7">[14]MODEL!#REF!</definedName>
    <definedName name="CPNFRP" localSheetId="13">[14]MODEL!#REF!</definedName>
    <definedName name="CPNFRP">[14]MODEL!#REF!</definedName>
    <definedName name="CPSWL" localSheetId="2">[14]MODEL!#REF!</definedName>
    <definedName name="CPSWL" localSheetId="7">[14]MODEL!#REF!</definedName>
    <definedName name="CPSWL" localSheetId="13">[14]MODEL!#REF!</definedName>
    <definedName name="CPSWL">[14]MODEL!#REF!</definedName>
    <definedName name="CPT" localSheetId="7">[3]MODEL!#REF!</definedName>
    <definedName name="CPT" localSheetId="13">[3]MODEL!#REF!</definedName>
    <definedName name="CPT">[3]MODEL!#REF!</definedName>
    <definedName name="CQC" localSheetId="2">#REF!</definedName>
    <definedName name="CQC" localSheetId="7">#REF!</definedName>
    <definedName name="CQC" localSheetId="13">#REF!</definedName>
    <definedName name="CQC">#REF!</definedName>
    <definedName name="cratios" localSheetId="7">#REF!</definedName>
    <definedName name="cratios" localSheetId="13">#REF!</definedName>
    <definedName name="cratios">#REF!</definedName>
    <definedName name="CREV">[28]MODEL!$8:$8</definedName>
    <definedName name="csize" localSheetId="2">#REF!</definedName>
    <definedName name="csize" localSheetId="7">#REF!</definedName>
    <definedName name="csize" localSheetId="13">#REF!</definedName>
    <definedName name="csize">#REF!</definedName>
    <definedName name="CUR_DEF_REV">[15]MODEL!$446:$446</definedName>
    <definedName name="CUR_POR_CAP">[3]MODEL!$410:$410</definedName>
    <definedName name="CurrAssets" localSheetId="2">#REF!</definedName>
    <definedName name="CurrAssets" localSheetId="7">#REF!</definedName>
    <definedName name="CurrAssets" localSheetId="13">#REF!</definedName>
    <definedName name="CurrAssets">#REF!</definedName>
    <definedName name="CurrDebt" localSheetId="7">#REF!</definedName>
    <definedName name="CurrDebt" localSheetId="13">#REF!</definedName>
    <definedName name="CurrDebt">#REF!</definedName>
    <definedName name="CurrencyIndicator" localSheetId="7">#REF!</definedName>
    <definedName name="CurrencyIndicator" localSheetId="13">#REF!</definedName>
    <definedName name="CurrencyIndicator">#REF!</definedName>
    <definedName name="CurrencyNote">[29]Input!$C$4</definedName>
    <definedName name="Current_Forecast" localSheetId="2">#REF!</definedName>
    <definedName name="Current_Forecast" localSheetId="7">#REF!</definedName>
    <definedName name="Current_Forecast" localSheetId="13">#REF!</definedName>
    <definedName name="Current_Forecast">#REF!</definedName>
    <definedName name="CURRENT_LTD" localSheetId="2">[3]MODEL!#REF!</definedName>
    <definedName name="CURRENT_LTD" localSheetId="7">[3]MODEL!#REF!</definedName>
    <definedName name="CURRENT_LTD" localSheetId="13">[3]MODEL!#REF!</definedName>
    <definedName name="CURRENT_LTD">[3]MODEL!#REF!</definedName>
    <definedName name="Current_Q" localSheetId="2">#REF!</definedName>
    <definedName name="Current_Q" localSheetId="11">#REF!</definedName>
    <definedName name="Current_Q" localSheetId="6">#REF!</definedName>
    <definedName name="Current_Q" localSheetId="7">#REF!</definedName>
    <definedName name="Current_Q" localSheetId="13">#REF!</definedName>
    <definedName name="Current_Q">#REF!</definedName>
    <definedName name="CURRENT_QTR_EPS" localSheetId="2">'[19]Local Voice'!#REF!</definedName>
    <definedName name="CURRENT_QTR_EPS" localSheetId="7">'[19]Local Voice'!#REF!</definedName>
    <definedName name="CURRENT_QTR_EPS" localSheetId="13">'[19]Local Voice'!#REF!</definedName>
    <definedName name="CURRENT_QTR_EPS">'[19]Local Voice'!#REF!</definedName>
    <definedName name="current_year">'[14]LINKS&amp;INPUTS'!$E$5</definedName>
    <definedName name="CurrentDebtToCapital" localSheetId="2">[29]ValuationInput!#REF!</definedName>
    <definedName name="CurrentDebtToCapital" localSheetId="7">[29]ValuationInput!#REF!</definedName>
    <definedName name="CurrentDebtToCapital" localSheetId="13">[29]ValuationInput!#REF!</definedName>
    <definedName name="CurrentDebtToCapital">[29]ValuationInput!#REF!</definedName>
    <definedName name="CURRENTRATIO" localSheetId="2">#REF!</definedName>
    <definedName name="CURRENTRATIO" localSheetId="7">#REF!</definedName>
    <definedName name="CURRENTRATIO" localSheetId="13">#REF!</definedName>
    <definedName name="CURRENTRATIO">#REF!</definedName>
    <definedName name="CurrLiab" localSheetId="7">#REF!</definedName>
    <definedName name="CurrLiab" localSheetId="13">#REF!</definedName>
    <definedName name="CurrLiab">#REF!</definedName>
    <definedName name="Customers" localSheetId="7">[3]MODEL!#REF!</definedName>
    <definedName name="Customers" localSheetId="13">[3]MODEL!#REF!</definedName>
    <definedName name="Customers">[3]MODEL!#REF!</definedName>
    <definedName name="Customers_Added" localSheetId="7">[3]MODEL!#REF!</definedName>
    <definedName name="Customers_Added" localSheetId="13">[3]MODEL!#REF!</definedName>
    <definedName name="Customers_Added">[3]MODEL!#REF!</definedName>
    <definedName name="DA">[3]MODEL!#REF!</definedName>
    <definedName name="Data_Centers">[3]MODEL!#REF!</definedName>
    <definedName name="_xlnm.Database" localSheetId="2">#REF!</definedName>
    <definedName name="_xlnm.Database" localSheetId="7">#REF!</definedName>
    <definedName name="_xlnm.Database" localSheetId="13">#REF!</definedName>
    <definedName name="_xlnm.Database">#REF!</definedName>
    <definedName name="dataID" localSheetId="7">#REF!</definedName>
    <definedName name="dataID" localSheetId="13">#REF!</definedName>
    <definedName name="dataID">#REF!</definedName>
    <definedName name="DCF_2000">[23]Sheet1!$H$3:$H$110</definedName>
    <definedName name="DCF_5" localSheetId="2">#REF!</definedName>
    <definedName name="DCF_5" localSheetId="7">#REF!</definedName>
    <definedName name="DCF_5" localSheetId="13">#REF!</definedName>
    <definedName name="DCF_5">#REF!</definedName>
    <definedName name="DCF_DEP">[3]MODEL!$483:$483</definedName>
    <definedName name="DCF_EY1">[23]Sheet1!$D:$D</definedName>
    <definedName name="DCF_EY2">[23]Sheet1!$E:$E</definedName>
    <definedName name="DCF_P">[23]Sheet1!$C:$C</definedName>
    <definedName name="DEALS">[35]MODEL!$304:$304</definedName>
    <definedName name="Debt">[14]MODEL!$100:$100</definedName>
    <definedName name="Debt_Market_Cap_Ratio" localSheetId="2">#REF!</definedName>
    <definedName name="Debt_Market_Cap_Ratio" localSheetId="7">#REF!</definedName>
    <definedName name="Debt_Market_Cap_Ratio" localSheetId="13">#REF!</definedName>
    <definedName name="Debt_Market_Cap_Ratio">#REF!</definedName>
    <definedName name="DEBT1995" localSheetId="2">[7]Model!#REF!</definedName>
    <definedName name="DEBT1995" localSheetId="7">[7]Model!#REF!</definedName>
    <definedName name="DEBT1995" localSheetId="13">[7]Model!#REF!</definedName>
    <definedName name="DEBT1995">[7]Model!#REF!</definedName>
    <definedName name="DebtInputAddressTable" localSheetId="2">[29]Storage!#REF!</definedName>
    <definedName name="DebtInputAddressTable">[29]Storage!#REF!</definedName>
    <definedName name="DEBTTOCAPITAL" localSheetId="2">#REF!</definedName>
    <definedName name="DEBTTOCAPITAL" localSheetId="7">#REF!</definedName>
    <definedName name="DEBTTOCAPITAL" localSheetId="13">#REF!</definedName>
    <definedName name="DEBTTOCAPITAL">#REF!</definedName>
    <definedName name="Def">[36]Market_Share!$A$12</definedName>
    <definedName name="DEF_CON_BUS_ACQ">[3]MODEL!$412:$412</definedName>
    <definedName name="DEF_REV" localSheetId="2">[3]MODEL!#REF!</definedName>
    <definedName name="DEF_REV" localSheetId="7">[3]MODEL!#REF!</definedName>
    <definedName name="DEF_REV" localSheetId="13">[3]MODEL!#REF!</definedName>
    <definedName name="DEF_REV">[3]MODEL!#REF!</definedName>
    <definedName name="DEF_TAX">[3]MODEL!$512:$512</definedName>
    <definedName name="DEF_TAX_ASSET" localSheetId="2">[3]MODEL!#REF!</definedName>
    <definedName name="DEF_TAX_ASSET" localSheetId="7">[3]MODEL!#REF!</definedName>
    <definedName name="DEF_TAX_ASSET" localSheetId="13">[3]MODEL!#REF!</definedName>
    <definedName name="DEF_TAX_ASSET">[3]MODEL!#REF!</definedName>
    <definedName name="DEF_TAX_CF">[3]MODEL!$606:$606</definedName>
    <definedName name="DEF_TAX_LIABILITY" localSheetId="2">[3]MODEL!#REF!</definedName>
    <definedName name="DEF_TAX_LIABILITY" localSheetId="7">[3]MODEL!#REF!</definedName>
    <definedName name="DEF_TAX_LIABILITY" localSheetId="13">[3]MODEL!#REF!</definedName>
    <definedName name="DEF_TAX_LIABILITY">[3]MODEL!#REF!</definedName>
    <definedName name="DEF_TAX_LIB" localSheetId="2">[3]MODEL!#REF!</definedName>
    <definedName name="DEF_TAX_LIB" localSheetId="7">[3]MODEL!#REF!</definedName>
    <definedName name="DEF_TAX_LIB" localSheetId="13">[3]MODEL!#REF!</definedName>
    <definedName name="DEF_TAX_LIB">[3]MODEL!#REF!</definedName>
    <definedName name="Deferred_Comissions">[16]MODEL!$483:$483</definedName>
    <definedName name="DEFERRED_COMMISSIONS">[3]MODEL!$395:$395</definedName>
    <definedName name="Deferred_Costs">[16]MODEL!$482:$482</definedName>
    <definedName name="Deferred_Income_Taxes___Current">[16]MODEL!$476:$476</definedName>
    <definedName name="DEFERRED_LT" localSheetId="2">[3]MODEL!#REF!</definedName>
    <definedName name="DEFERRED_LT" localSheetId="7">[3]MODEL!#REF!</definedName>
    <definedName name="DEFERRED_LT" localSheetId="13">[3]MODEL!#REF!</definedName>
    <definedName name="DEFERRED_LT">[3]MODEL!#REF!</definedName>
    <definedName name="Deferred_Revenue">[3]MODEL!$484:$484</definedName>
    <definedName name="Deferred_Tax_Expenses__Benefit">[16]MODEL!$598:$598</definedName>
    <definedName name="DeferredTax" localSheetId="2">#REF!</definedName>
    <definedName name="DeferredTax" localSheetId="7">#REF!</definedName>
    <definedName name="DeferredTax" localSheetId="13">#REF!</definedName>
    <definedName name="DeferredTax">#REF!</definedName>
    <definedName name="DEFREV" localSheetId="7">#REF!</definedName>
    <definedName name="DEFREV" localSheetId="13">#REF!</definedName>
    <definedName name="DEFREV">#REF!</definedName>
    <definedName name="Dep_margin_fore" localSheetId="7">[23]Sheet1!#REF!</definedName>
    <definedName name="Dep_margin_fore" localSheetId="13">[23]Sheet1!#REF!</definedName>
    <definedName name="Dep_margin_fore">[23]Sheet1!#REF!</definedName>
    <definedName name="DeprAmort_Input">'[10]SENSITIVITY ANALYSIS'!$E$71</definedName>
    <definedName name="DeprAmort_Toggle">'[10]SENSITIVITY ANALYSIS'!$I$69</definedName>
    <definedName name="Depreciation" localSheetId="2">#REF!</definedName>
    <definedName name="Depreciation" localSheetId="7">#REF!</definedName>
    <definedName name="Depreciation" localSheetId="13">#REF!</definedName>
    <definedName name="Depreciation">#REF!</definedName>
    <definedName name="Depreciation.Y2001D">'[12]Income Stmt'!$GY$18</definedName>
    <definedName name="Depreciation.Y2002D">'[12]Income Stmt'!$GZ$18</definedName>
    <definedName name="DETAIL" localSheetId="2">#REF!</definedName>
    <definedName name="DETAIL" localSheetId="7">#REF!</definedName>
    <definedName name="DETAIL" localSheetId="13">#REF!</definedName>
    <definedName name="DETAIL">#REF!</definedName>
    <definedName name="DETAIL___CONF." localSheetId="7">#REF!</definedName>
    <definedName name="DETAIL___CONF." localSheetId="13">#REF!</definedName>
    <definedName name="DETAIL___CONF.">#REF!</definedName>
    <definedName name="DFgbvd" localSheetId="7">[6]Model!#REF!</definedName>
    <definedName name="DFgbvd" localSheetId="13">[6]Model!#REF!</definedName>
    <definedName name="DFgbvd">[6]Model!#REF!</definedName>
    <definedName name="Digital_Marketing">[37]MODEL!$277:$277</definedName>
    <definedName name="Digital_Media">[37]MODEL!$276:$276</definedName>
    <definedName name="Dilution_factor">[23]Sheet1!$S$62</definedName>
    <definedName name="DITLT">[16]MODEL!$488:$488</definedName>
    <definedName name="Dividend" localSheetId="2">[8]Model!#REF!</definedName>
    <definedName name="Dividend" localSheetId="7">[8]Model!#REF!</definedName>
    <definedName name="Dividend" localSheetId="13">[8]Model!#REF!</definedName>
    <definedName name="Dividend">[8]Model!#REF!</definedName>
    <definedName name="DIVPAYOUTRATIO" localSheetId="2">#REF!</definedName>
    <definedName name="DIVPAYOUTRATIO" localSheetId="7">#REF!</definedName>
    <definedName name="DIVPAYOUTRATIO" localSheetId="13">#REF!</definedName>
    <definedName name="DIVPAYOUTRATIO">#REF!</definedName>
    <definedName name="DIVYIELD" localSheetId="7">#REF!</definedName>
    <definedName name="DIVYIELD" localSheetId="13">#REF!</definedName>
    <definedName name="DIVYIELD">#REF!</definedName>
    <definedName name="dkmtu" localSheetId="7">[6]Model!#REF!</definedName>
    <definedName name="dkmtu" localSheetId="13">[6]Model!#REF!</definedName>
    <definedName name="dkmtu">[6]Model!#REF!</definedName>
    <definedName name="DMCR" localSheetId="2">#REF!</definedName>
    <definedName name="DMCR" localSheetId="7">#REF!</definedName>
    <definedName name="DMCR" localSheetId="13">#REF!</definedName>
    <definedName name="DMCR">#REF!</definedName>
    <definedName name="DomCapex06">[31]Michelin!$Q$110</definedName>
    <definedName name="DomCosts06">[31]Michelin!$Q$77</definedName>
    <definedName name="DomRev06">[31]Michelin!$Q$60</definedName>
    <definedName name="DorOpCost">[31]Michelin!$Q$186</definedName>
    <definedName name="DorRev">[31]Michelin!$Q$185</definedName>
    <definedName name="DorTax">[31]Michelin!$Q$188</definedName>
    <definedName name="DOUBTFUL_ACCT" localSheetId="2">[3]MODEL!#REF!</definedName>
    <definedName name="DOUBTFUL_ACCT" localSheetId="7">[3]MODEL!#REF!</definedName>
    <definedName name="DOUBTFUL_ACCT" localSheetId="13">[3]MODEL!#REF!</definedName>
    <definedName name="DOUBTFUL_ACCT">[3]MODEL!#REF!</definedName>
    <definedName name="Doyon" localSheetId="2">[7]Model!#REF!</definedName>
    <definedName name="Doyon" localSheetId="7">[7]Model!#REF!</definedName>
    <definedName name="Doyon" localSheetId="13">[7]Model!#REF!</definedName>
    <definedName name="Doyon">[7]Model!#REF!</definedName>
    <definedName name="DR_ACQUISITION" localSheetId="7">[3]MODEL!#REF!</definedName>
    <definedName name="DR_ACQUISITION" localSheetId="13">[3]MODEL!#REF!</definedName>
    <definedName name="DR_ACQUISITION">[3]MODEL!#REF!</definedName>
    <definedName name="Driver_2000" localSheetId="2">#REF!</definedName>
    <definedName name="Driver_2000" localSheetId="7">#REF!</definedName>
    <definedName name="Driver_2000" localSheetId="13">#REF!</definedName>
    <definedName name="Driver_2000">#REF!</definedName>
    <definedName name="Driver_2001" localSheetId="7">#REF!</definedName>
    <definedName name="Driver_2001" localSheetId="13">#REF!</definedName>
    <definedName name="Driver_2001">#REF!</definedName>
    <definedName name="Driver_2002" localSheetId="7">#REF!</definedName>
    <definedName name="Driver_2002" localSheetId="13">#REF!</definedName>
    <definedName name="Driver_2002">#REF!</definedName>
    <definedName name="DSCDSFG" localSheetId="7">[6]Model!#REF!</definedName>
    <definedName name="DSCDSFG" localSheetId="13">[6]Model!#REF!</definedName>
    <definedName name="DSCDSFG">[6]Model!#REF!</definedName>
    <definedName name="DSHiddenYear1" localSheetId="2" hidden="1">#REF!</definedName>
    <definedName name="DSHiddenYear1" localSheetId="7" hidden="1">#REF!</definedName>
    <definedName name="DSHiddenYear1" localSheetId="13" hidden="1">#REF!</definedName>
    <definedName name="DSHiddenYear1" hidden="1">#REF!</definedName>
    <definedName name="DSHiddenYear2" localSheetId="7" hidden="1">#REF!</definedName>
    <definedName name="DSHiddenYear2" localSheetId="13" hidden="1">#REF!</definedName>
    <definedName name="DSHiddenYear2" hidden="1">#REF!</definedName>
    <definedName name="DSHiddenYear3" localSheetId="7" hidden="1">#REF!</definedName>
    <definedName name="DSHiddenYear3" localSheetId="13"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TA_NC">[14]MODEL!#REF!</definedName>
    <definedName name="dtukmx">[6]Model!#REF!</definedName>
    <definedName name="e7jy">[6]Model!#REF!</definedName>
    <definedName name="EBIT_Input">'[10]SENSITIVITY ANALYSIS'!$E$61</definedName>
    <definedName name="EBIT_margin_fore" localSheetId="2">[23]Sheet1!#REF!</definedName>
    <definedName name="EBIT_margin_fore" localSheetId="7">[23]Sheet1!#REF!</definedName>
    <definedName name="EBIT_margin_fore" localSheetId="13">[23]Sheet1!#REF!</definedName>
    <definedName name="EBIT_margin_fore">[23]Sheet1!#REF!</definedName>
    <definedName name="EBIT_Toggle">'[10]SENSITIVITY ANALYSIS'!$I$59</definedName>
    <definedName name="EBITDA">[3]MODEL!$41:$41</definedName>
    <definedName name="EBITDA_DCF">[23]Sheet1!$C$15:$AZ$15</definedName>
    <definedName name="EBITDA_fore">[23]Sheet1!$E$17:$AW$17</definedName>
    <definedName name="EBITDA_growth_avg" localSheetId="2">[23]Sheet1!#REF!</definedName>
    <definedName name="EBITDA_growth_avg" localSheetId="7">[23]Sheet1!#REF!</definedName>
    <definedName name="EBITDA_growth_avg" localSheetId="13">[23]Sheet1!#REF!</definedName>
    <definedName name="EBITDA_growth_avg">[23]Sheet1!#REF!</definedName>
    <definedName name="EBITDA_PS" localSheetId="2">[3]MODEL!#REF!</definedName>
    <definedName name="EBITDA_PS" localSheetId="7">[3]MODEL!#REF!</definedName>
    <definedName name="EBITDA_PS" localSheetId="13">[3]MODEL!#REF!</definedName>
    <definedName name="EBITDA_PS">[3]MODEL!#REF!</definedName>
    <definedName name="EBITDA_Share" localSheetId="7">[23]Sheet1!#REF!</definedName>
    <definedName name="EBITDA_Share" localSheetId="13">[23]Sheet1!#REF!</definedName>
    <definedName name="EBITDA_Share">[23]Sheet1!#REF!</definedName>
    <definedName name="ebitda00">[38]Model!$L$336</definedName>
    <definedName name="ebitda01">[38]Model!$Q$336</definedName>
    <definedName name="ebitda02">[38]Model!$R$336</definedName>
    <definedName name="ebitda03">[38]Model!$W$336</definedName>
    <definedName name="ebitda99">[38]Model!$K$336</definedName>
    <definedName name="EBITDAPERSHARE" localSheetId="2">#REF!</definedName>
    <definedName name="EBITDAPERSHARE" localSheetId="7">#REF!</definedName>
    <definedName name="EBITDAPERSHARE" localSheetId="13">#REF!</definedName>
    <definedName name="EBITDAPERSHARE">#REF!</definedName>
    <definedName name="EBITDAREV" localSheetId="7">#REF!</definedName>
    <definedName name="EBITDAREV" localSheetId="13">#REF!</definedName>
    <definedName name="EBITDAREV">#REF!</definedName>
    <definedName name="EBITINTEXP" localSheetId="7">#REF!</definedName>
    <definedName name="EBITINTEXP" localSheetId="13">#REF!</definedName>
    <definedName name="EBITINTEXP">#REF!</definedName>
    <definedName name="EBITTAXADJ">#REF!</definedName>
    <definedName name="efQFQA" hidden="1">[6]DS_Industry_Specif!#REF!</definedName>
    <definedName name="El_Indio">[7]Model!#REF!</definedName>
    <definedName name="employee">[39]BAANF!#REF!</definedName>
    <definedName name="end_of_first_period">'[14]LINKS&amp;INPUTS'!$D$48</definedName>
    <definedName name="ENT_SEG" localSheetId="2">[3]MODEL!#REF!</definedName>
    <definedName name="ENT_SEG" localSheetId="7">[3]MODEL!#REF!</definedName>
    <definedName name="ENT_SEG" localSheetId="13">[3]MODEL!#REF!</definedName>
    <definedName name="ENT_SEG">[3]MODEL!#REF!</definedName>
    <definedName name="ENTERPRISE" localSheetId="2">[3]MODEL!#REF!</definedName>
    <definedName name="ENTERPRISE" localSheetId="7">[3]MODEL!#REF!</definedName>
    <definedName name="ENTERPRISE" localSheetId="13">[3]MODEL!#REF!</definedName>
    <definedName name="ENTERPRISE">[3]MODEL!#REF!</definedName>
    <definedName name="Enterprise_Revenue">[34]MODEL!$7:$7</definedName>
    <definedName name="ENTERPRISEVAL" localSheetId="2">#REF!</definedName>
    <definedName name="ENTERPRISEVAL" localSheetId="7">#REF!</definedName>
    <definedName name="ENTERPRISEVAL" localSheetId="13">#REF!</definedName>
    <definedName name="ENTERPRISEVAL">#REF!</definedName>
    <definedName name="EPS">[28]MODEL!$26:$26</definedName>
    <definedName name="EPS.Y2001D">'[12]Income Stmt'!$GY$44</definedName>
    <definedName name="EPS.Y2002D">'[12]Income Stmt'!$GZ$44</definedName>
    <definedName name="EPS_1994" localSheetId="2">[9]LaRonde!#REF!</definedName>
    <definedName name="EPS_1994" localSheetId="7">[9]LaRonde!#REF!</definedName>
    <definedName name="EPS_1994" localSheetId="13">[9]LaRonde!#REF!</definedName>
    <definedName name="EPS_1994">[9]LaRonde!#REF!</definedName>
    <definedName name="EPS_1996">[23]Sheet1!$G$20</definedName>
    <definedName name="EPS_1997">[23]Sheet1!$G$19</definedName>
    <definedName name="EPS_88" localSheetId="2">[19]Summary!#REF!</definedName>
    <definedName name="EPS_88" localSheetId="7">[19]Summary!#REF!</definedName>
    <definedName name="EPS_88" localSheetId="13">[19]Summary!#REF!</definedName>
    <definedName name="EPS_88">[19]Summary!#REF!</definedName>
    <definedName name="EPS_89" localSheetId="2">[19]Summary!#REF!</definedName>
    <definedName name="EPS_89" localSheetId="7">[19]Summary!#REF!</definedName>
    <definedName name="EPS_89" localSheetId="13">[19]Summary!#REF!</definedName>
    <definedName name="EPS_89">[19]Summary!#REF!</definedName>
    <definedName name="EPS_90" localSheetId="7">[19]Summary!#REF!</definedName>
    <definedName name="EPS_90" localSheetId="13">[19]Summary!#REF!</definedName>
    <definedName name="EPS_90">[19]Summary!#REF!</definedName>
    <definedName name="eps_92" localSheetId="7">[19]Summary!#REF!</definedName>
    <definedName name="eps_92" localSheetId="13">[19]Summary!#REF!</definedName>
    <definedName name="eps_92">[19]Summary!#REF!</definedName>
    <definedName name="EPS_97">[19]Summary!#REF!</definedName>
    <definedName name="EPS_excluding_loss_for_non_controlling_interest">[14]MODEL!#REF!</definedName>
    <definedName name="EPS_growth_avg">[23]Sheet1!#REF!</definedName>
    <definedName name="EPS_Model" localSheetId="2">#REF!</definedName>
    <definedName name="EPS_Model" localSheetId="7">#REF!</definedName>
    <definedName name="EPS_Model" localSheetId="13">#REF!</definedName>
    <definedName name="EPS_Model">#REF!</definedName>
    <definedName name="EPS_PF_SBC">[3]MODEL!$32:$32</definedName>
    <definedName name="eps_year_ago" localSheetId="2">[19]Summary!#REF!</definedName>
    <definedName name="eps_year_ago" localSheetId="7">[19]Summary!#REF!</definedName>
    <definedName name="eps_year_ago" localSheetId="13">[19]Summary!#REF!</definedName>
    <definedName name="eps_year_ago">[19]Summary!#REF!</definedName>
    <definedName name="eps00" localSheetId="2">[8]Model!#REF!</definedName>
    <definedName name="eps00" localSheetId="7">[8]Model!#REF!</definedName>
    <definedName name="eps00" localSheetId="13">[8]Model!#REF!</definedName>
    <definedName name="eps00">[8]Model!#REF!</definedName>
    <definedName name="EPSBasic" localSheetId="2">#REF!</definedName>
    <definedName name="EPSBasic" localSheetId="7">#REF!</definedName>
    <definedName name="EPSBasic" localSheetId="13">#REF!</definedName>
    <definedName name="EPSBasic">#REF!</definedName>
    <definedName name="EPSBeforeExtFD" localSheetId="7">#REF!</definedName>
    <definedName name="EPSBeforeExtFD" localSheetId="13">#REF!</definedName>
    <definedName name="EPSBeforeExtFD">#REF!</definedName>
    <definedName name="EPSFD" localSheetId="7">#REF!</definedName>
    <definedName name="EPSFD" localSheetId="13">#REF!</definedName>
    <definedName name="EPSFD">#REF!</definedName>
    <definedName name="epsnav">[31]Michelin!$F$683</definedName>
    <definedName name="EPSPreExBasic" localSheetId="2">#REF!</definedName>
    <definedName name="EPSPreExBasic" localSheetId="7">#REF!</definedName>
    <definedName name="EPSPreExBasic" localSheetId="13">#REF!</definedName>
    <definedName name="EPSPreExBasic">#REF!</definedName>
    <definedName name="epsr1995" localSheetId="2">[9]LaRonde!#REF!</definedName>
    <definedName name="epsr1995" localSheetId="7">[9]LaRonde!#REF!</definedName>
    <definedName name="epsr1995" localSheetId="13">[9]LaRonde!#REF!</definedName>
    <definedName name="epsr1995">[9]LaRonde!#REF!</definedName>
    <definedName name="epsr1996" localSheetId="2">[9]LaRonde!#REF!</definedName>
    <definedName name="epsr1996">[9]LaRonde!#REF!</definedName>
    <definedName name="epsr1997" localSheetId="2">[9]LaRonde!#REF!</definedName>
    <definedName name="epsr1997" localSheetId="7">[9]LaRonde!#REF!</definedName>
    <definedName name="epsr1997" localSheetId="13">[9]LaRonde!#REF!</definedName>
    <definedName name="epsr1997">[9]LaRonde!#REF!</definedName>
    <definedName name="epsr1998">[9]LaRonde!#REF!</definedName>
    <definedName name="Equity" localSheetId="2">#REF!</definedName>
    <definedName name="Equity" localSheetId="7">#REF!</definedName>
    <definedName name="Equity" localSheetId="13">#REF!</definedName>
    <definedName name="Equity">#REF!</definedName>
    <definedName name="Equity_Production.Y2000D">'[12]Gold production'!$GX$104</definedName>
    <definedName name="Equity_Production.Y2001D">'[12]Gold production'!$GY$104</definedName>
    <definedName name="Equity_Production.Y2002D">'[12]Gold production'!$GZ$104</definedName>
    <definedName name="er" localSheetId="2" hidden="1">[6]DS_Industry_Specif!#REF!</definedName>
    <definedName name="er" localSheetId="7" hidden="1">[6]DS_Industry_Specif!#REF!</definedName>
    <definedName name="er" localSheetId="13" hidden="1">[6]DS_Industry_Specif!#REF!</definedName>
    <definedName name="er" hidden="1">[6]DS_Industry_Specif!#REF!</definedName>
    <definedName name="ESD">[5]MODEL!$386:$386</definedName>
    <definedName name="EV_TO_PE_LTM">[3]MODEL!$557:$557</definedName>
    <definedName name="EV_TO_PE_TTM">[3]MODEL!$556:$556</definedName>
    <definedName name="EV_TO_REV_LTM">[3]MODEL!$555:$555</definedName>
    <definedName name="EV_TO_REV_TTM">[3]MODEL!$554:$554</definedName>
    <definedName name="EX_28">[3]MODEL!$CZ$3</definedName>
    <definedName name="EX_29">[3]MODEL!$BT$4</definedName>
    <definedName name="EX_30">[3]MODEL!$BT$180</definedName>
    <definedName name="EX_31">[3]MODEL!$BQ$116</definedName>
    <definedName name="EX_33" localSheetId="2">[3]MODEL!#REF!</definedName>
    <definedName name="EX_33" localSheetId="7">[3]MODEL!#REF!</definedName>
    <definedName name="EX_33" localSheetId="13">[3]MODEL!#REF!</definedName>
    <definedName name="EX_33">[3]MODEL!#REF!</definedName>
    <definedName name="EX_34">[3]MODEL!$BQ$86</definedName>
    <definedName name="EX_35">[3]MODEL!$CB$94</definedName>
    <definedName name="EX_52">[3]DCF!$B$3</definedName>
    <definedName name="ExchangeRatio" localSheetId="2">#REF!</definedName>
    <definedName name="ExchangeRatio" localSheetId="7">#REF!</definedName>
    <definedName name="ExchangeRatio" localSheetId="13">#REF!</definedName>
    <definedName name="ExchangeRatio">#REF!</definedName>
    <definedName name="EXH_1" localSheetId="7">#REF!</definedName>
    <definedName name="EXH_1" localSheetId="13">#REF!</definedName>
    <definedName name="EXH_1">#REF!</definedName>
    <definedName name="EXH_2" localSheetId="7">#REF!</definedName>
    <definedName name="EXH_2" localSheetId="13">#REF!</definedName>
    <definedName name="EXH_2">#REF!</definedName>
    <definedName name="EXH_3">#REF!</definedName>
    <definedName name="EXH_4">#REF!</definedName>
    <definedName name="EXP_COG_REV_A">#REF!</definedName>
    <definedName name="EXP_COG_REV_B">#REF!</definedName>
    <definedName name="EXP_GandA">#REF!</definedName>
    <definedName name="EXP_oth">#REF!</definedName>
    <definedName name="EXP_RandD">#REF!</definedName>
    <definedName name="EXP_SandM">#REF!</definedName>
    <definedName name="EXP_TOT" localSheetId="2">#REF!,#REF!</definedName>
    <definedName name="EXP_TOT" localSheetId="7">#REF!,#REF!</definedName>
    <definedName name="EXP_TOT" localSheetId="13">#REF!,#REF!</definedName>
    <definedName name="EXP_TOT">#REF!,#REF!</definedName>
    <definedName name="Expl_forecast_1st_yr">[23]Sheet1!$E:$E</definedName>
    <definedName name="Expl_forecast_2nd_yr">[23]Sheet1!$F:$F</definedName>
    <definedName name="Exploration" localSheetId="2">#REF!</definedName>
    <definedName name="Exploration" localSheetId="7">#REF!</definedName>
    <definedName name="Exploration" localSheetId="13">#REF!</definedName>
    <definedName name="Exploration">#REF!</definedName>
    <definedName name="Exploration.Y2001D">'[12]Income Stmt'!$GY$19</definedName>
    <definedName name="Exploration.Y2002D">'[12]Income Stmt'!$GZ$19</definedName>
    <definedName name="export" localSheetId="2">#REF!</definedName>
    <definedName name="export" localSheetId="11">#REF!</definedName>
    <definedName name="export" localSheetId="6">#REF!</definedName>
    <definedName name="export" localSheetId="7">#REF!</definedName>
    <definedName name="export" localSheetId="13">#REF!</definedName>
    <definedName name="export">#REF!</definedName>
    <definedName name="ExportFile" localSheetId="2">#N/A</definedName>
    <definedName name="ExportFile" localSheetId="7">V!ExportFile</definedName>
    <definedName name="ExportFile" localSheetId="13">'V Sensitivity'!ExportFile</definedName>
    <definedName name="ExportFile">V!ExportFile</definedName>
    <definedName name="exrate1995" localSheetId="2">[7]Model!#REF!</definedName>
    <definedName name="exrate1995" localSheetId="7">[7]Model!#REF!</definedName>
    <definedName name="exrate1995" localSheetId="13">[7]Model!#REF!</definedName>
    <definedName name="exrate1995">[7]Model!#REF!</definedName>
    <definedName name="exrate1996" localSheetId="2">[7]Model!#REF!</definedName>
    <definedName name="exrate1996" localSheetId="7">[7]Model!#REF!</definedName>
    <definedName name="exrate1996" localSheetId="13">[7]Model!#REF!</definedName>
    <definedName name="exrate1996">[7]Model!#REF!</definedName>
    <definedName name="exrate1997">[38]Model!$I$51</definedName>
    <definedName name="EXT_ITEMS" localSheetId="2">#REF!</definedName>
    <definedName name="EXT_ITEMS" localSheetId="7">#REF!</definedName>
    <definedName name="EXT_ITEMS" localSheetId="13">#REF!</definedName>
    <definedName name="EXT_ITEMS">#REF!</definedName>
    <definedName name="extraordinaries.Y1999D">'[12]Income Stmt'!$GW$37</definedName>
    <definedName name="extraordinaries.Y2001D">'[12]Income Stmt'!$GY$37</definedName>
    <definedName name="extraordinaries.Y2002D">'[12]Income Stmt'!$GZ$37</definedName>
    <definedName name="eyr" localSheetId="2">[6]Model!#REF!</definedName>
    <definedName name="eyr" localSheetId="7">[6]Model!#REF!</definedName>
    <definedName name="eyr" localSheetId="13">[6]Model!#REF!</definedName>
    <definedName name="eyr">[6]Model!#REF!</definedName>
    <definedName name="f" localSheetId="2">[6]Model!#REF!</definedName>
    <definedName name="f" localSheetId="7">[6]Model!#REF!</definedName>
    <definedName name="f" localSheetId="13">[6]Model!#REF!</definedName>
    <definedName name="f">[6]Model!#REF!</definedName>
    <definedName name="FAMERangeDJ_BALAL28" localSheetId="2">#REF!</definedName>
    <definedName name="FAMERangeDJ_BALAL28" localSheetId="7">#REF!</definedName>
    <definedName name="FAMERangeDJ_BALAL28" localSheetId="13">#REF!</definedName>
    <definedName name="FAMERangeDJ_BALAL28">#REF!</definedName>
    <definedName name="FAMERangeDJ_BALAM28" localSheetId="7">#REF!</definedName>
    <definedName name="FAMERangeDJ_BALAM28" localSheetId="13">#REF!</definedName>
    <definedName name="FAMERangeDJ_BALAM28">#REF!</definedName>
    <definedName name="FAMERangeDJ_BALAN28" localSheetId="7">#REF!</definedName>
    <definedName name="FAMERangeDJ_BALAN28" localSheetId="13">#REF!</definedName>
    <definedName name="FAMERangeDJ_BALAN28">#REF!</definedName>
    <definedName name="FAMERangeGCI_BALD62">#REF!</definedName>
    <definedName name="FAMERangeGCI_BALD63">#REF!</definedName>
    <definedName name="FAMERangeKRI_BALAL99">#REF!</definedName>
    <definedName name="FAMERangeKRI_BALAM99">#REF!</definedName>
    <definedName name="FAMERangeKRI_BALAN99">#REF!</definedName>
    <definedName name="FAMERangeValuationC8">#REF!</definedName>
    <definedName name="FAMERangeValuationO13">#REF!</definedName>
    <definedName name="FAMERangeValuationS13">#REF!</definedName>
    <definedName name="fb">[6]Model!#REF!</definedName>
    <definedName name="fbv">[6]Model!#REF!</definedName>
    <definedName name="FC_MARGIN">[15]MODEL!$80:$80</definedName>
    <definedName name="FCF">[3]MODEL!$106:$106</definedName>
    <definedName name="FCFBASIC" localSheetId="2">#REF!</definedName>
    <definedName name="FCFBASIC" localSheetId="7">#REF!</definedName>
    <definedName name="FCFBASIC" localSheetId="13">#REF!</definedName>
    <definedName name="FCFBASIC">#REF!</definedName>
    <definedName name="FCFFD" localSheetId="7">#REF!</definedName>
    <definedName name="FCFFD" localSheetId="13">#REF!</definedName>
    <definedName name="FCFFD">#REF!</definedName>
    <definedName name="fds" hidden="1">"c275"</definedName>
    <definedName name="fdsa" hidden="1">"c301"</definedName>
    <definedName name="fgh" hidden="1">"c118"</definedName>
    <definedName name="fgyu8kdf" localSheetId="2">[6]Model!#REF!</definedName>
    <definedName name="fgyu8kdf" localSheetId="7">[6]Model!#REF!</definedName>
    <definedName name="fgyu8kdf" localSheetId="13">[6]Model!#REF!</definedName>
    <definedName name="fgyu8kdf">[6]Model!#REF!</definedName>
    <definedName name="FinCF" localSheetId="2">#REF!</definedName>
    <definedName name="FinCF" localSheetId="7">#REF!</definedName>
    <definedName name="FinCF" localSheetId="13">#REF!</definedName>
    <definedName name="FinCF">#REF!</definedName>
    <definedName name="FirstCall" localSheetId="7">#REF!</definedName>
    <definedName name="FirstCall" localSheetId="13">#REF!</definedName>
    <definedName name="FirstCall">#REF!</definedName>
    <definedName name="fiscal1995" localSheetId="2">[19]Summary!#REF!</definedName>
    <definedName name="fiscal1995" localSheetId="7">[19]Summary!#REF!</definedName>
    <definedName name="fiscal1995" localSheetId="13">[19]Summary!#REF!</definedName>
    <definedName name="fiscal1995">[19]Summary!#REF!</definedName>
    <definedName name="fiscal1996" localSheetId="2">[19]Summary!#REF!</definedName>
    <definedName name="fiscal1996" localSheetId="7">[19]Summary!#REF!</definedName>
    <definedName name="fiscal1996" localSheetId="13">[19]Summary!#REF!</definedName>
    <definedName name="fiscal1996">[19]Summary!#REF!</definedName>
    <definedName name="fiscal1997" localSheetId="7">'[19]IncomeStatement-save'!#REF!</definedName>
    <definedName name="fiscal1997" localSheetId="13">'[19]IncomeStatement-save'!#REF!</definedName>
    <definedName name="fiscal1997">'[19]IncomeStatement-save'!#REF!</definedName>
    <definedName name="FISCAL93" localSheetId="7">[7]Model!#REF!</definedName>
    <definedName name="FISCAL93" localSheetId="13">[7]Model!#REF!</definedName>
    <definedName name="FISCAL93">[7]Model!#REF!</definedName>
    <definedName name="FISCAL94" localSheetId="7">[7]Model!#REF!</definedName>
    <definedName name="FISCAL94" localSheetId="13">[7]Model!#REF!</definedName>
    <definedName name="FISCAL94">[7]Model!#REF!</definedName>
    <definedName name="FISCAL95">[7]Model!#REF!</definedName>
    <definedName name="FISCAL96">[7]Model!#REF!</definedName>
    <definedName name="FISCAL97">[7]Model!#REF!</definedName>
    <definedName name="FISCAL98">[7]Model!#REF!</definedName>
    <definedName name="float" localSheetId="2">#REF!</definedName>
    <definedName name="float" localSheetId="7">#REF!</definedName>
    <definedName name="float" localSheetId="13">#REF!</definedName>
    <definedName name="float">#REF!</definedName>
    <definedName name="footnote" localSheetId="7">#REF!</definedName>
    <definedName name="footnote" localSheetId="13">#REF!</definedName>
    <definedName name="footnote">#REF!</definedName>
    <definedName name="FootNoteID" localSheetId="7">#REF!</definedName>
    <definedName name="FootNoteID" localSheetId="13">#REF!</definedName>
    <definedName name="FootNoteID">#REF!</definedName>
    <definedName name="fratios">#REF!</definedName>
    <definedName name="freedcf0">#REF!</definedName>
    <definedName name="freedcf10">#REF!</definedName>
    <definedName name="freedcf10negsens">#REF!</definedName>
    <definedName name="freedcf10possens">#REF!</definedName>
    <definedName name="freedcf5">#REF!</definedName>
    <definedName name="FRG_Px">[31]OptionsWarrants!$B$4</definedName>
    <definedName name="fsda" localSheetId="2">[6]Model!#REF!</definedName>
    <definedName name="fsda" localSheetId="7">[6]Model!#REF!</definedName>
    <definedName name="fsda" localSheetId="13">[6]Model!#REF!</definedName>
    <definedName name="fsda">[6]Model!#REF!</definedName>
    <definedName name="FSR" localSheetId="2">#REF!</definedName>
    <definedName name="FSR" localSheetId="7">#REF!</definedName>
    <definedName name="FSR" localSheetId="13">#REF!</definedName>
    <definedName name="FSR">#REF!</definedName>
    <definedName name="FTM_PE_AVG">[32]MULTIPLES!$X$2052</definedName>
    <definedName name="FTM_PE_CURRENT">[32]MULTIPLES!$X$2046</definedName>
    <definedName name="FTM_PE_HIGH">[32]MULTIPLES!$X$2050</definedName>
    <definedName name="FTM_PE_LOW">[32]MULTIPLES!$X$2051</definedName>
    <definedName name="FTM_PE_MODE">[32]MULTIPLES!$X$2055</definedName>
    <definedName name="FTM_PS_AVG">[32]MULTIPLES!$Z$2052</definedName>
    <definedName name="FTM_PS_CURRENT">[32]MULTIPLES!$Z$2046</definedName>
    <definedName name="FTM_PS_HIGH">[32]MULTIPLES!$Z$2050</definedName>
    <definedName name="FTM_PS_LOW">[32]MULTIPLES!$Z$2051</definedName>
    <definedName name="FTM_PS_MODE">[32]MULTIPLES!$Z$2055</definedName>
    <definedName name="FTNT_ADJ_EPS">[40]MODEL!$24:$24</definedName>
    <definedName name="FTNT_ADJ_GA">[40]MODEL!$17:$17</definedName>
    <definedName name="FTNT_ADJ_GA_PC">[40]MODEL!$81:$81</definedName>
    <definedName name="FTNT_ADJ_OM">[40]MODEL!$19:$19</definedName>
    <definedName name="FTNT_ADJ_OM_PC">[40]MODEL!$82:$82</definedName>
    <definedName name="FTNT_ADJ_OTHERINC">[40]MODEL!$20:$20</definedName>
    <definedName name="FTNT_ADJ_RD">[40]MODEL!$16:$16</definedName>
    <definedName name="FTNT_ADJ_RD_PC">[40]MODEL!$80:$80</definedName>
    <definedName name="FTNT_ADJ_SM">[40]MODEL!$15:$15</definedName>
    <definedName name="FTNT_ADJ_SM_PC">[40]MODEL!$79:$79</definedName>
    <definedName name="FTNT_ADJ_TAXES">[40]MODEL!$22:$22</definedName>
    <definedName name="FTNT_ADJ_TAXRATE">[40]MODEL!$85:$85</definedName>
    <definedName name="FTNT_BOOKINGS">[40]MODEL!$55:$55</definedName>
    <definedName name="FTNT_CAPEX">[40]MODEL!$475:$475</definedName>
    <definedName name="FTNT_CFO">[40]MODEL!$56:$56</definedName>
    <definedName name="FTNT_CFO_PS">[40]MODEL!$57:$57</definedName>
    <definedName name="FTNT_DEF_REV">[40]MODEL!$54:$54</definedName>
    <definedName name="FTNT_DIL_SHA">[40]MODEL!$25:$25</definedName>
    <definedName name="FTNT_DSO">[40]MODEL!$51:$51</definedName>
    <definedName name="FTNT_FCF">[40]MODEL!$59:$59</definedName>
    <definedName name="FTNT_FCF_PS">[40]MODEL!$60:$60</definedName>
    <definedName name="FTNT_REV">[40]MODEL!$9:$9</definedName>
    <definedName name="FX_DI_QQ">[3]MODEL!$445:$445</definedName>
    <definedName name="FX_DI_YY">[3]MODEL!$430:$430</definedName>
    <definedName name="FX_Gain">[41]MODEL!$22:$22</definedName>
    <definedName name="FX_PI_QQ">[3]MODEL!$446:$446</definedName>
    <definedName name="FX_PI_YY">[3]MODEL!$431:$431</definedName>
    <definedName name="FX_REV_CC">[3]MODEL!$357:$357</definedName>
    <definedName name="FX_REV_CC_FTM">[3]MODEL!$359:$359</definedName>
    <definedName name="FX_REV_CC_TTM">[3]MODEL!$358:$358</definedName>
    <definedName name="fy_00">'[26]Newer version'!$BD$38</definedName>
    <definedName name="fy_01">'[42]QPL (before FC-matching adjs)'!$AC$75</definedName>
    <definedName name="FY_87" localSheetId="2">#REF!</definedName>
    <definedName name="FY_87" localSheetId="7">#REF!</definedName>
    <definedName name="FY_87" localSheetId="13">#REF!</definedName>
    <definedName name="FY_87">#REF!</definedName>
    <definedName name="FY_88" localSheetId="7">#REF!</definedName>
    <definedName name="FY_88" localSheetId="13">#REF!</definedName>
    <definedName name="FY_88">#REF!</definedName>
    <definedName name="FY_89" localSheetId="7">#REF!</definedName>
    <definedName name="FY_89" localSheetId="13">#REF!</definedName>
    <definedName name="FY_89">#REF!</definedName>
    <definedName name="FY_90">#REF!</definedName>
    <definedName name="FY_91">#REF!</definedName>
    <definedName name="FY_92" localSheetId="11">#REF!</definedName>
    <definedName name="FY_92" localSheetId="6">#REF!</definedName>
    <definedName name="FY_92" localSheetId="7">#REF!</definedName>
    <definedName name="FY_92" localSheetId="13">#REF!</definedName>
    <definedName name="FY_92">#REF!</definedName>
    <definedName name="FY_93" localSheetId="11">#REF!</definedName>
    <definedName name="FY_93" localSheetId="6">#REF!</definedName>
    <definedName name="FY_93">#REF!</definedName>
    <definedName name="FY_94" localSheetId="11">#REF!</definedName>
    <definedName name="FY_94" localSheetId="6">#REF!</definedName>
    <definedName name="FY_94">#REF!</definedName>
    <definedName name="FY_95">#REF!</definedName>
    <definedName name="FY_96">#REF!</definedName>
    <definedName name="fy_98">#REF!</definedName>
    <definedName name="fy_99">'[26]Newer version'!$BC$38</definedName>
    <definedName name="fy00_eps" localSheetId="2">#REF!</definedName>
    <definedName name="fy00_eps" localSheetId="7">#REF!</definedName>
    <definedName name="fy00_eps" localSheetId="13">#REF!</definedName>
    <definedName name="fy00_eps">#REF!</definedName>
    <definedName name="fy00_rev" localSheetId="7">#REF!</definedName>
    <definedName name="fy00_rev" localSheetId="13">#REF!</definedName>
    <definedName name="fy00_rev">#REF!</definedName>
    <definedName name="fy96_rev" localSheetId="7">#REF!</definedName>
    <definedName name="fy96_rev" localSheetId="13">#REF!</definedName>
    <definedName name="fy96_rev">#REF!</definedName>
    <definedName name="fy98_eps">#REF!</definedName>
    <definedName name="fy99_eps">#REF!</definedName>
    <definedName name="fy99_rev">#REF!</definedName>
    <definedName name="GA_SBC">[3]MODEL!#REF!</definedName>
    <definedName name="GAAP_OM">[3]MODEL!#REF!</definedName>
    <definedName name="gager">[6]Model!#REF!</definedName>
    <definedName name="GAIN_ON_ASSET">[3]MODEL!$485:$485</definedName>
    <definedName name="GDW">[16]MODEL!$486:$486</definedName>
    <definedName name="GEO_AMER_PCT">[14]MODEL!$274:$274</definedName>
    <definedName name="gf" hidden="1">"c247"</definedName>
    <definedName name="gfdfsa" hidden="1">"c261"</definedName>
    <definedName name="gh" localSheetId="2">[6]Model!#REF!</definedName>
    <definedName name="gh" localSheetId="7">[6]Model!#REF!</definedName>
    <definedName name="gh" localSheetId="13">[6]Model!#REF!</definedName>
    <definedName name="gh">[6]Model!#REF!</definedName>
    <definedName name="Gold_production__Net_Koz" localSheetId="2">[7]Model!#REF!</definedName>
    <definedName name="Gold_production__Net_Koz" localSheetId="7">[7]Model!#REF!</definedName>
    <definedName name="Gold_production__Net_Koz" localSheetId="13">[7]Model!#REF!</definedName>
    <definedName name="Gold_production__Net_Koz">[7]Model!#REF!</definedName>
    <definedName name="GoldEqPr">'[31]Val Detail'!$F$5</definedName>
    <definedName name="goldprice" localSheetId="2">#REF!</definedName>
    <definedName name="goldprice" localSheetId="7">#REF!</definedName>
    <definedName name="goldprice" localSheetId="13">#REF!</definedName>
    <definedName name="goldprice">#REF!</definedName>
    <definedName name="GoldRev" localSheetId="7">#REF!</definedName>
    <definedName name="GoldRev" localSheetId="13">#REF!</definedName>
    <definedName name="GoldRev">#REF!</definedName>
    <definedName name="Goldstrike" localSheetId="7">[7]Model!#REF!</definedName>
    <definedName name="Goldstrike" localSheetId="13">[7]Model!#REF!</definedName>
    <definedName name="Goldstrike">[7]Model!#REF!</definedName>
    <definedName name="Goodwill">[11]MODEL!$467:$467</definedName>
    <definedName name="GOODWILL_INTANG" localSheetId="2">[3]MODEL!#REF!</definedName>
    <definedName name="GOODWILL_INTANG" localSheetId="7">[3]MODEL!#REF!</definedName>
    <definedName name="GOODWILL_INTANG" localSheetId="13">[3]MODEL!#REF!</definedName>
    <definedName name="GOODWILL_INTANG">[3]MODEL!#REF!</definedName>
    <definedName name="gpo">'[31]Long Canyon'!$F$7</definedName>
    <definedName name="GRate" localSheetId="2">#REF!</definedName>
    <definedName name="GRate" localSheetId="7">#REF!</definedName>
    <definedName name="GRate" localSheetId="13">#REF!</definedName>
    <definedName name="GRate">#REF!</definedName>
    <definedName name="Gross_inc_growth" localSheetId="2">[23]Sheet1!#REF!</definedName>
    <definedName name="Gross_inc_growth" localSheetId="7">[23]Sheet1!#REF!</definedName>
    <definedName name="Gross_inc_growth" localSheetId="13">[23]Sheet1!#REF!</definedName>
    <definedName name="Gross_inc_growth">[23]Sheet1!#REF!</definedName>
    <definedName name="GROSS_INCOME">[15]MODEL!$12:$12</definedName>
    <definedName name="Gross_margin_fore" localSheetId="2">[23]Sheet1!#REF!</definedName>
    <definedName name="Gross_margin_fore" localSheetId="7">[23]Sheet1!#REF!</definedName>
    <definedName name="Gross_margin_fore" localSheetId="13">[23]Sheet1!#REF!</definedName>
    <definedName name="Gross_margin_fore">[23]Sheet1!#REF!</definedName>
    <definedName name="Gross_Profit_License">[3]MODEL!$14:$14</definedName>
    <definedName name="Gross_Profit_Services">[3]MODEL!$15:$15</definedName>
    <definedName name="growth" localSheetId="2">[19]Summary!#REF!</definedName>
    <definedName name="growth" localSheetId="7">[19]Summary!#REF!</definedName>
    <definedName name="growth" localSheetId="13">[19]Summary!#REF!</definedName>
    <definedName name="growth">[19]Summary!#REF!</definedName>
    <definedName name="Growth_Rate" localSheetId="2">#REF!</definedName>
    <definedName name="Growth_Rate" localSheetId="7">#REF!</definedName>
    <definedName name="Growth_Rate" localSheetId="13">#REF!</definedName>
    <definedName name="Growth_Rate">#REF!</definedName>
    <definedName name="grwth">'[26]Main Model'!$R$3</definedName>
    <definedName name="Gupta" localSheetId="2">#REF!</definedName>
    <definedName name="Gupta" localSheetId="7">#REF!</definedName>
    <definedName name="Gupta" localSheetId="13">#REF!</definedName>
    <definedName name="Gupta">#REF!</definedName>
    <definedName name="HEADCOUNT">[25]MODEL!$349:$349</definedName>
    <definedName name="Header" localSheetId="2">[19]Summary!#REF!</definedName>
    <definedName name="Header" localSheetId="7">[19]Summary!#REF!</definedName>
    <definedName name="Header" localSheetId="13">[19]Summary!#REF!</definedName>
    <definedName name="Header">[19]Summary!#REF!</definedName>
    <definedName name="HeadingsAddressTable" localSheetId="2">[29]Storage!#REF!</definedName>
    <definedName name="HeadingsAddressTable" localSheetId="7">[29]Storage!#REF!</definedName>
    <definedName name="HeadingsAddressTable" localSheetId="13">[29]Storage!#REF!</definedName>
    <definedName name="HeadingsAddressTable">[29]Storage!#REF!</definedName>
    <definedName name="Headnew" localSheetId="7">[19]Summary!#REF!</definedName>
    <definedName name="Headnew" localSheetId="13">[19]Summary!#REF!</definedName>
    <definedName name="Headnew">[19]Summary!#REF!</definedName>
    <definedName name="hedgeprice" localSheetId="2">#REF!</definedName>
    <definedName name="hedgeprice" localSheetId="7">#REF!</definedName>
    <definedName name="hedgeprice" localSheetId="13">#REF!</definedName>
    <definedName name="hedgeprice">#REF!</definedName>
    <definedName name="HEDGEPROD_00" localSheetId="2">[8]Model!#REF!</definedName>
    <definedName name="HEDGEPROD_00" localSheetId="7">[8]Model!#REF!</definedName>
    <definedName name="HEDGEPROD_00" localSheetId="13">[8]Model!#REF!</definedName>
    <definedName name="HEDGEPROD_00">[8]Model!#REF!</definedName>
    <definedName name="HEDGEPROD_98" localSheetId="7">[8]Model!#REF!</definedName>
    <definedName name="HEDGEPROD_98" localSheetId="13">[8]Model!#REF!</definedName>
    <definedName name="HEDGEPROD_98">[8]Model!#REF!</definedName>
    <definedName name="HEDGEPROD_99" localSheetId="7">[8]Model!#REF!</definedName>
    <definedName name="HEDGEPROD_99" localSheetId="13">[8]Model!#REF!</definedName>
    <definedName name="HEDGEPROD_99">[8]Model!#REF!</definedName>
    <definedName name="HI_LO" localSheetId="7">[19]Summary!#REF!</definedName>
    <definedName name="HI_LO" localSheetId="13">[19]Summary!#REF!</definedName>
    <definedName name="HI_LO">[19]Summary!#REF!</definedName>
    <definedName name="hide" localSheetId="2">#REF!</definedName>
    <definedName name="hide" localSheetId="7">#REF!</definedName>
    <definedName name="hide" localSheetId="13">#REF!</definedName>
    <definedName name="hide">#REF!</definedName>
    <definedName name="hidebs" localSheetId="7">#REF!</definedName>
    <definedName name="hidebs" localSheetId="13">#REF!</definedName>
    <definedName name="hidebs">#REF!</definedName>
    <definedName name="hjm" localSheetId="7">[6]Model!#REF!</definedName>
    <definedName name="hjm" localSheetId="13">[6]Model!#REF!</definedName>
    <definedName name="hjm">[6]Model!#REF!</definedName>
    <definedName name="Holt_McDermott" localSheetId="7">[7]Model!#REF!</definedName>
    <definedName name="Holt_McDermott" localSheetId="13">[7]Model!#REF!</definedName>
    <definedName name="Holt_McDermott">[7]Model!#REF!</definedName>
    <definedName name="HPRICE1998" localSheetId="7">[7]Model!#REF!</definedName>
    <definedName name="HPRICE1998" localSheetId="13">[7]Model!#REF!</definedName>
    <definedName name="HPRICE1998">[7]Model!#REF!</definedName>
    <definedName name="Identifier">'[10]NA Tech Conference'!$D$2</definedName>
    <definedName name="ImportFile" localSheetId="2">#N/A</definedName>
    <definedName name="ImportFile" localSheetId="7">V!ImportFile</definedName>
    <definedName name="ImportFile" localSheetId="13">'V Sensitivity'!ImportFile</definedName>
    <definedName name="ImportFile">V!ImportFile</definedName>
    <definedName name="ImportFile2" localSheetId="2">#N/A</definedName>
    <definedName name="ImportFile2" localSheetId="7">V!ImportFile2</definedName>
    <definedName name="ImportFile2" localSheetId="13">'V Sensitivity'!ImportFile2</definedName>
    <definedName name="ImportFile2">V!ImportFile2</definedName>
    <definedName name="INC_CONT_OP" localSheetId="2">#REF!</definedName>
    <definedName name="INC_CONT_OP" localSheetId="7">#REF!</definedName>
    <definedName name="INC_CONT_OP" localSheetId="13">#REF!</definedName>
    <definedName name="INC_CONT_OP">#REF!</definedName>
    <definedName name="INC_TAX_PAY">[3]MODEL!$483:$483</definedName>
    <definedName name="IncHedgeValue" localSheetId="2">#REF!</definedName>
    <definedName name="IncHedgeValue" localSheetId="7">#REF!</definedName>
    <definedName name="IncHedgeValue" localSheetId="13">#REF!</definedName>
    <definedName name="IncHedgeValue">#REF!</definedName>
    <definedName name="Income">'[26]Main Model'!$A$9:$CF$75</definedName>
    <definedName name="Income_before_taxes" localSheetId="2">[23]Sheet1!#REF!</definedName>
    <definedName name="Income_before_taxes" localSheetId="7">[23]Sheet1!#REF!</definedName>
    <definedName name="Income_before_taxes" localSheetId="13">[23]Sheet1!#REF!</definedName>
    <definedName name="Income_before_taxes">[23]Sheet1!#REF!</definedName>
    <definedName name="INCOME_STATEMENT" localSheetId="2">#REF!</definedName>
    <definedName name="INCOME_STATEMENT" localSheetId="7">#REF!</definedName>
    <definedName name="INCOME_STATEMENT" localSheetId="13">#REF!</definedName>
    <definedName name="INCOME_STATEMENT">#REF!</definedName>
    <definedName name="Income_Stmt" localSheetId="7">#REF!</definedName>
    <definedName name="Income_Stmt" localSheetId="13">#REF!</definedName>
    <definedName name="Income_Stmt">#REF!</definedName>
    <definedName name="Income_Tax_Receivables">[16]MODEL!$475:$475</definedName>
    <definedName name="Income_Taxes_Payable">[16]MODEL!$495:$495</definedName>
    <definedName name="Increase_in_other_liabilities" localSheetId="2">[23]Sheet1!#REF!</definedName>
    <definedName name="Increase_in_other_liabilities" localSheetId="7">[23]Sheet1!#REF!</definedName>
    <definedName name="Increase_in_other_liabilities" localSheetId="13">[23]Sheet1!#REF!</definedName>
    <definedName name="Increase_in_other_liabilities">[23]Sheet1!#REF!</definedName>
    <definedName name="Incremental_ROIC" localSheetId="2">[23]Sheet1!#REF!</definedName>
    <definedName name="Incremental_ROIC" localSheetId="7">[23]Sheet1!#REF!</definedName>
    <definedName name="Incremental_ROIC" localSheetId="13">[23]Sheet1!#REF!</definedName>
    <definedName name="Incremental_ROIC">[23]Sheet1!#REF!</definedName>
    <definedName name="Incremental_ROIC_DCF" localSheetId="7">[23]Sheet1!#REF!</definedName>
    <definedName name="Incremental_ROIC_DCF" localSheetId="13">[23]Sheet1!#REF!</definedName>
    <definedName name="Incremental_ROIC_DCF">[23]Sheet1!#REF!</definedName>
    <definedName name="IncStatTax">[31]Michelin!$L$365:$BM$365</definedName>
    <definedName name="Infrastructure_costs" localSheetId="2">[3]MODEL!#REF!</definedName>
    <definedName name="Infrastructure_costs" localSheetId="7">[3]MODEL!#REF!</definedName>
    <definedName name="Infrastructure_costs" localSheetId="13">[3]MODEL!#REF!</definedName>
    <definedName name="Infrastructure_costs">[3]MODEL!#REF!</definedName>
    <definedName name="InputAddressTable" localSheetId="2">[29]Storage!#REF!</definedName>
    <definedName name="InputAddressTable" localSheetId="7">[29]Storage!#REF!</definedName>
    <definedName name="InputAddressTable" localSheetId="13">[29]Storage!#REF!</definedName>
    <definedName name="InputAddressTable">[29]Storage!#REF!</definedName>
    <definedName name="INT_EXP">[3]MODEL!$600:$600</definedName>
    <definedName name="Interest.Y2001D">'[12]Income Stmt'!$GY$24</definedName>
    <definedName name="Interest.Y2002D">'[12]Income Stmt'!$GZ$24</definedName>
    <definedName name="Interest_Expense">[15]MODEL!$19:$19</definedName>
    <definedName name="Interest_expense_oper_leases">[23]Sheet1!$D$63:$AZ$63</definedName>
    <definedName name="Interest_Income">[15]MODEL!$18:$18</definedName>
    <definedName name="interl" localSheetId="2">#REF!</definedName>
    <definedName name="interl" localSheetId="7">#REF!</definedName>
    <definedName name="interl" localSheetId="13">#REF!</definedName>
    <definedName name="interl">#REF!</definedName>
    <definedName name="IntExpense" localSheetId="7">#REF!</definedName>
    <definedName name="IntExpense" localSheetId="13">#REF!</definedName>
    <definedName name="IntExpense">#REF!</definedName>
    <definedName name="IntIncome" localSheetId="7">#REF!</definedName>
    <definedName name="IntIncome" localSheetId="13">#REF!</definedName>
    <definedName name="IntIncome">#REF!</definedName>
    <definedName name="InvCF">#REF!</definedName>
    <definedName name="INVEST_ACQUISITIONS">[3]MODEL!$600:$600</definedName>
    <definedName name="INVEST_OTHER" localSheetId="2">[3]MODEL!#REF!</definedName>
    <definedName name="INVEST_OTHER" localSheetId="7">[3]MODEL!#REF!</definedName>
    <definedName name="INVEST_OTHER" localSheetId="13">[3]MODEL!#REF!</definedName>
    <definedName name="INVEST_OTHER">[3]MODEL!#REF!</definedName>
    <definedName name="Investment" localSheetId="2">#REF!</definedName>
    <definedName name="Investment" localSheetId="7">#REF!</definedName>
    <definedName name="Investment" localSheetId="13">#REF!</definedName>
    <definedName name="Investment">#REF!</definedName>
    <definedName name="INVESTMENTS">[37]MODEL!$24:$24</definedName>
    <definedName name="InvIncome" localSheetId="2">#REF!</definedName>
    <definedName name="InvIncome" localSheetId="7">#REF!</definedName>
    <definedName name="InvIncome" localSheetId="13">#REF!</definedName>
    <definedName name="InvIncome">#REF!</definedName>
    <definedName name="INVOICED_SUBSCRIPTION" localSheetId="2">[3]MODEL!#REF!</definedName>
    <definedName name="INVOICED_SUBSCRIPTION" localSheetId="7">[3]MODEL!#REF!</definedName>
    <definedName name="INVOICED_SUBSCRIPTION" localSheetId="13">[3]MODEL!#REF!</definedName>
    <definedName name="INVOICED_SUBSCRIPTION">[3]MODEL!#REF!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NUM_EST_REUT" hidden="1">"c5451"</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HARE_ACT_OR_EST" hidden="1">"c4446"</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40073.4698842593</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39286.2329861111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iQShowHideColumns" hidden="1">"iQShowAll"</definedName>
    <definedName name="IRRGuess" localSheetId="2">[29]ValuationSummary!#REF!</definedName>
    <definedName name="IRRGuess" localSheetId="7">[29]ValuationSummary!#REF!</definedName>
    <definedName name="IRRGuess" localSheetId="13">[29]ValuationSummary!#REF!</definedName>
    <definedName name="IRRGuess">[29]ValuationSummary!#REF!</definedName>
    <definedName name="IS" localSheetId="2">#REF!</definedName>
    <definedName name="IS" localSheetId="7">#REF!</definedName>
    <definedName name="IS" localSheetId="13">#REF!</definedName>
    <definedName name="IS">#REF!</definedName>
    <definedName name="IT_REC" localSheetId="2">[15]MODEL!#REF!</definedName>
    <definedName name="IT_REC" localSheetId="7">[15]MODEL!#REF!</definedName>
    <definedName name="IT_REC" localSheetId="13">[15]MODEL!#REF!</definedName>
    <definedName name="IT_REC">[15]MODEL!#REF!</definedName>
    <definedName name="jfgnm" localSheetId="2">[6]Model!#REF!</definedName>
    <definedName name="jfgnm" localSheetId="7">[6]Model!#REF!</definedName>
    <definedName name="jfgnm" localSheetId="13">[6]Model!#REF!</definedName>
    <definedName name="jfgnm">[6]Model!#REF!</definedName>
    <definedName name="jgkj" localSheetId="7">[6]Model!#REF!</definedName>
    <definedName name="jgkj" localSheetId="13">[6]Model!#REF!</definedName>
    <definedName name="jgkj">[6]Model!#REF!</definedName>
    <definedName name="jk" localSheetId="7">[6]Model!#REF!</definedName>
    <definedName name="jk" localSheetId="13">[6]Model!#REF!</definedName>
    <definedName name="jk">[6]Model!#REF!</definedName>
    <definedName name="junk" localSheetId="2">#REF!</definedName>
    <definedName name="junk" localSheetId="7">#REF!</definedName>
    <definedName name="junk" localSheetId="13">#REF!</definedName>
    <definedName name="junk">#REF!</definedName>
    <definedName name="JV">[5]MODEL!$33:$33</definedName>
    <definedName name="k">[23]Sheet1!$B$3</definedName>
    <definedName name="Kd" localSheetId="2">[23]Sheet1!#REF!</definedName>
    <definedName name="Kd" localSheetId="7">[23]Sheet1!#REF!</definedName>
    <definedName name="Kd" localSheetId="13">[23]Sheet1!#REF!</definedName>
    <definedName name="Kd">[23]Sheet1!#REF!</definedName>
    <definedName name="kjt" localSheetId="2">[6]Model!#REF!</definedName>
    <definedName name="kjt" localSheetId="7">[6]Model!#REF!</definedName>
    <definedName name="kjt" localSheetId="13">[6]Model!#REF!</definedName>
    <definedName name="kjt">[6]Model!#REF!</definedName>
    <definedName name="L_T_Debt" localSheetId="2">#REF!</definedName>
    <definedName name="L_T_Debt" localSheetId="7">#REF!</definedName>
    <definedName name="L_T_Debt" localSheetId="13">#REF!</definedName>
    <definedName name="L_T_Debt">#REF!</definedName>
    <definedName name="LARGE_DEALS">[37]MODEL!$167:$167</definedName>
    <definedName name="LCMineYr">'[31]Long Canyon'!$H$10:$W$10</definedName>
    <definedName name="leftcol" localSheetId="2">#REF!</definedName>
    <definedName name="leftcol" localSheetId="7">#REF!</definedName>
    <definedName name="leftcol" localSheetId="13">#REF!</definedName>
    <definedName name="leftcol">#REF!</definedName>
    <definedName name="Level0">'[22]NAV-Valuation'!$I$36:$L$36</definedName>
    <definedName name="Level1">'[22]NAV-Valuation'!$I$37:$L$37</definedName>
    <definedName name="Level1.1">'[22]NAV-Valuation'!$I$38:$L$38</definedName>
    <definedName name="Level2">'[22]NAV-Valuation'!$I$39:$L$39</definedName>
    <definedName name="Level3">'[22]NAV-Valuation'!$I$40:$L$40</definedName>
    <definedName name="Level4">'[22]NAV-Valuation'!$I$41:$L$41</definedName>
    <definedName name="levered_beta">[3]WACC!$B$10</definedName>
    <definedName name="LIBOR">[31]Michelin!$L$13:$BA$13</definedName>
    <definedName name="lk" hidden="1">"c147"</definedName>
    <definedName name="Loan_Loss_Provision_fore" localSheetId="2">[23]Sheet1!#REF!</definedName>
    <definedName name="Loan_Loss_Provision_fore" localSheetId="7">[23]Sheet1!#REF!</definedName>
    <definedName name="Loan_Loss_Provision_fore" localSheetId="13">[23]Sheet1!#REF!</definedName>
    <definedName name="Loan_Loss_Provision_fore">[23]Sheet1!#REF!</definedName>
    <definedName name="LOC" localSheetId="2">[14]MODEL!#REF!</definedName>
    <definedName name="LOC" localSheetId="7">[14]MODEL!#REF!</definedName>
    <definedName name="LOC" localSheetId="13">[14]MODEL!#REF!</definedName>
    <definedName name="LOC">[14]MODEL!#REF!</definedName>
    <definedName name="Long_Term_Debt">[11]MODEL!$467:$467</definedName>
    <definedName name="Long_Term_Investments">[11]MODEL!$450:$450</definedName>
    <definedName name="Loss_attributable_to_non_controlling_interest" localSheetId="2">[14]MODEL!#REF!</definedName>
    <definedName name="Loss_attributable_to_non_controlling_interest" localSheetId="7">[14]MODEL!#REF!</definedName>
    <definedName name="Loss_attributable_to_non_controlling_interest" localSheetId="13">[14]MODEL!#REF!</definedName>
    <definedName name="Loss_attributable_to_non_controlling_interest">[14]MODEL!#REF!</definedName>
    <definedName name="LOSS_ON_DISP" localSheetId="2">[3]MODEL!#REF!</definedName>
    <definedName name="LOSS_ON_DISP" localSheetId="7">[3]MODEL!#REF!</definedName>
    <definedName name="LOSS_ON_DISP" localSheetId="13">[3]MODEL!#REF!</definedName>
    <definedName name="LOSS_ON_DISP">[3]MODEL!#REF!</definedName>
    <definedName name="LQC" localSheetId="2">#REF!</definedName>
    <definedName name="LQC" localSheetId="7">#REF!</definedName>
    <definedName name="LQC" localSheetId="13">#REF!</definedName>
    <definedName name="LQC">#REF!</definedName>
    <definedName name="LREV">[14]MODEL!$6:$6</definedName>
    <definedName name="LT_CLO">[3]MODEL!$415:$415</definedName>
    <definedName name="LT_debt" localSheetId="2">[8]Model!#REF!</definedName>
    <definedName name="LT_debt" localSheetId="7">[8]Model!#REF!</definedName>
    <definedName name="LT_debt" localSheetId="13">[8]Model!#REF!</definedName>
    <definedName name="LT_debt">[8]Model!#REF!</definedName>
    <definedName name="LT_DEF_INC_TAX" localSheetId="2">[3]MODEL!#REF!</definedName>
    <definedName name="LT_DEF_INC_TAX" localSheetId="7">[3]MODEL!#REF!</definedName>
    <definedName name="LT_DEF_INC_TAX" localSheetId="13">[3]MODEL!#REF!</definedName>
    <definedName name="LT_DEF_INC_TAX">[3]MODEL!#REF!</definedName>
    <definedName name="LT_Investments">[3]MODEL!$402:$402</definedName>
    <definedName name="LTD_CL">[15]MODEL!$447:$447</definedName>
    <definedName name="LTD_Net">[34]MODEL!$428:$428</definedName>
    <definedName name="LTDA">[16]MODEL!$487:$487</definedName>
    <definedName name="LTDD">[16]MODEL!$504:$504</definedName>
    <definedName name="LTDebt" localSheetId="2">#REF!</definedName>
    <definedName name="LTDebt" localSheetId="7">#REF!</definedName>
    <definedName name="LTDebt" localSheetId="13">#REF!</definedName>
    <definedName name="LTDebt">#REF!</definedName>
    <definedName name="LTDT" localSheetId="2">[3]MODEL!#REF!</definedName>
    <definedName name="LTDT" localSheetId="7">[3]MODEL!#REF!</definedName>
    <definedName name="LTDT" localSheetId="13">[3]MODEL!#REF!</definedName>
    <definedName name="LTDT">[3]MODEL!#REF!</definedName>
    <definedName name="LTGold">[22]Donlin!$I$40:$AJ$40</definedName>
    <definedName name="LTM_Revenues" localSheetId="2">[19]Summary!#REF!</definedName>
    <definedName name="LTM_Revenues" localSheetId="7">[19]Summary!#REF!</definedName>
    <definedName name="LTM_Revenues" localSheetId="13">[19]Summary!#REF!</definedName>
    <definedName name="LTM_Revenues">[19]Summary!#REF!</definedName>
    <definedName name="LTOAO">[16]MODEL!$501:$501</definedName>
    <definedName name="LTTP">[3]MODEL!$417:$417</definedName>
    <definedName name="mac" localSheetId="2">[6]Model!#REF!</definedName>
    <definedName name="mac" localSheetId="7">[6]Model!#REF!</definedName>
    <definedName name="mac" localSheetId="13">[6]Model!#REF!</definedName>
    <definedName name="mac">[6]Model!#REF!</definedName>
    <definedName name="Magic_Number" localSheetId="2">[3]MODEL!#REF!</definedName>
    <definedName name="Magic_Number" localSheetId="7">[3]MODEL!#REF!</definedName>
    <definedName name="Magic_Number" localSheetId="13">[3]MODEL!#REF!</definedName>
    <definedName name="Magic_Number">[3]MODEL!#REF!</definedName>
    <definedName name="Market_capitalization" localSheetId="7">[23]Sheet1!#REF!</definedName>
    <definedName name="Market_capitalization" localSheetId="13">[23]Sheet1!#REF!</definedName>
    <definedName name="Market_capitalization">[23]Sheet1!#REF!</definedName>
    <definedName name="MARKETCAP" localSheetId="2">#REF!</definedName>
    <definedName name="MARKETCAP" localSheetId="7">#REF!</definedName>
    <definedName name="MARKETCAP" localSheetId="13">#REF!</definedName>
    <definedName name="MARKETCAP">#REF!</definedName>
    <definedName name="MARKETFLOAT" localSheetId="7">#REF!</definedName>
    <definedName name="MARKETFLOAT" localSheetId="13">#REF!</definedName>
    <definedName name="MARKETFLOAT">#REF!</definedName>
    <definedName name="MaxPrice">'[10]NA Tech Conference'!$C$183</definedName>
    <definedName name="me">"Button 5"</definedName>
    <definedName name="Meikle">'[38]Meikle-Rodeo'!$A$1</definedName>
    <definedName name="Mercur">[7]Model!#REF!</definedName>
    <definedName name="Microsoft_FY_June" localSheetId="2">#REF!</definedName>
    <definedName name="Microsoft_FY_June" localSheetId="7">#REF!</definedName>
    <definedName name="Microsoft_FY_June" localSheetId="13">#REF!</definedName>
    <definedName name="Microsoft_FY_June">#REF!</definedName>
    <definedName name="MILLION">[5]MODEL!$483:$483</definedName>
    <definedName name="Mine1">[31]Michelin!$A$29</definedName>
    <definedName name="MineYr">[31]Michelin!$Q$45:$BM$45</definedName>
    <definedName name="Minorities.Y2001D">'[12]Income Stmt'!$GY$30</definedName>
    <definedName name="Minorities.Y2002D">'[12]Income Stmt'!$GZ$30</definedName>
    <definedName name="MinorityInterest" localSheetId="2">#REF!</definedName>
    <definedName name="MinorityInterest" localSheetId="7">#REF!</definedName>
    <definedName name="MinorityInterest" localSheetId="13">#REF!</definedName>
    <definedName name="MinorityInterest">#REF!</definedName>
    <definedName name="MinPrice">'[10]NA Tech Conference'!$C$185</definedName>
    <definedName name="MKTO_ADJ_EPS">[43]MODEL!$58:$58</definedName>
    <definedName name="MKTO_ADJ_GA">[43]MODEL!$37:$37</definedName>
    <definedName name="MKTO_ADJ_GA_PC">[43]MODEL!$267:$267</definedName>
    <definedName name="MKTO_ADJ_GM_PC">[43]MODEL!$262:$262</definedName>
    <definedName name="MKTO_ADJ_OM">[43]MODEL!$47:$47</definedName>
    <definedName name="MKTO_ADJ_OM_PC">[43]MODEL!$277:$277</definedName>
    <definedName name="MKTO_ADJ_OTHERINC">[43]MODEL!$48:$48</definedName>
    <definedName name="MKTO_ADJ_RD">[43]MODEL!$36:$36</definedName>
    <definedName name="MKTO_ADJ_RD_PC">[43]MODEL!$266:$266</definedName>
    <definedName name="MKTO_ADJ_SM">[43]MODEL!$35:$35</definedName>
    <definedName name="MKTO_ADJ_SM_PC">[43]MODEL!$265:$265</definedName>
    <definedName name="MKTO_ADJ_TAXES">[43]MODEL!$55:$55</definedName>
    <definedName name="MKTO_ADJ_TAXRATE">[43]MODEL!$287:$287</definedName>
    <definedName name="MKTO_BOOKINGS">[43]MODEL!$191:$191</definedName>
    <definedName name="MKTO_CAPEX">[43]MODEL!$162:$162</definedName>
    <definedName name="MKTO_CFO">[43]MODEL!$193:$193</definedName>
    <definedName name="MKTO_CFO_PS">[43]MODEL!$194:$194</definedName>
    <definedName name="MKTO_DEF_REV">[43]MODEL!$190:$190</definedName>
    <definedName name="MKTO_DIL_SHA">[43]MODEL!$60:$60</definedName>
    <definedName name="MKTO_DSO">[43]MODEL!$184:$184</definedName>
    <definedName name="MKTO_FCF">[43]MODEL!$163:$163</definedName>
    <definedName name="MKTO_FCF_PS">[43]MODEL!$164:$164</definedName>
    <definedName name="MKTO_QTR">[43]MODEL!$9:$9</definedName>
    <definedName name="MKTO_REV">[43]MODEL!$22:$22</definedName>
    <definedName name="MktValueAcquirer" localSheetId="2">#REF!</definedName>
    <definedName name="MktValueAcquirer" localSheetId="7">#REF!</definedName>
    <definedName name="MktValueAcquirer" localSheetId="13">#REF!</definedName>
    <definedName name="MktValueAcquirer">#REF!</definedName>
    <definedName name="MktValueTarget" localSheetId="7">#REF!</definedName>
    <definedName name="MktValueTarget" localSheetId="13">#REF!</definedName>
    <definedName name="MktValueTarget">#REF!</definedName>
    <definedName name="mn" hidden="1">"c315"</definedName>
    <definedName name="Mod1Man2Mer3" localSheetId="2">#REF!</definedName>
    <definedName name="Mod1Man2Mer3" localSheetId="7">#REF!</definedName>
    <definedName name="Mod1Man2Mer3" localSheetId="13">#REF!</definedName>
    <definedName name="Mod1Man2Mer3">#REF!</definedName>
    <definedName name="MonitorCol">1</definedName>
    <definedName name="MonitorRow">1</definedName>
    <definedName name="MonthsInPeriod1" localSheetId="2">[29]Input!#REF!</definedName>
    <definedName name="MonthsInPeriod1" localSheetId="7">[29]Input!#REF!</definedName>
    <definedName name="MonthsInPeriod1" localSheetId="13">[29]Input!#REF!</definedName>
    <definedName name="MonthsInPeriod1">[29]Input!#REF!</definedName>
    <definedName name="MOUs" localSheetId="2">[3]MODEL!#REF!</definedName>
    <definedName name="MOUs" localSheetId="7">[3]MODEL!#REF!</definedName>
    <definedName name="MOUs" localSheetId="13">[3]MODEL!#REF!</definedName>
    <definedName name="MOUs">[3]MODEL!#REF!</definedName>
    <definedName name="MREV" localSheetId="7">[14]MODEL!#REF!</definedName>
    <definedName name="MREV" localSheetId="13">[14]MODEL!#REF!</definedName>
    <definedName name="MREV">[14]MODEL!#REF!</definedName>
    <definedName name="MRIN_ADJ_EPS">[44]MODEL!$59:$59</definedName>
    <definedName name="MRIN_ADJ_GA">[44]MODEL!$39:$39</definedName>
    <definedName name="MRIN_ADJ_GA_PC">[44]MODEL!$271:$271</definedName>
    <definedName name="MRIN_ADJ_GM_PC">[44]MODEL!$266:$266</definedName>
    <definedName name="MRIN_ADJ_MININT" localSheetId="2">[44]MODEL!#REF!</definedName>
    <definedName name="MRIN_ADJ_MININT" localSheetId="7">[44]MODEL!#REF!</definedName>
    <definedName name="MRIN_ADJ_MININT" localSheetId="13">[44]MODEL!#REF!</definedName>
    <definedName name="MRIN_ADJ_MININT">[44]MODEL!#REF!</definedName>
    <definedName name="MRIN_ADJ_OM">[44]MODEL!$49:$49</definedName>
    <definedName name="MRIN_ADJ_OM_PC">[44]MODEL!$281:$281</definedName>
    <definedName name="MRIN_ADJ_OTHERINC">[44]MODEL!$50:$50</definedName>
    <definedName name="MRIN_ADJ_RD">[44]MODEL!$38:$38</definedName>
    <definedName name="MRIN_ADJ_RD_PC">[44]MODEL!$270:$270</definedName>
    <definedName name="MRIN_ADJ_SM">[44]MODEL!$37:$37</definedName>
    <definedName name="MRIN_ADJ_SM_PC">[44]MODEL!$269:$269</definedName>
    <definedName name="MRIN_ADJ_TAXES">[44]MODEL!$57:$57</definedName>
    <definedName name="MRIN_ADJ_TAXRATE">[44]MODEL!$291:$291</definedName>
    <definedName name="MRIN_BOOKINGS">[44]MODEL!$192:$192</definedName>
    <definedName name="MRIN_CAPEX">[44]MODEL!$163:$163</definedName>
    <definedName name="MRIN_CFO">[44]MODEL!$194:$194</definedName>
    <definedName name="MRIN_CFO_PS">[44]MODEL!$195:$195</definedName>
    <definedName name="MRIN_DEF_REV">[44]MODEL!$191:$191</definedName>
    <definedName name="MRIN_DIL_SHA">[44]MODEL!$61:$61</definedName>
    <definedName name="MRIN_DSO">[44]MODEL!$185:$185</definedName>
    <definedName name="MRIN_FCF">[44]MODEL!$164:$164</definedName>
    <definedName name="MRIN_FCF_PS">[44]MODEL!$165:$165</definedName>
    <definedName name="MRIN_GAAP_MININT" localSheetId="2">[44]MODEL!#REF!</definedName>
    <definedName name="MRIN_GAAP_MININT" localSheetId="7">[44]MODEL!#REF!</definedName>
    <definedName name="MRIN_GAAP_MININT" localSheetId="13">[44]MODEL!#REF!</definedName>
    <definedName name="MRIN_GAAP_MININT">[44]MODEL!#REF!</definedName>
    <definedName name="MRIN_QTR">[44]MODEL!$9:$9</definedName>
    <definedName name="MRIN_REV">[44]MODEL!$24:$24</definedName>
    <definedName name="MRIN_REV_GR">[44]MODEL!$310:$310</definedName>
    <definedName name="Mt.Todd" localSheetId="2" hidden="1">{"p1TOC",#N/A,FALSE,"DCF_Summary";"p23summary",#N/A,FALSE,"DCF_Summary";"p4contact",#N/A,FALSE,"Contact Lake";"p5kumtor",#N/A,FALSE,"Kumtor";#N/A,#N/A,FALSE,"CCAU_NAV";"p8compdata",#N/A,FALSE,"Gold_Comps";#N/A,#N/A,FALSE,"Comp_Valuation"}</definedName>
    <definedName name="Mt.Todd" localSheetId="7" hidden="1">{"p1TOC",#N/A,FALSE,"DCF_Summary";"p23summary",#N/A,FALSE,"DCF_Summary";"p4contact",#N/A,FALSE,"Contact Lake";"p5kumtor",#N/A,FALSE,"Kumtor";#N/A,#N/A,FALSE,"CCAU_NAV";"p8compdata",#N/A,FALSE,"Gold_Comps";#N/A,#N/A,FALSE,"Comp_Valuation"}</definedName>
    <definedName name="Mt.Todd" localSheetId="13" hidden="1">{"p1TOC",#N/A,FALSE,"DCF_Summary";"p23summary",#N/A,FALSE,"DCF_Summary";"p4contact",#N/A,FALSE,"Contact Lake";"p5kumtor",#N/A,FALSE,"Kumtor";#N/A,#N/A,FALSE,"CCAU_NAV";"p8compdata",#N/A,FALSE,"Gold_Comps";#N/A,#N/A,FALSE,"Comp_Valuation"}</definedName>
    <definedName name="Mt.Todd" hidden="1">{"p1TOC",#N/A,FALSE,"DCF_Summary";"p23summary",#N/A,FALSE,"DCF_Summary";"p4contact",#N/A,FALSE,"Contact Lake";"p5kumtor",#N/A,FALSE,"Kumtor";#N/A,#N/A,FALSE,"CCAU_NAV";"p8compdata",#N/A,FALSE,"Gold_Comps";#N/A,#N/A,FALSE,"Comp_Valuation"}</definedName>
    <definedName name="N_A" localSheetId="2">#REF!</definedName>
    <definedName name="N_A" localSheetId="11">#REF!</definedName>
    <definedName name="N_A" localSheetId="6">#REF!</definedName>
    <definedName name="N_A" localSheetId="7">#REF!</definedName>
    <definedName name="N_A" localSheetId="13">#REF!</definedName>
    <definedName name="N_A">#REF!</definedName>
    <definedName name="N_M" localSheetId="11">#REF!</definedName>
    <definedName name="N_M" localSheetId="6">#REF!</definedName>
    <definedName name="N_M">#REF!</definedName>
    <definedName name="N601_">#N/A</definedName>
    <definedName name="NAV">[8]Model!#REF!</definedName>
    <definedName name="NAV_0">[4]NAV!#REF!</definedName>
    <definedName name="NAV_5">[4]NAV!#REF!</definedName>
    <definedName name="NAV_radj">[4]NAV!#REF!</definedName>
    <definedName name="NAV_US">[45]Valuation!$E$40</definedName>
    <definedName name="NCAssets" localSheetId="2">#REF!</definedName>
    <definedName name="NCAssets" localSheetId="7">#REF!</definedName>
    <definedName name="NCAssets" localSheetId="13">#REF!</definedName>
    <definedName name="NCAssets">#REF!</definedName>
    <definedName name="NCLiab" localSheetId="7">#REF!</definedName>
    <definedName name="NCLiab" localSheetId="13">#REF!</definedName>
    <definedName name="NCLiab">#REF!</definedName>
    <definedName name="nert" hidden="1">"c88"</definedName>
    <definedName name="NET_INC" localSheetId="2">#REF!</definedName>
    <definedName name="NET_INC" localSheetId="7">#REF!</definedName>
    <definedName name="NET_INC" localSheetId="13">#REF!</definedName>
    <definedName name="NET_INC">#REF!</definedName>
    <definedName name="Net_income_growth_avg" localSheetId="2">[23]Sheet1!#REF!</definedName>
    <definedName name="Net_income_growth_avg" localSheetId="7">[23]Sheet1!#REF!</definedName>
    <definedName name="Net_income_growth_avg" localSheetId="13">[23]Sheet1!#REF!</definedName>
    <definedName name="Net_income_growth_avg">[23]Sheet1!#REF!</definedName>
    <definedName name="Net_margin_fore" localSheetId="2">[23]Sheet1!#REF!</definedName>
    <definedName name="Net_margin_fore" localSheetId="7">[23]Sheet1!#REF!</definedName>
    <definedName name="Net_margin_fore" localSheetId="13">[23]Sheet1!#REF!</definedName>
    <definedName name="Net_margin_fore">[23]Sheet1!#REF!</definedName>
    <definedName name="NET_RECIVABLES" localSheetId="7">[3]MODEL!#REF!</definedName>
    <definedName name="NET_RECIVABLES" localSheetId="13">[3]MODEL!#REF!</definedName>
    <definedName name="NET_RECIVABLES">[3]MODEL!#REF!</definedName>
    <definedName name="Net_Revenues" localSheetId="2">#REF!</definedName>
    <definedName name="Net_Revenues" localSheetId="7">#REF!</definedName>
    <definedName name="Net_Revenues" localSheetId="13">#REF!</definedName>
    <definedName name="Net_Revenues">#REF!</definedName>
    <definedName name="Net_sales_DCF">[23]Sheet1!$C$9:$AZ$9</definedName>
    <definedName name="NETCASHCOST" localSheetId="2">#REF!</definedName>
    <definedName name="NETCASHCOST" localSheetId="7">#REF!</definedName>
    <definedName name="NETCASHCOST" localSheetId="13">#REF!</definedName>
    <definedName name="NETCASHCOST">#REF!</definedName>
    <definedName name="NETDEBT" localSheetId="7">#REF!</definedName>
    <definedName name="NETDEBT" localSheetId="13">#REF!</definedName>
    <definedName name="NETDEBT">#REF!</definedName>
    <definedName name="NETDEBTEBITDA" localSheetId="7">#REF!</definedName>
    <definedName name="NETDEBTEBITDA" localSheetId="13">#REF!</definedName>
    <definedName name="NETDEBTEBITDA">#REF!</definedName>
    <definedName name="NetIncome">#REF!</definedName>
    <definedName name="new" hidden="1">"c413"</definedName>
    <definedName name="NEW_CUST">[24]MODEL!$37:$37</definedName>
    <definedName name="NEW_CUSTOMERS" localSheetId="2">[3]MODEL!#REF!</definedName>
    <definedName name="NEW_CUSTOMERS" localSheetId="7">[3]MODEL!#REF!</definedName>
    <definedName name="NEW_CUSTOMERS" localSheetId="13">[3]MODEL!#REF!</definedName>
    <definedName name="NEW_CUSTOMERS">[3]MODEL!#REF!</definedName>
    <definedName name="NEW_PP" localSheetId="2">[3]MODEL!#REF!</definedName>
    <definedName name="NEW_PP" localSheetId="7">[3]MODEL!#REF!</definedName>
    <definedName name="NEW_PP" localSheetId="13">[3]MODEL!#REF!</definedName>
    <definedName name="NEW_PP">[3]MODEL!#REF!</definedName>
    <definedName name="Newdevcapex" localSheetId="2">#REF!</definedName>
    <definedName name="Newdevcapex" localSheetId="7">#REF!</definedName>
    <definedName name="Newdevcapex" localSheetId="13">#REF!</definedName>
    <definedName name="Newdevcapex">#REF!</definedName>
    <definedName name="Next_Actual_Period_Range">'[46]Income Statement'!$D$3:$BE$6</definedName>
    <definedName name="next_qtr_eps" localSheetId="2">#REF!</definedName>
    <definedName name="next_qtr_eps" localSheetId="7">#REF!</definedName>
    <definedName name="next_qtr_eps" localSheetId="13">#REF!</definedName>
    <definedName name="next_qtr_eps">#REF!</definedName>
    <definedName name="next_qtr_rev" localSheetId="7">#REF!</definedName>
    <definedName name="next_qtr_rev" localSheetId="13">#REF!</definedName>
    <definedName name="next_qtr_rev">#REF!</definedName>
    <definedName name="ngv" localSheetId="7">[7]Model!#REF!</definedName>
    <definedName name="ngv" localSheetId="13">[7]Model!#REF!</definedName>
    <definedName name="ngv">[7]Model!#REF!</definedName>
    <definedName name="NI_Acquirer" localSheetId="2">#REF!</definedName>
    <definedName name="NI_Acquirer" localSheetId="7">#REF!</definedName>
    <definedName name="NI_Acquirer" localSheetId="13">#REF!</definedName>
    <definedName name="NI_Acquirer">#REF!</definedName>
    <definedName name="NI_Target" localSheetId="7">#REF!</definedName>
    <definedName name="NI_Target" localSheetId="13">#REF!</definedName>
    <definedName name="NI_Target">#REF!</definedName>
    <definedName name="NM_T" localSheetId="11">#REF!</definedName>
    <definedName name="NM_T" localSheetId="6">#REF!</definedName>
    <definedName name="NM_T" localSheetId="7">#REF!</definedName>
    <definedName name="NM_T" localSheetId="13">#REF!</definedName>
    <definedName name="NM_T">#REF!</definedName>
    <definedName name="no" hidden="1">38995.2790740741</definedName>
    <definedName name="NON_INT_CL">[3]MODEL!$462:$462</definedName>
    <definedName name="NON_OP_INC_EXP" localSheetId="2">#REF!</definedName>
    <definedName name="NON_OP_INC_EXP" localSheetId="7">#REF!</definedName>
    <definedName name="NON_OP_INC_EXP" localSheetId="13">#REF!</definedName>
    <definedName name="NON_OP_INC_EXP">#REF!</definedName>
    <definedName name="NOOFYR" localSheetId="7">#REF!</definedName>
    <definedName name="NOOFYR" localSheetId="13">#REF!</definedName>
    <definedName name="NOOFYR">#REF!</definedName>
    <definedName name="NOPAT_DCF">[23]Sheet1!$C$12:$AZ$12</definedName>
    <definedName name="NOPAT_growth_avg" localSheetId="2">[23]Sheet1!#REF!</definedName>
    <definedName name="NOPAT_growth_avg" localSheetId="7">[23]Sheet1!#REF!</definedName>
    <definedName name="NOPAT_growth_avg" localSheetId="13">[23]Sheet1!#REF!</definedName>
    <definedName name="NOPAT_growth_avg">[23]Sheet1!#REF!</definedName>
    <definedName name="NOPAT_Share" localSheetId="2">[23]Sheet1!#REF!</definedName>
    <definedName name="NOPAT_Share" localSheetId="7">[23]Sheet1!#REF!</definedName>
    <definedName name="NOPAT_Share" localSheetId="13">[23]Sheet1!#REF!</definedName>
    <definedName name="NOPAT_Share">[23]Sheet1!#REF!</definedName>
    <definedName name="NorthOwnership">'[31]Val Detail'!$F$71</definedName>
    <definedName name="NOTES" localSheetId="2">[3]MODEL!#REF!</definedName>
    <definedName name="NOTES" localSheetId="7">[3]MODEL!#REF!</definedName>
    <definedName name="NOTES" localSheetId="13">[3]MODEL!#REF!</definedName>
    <definedName name="NOTES">[3]MODEL!#REF!</definedName>
    <definedName name="NOTES_LT" localSheetId="2">[3]MODEL!#REF!</definedName>
    <definedName name="NOTES_LT" localSheetId="7">[3]MODEL!#REF!</definedName>
    <definedName name="NOTES_LT" localSheetId="13">[3]MODEL!#REF!</definedName>
    <definedName name="NOTES_LT">[3]MODEL!#REF!</definedName>
    <definedName name="NOTES_PAY" localSheetId="7">[3]MODEL!#REF!</definedName>
    <definedName name="NOTES_PAY" localSheetId="13">[3]MODEL!#REF!</definedName>
    <definedName name="NOTES_PAY">[3]MODEL!#REF!</definedName>
    <definedName name="NPM">[3]MODEL!$128:$128</definedName>
    <definedName name="npv" localSheetId="2">'[18]NAV Summary'!#REF!</definedName>
    <definedName name="npv" localSheetId="7">'[18]NAV Summary'!#REF!</definedName>
    <definedName name="npv" localSheetId="13">'[18]NAV Summary'!#REF!</definedName>
    <definedName name="npv">'[18]NAV Summary'!#REF!</definedName>
    <definedName name="NPVpershare" localSheetId="2">#REF!</definedName>
    <definedName name="NPVpershare" localSheetId="7">#REF!</definedName>
    <definedName name="NPVpershare" localSheetId="13">#REF!</definedName>
    <definedName name="NPVpershare">#REF!</definedName>
    <definedName name="NS" localSheetId="7">#REF!</definedName>
    <definedName name="NS" localSheetId="13">#REF!</definedName>
    <definedName name="NS">#REF!</definedName>
    <definedName name="NTM" localSheetId="7">[19]Summary!#REF!</definedName>
    <definedName name="NTM" localSheetId="13">[19]Summary!#REF!</definedName>
    <definedName name="NTM">[19]Summary!#REF!</definedName>
    <definedName name="Number_of_Shares" localSheetId="2">#REF!</definedName>
    <definedName name="Number_of_Shares" localSheetId="7">#REF!</definedName>
    <definedName name="Number_of_Shares" localSheetId="13">#REF!</definedName>
    <definedName name="Number_of_Shares">#REF!</definedName>
    <definedName name="nwer" hidden="1">"c65"</definedName>
    <definedName name="Offermatica" localSheetId="2">[3]MODEL!#REF!</definedName>
    <definedName name="Offermatica" localSheetId="7">[3]MODEL!#REF!</definedName>
    <definedName name="Offermatica" localSheetId="13">[3]MODEL!#REF!</definedName>
    <definedName name="Offermatica">[3]MODEL!#REF!</definedName>
    <definedName name="oiu" hidden="1">"c313"</definedName>
    <definedName name="oiul" localSheetId="2">[6]Model!#REF!</definedName>
    <definedName name="oiul" localSheetId="7">[6]Model!#REF!</definedName>
    <definedName name="oiul" localSheetId="13">[6]Model!#REF!</definedName>
    <definedName name="oiul">[6]Model!#REF!</definedName>
    <definedName name="OL_1">[23]Sheet1!$AD:$AD</definedName>
    <definedName name="OL_10">[23]Sheet1!$L:$L</definedName>
    <definedName name="OL_11">[23]Sheet1!$J:$J</definedName>
    <definedName name="OL_12">[23]Sheet1!$H:$H</definedName>
    <definedName name="OL_13">[23]Sheet1!$F:$F</definedName>
    <definedName name="OL_14">[23]Sheet1!$D:$D</definedName>
    <definedName name="OL_2">[23]Sheet1!$AB:$AB</definedName>
    <definedName name="OL_3">[23]Sheet1!$Z:$Z</definedName>
    <definedName name="OL_4">[23]Sheet1!$X:$X</definedName>
    <definedName name="OL_5">[23]Sheet1!$V:$V</definedName>
    <definedName name="OL_6">[23]Sheet1!$T:$T</definedName>
    <definedName name="OL_7">[23]Sheet1!$R:$R</definedName>
    <definedName name="OL_8">[23]Sheet1!$P:$P</definedName>
    <definedName name="OL_9">[23]Sheet1!$N:$N</definedName>
    <definedName name="OL_P">[23]Sheet1!$AF:$AF</definedName>
    <definedName name="ONE_TIME">[47]MODEL!$13:$13</definedName>
    <definedName name="oneyearpricetarget" localSheetId="2">#REF!</definedName>
    <definedName name="oneyearpricetarget" localSheetId="7">#REF!</definedName>
    <definedName name="oneyearpricetarget" localSheetId="13">#REF!</definedName>
    <definedName name="oneyearpricetarget">#REF!</definedName>
    <definedName name="oneyearreturn" localSheetId="7">#REF!</definedName>
    <definedName name="oneyearreturn" localSheetId="13">#REF!</definedName>
    <definedName name="oneyearreturn">#REF!</definedName>
    <definedName name="Op.Costs.Y2001D">'[12]Income Stmt'!$GY$17</definedName>
    <definedName name="Op.Costs.Y2002D">'[12]Income Stmt'!$GZ$17</definedName>
    <definedName name="OPCFBasic" localSheetId="2">#REF!</definedName>
    <definedName name="OPCFBasic" localSheetId="7">#REF!</definedName>
    <definedName name="OPCFBasic" localSheetId="13">#REF!</definedName>
    <definedName name="OPCFBasic">#REF!</definedName>
    <definedName name="OPCFFD" localSheetId="7">#REF!</definedName>
    <definedName name="OPCFFD" localSheetId="13">#REF!</definedName>
    <definedName name="OPCFFD">#REF!</definedName>
    <definedName name="OPCST1998" localSheetId="7">[9]LaRonde!#REF!</definedName>
    <definedName name="OPCST1998" localSheetId="13">[9]LaRonde!#REF!</definedName>
    <definedName name="OPCST1998">[9]LaRonde!#REF!</definedName>
    <definedName name="opdcf0" localSheetId="2">#REF!</definedName>
    <definedName name="opdcf0" localSheetId="7">#REF!</definedName>
    <definedName name="opdcf0" localSheetId="13">#REF!</definedName>
    <definedName name="opdcf0">#REF!</definedName>
    <definedName name="opdcf10" localSheetId="7">#REF!</definedName>
    <definedName name="opdcf10" localSheetId="13">#REF!</definedName>
    <definedName name="opdcf10">#REF!</definedName>
    <definedName name="opdcf5" localSheetId="7">#REF!</definedName>
    <definedName name="opdcf5" localSheetId="13">#REF!</definedName>
    <definedName name="opdcf5">#REF!</definedName>
    <definedName name="Operatingexp">#REF!</definedName>
    <definedName name="OperatingInc">#REF!</definedName>
    <definedName name="operatingNPV">#REF!</definedName>
    <definedName name="Operations">[3]MODEL!#REF!</definedName>
    <definedName name="OPPortion">[31]Michelin!$E$64</definedName>
    <definedName name="OpStrip">[31]Michelin!$E$65</definedName>
    <definedName name="Oracle" localSheetId="2">#REF!</definedName>
    <definedName name="Oracle" localSheetId="7">#REF!</definedName>
    <definedName name="Oracle" localSheetId="13">#REF!</definedName>
    <definedName name="Oracle">#REF!</definedName>
    <definedName name="OREV">[37]MODEL!$8:$8</definedName>
    <definedName name="OTHER" localSheetId="2">#REF!</definedName>
    <definedName name="OTHER" localSheetId="7">#REF!</definedName>
    <definedName name="OTHER" localSheetId="13">#REF!</definedName>
    <definedName name="OTHER">#REF!</definedName>
    <definedName name="Other.Y2001D">'[12]Income Stmt'!$GY$21</definedName>
    <definedName name="Other.Y2002D">'[12]Income Stmt'!$GZ$21</definedName>
    <definedName name="OTHER_ACC_LIB" localSheetId="2">[14]MODEL!#REF!</definedName>
    <definedName name="OTHER_ACC_LIB" localSheetId="7">[14]MODEL!#REF!</definedName>
    <definedName name="OTHER_ACC_LIB" localSheetId="13">[14]MODEL!#REF!</definedName>
    <definedName name="OTHER_ACC_LIB">[14]MODEL!#REF!</definedName>
    <definedName name="OTHER_ASSETS">[3]MODEL!$403:$403</definedName>
    <definedName name="Other_dividends" localSheetId="2">[23]Sheet1!#REF!</definedName>
    <definedName name="Other_dividends" localSheetId="7">[23]Sheet1!#REF!</definedName>
    <definedName name="Other_dividends" localSheetId="13">[23]Sheet1!#REF!</definedName>
    <definedName name="Other_dividends">[23]Sheet1!#REF!</definedName>
    <definedName name="OTHER_EXPENSES">[37]MODEL!$20:$20</definedName>
    <definedName name="Other_income">[14]MODEL!$22:$22</definedName>
    <definedName name="Other_Liabilities">[11]MODEL!$468:$468</definedName>
    <definedName name="OTHER_LT">[3]MODEL!$418:$418</definedName>
    <definedName name="OTHER_LT_LIABILITIES" localSheetId="2">[3]MODEL!#REF!</definedName>
    <definedName name="OTHER_LT_LIABILITIES" localSheetId="7">[3]MODEL!#REF!</definedName>
    <definedName name="OTHER_LT_LIABILITIES" localSheetId="13">[3]MODEL!#REF!</definedName>
    <definedName name="OTHER_LT_LIABILITIES">[3]MODEL!#REF!</definedName>
    <definedName name="OTHER_NCL" localSheetId="2">[14]MODEL!#REF!</definedName>
    <definedName name="OTHER_NCL" localSheetId="7">[14]MODEL!#REF!</definedName>
    <definedName name="OTHER_NCL" localSheetId="13">[14]MODEL!#REF!</definedName>
    <definedName name="OTHER_NCL">[14]MODEL!#REF!</definedName>
    <definedName name="Other_Segment_Revenues" localSheetId="7">[23]Sheet1!#REF!</definedName>
    <definedName name="Other_Segment_Revenues" localSheetId="13">[23]Sheet1!#REF!</definedName>
    <definedName name="Other_Segment_Revenues">[23]Sheet1!#REF!</definedName>
    <definedName name="OtherCost" localSheetId="2">#REF!</definedName>
    <definedName name="OtherCost" localSheetId="7">#REF!</definedName>
    <definedName name="OtherCost" localSheetId="13">#REF!</definedName>
    <definedName name="OtherCost">#REF!</definedName>
    <definedName name="OtherLTDebt" localSheetId="2">[8]Model!#REF!</definedName>
    <definedName name="OtherLTDebt" localSheetId="7">[8]Model!#REF!</definedName>
    <definedName name="OtherLTDebt" localSheetId="13">[8]Model!#REF!</definedName>
    <definedName name="OtherLTDebt">[8]Model!#REF!</definedName>
    <definedName name="othermetalrev" localSheetId="2">#REF!</definedName>
    <definedName name="othermetalrev" localSheetId="7">#REF!</definedName>
    <definedName name="othermetalrev" localSheetId="13">#REF!</definedName>
    <definedName name="othermetalrev">#REF!</definedName>
    <definedName name="Others" localSheetId="7">#REF!</definedName>
    <definedName name="Others" localSheetId="13">#REF!</definedName>
    <definedName name="Others">#REF!</definedName>
    <definedName name="Output" localSheetId="7">#REF!</definedName>
    <definedName name="Output" localSheetId="13">#REF!</definedName>
    <definedName name="Output">#REF!</definedName>
    <definedName name="P_CFx" localSheetId="7">[7]Model!#REF!</definedName>
    <definedName name="P_CFx" localSheetId="13">[7]Model!#REF!</definedName>
    <definedName name="P_CFx">[7]Model!#REF!</definedName>
    <definedName name="P_EPSx" localSheetId="7">[7]Model!#REF!</definedName>
    <definedName name="P_EPSx" localSheetId="13">[7]Model!#REF!</definedName>
    <definedName name="P_EPSx">[7]Model!#REF!</definedName>
    <definedName name="PALLADIUM">[48]Input!$5:$5</definedName>
    <definedName name="PANW_ADJ_EPS" localSheetId="2">[14]MODEL!#REF!</definedName>
    <definedName name="PANW_ADJ_EPS" localSheetId="7">[14]MODEL!#REF!</definedName>
    <definedName name="PANW_ADJ_EPS" localSheetId="13">[14]MODEL!#REF!</definedName>
    <definedName name="PANW_ADJ_EPS">[14]MODEL!#REF!</definedName>
    <definedName name="PANW_QTR" localSheetId="2">[14]MODEL!#REF!</definedName>
    <definedName name="PANW_QTR" localSheetId="7">[14]MODEL!#REF!</definedName>
    <definedName name="PANW_QTR" localSheetId="13">[14]MODEL!#REF!</definedName>
    <definedName name="PANW_QTR">[14]MODEL!#REF!</definedName>
    <definedName name="PANW_REV" localSheetId="7">[14]MODEL!#REF!</definedName>
    <definedName name="PANW_REV" localSheetId="13">[14]MODEL!#REF!</definedName>
    <definedName name="PANW_REV">[14]MODEL!#REF!</definedName>
    <definedName name="PBV" localSheetId="2">#REF!</definedName>
    <definedName name="PBV" localSheetId="7">#REF!</definedName>
    <definedName name="PBV" localSheetId="13">#REF!</definedName>
    <definedName name="PBV">#REF!</definedName>
    <definedName name="PCF" localSheetId="7">#REF!</definedName>
    <definedName name="PCF" localSheetId="13">#REF!</definedName>
    <definedName name="PCF">#REF!</definedName>
    <definedName name="Peering_partner_compensation" localSheetId="7">[3]MODEL!#REF!</definedName>
    <definedName name="Peering_partner_compensation" localSheetId="13">[3]MODEL!#REF!</definedName>
    <definedName name="Peering_partner_compensation">[3]MODEL!#REF!</definedName>
    <definedName name="Peoplesoft__Inc." localSheetId="7">[39]BAANF!#REF!</definedName>
    <definedName name="Peoplesoft__Inc." localSheetId="13">[39]BAANF!#REF!</definedName>
    <definedName name="Peoplesoft__Inc.">[39]BAANF!#REF!</definedName>
    <definedName name="PERatio" localSheetId="2">#REF!</definedName>
    <definedName name="PERatio" localSheetId="7">#REF!</definedName>
    <definedName name="PERatio" localSheetId="13">#REF!</definedName>
    <definedName name="PERatio">#REF!</definedName>
    <definedName name="percent_change" localSheetId="7">#REF!</definedName>
    <definedName name="percent_change" localSheetId="13">#REF!</definedName>
    <definedName name="percent_change">#REF!</definedName>
    <definedName name="PERCENT90_91" localSheetId="7">#REF!</definedName>
    <definedName name="PERCENT90_91" localSheetId="13">#REF!</definedName>
    <definedName name="PERCENT90_91">#REF!</definedName>
    <definedName name="percentage_cut_off">[44]MODEL!$C$3</definedName>
    <definedName name="percentprodhedged" localSheetId="2">#REF!</definedName>
    <definedName name="percentprodhedged" localSheetId="7">#REF!</definedName>
    <definedName name="percentprodhedged" localSheetId="13">#REF!</definedName>
    <definedName name="percentprodhedged">#REF!</definedName>
    <definedName name="percentreservehedged" localSheetId="7">#REF!</definedName>
    <definedName name="percentreservehedged" localSheetId="13">#REF!</definedName>
    <definedName name="percentreservehedged">#REF!</definedName>
    <definedName name="PERCENTSPREADVSSHARE" localSheetId="7">#REF!</definedName>
    <definedName name="PERCENTSPREADVSSHARE" localSheetId="13">#REF!</definedName>
    <definedName name="PERCENTSPREADVSSHARE">#REF!</definedName>
    <definedName name="PFCF">#REF!</definedName>
    <definedName name="PfdCap">#REF!</definedName>
    <definedName name="PfdDividends">#REF!</definedName>
    <definedName name="PFPT_ADJ_EPS">[14]MODEL!$27:$27</definedName>
    <definedName name="PFPT_ADJ_GA">[14]MODEL!$18:$18</definedName>
    <definedName name="PFPT_ADJ_GA_PC">[14]MODEL!$132:$132</definedName>
    <definedName name="PFPT_ADJ_GM_PC">[14]MODEL!$129:$129</definedName>
    <definedName name="PFPT_ADJ_OM">[14]MODEL!$21:$21</definedName>
    <definedName name="PFPT_ADJ_OM_PC">[14]MODEL!$135:$135</definedName>
    <definedName name="PFPT_ADJ_OTHERINC">[14]MODEL!$23:$23</definedName>
    <definedName name="PFPT_ADJ_RD">[14]MODEL!$16:$16</definedName>
    <definedName name="PFPT_ADJ_RD_PC">[14]MODEL!$130:$130</definedName>
    <definedName name="PFPT_ADJ_SM">[14]MODEL!$17:$17</definedName>
    <definedName name="PFPT_ADJ_SM_PC">[14]MODEL!$131:$131</definedName>
    <definedName name="PFPT_ADJ_TAXES">[14]MODEL!$25:$25</definedName>
    <definedName name="PFpT_ADJ_TAXRATE">[14]MODEL!$138:$138</definedName>
    <definedName name="PFPT_BOOKINGS">[14]MODEL!$103:$103</definedName>
    <definedName name="PFPT_CAPEX">[14]MODEL!$559:$559</definedName>
    <definedName name="PFPT_CFO">[14]MODEL!$105:$105</definedName>
    <definedName name="PFPT_CFO_PS">[14]MODEL!$106:$106</definedName>
    <definedName name="PFPT_DEF_REV">[14]MODEL!$102:$102</definedName>
    <definedName name="PFPT_DIL_SHA">[14]MODEL!$28:$28</definedName>
    <definedName name="PFPT_DSO">[14]MODEL!$96:$96</definedName>
    <definedName name="PFPT_FCF">[14]MODEL!$108:$108</definedName>
    <definedName name="PFPT_FCF_PS">[14]MODEL!$109:$109</definedName>
    <definedName name="PFPT_QTR">[14]MODEL!$2:$2</definedName>
    <definedName name="PFPT_REV">[14]MODEL!$8:$8</definedName>
    <definedName name="PICACHO" localSheetId="2">#REF!</definedName>
    <definedName name="PICACHO" localSheetId="7">#REF!</definedName>
    <definedName name="PICACHO" localSheetId="13">#REF!</definedName>
    <definedName name="PICACHO">#REF!</definedName>
    <definedName name="PLATINUM">[48]Input!$4:$4</definedName>
    <definedName name="po" hidden="1">"c182"</definedName>
    <definedName name="poir" hidden="1">"c322"</definedName>
    <definedName name="PowerSoft" localSheetId="2">#REF!</definedName>
    <definedName name="PowerSoft" localSheetId="7">#REF!</definedName>
    <definedName name="PowerSoft" localSheetId="13">#REF!</definedName>
    <definedName name="PowerSoft">#REF!</definedName>
    <definedName name="pp" localSheetId="2">[8]Model!#REF!</definedName>
    <definedName name="pp" localSheetId="7">[8]Model!#REF!</definedName>
    <definedName name="pp" localSheetId="13">[8]Model!#REF!</definedName>
    <definedName name="pp">[8]Model!#REF!</definedName>
    <definedName name="ppp" localSheetId="2">[8]Model!#REF!</definedName>
    <definedName name="ppp" localSheetId="7">[8]Model!#REF!</definedName>
    <definedName name="ppp" localSheetId="13">[8]Model!#REF!</definedName>
    <definedName name="ppp">[8]Model!#REF!</definedName>
    <definedName name="ppprecoverable" localSheetId="7">[8]Model!#REF!</definedName>
    <definedName name="ppprecoverable" localSheetId="13">[8]Model!#REF!</definedName>
    <definedName name="ppprecoverable">[8]Model!#REF!</definedName>
    <definedName name="ppprecres" localSheetId="7">[8]Model!#REF!</definedName>
    <definedName name="ppprecres" localSheetId="13">[8]Model!#REF!</definedName>
    <definedName name="ppprecres">[8]Model!#REF!</definedName>
    <definedName name="pppres" localSheetId="7">[8]Model!#REF!</definedName>
    <definedName name="pppres" localSheetId="13">[8]Model!#REF!</definedName>
    <definedName name="pppres">[8]Model!#REF!</definedName>
    <definedName name="pprecreser">[8]Model!#REF!</definedName>
    <definedName name="ppres">'[18]NAV Summary'!#REF!</definedName>
    <definedName name="ppt">[49]Assumptions!$D$4</definedName>
    <definedName name="PREPAID_EXP" localSheetId="2">[3]MODEL!#REF!</definedName>
    <definedName name="PREPAID_EXP" localSheetId="7">[3]MODEL!#REF!</definedName>
    <definedName name="PREPAID_EXP" localSheetId="13">[3]MODEL!#REF!</definedName>
    <definedName name="PREPAID_EXP">[3]MODEL!#REF!</definedName>
    <definedName name="Prepaid_expenses_and_other_current_assets">[11]MODEL!$573:$573</definedName>
    <definedName name="Present_Value_Oper_lease">[23]Sheet1!$C$62:$AW$62</definedName>
    <definedName name="PRETAX_INC" localSheetId="2">#REF!</definedName>
    <definedName name="PRETAX_INC" localSheetId="7">#REF!</definedName>
    <definedName name="PRETAX_INC" localSheetId="13">#REF!</definedName>
    <definedName name="PRETAX_INC">#REF!</definedName>
    <definedName name="Previous_Forecast" localSheetId="7">#REF!</definedName>
    <definedName name="Previous_Forecast" localSheetId="13">#REF!</definedName>
    <definedName name="Previous_Forecast">#REF!</definedName>
    <definedName name="price">#N/A</definedName>
    <definedName name="Price_Achieved.Y2000D">'[12]Gold production'!$GX$108</definedName>
    <definedName name="Price_Achieved.Y2001D">'[12]Gold production'!$GY$108</definedName>
    <definedName name="Price_Target" localSheetId="2">[19]Summary!#REF!</definedName>
    <definedName name="Price_Target" localSheetId="7">[19]Summary!#REF!</definedName>
    <definedName name="Price_Target" localSheetId="13">[19]Summary!#REF!</definedName>
    <definedName name="Price_Target">[19]Summary!#REF!</definedName>
    <definedName name="Price1" localSheetId="2">#REF!</definedName>
    <definedName name="Price1" localSheetId="7">#REF!</definedName>
    <definedName name="Price1" localSheetId="13">#REF!</definedName>
    <definedName name="Price1">#REF!</definedName>
    <definedName name="Price2" localSheetId="7">#REF!</definedName>
    <definedName name="Price2" localSheetId="13">#REF!</definedName>
    <definedName name="Price2">#REF!</definedName>
    <definedName name="PriceAcquirer" localSheetId="7">#REF!</definedName>
    <definedName name="PriceAcquirer" localSheetId="13">#REF!</definedName>
    <definedName name="PriceAcquirer">#REF!</definedName>
    <definedName name="PRICEDCF">#REF!</definedName>
    <definedName name="PriceTarget">#REF!</definedName>
    <definedName name="PriceTarget2">#REF!</definedName>
    <definedName name="Print___Publishing">[37]MODEL!$278:$278</definedName>
    <definedName name="_xlnm.Print_Area" localSheetId="4">BS!$B$4:$AB$38</definedName>
    <definedName name="_xlnm.Print_Area" localSheetId="5">CF!$B$4:$AB$54</definedName>
    <definedName name="_xlnm.Print_Area" localSheetId="1">Comparison!$B$2:$L$34</definedName>
    <definedName name="_xlnm.Print_Area" localSheetId="3">IS!$B$4:$AL$77</definedName>
    <definedName name="_xlnm.Print_Area" localSheetId="6">Metrics!$B$4:$AG$28</definedName>
    <definedName name="_xlnm.Print_Area" localSheetId="7">#REF!</definedName>
    <definedName name="_xlnm.Print_Area" localSheetId="13">#REF!</definedName>
    <definedName name="_xlnm.Print_Area">#REF!</definedName>
    <definedName name="Print_Area_MI" localSheetId="7">#REF!</definedName>
    <definedName name="Print_Area_MI" localSheetId="13">#REF!</definedName>
    <definedName name="Print_Area_MI">#REF!</definedName>
    <definedName name="_xlnm.Print_Titles">'[26]Main Model'!$A:$A</definedName>
    <definedName name="printmodel" localSheetId="2">#REF!</definedName>
    <definedName name="printmodel" localSheetId="7">#REF!</definedName>
    <definedName name="printmodel" localSheetId="13">#REF!</definedName>
    <definedName name="printmodel">#REF!</definedName>
    <definedName name="Prior_Q" localSheetId="11">#REF!</definedName>
    <definedName name="Prior_Q" localSheetId="6">#REF!</definedName>
    <definedName name="Prior_Q" localSheetId="7">#REF!</definedName>
    <definedName name="Prior_Q" localSheetId="13">#REF!</definedName>
    <definedName name="Prior_Q">#REF!</definedName>
    <definedName name="PriorToValPeriod" localSheetId="2">[29]Storage!#REF!</definedName>
    <definedName name="PriorToValPeriod" localSheetId="7">[29]Storage!#REF!</definedName>
    <definedName name="PriorToValPeriod" localSheetId="13">[29]Storage!#REF!</definedName>
    <definedName name="PriorToValPeriod">[29]Storage!#REF!</definedName>
    <definedName name="Pro_forma_net_loss_attributable_to_Imperva_shareholders" localSheetId="2">[14]MODEL!#REF!</definedName>
    <definedName name="Pro_forma_net_loss_attributable_to_Imperva_shareholders" localSheetId="7">[14]MODEL!#REF!</definedName>
    <definedName name="Pro_forma_net_loss_attributable_to_Imperva_shareholders" localSheetId="13">[14]MODEL!#REF!</definedName>
    <definedName name="Pro_forma_net_loss_attributable_to_Imperva_shareholders">[14]MODEL!#REF!</definedName>
    <definedName name="prod00" localSheetId="7">[8]Model!#REF!</definedName>
    <definedName name="prod00" localSheetId="13">[8]Model!#REF!</definedName>
    <definedName name="prod00">[8]Model!#REF!</definedName>
    <definedName name="prod01">[38]Model!$Q$139</definedName>
    <definedName name="prod02">[38]Model!$R$139</definedName>
    <definedName name="PROD1">[37]MODEL!$424:$424</definedName>
    <definedName name="PROD1A">[37]MODEL!$425:$425</definedName>
    <definedName name="PROD1B">[37]MODEL!$426:$426</definedName>
    <definedName name="PROD2">[37]MODEL!$427:$427</definedName>
    <definedName name="PROD2A">[37]MODEL!$428:$428</definedName>
    <definedName name="PROD2B">[37]MODEL!$429:$429</definedName>
    <definedName name="PROD3">[37]MODEL!$430:$430</definedName>
    <definedName name="PROD4">[37]MODEL!$431:$431</definedName>
    <definedName name="PROD4A">[37]MODEL!$432:$432</definedName>
    <definedName name="PROD4B">[37]MODEL!$436:$436</definedName>
    <definedName name="PROD5">[37]MODEL!$437:$437</definedName>
    <definedName name="prod93" localSheetId="2">[7]Model!#REF!</definedName>
    <definedName name="prod93" localSheetId="7">[7]Model!#REF!</definedName>
    <definedName name="prod93" localSheetId="13">[7]Model!#REF!</definedName>
    <definedName name="prod93">[7]Model!#REF!</definedName>
    <definedName name="prod94" localSheetId="2">[7]Model!#REF!</definedName>
    <definedName name="prod94" localSheetId="7">[7]Model!#REF!</definedName>
    <definedName name="prod94" localSheetId="13">[7]Model!#REF!</definedName>
    <definedName name="prod94">[7]Model!#REF!</definedName>
    <definedName name="prod95" localSheetId="7">[7]Model!#REF!</definedName>
    <definedName name="prod95" localSheetId="13">[7]Model!#REF!</definedName>
    <definedName name="prod95">[7]Model!#REF!</definedName>
    <definedName name="prod96" localSheetId="7">[8]Model!#REF!</definedName>
    <definedName name="prod96" localSheetId="13">[8]Model!#REF!</definedName>
    <definedName name="prod96">[8]Model!#REF!</definedName>
    <definedName name="prod97" localSheetId="7">[8]Model!#REF!</definedName>
    <definedName name="prod97" localSheetId="13">[8]Model!#REF!</definedName>
    <definedName name="prod97">[8]Model!#REF!</definedName>
    <definedName name="prod98">[8]Model!#REF!</definedName>
    <definedName name="prod99">[8]Model!#REF!</definedName>
    <definedName name="PRODN" localSheetId="2">#REF!</definedName>
    <definedName name="PRODN" localSheetId="7">#REF!</definedName>
    <definedName name="PRODN" localSheetId="13">#REF!</definedName>
    <definedName name="PRODN">#REF!</definedName>
    <definedName name="prodn1998" localSheetId="2">[7]Model!#REF!</definedName>
    <definedName name="prodn1998" localSheetId="7">[7]Model!#REF!</definedName>
    <definedName name="prodn1998" localSheetId="13">[7]Model!#REF!</definedName>
    <definedName name="prodn1998">[7]Model!#REF!</definedName>
    <definedName name="Product_Revenue_Model" localSheetId="2">#REF!</definedName>
    <definedName name="Product_Revenue_Model" localSheetId="7">#REF!</definedName>
    <definedName name="Product_Revenue_Model" localSheetId="13">#REF!</definedName>
    <definedName name="Product_Revenue_Model">#REF!</definedName>
    <definedName name="Production" localSheetId="7">#REF!</definedName>
    <definedName name="Production" localSheetId="13">#REF!</definedName>
    <definedName name="Production">#REF!</definedName>
    <definedName name="Production_2000" localSheetId="7">#REF!</definedName>
    <definedName name="Production_2000" localSheetId="13">#REF!</definedName>
    <definedName name="Production_2000">#REF!</definedName>
    <definedName name="ProImportExport.ImportFile" localSheetId="2">#N/A</definedName>
    <definedName name="ProImportExport.ImportFile" localSheetId="7">V!ProImportExport.ImportFile</definedName>
    <definedName name="ProImportExport.ImportFile" localSheetId="13">'V Sensitivity'!ProImportExport.ImportFile</definedName>
    <definedName name="ProImportExport.ImportFile">V!ProImportExport.ImportFile</definedName>
    <definedName name="ProImportExport.SaveNewFile" localSheetId="2">#N/A</definedName>
    <definedName name="ProImportExport.SaveNewFile" localSheetId="7">V!ProImportExport.SaveNewFile</definedName>
    <definedName name="ProImportExport.SaveNewFile" localSheetId="13">'V Sensitivity'!ProImportExport.SaveNewFile</definedName>
    <definedName name="ProImportExport.SaveNewFile">V!ProImportExport.SaveNewFile</definedName>
    <definedName name="ProjectData">[33]Project.Data!$4:$76</definedName>
    <definedName name="ProjectionsTest" localSheetId="2">[29]Storage!#REF!</definedName>
    <definedName name="ProjectionsTest" localSheetId="7">[29]Storage!#REF!</definedName>
    <definedName name="ProjectionsTest" localSheetId="13">[29]Storage!#REF!</definedName>
    <definedName name="ProjectionsTest">[29]Storage!#REF!</definedName>
    <definedName name="Provisions_for__reduction">[11]MODEL!$566:$566</definedName>
    <definedName name="Purchased_software">[3]MODEL!$779:$779</definedName>
    <definedName name="pvpq">[17]other!$G$7</definedName>
    <definedName name="Q">[50]MODEL!$3:$3</definedName>
    <definedName name="Q_92" localSheetId="2">#REF!</definedName>
    <definedName name="Q_92" localSheetId="7">#REF!</definedName>
    <definedName name="Q_92" localSheetId="13">#REF!</definedName>
    <definedName name="Q_92">#REF!</definedName>
    <definedName name="Q_93" localSheetId="7">#REF!</definedName>
    <definedName name="Q_93" localSheetId="13">#REF!</definedName>
    <definedName name="Q_93">#REF!</definedName>
    <definedName name="Q_94" localSheetId="7">#REF!</definedName>
    <definedName name="Q_94" localSheetId="13">#REF!</definedName>
    <definedName name="Q_94">#REF!</definedName>
    <definedName name="Q_95">#REF!</definedName>
    <definedName name="Q_96">#REF!</definedName>
    <definedName name="Q1_87">[51]CAQPL!#REF!</definedName>
    <definedName name="Q1_88">[51]CAQPL!#REF!</definedName>
    <definedName name="Q1_89" localSheetId="2">#REF!</definedName>
    <definedName name="Q1_89" localSheetId="7">#REF!</definedName>
    <definedName name="Q1_89" localSheetId="13">#REF!</definedName>
    <definedName name="Q1_89">#REF!</definedName>
    <definedName name="Q1_90" localSheetId="7">#REF!</definedName>
    <definedName name="Q1_90" localSheetId="13">#REF!</definedName>
    <definedName name="Q1_90">#REF!</definedName>
    <definedName name="Q1_91" localSheetId="7">#REF!</definedName>
    <definedName name="Q1_91" localSheetId="13">#REF!</definedName>
    <definedName name="Q1_91">#REF!</definedName>
    <definedName name="Q1_92">#REF!</definedName>
    <definedName name="Q1_93">#REF!</definedName>
    <definedName name="Q1_94">#REF!</definedName>
    <definedName name="Q1_95">#N/A</definedName>
    <definedName name="Q1_96">#N/A</definedName>
    <definedName name="q1_98" localSheetId="2">#REF!</definedName>
    <definedName name="q1_98" localSheetId="7">#REF!</definedName>
    <definedName name="q1_98" localSheetId="13">#REF!</definedName>
    <definedName name="q1_98">#REF!</definedName>
    <definedName name="q1_99">'[26]Main Model'!$BI$48</definedName>
    <definedName name="q100_rev" localSheetId="2">#REF!</definedName>
    <definedName name="q100_rev" localSheetId="7">#REF!</definedName>
    <definedName name="q100_rev" localSheetId="13">#REF!</definedName>
    <definedName name="q100_rev">#REF!</definedName>
    <definedName name="q197_rev" localSheetId="7">#REF!</definedName>
    <definedName name="q197_rev" localSheetId="13">#REF!</definedName>
    <definedName name="q197_rev">#REF!</definedName>
    <definedName name="q198_rev" localSheetId="7">#REF!</definedName>
    <definedName name="q198_rev" localSheetId="13">#REF!</definedName>
    <definedName name="q198_rev">#REF!</definedName>
    <definedName name="q199_rev">#REF!</definedName>
    <definedName name="Q2_02">[48]Input!$AF:$AF</definedName>
    <definedName name="Q2_87" localSheetId="2">[51]CAQPL!#REF!</definedName>
    <definedName name="Q2_87" localSheetId="7">[51]CAQPL!#REF!</definedName>
    <definedName name="Q2_87" localSheetId="13">[51]CAQPL!#REF!</definedName>
    <definedName name="Q2_87">[51]CAQPL!#REF!</definedName>
    <definedName name="Q2_88" localSheetId="2">[51]CAQPL!#REF!</definedName>
    <definedName name="Q2_88" localSheetId="7">[51]CAQPL!#REF!</definedName>
    <definedName name="Q2_88" localSheetId="13">[51]CAQPL!#REF!</definedName>
    <definedName name="Q2_88">[51]CAQPL!#REF!</definedName>
    <definedName name="Q2_89" localSheetId="2">#REF!</definedName>
    <definedName name="Q2_89" localSheetId="7">#REF!</definedName>
    <definedName name="Q2_89" localSheetId="13">#REF!</definedName>
    <definedName name="Q2_89">#REF!</definedName>
    <definedName name="Q2_90" localSheetId="7">#REF!</definedName>
    <definedName name="Q2_90" localSheetId="13">#REF!</definedName>
    <definedName name="Q2_90">#REF!</definedName>
    <definedName name="Q2_91" localSheetId="7">#REF!</definedName>
    <definedName name="Q2_91" localSheetId="13">#REF!</definedName>
    <definedName name="Q2_91">#REF!</definedName>
    <definedName name="Q2_92">#REF!</definedName>
    <definedName name="Q2_93">#REF!</definedName>
    <definedName name="Q2_94">#REF!</definedName>
    <definedName name="Q2_95">#N/A</definedName>
    <definedName name="Q2_96">#N/A</definedName>
    <definedName name="q2_98" localSheetId="2">#REF!</definedName>
    <definedName name="q2_98" localSheetId="7">#REF!</definedName>
    <definedName name="q2_98" localSheetId="13">#REF!</definedName>
    <definedName name="q2_98">#REF!</definedName>
    <definedName name="q2_99">'[26]Main Model'!$BJ$48</definedName>
    <definedName name="q200_rev" localSheetId="2">#REF!</definedName>
    <definedName name="q200_rev" localSheetId="7">#REF!</definedName>
    <definedName name="q200_rev" localSheetId="13">#REF!</definedName>
    <definedName name="q200_rev">#REF!</definedName>
    <definedName name="q297_rev" localSheetId="7">#REF!</definedName>
    <definedName name="q297_rev" localSheetId="13">#REF!</definedName>
    <definedName name="q297_rev">#REF!</definedName>
    <definedName name="q298_rev" localSheetId="7">#REF!</definedName>
    <definedName name="q298_rev" localSheetId="13">#REF!</definedName>
    <definedName name="q298_rev">#REF!</definedName>
    <definedName name="q299_rev">#REF!</definedName>
    <definedName name="Q2EPS1998">[18]Model!#REF!</definedName>
    <definedName name="Q3_02">[48]Input!$AG:$AG</definedName>
    <definedName name="Q3_87" localSheetId="2">[51]CAQPL!#REF!</definedName>
    <definedName name="Q3_87" localSheetId="7">[51]CAQPL!#REF!</definedName>
    <definedName name="Q3_87" localSheetId="13">[51]CAQPL!#REF!</definedName>
    <definedName name="Q3_87">[51]CAQPL!#REF!</definedName>
    <definedName name="Q3_88" localSheetId="2">[51]CAQPL!#REF!</definedName>
    <definedName name="Q3_88" localSheetId="7">[51]CAQPL!#REF!</definedName>
    <definedName name="Q3_88" localSheetId="13">[51]CAQPL!#REF!</definedName>
    <definedName name="Q3_88">[51]CAQPL!#REF!</definedName>
    <definedName name="Q3_89" localSheetId="2">#REF!</definedName>
    <definedName name="Q3_89" localSheetId="7">#REF!</definedName>
    <definedName name="Q3_89" localSheetId="13">#REF!</definedName>
    <definedName name="Q3_89">#REF!</definedName>
    <definedName name="Q3_90" localSheetId="7">#REF!</definedName>
    <definedName name="Q3_90" localSheetId="13">#REF!</definedName>
    <definedName name="Q3_90">#REF!</definedName>
    <definedName name="Q3_91" localSheetId="7">#REF!</definedName>
    <definedName name="Q3_91" localSheetId="13">#REF!</definedName>
    <definedName name="Q3_91">#REF!</definedName>
    <definedName name="Q3_92">#REF!</definedName>
    <definedName name="Q3_93">#REF!</definedName>
    <definedName name="Q3_94">#REF!</definedName>
    <definedName name="Q3_95">#N/A</definedName>
    <definedName name="Q3_96">#N/A</definedName>
    <definedName name="q3_98" localSheetId="2">#REF!</definedName>
    <definedName name="q3_98" localSheetId="7">#REF!</definedName>
    <definedName name="q3_98" localSheetId="13">#REF!</definedName>
    <definedName name="q3_98">#REF!</definedName>
    <definedName name="q3_98.">'[42]QPL (before FC-matching adjs)'!$I$50</definedName>
    <definedName name="q3_99">'[26]Main Model'!$BK$48</definedName>
    <definedName name="q300_rev" localSheetId="2">#REF!</definedName>
    <definedName name="q300_rev" localSheetId="7">#REF!</definedName>
    <definedName name="q300_rev" localSheetId="13">#REF!</definedName>
    <definedName name="q300_rev">#REF!</definedName>
    <definedName name="q397_rev" localSheetId="7">#REF!</definedName>
    <definedName name="q397_rev" localSheetId="13">#REF!</definedName>
    <definedName name="q397_rev">#REF!</definedName>
    <definedName name="q398_rev" localSheetId="7">#REF!</definedName>
    <definedName name="q398_rev" localSheetId="13">#REF!</definedName>
    <definedName name="q398_rev">#REF!</definedName>
    <definedName name="q399_rev">#REF!</definedName>
    <definedName name="Q4_02">[48]Input!$AH:$AH</definedName>
    <definedName name="Q4_87" localSheetId="2">[51]CAQPL!#REF!</definedName>
    <definedName name="Q4_87" localSheetId="7">[51]CAQPL!#REF!</definedName>
    <definedName name="Q4_87" localSheetId="13">[51]CAQPL!#REF!</definedName>
    <definedName name="Q4_87">[51]CAQPL!#REF!</definedName>
    <definedName name="Q4_88" localSheetId="2">[51]CAQPL!#REF!</definedName>
    <definedName name="Q4_88" localSheetId="7">[51]CAQPL!#REF!</definedName>
    <definedName name="Q4_88" localSheetId="13">[51]CAQPL!#REF!</definedName>
    <definedName name="Q4_88">[51]CAQPL!#REF!</definedName>
    <definedName name="Q4_89" localSheetId="2">#REF!</definedName>
    <definedName name="Q4_89" localSheetId="7">#REF!</definedName>
    <definedName name="Q4_89" localSheetId="13">#REF!</definedName>
    <definedName name="Q4_89">#REF!</definedName>
    <definedName name="Q4_90" localSheetId="7">#REF!</definedName>
    <definedName name="Q4_90" localSheetId="13">#REF!</definedName>
    <definedName name="Q4_90">#REF!</definedName>
    <definedName name="Q4_91" localSheetId="7">#REF!</definedName>
    <definedName name="Q4_91" localSheetId="13">#REF!</definedName>
    <definedName name="Q4_91">#REF!</definedName>
    <definedName name="Q4_92">#REF!</definedName>
    <definedName name="Q4_93">#REF!</definedName>
    <definedName name="Q4_94">#REF!</definedName>
    <definedName name="Q4_95">#N/A</definedName>
    <definedName name="Q4_96">#N/A</definedName>
    <definedName name="q4_98" localSheetId="2">#REF!</definedName>
    <definedName name="q4_98" localSheetId="7">#REF!</definedName>
    <definedName name="q4_98" localSheetId="13">#REF!</definedName>
    <definedName name="q4_98">#REF!</definedName>
    <definedName name="q4_99">'[26]Main Model'!$BL$48</definedName>
    <definedName name="q400_rev" localSheetId="2">#REF!</definedName>
    <definedName name="q400_rev" localSheetId="7">#REF!</definedName>
    <definedName name="q400_rev" localSheetId="13">#REF!</definedName>
    <definedName name="q400_rev">#REF!</definedName>
    <definedName name="q497_rev" localSheetId="7">#REF!</definedName>
    <definedName name="q497_rev" localSheetId="13">#REF!</definedName>
    <definedName name="q497_rev">#REF!</definedName>
    <definedName name="q498_rev" localSheetId="7">#REF!</definedName>
    <definedName name="q498_rev" localSheetId="13">#REF!</definedName>
    <definedName name="q498_rev">#REF!</definedName>
    <definedName name="q499_rev">#REF!</definedName>
    <definedName name="qes" localSheetId="2" hidden="1">{"p1TOC",#N/A,FALSE,"DCF_Summary";"p23summary",#N/A,FALSE,"DCF_Summary";"p4contact",#N/A,FALSE,"Contact Lake";"p5kumtor",#N/A,FALSE,"Kumtor";#N/A,#N/A,FALSE,"CCAU_NAV";"p8compdata",#N/A,FALSE,"Gold_Comps";#N/A,#N/A,FALSE,"Comp_Valuation"}</definedName>
    <definedName name="qes" localSheetId="7" hidden="1">{"p1TOC",#N/A,FALSE,"DCF_Summary";"p23summary",#N/A,FALSE,"DCF_Summary";"p4contact",#N/A,FALSE,"Contact Lake";"p5kumtor",#N/A,FALSE,"Kumtor";#N/A,#N/A,FALSE,"CCAU_NAV";"p8compdata",#N/A,FALSE,"Gold_Comps";#N/A,#N/A,FALSE,"Comp_Valuation"}</definedName>
    <definedName name="qes" localSheetId="13" hidden="1">{"p1TOC",#N/A,FALSE,"DCF_Summary";"p23summary",#N/A,FALSE,"DCF_Summary";"p4contact",#N/A,FALSE,"Contact Lake";"p5kumtor",#N/A,FALSE,"Kumtor";#N/A,#N/A,FALSE,"CCAU_NAV";"p8compdata",#N/A,FALSE,"Gold_Comps";#N/A,#N/A,FALSE,"Comp_Valuation"}</definedName>
    <definedName name="qes" hidden="1">{"p1TOC",#N/A,FALSE,"DCF_Summary";"p23summary",#N/A,FALSE,"DCF_Summary";"p4contact",#N/A,FALSE,"Contact Lake";"p5kumtor",#N/A,FALSE,"Kumtor";#N/A,#N/A,FALSE,"CCAU_NAV";"p8compdata",#N/A,FALSE,"Gold_Comps";#N/A,#N/A,FALSE,"Comp_Valuation"}</definedName>
    <definedName name="qpl" localSheetId="2">#REF!</definedName>
    <definedName name="qpl" localSheetId="7">#REF!</definedName>
    <definedName name="qpl" localSheetId="13">#REF!</definedName>
    <definedName name="qpl">#REF!</definedName>
    <definedName name="qpl_pg1" localSheetId="7">#REF!</definedName>
    <definedName name="qpl_pg1" localSheetId="13">#REF!</definedName>
    <definedName name="qpl_pg1">#REF!</definedName>
    <definedName name="qpl_pg2" localSheetId="7">#REF!</definedName>
    <definedName name="qpl_pg2" localSheetId="13">#REF!</definedName>
    <definedName name="qpl_pg2">#REF!</definedName>
    <definedName name="QTR_CHG">#REF!</definedName>
    <definedName name="QTRA">[7]Model!#REF!</definedName>
    <definedName name="QTRB">[7]Model!#REF!</definedName>
    <definedName name="quarter_change">[51]CAQPL!#REF!</definedName>
    <definedName name="QUARTERLY_1989">[19]Summary!#REF!</definedName>
    <definedName name="QUARTERLY_1991">[19]Summary!#REF!</definedName>
    <definedName name="QUARTERLY_1992">[19]Summary!#REF!</definedName>
    <definedName name="QUARTERLY_1993">[19]Summary!#REF!</definedName>
    <definedName name="QUARTERLY_1994">[19]Summary!#REF!</definedName>
    <definedName name="QUARTERLY_1995">[19]Summary!#REF!</definedName>
    <definedName name="QUARTERLY_1996">[19]Summary!#REF!</definedName>
    <definedName name="QUARTERLY_1997">'[19]IncomeStatement-save'!#REF!</definedName>
    <definedName name="QUARTERLY_BALANCE_SHEETS">[19]Summary!#REF!</definedName>
    <definedName name="QUARTERLY_INCOME">[19]Summary!#REF!</definedName>
    <definedName name="Quarterly_Transactions">[3]MODEL!#REF!</definedName>
    <definedName name="qw" hidden="1">"c115"</definedName>
    <definedName name="RANDA" localSheetId="2">#REF!</definedName>
    <definedName name="RANDA" localSheetId="7">#REF!</definedName>
    <definedName name="RANDA" localSheetId="13">#REF!</definedName>
    <definedName name="RANDA">#REF!</definedName>
    <definedName name="RANDB" localSheetId="7">#REF!</definedName>
    <definedName name="RANDB" localSheetId="13">#REF!</definedName>
    <definedName name="RANDB">#REF!</definedName>
    <definedName name="rating" localSheetId="2">[19]Summary!#REF!</definedName>
    <definedName name="rating" localSheetId="7">[19]Summary!#REF!</definedName>
    <definedName name="rating" localSheetId="13">[19]Summary!#REF!</definedName>
    <definedName name="rating">[19]Summary!#REF!</definedName>
    <definedName name="Ratio_Analysis" localSheetId="2">#REF!</definedName>
    <definedName name="Ratio_Analysis" localSheetId="7">#REF!</definedName>
    <definedName name="Ratio_Analysis" localSheetId="13">#REF!</definedName>
    <definedName name="Ratio_Analysis">#REF!</definedName>
    <definedName name="Ratios" localSheetId="7">#REF!</definedName>
    <definedName name="Ratios" localSheetId="13">#REF!</definedName>
    <definedName name="Ratios">#REF!</definedName>
    <definedName name="re" hidden="1">"c226"</definedName>
    <definedName name="realau_00">[45]Model!$I$9</definedName>
    <definedName name="RealUSDCAD">[31]Michelin!$L$25:$BM$25</definedName>
    <definedName name="_xlnm.Recorder" localSheetId="2">#REF!</definedName>
    <definedName name="_xlnm.Recorder" localSheetId="7">#REF!</definedName>
    <definedName name="_xlnm.Recorder" localSheetId="13">#REF!</definedName>
    <definedName name="_xlnm.Recorder">#REF!</definedName>
    <definedName name="Recoverable_Reserves__Moz" localSheetId="2">[7]Model!#REF!</definedName>
    <definedName name="Recoverable_Reserves__Moz" localSheetId="7">[7]Model!#REF!</definedName>
    <definedName name="Recoverable_Reserves__Moz" localSheetId="13">[7]Model!#REF!</definedName>
    <definedName name="Recoverable_Reserves__Moz">[7]Model!#REF!</definedName>
    <definedName name="reportingcurrency" localSheetId="2">#REF!</definedName>
    <definedName name="reportingcurrency" localSheetId="7">#REF!</definedName>
    <definedName name="reportingcurrency" localSheetId="13">#REF!</definedName>
    <definedName name="reportingcurrency">#REF!</definedName>
    <definedName name="reqw" hidden="1">"c274"</definedName>
    <definedName name="RES_CASH_CA" localSheetId="2">[14]MODEL!#REF!</definedName>
    <definedName name="RES_CASH_CA" localSheetId="7">[14]MODEL!#REF!</definedName>
    <definedName name="RES_CASH_CA" localSheetId="13">[14]MODEL!#REF!</definedName>
    <definedName name="RES_CASH_CA">[14]MODEL!#REF!</definedName>
    <definedName name="reserves" localSheetId="2">#REF!</definedName>
    <definedName name="reserves" localSheetId="7">#REF!</definedName>
    <definedName name="reserves" localSheetId="13">#REF!</definedName>
    <definedName name="reserves">#REF!</definedName>
    <definedName name="residual_growth_rates">[52]inputs!$C$4</definedName>
    <definedName name="resources" localSheetId="2">#REF!</definedName>
    <definedName name="resources" localSheetId="7">#REF!</definedName>
    <definedName name="resources" localSheetId="13">#REF!</definedName>
    <definedName name="resources">#REF!</definedName>
    <definedName name="RESTRICTED_CASH">[3]MODEL!$398:$398</definedName>
    <definedName name="Restructuring_charges" localSheetId="2">[23]Sheet1!#REF!</definedName>
    <definedName name="Restructuring_charges" localSheetId="7">[23]Sheet1!#REF!</definedName>
    <definedName name="Restructuring_charges" localSheetId="13">[23]Sheet1!#REF!</definedName>
    <definedName name="Restructuring_charges">[23]Sheet1!#REF!</definedName>
    <definedName name="RetE" localSheetId="2">#REF!</definedName>
    <definedName name="RetE" localSheetId="7">#REF!</definedName>
    <definedName name="RetE" localSheetId="13">#REF!</definedName>
    <definedName name="RetE">#REF!</definedName>
    <definedName name="RETURNONSALES" localSheetId="7">#REF!</definedName>
    <definedName name="RETURNONSALES" localSheetId="13">#REF!</definedName>
    <definedName name="RETURNONSALES">#REF!</definedName>
    <definedName name="REV">[14]MODEL!$8:$8</definedName>
    <definedName name="REV_A" localSheetId="2">#REF!</definedName>
    <definedName name="REV_A" localSheetId="7">#REF!</definedName>
    <definedName name="REV_A" localSheetId="13">#REF!</definedName>
    <definedName name="REV_A">#REF!</definedName>
    <definedName name="REV_AV">[5]MODEL!$268:$268</definedName>
    <definedName name="REV_B" localSheetId="2">#REF!</definedName>
    <definedName name="REV_B" localSheetId="7">#REF!</definedName>
    <definedName name="REV_B" localSheetId="13">#REF!</definedName>
    <definedName name="REV_B">#REF!</definedName>
    <definedName name="REV_BREAKOUT" localSheetId="7">#REF!</definedName>
    <definedName name="REV_BREAKOUT" localSheetId="13">#REF!</definedName>
    <definedName name="REV_BREAKOUT">#REF!</definedName>
    <definedName name="REV_BRK_OUT" localSheetId="7">#REF!</definedName>
    <definedName name="REV_BRK_OUT" localSheetId="13">#REF!</definedName>
    <definedName name="REV_BRK_OUT">#REF!</definedName>
    <definedName name="REV_CREDIT" localSheetId="7">[3]MODEL!#REF!</definedName>
    <definedName name="REV_CREDIT" localSheetId="13">[3]MODEL!#REF!</definedName>
    <definedName name="REV_CREDIT">[3]MODEL!#REF!</definedName>
    <definedName name="REV_EMERGING_PRODUCTS">[32]MODEL!$67:$67</definedName>
    <definedName name="REV_ENT_AV">[5]MODEL!$270:$270</definedName>
    <definedName name="REV_ENTERPRISE_SECURITY">[5]MODEL!$169:$169</definedName>
    <definedName name="REV_GATEWAY">[32]MODEL!$68:$68</definedName>
    <definedName name="rev_q1" localSheetId="2">[19]Summary!#REF!</definedName>
    <definedName name="rev_q1" localSheetId="7">[19]Summary!#REF!</definedName>
    <definedName name="rev_q1" localSheetId="13">[19]Summary!#REF!</definedName>
    <definedName name="rev_q1">[19]Summary!#REF!</definedName>
    <definedName name="rev_q2" localSheetId="2">'[19]IncomeStatement-save'!#REF!</definedName>
    <definedName name="rev_q2" localSheetId="7">'[19]IncomeStatement-save'!#REF!</definedName>
    <definedName name="rev_q2" localSheetId="13">'[19]IncomeStatement-save'!#REF!</definedName>
    <definedName name="rev_q2">'[19]IncomeStatement-save'!#REF!</definedName>
    <definedName name="rev_q3" localSheetId="7">'[19]IncomeStatement-save'!#REF!</definedName>
    <definedName name="rev_q3" localSheetId="13">'[19]IncomeStatement-save'!#REF!</definedName>
    <definedName name="rev_q3">'[19]IncomeStatement-save'!#REF!</definedName>
    <definedName name="rev_q4" localSheetId="7">'[19]IncomeStatement-save'!#REF!</definedName>
    <definedName name="rev_q4" localSheetId="13">'[19]IncomeStatement-save'!#REF!</definedName>
    <definedName name="rev_q4">'[19]IncomeStatement-save'!#REF!</definedName>
    <definedName name="REV_SECURITY">[5]MODEL!$262:$262</definedName>
    <definedName name="REV_TTM">[15]MODEL!$83:$83</definedName>
    <definedName name="REV_YY">[14]MODEL!$146:$146</definedName>
    <definedName name="Revelation_Technologies" localSheetId="2">#REF!</definedName>
    <definedName name="Revelation_Technologies" localSheetId="7">#REF!</definedName>
    <definedName name="Revelation_Technologies" localSheetId="13">#REF!</definedName>
    <definedName name="Revelation_Technologies">#REF!</definedName>
    <definedName name="Revenue.Y2001D">'[12]Income Stmt'!$GY$15</definedName>
    <definedName name="Revenue.Y2002D">'[12]Income Stmt'!$GZ$15</definedName>
    <definedName name="Revenue_Input">'[10]SENSITIVITY ANALYSIS'!$E$57</definedName>
    <definedName name="Revenue_Toggle">'[10]SENSITIVITY ANALYSIS'!$I$55</definedName>
    <definedName name="right_border" localSheetId="2">#REF!</definedName>
    <definedName name="right_border" localSheetId="7">#REF!</definedName>
    <definedName name="right_border" localSheetId="13">#REF!</definedName>
    <definedName name="right_border">#REF!</definedName>
    <definedName name="ROA" localSheetId="7">#REF!</definedName>
    <definedName name="ROA" localSheetId="13">#REF!</definedName>
    <definedName name="ROA">#REF!</definedName>
    <definedName name="ROE">[53]MODEL!$315:$315</definedName>
    <definedName name="RORIC__3_yr_rolling" localSheetId="2">[23]Sheet1!#REF!</definedName>
    <definedName name="RORIC__3_yr_rolling" localSheetId="7">[23]Sheet1!#REF!</definedName>
    <definedName name="RORIC__3_yr_rolling" localSheetId="13">[23]Sheet1!#REF!</definedName>
    <definedName name="RORIC__3_yr_rolling">[23]Sheet1!#REF!</definedName>
    <definedName name="RPPACS">[16]MODEL!$509:$509</definedName>
    <definedName name="rty" hidden="1">"c118"</definedName>
    <definedName name="S" localSheetId="2">#REF!</definedName>
    <definedName name="S" localSheetId="7">#REF!</definedName>
    <definedName name="S" localSheetId="13">#REF!</definedName>
    <definedName name="S">#REF!</definedName>
    <definedName name="SALESMEMO" localSheetId="7">#REF!</definedName>
    <definedName name="SALESMEMO" localSheetId="13">#REF!</definedName>
    <definedName name="SALESMEMO">#REF!</definedName>
    <definedName name="Same_Q_Last_Yr" localSheetId="11">#REF!</definedName>
    <definedName name="Same_Q_Last_Yr" localSheetId="6">#REF!</definedName>
    <definedName name="Same_Q_Last_Yr" localSheetId="7">#REF!</definedName>
    <definedName name="Same_Q_Last_Yr" localSheetId="13">#REF!</definedName>
    <definedName name="Same_Q_Last_Yr">#REF!</definedName>
    <definedName name="SandmanOwner">'[31]Val Detail'!$F$129</definedName>
    <definedName name="SaveNewFile" localSheetId="2">#N/A</definedName>
    <definedName name="SaveNewFile" localSheetId="7">V!SaveNewFile</definedName>
    <definedName name="SaveNewFile" localSheetId="13">'V Sensitivity'!SaveNewFile</definedName>
    <definedName name="SaveNewFile">V!SaveNewFile</definedName>
    <definedName name="Scale">'[31]Long Canyon'!$E$12</definedName>
    <definedName name="SDC" localSheetId="2">[3]MODEL!#REF!</definedName>
    <definedName name="SDC" localSheetId="7">[3]MODEL!#REF!</definedName>
    <definedName name="SDC" localSheetId="13">[3]MODEL!#REF!</definedName>
    <definedName name="SDC">[3]MODEL!#REF!</definedName>
    <definedName name="sdfh" localSheetId="2">[6]Model!#REF!</definedName>
    <definedName name="sdfh" localSheetId="7">[6]Model!#REF!</definedName>
    <definedName name="sdfh" localSheetId="13">[6]Model!#REF!</definedName>
    <definedName name="sdfh">[6]Model!#REF!</definedName>
    <definedName name="SEATS">[35]MODEL!$284:$284</definedName>
    <definedName name="SEC_DEPOSIT" localSheetId="2">[3]MODEL!#REF!</definedName>
    <definedName name="SEC_DEPOSIT" localSheetId="7">[3]MODEL!#REF!</definedName>
    <definedName name="SEC_DEPOSIT" localSheetId="13">[3]MODEL!#REF!</definedName>
    <definedName name="SEC_DEPOSIT">[3]MODEL!#REF!</definedName>
    <definedName name="SelectedTCK">'[33]10-32.AMCperOZ'!$J$25</definedName>
    <definedName name="Senior_Debt">[16]MODEL!$503:$503</definedName>
    <definedName name="Sensi" localSheetId="2">#REF!</definedName>
    <definedName name="Sensi" localSheetId="7">#REF!</definedName>
    <definedName name="Sensi" localSheetId="13">#REF!</definedName>
    <definedName name="Sensi">#REF!</definedName>
    <definedName name="SensitivityChoice">[54]Assumptions!$C$21</definedName>
    <definedName name="SensitivityLinks">[54]Assumptions!$D$21:$G$21</definedName>
    <definedName name="SensNums">'[22]NAV-Valuation'!$I$33:$N$33</definedName>
    <definedName name="Servers" localSheetId="2">[3]MODEL!#REF!</definedName>
    <definedName name="Servers" localSheetId="7">[3]MODEL!#REF!</definedName>
    <definedName name="Servers" localSheetId="13">[3]MODEL!#REF!</definedName>
    <definedName name="Servers">[3]MODEL!#REF!</definedName>
    <definedName name="sfb" localSheetId="2">[6]Model!#REF!</definedName>
    <definedName name="sfb" localSheetId="7">[6]Model!#REF!</definedName>
    <definedName name="sfb" localSheetId="13">[6]Model!#REF!</definedName>
    <definedName name="sfb">[6]Model!#REF!</definedName>
    <definedName name="sfbg" localSheetId="7">[6]Model!#REF!</definedName>
    <definedName name="sfbg" localSheetId="13">[6]Model!#REF!</definedName>
    <definedName name="sfbg">[6]Model!#REF!</definedName>
    <definedName name="SGA_growth" localSheetId="7">[23]Sheet1!#REF!</definedName>
    <definedName name="SGA_growth" localSheetId="13">[23]Sheet1!#REF!</definedName>
    <definedName name="SGA_growth">[23]Sheet1!#REF!</definedName>
    <definedName name="SGA_margin_fore">[23]Sheet1!#REF!</definedName>
    <definedName name="Share_Price" localSheetId="2">#REF!</definedName>
    <definedName name="Share_Price" localSheetId="7">#REF!</definedName>
    <definedName name="Share_Price" localSheetId="13">#REF!</definedName>
    <definedName name="Share_Price">#REF!</definedName>
    <definedName name="shareoutstandingFD" localSheetId="7">#REF!</definedName>
    <definedName name="shareoutstandingFD" localSheetId="13">#REF!</definedName>
    <definedName name="shareoutstandingFD">#REF!</definedName>
    <definedName name="shareprice" localSheetId="7">#REF!</definedName>
    <definedName name="shareprice" localSheetId="13">#REF!</definedName>
    <definedName name="shareprice">#REF!</definedName>
    <definedName name="sharepriceus">#REF!</definedName>
    <definedName name="SHARES">[14]MODEL!$28:$28</definedName>
    <definedName name="shares.Y1999D">'[12]Income Stmt'!$GW$50</definedName>
    <definedName name="shares.Y2000D">'[12]Income Stmt'!$GX$50</definedName>
    <definedName name="shares.Y2001D">'[12]Income Stmt'!$GY$50</definedName>
    <definedName name="shares.Y2002D">'[12]Income Stmt'!$GZ$50</definedName>
    <definedName name="Shares_DCF">[23]Sheet1!$C$37:$AZ$37</definedName>
    <definedName name="Shares_repurchase_liability" localSheetId="2">[23]Sheet1!#REF!</definedName>
    <definedName name="Shares_repurchase_liability" localSheetId="7">[23]Sheet1!#REF!</definedName>
    <definedName name="Shares_repurchase_liability" localSheetId="13">[23]Sheet1!#REF!</definedName>
    <definedName name="Shares_repurchase_liability">[23]Sheet1!#REF!</definedName>
    <definedName name="SharesAcquirer" localSheetId="2">#REF!</definedName>
    <definedName name="SharesAcquirer" localSheetId="7">#REF!</definedName>
    <definedName name="SharesAcquirer" localSheetId="13">#REF!</definedName>
    <definedName name="SharesAcquirer">#REF!</definedName>
    <definedName name="SharesBoughtBack" localSheetId="7">#REF!</definedName>
    <definedName name="SharesBoughtBack" localSheetId="13">#REF!</definedName>
    <definedName name="SharesBoughtBack">#REF!</definedName>
    <definedName name="sharesoutstandingFD" localSheetId="7">#REF!</definedName>
    <definedName name="sharesoutstandingFD" localSheetId="13">#REF!</definedName>
    <definedName name="sharesoutstandingFD">#REF!</definedName>
    <definedName name="SharesTarget">#REF!</definedName>
    <definedName name="SHIT">#REF!</definedName>
    <definedName name="shortTick">'[33]10-32.AMCperOZ'!$L$51</definedName>
    <definedName name="shrs_outst_00" localSheetId="2">[8]Model!#REF!</definedName>
    <definedName name="shrs_outst_00" localSheetId="7">[8]Model!#REF!</definedName>
    <definedName name="shrs_outst_00" localSheetId="13">[8]Model!#REF!</definedName>
    <definedName name="shrs_outst_00">[8]Model!#REF!</definedName>
    <definedName name="shrs_outst_97" localSheetId="2">[8]Model!#REF!</definedName>
    <definedName name="shrs_outst_97" localSheetId="7">[8]Model!#REF!</definedName>
    <definedName name="shrs_outst_97" localSheetId="13">[8]Model!#REF!</definedName>
    <definedName name="shrs_outst_97">[8]Model!#REF!</definedName>
    <definedName name="shrs_outst_98" localSheetId="7">[8]Model!#REF!</definedName>
    <definedName name="shrs_outst_98" localSheetId="13">[8]Model!#REF!</definedName>
    <definedName name="shrs_outst_98">[8]Model!#REF!</definedName>
    <definedName name="shrs_outst_99" localSheetId="7">[8]Model!#REF!</definedName>
    <definedName name="shrs_outst_99" localSheetId="13">[8]Model!#REF!</definedName>
    <definedName name="shrs_outst_99">[8]Model!#REF!</definedName>
    <definedName name="SilvEqPr">'[31]Val Detail'!$F$6</definedName>
    <definedName name="SOFTWARE" localSheetId="2">[3]MODEL!#REF!</definedName>
    <definedName name="SOFTWARE" localSheetId="7">[3]MODEL!#REF!</definedName>
    <definedName name="SOFTWARE" localSheetId="13">[3]MODEL!#REF!</definedName>
    <definedName name="SOFTWARE">[3]MODEL!#REF!</definedName>
    <definedName name="SOLEDAD" localSheetId="2">#REF!</definedName>
    <definedName name="SOLEDAD" localSheetId="7">#REF!</definedName>
    <definedName name="SOLEDAD" localSheetId="13">#REF!</definedName>
    <definedName name="SOLEDAD">#REF!</definedName>
    <definedName name="SOLEDADA" localSheetId="7">#REF!</definedName>
    <definedName name="SOLEDADA" localSheetId="13">#REF!</definedName>
    <definedName name="SOLEDADA">#REF!</definedName>
    <definedName name="SOLEDADB" localSheetId="7">#REF!</definedName>
    <definedName name="SOLEDADB" localSheetId="13">#REF!</definedName>
    <definedName name="SOLEDADB">#REF!</definedName>
    <definedName name="SOS_FIU">[21]Output!$Q$19</definedName>
    <definedName name="source" localSheetId="2">#REF!</definedName>
    <definedName name="source" localSheetId="11">#REF!</definedName>
    <definedName name="source" localSheetId="6">#REF!</definedName>
    <definedName name="source" localSheetId="7">#REF!</definedName>
    <definedName name="source" localSheetId="13">#REF!</definedName>
    <definedName name="source">#REF!</definedName>
    <definedName name="SP" localSheetId="7">#REF!</definedName>
    <definedName name="SP" localSheetId="13">#REF!</definedName>
    <definedName name="SP">#REF!</definedName>
    <definedName name="sp_axu">[49]Output!$Q$13</definedName>
    <definedName name="SP_FRG">[31]Output!$Q$13</definedName>
    <definedName name="SREV">[14]MODEL!$7:$7</definedName>
    <definedName name="SREV_MREV">[55]MODEL!$91:$91</definedName>
    <definedName name="SREV1" localSheetId="2">[14]MODEL!#REF!</definedName>
    <definedName name="SREV1" localSheetId="7">[14]MODEL!#REF!</definedName>
    <definedName name="SREV1" localSheetId="13">[14]MODEL!#REF!</definedName>
    <definedName name="SREV1">[14]MODEL!#REF!</definedName>
    <definedName name="SREV2" localSheetId="2">[14]MODEL!#REF!</definedName>
    <definedName name="SREV2" localSheetId="7">[14]MODEL!#REF!</definedName>
    <definedName name="SREV2" localSheetId="13">[14]MODEL!#REF!</definedName>
    <definedName name="SREV2">[14]MODEL!#REF!</definedName>
    <definedName name="ST_EPS">[50]MODEL!$45:$45</definedName>
    <definedName name="ST_INVESTMENTS" localSheetId="2">[3]MODEL!#REF!</definedName>
    <definedName name="ST_INVESTMENTS" localSheetId="7">[3]MODEL!#REF!</definedName>
    <definedName name="ST_INVESTMENTS" localSheetId="13">[3]MODEL!#REF!</definedName>
    <definedName name="ST_INVESTMENTS">[3]MODEL!#REF!</definedName>
    <definedName name="ST_REV">[50]MODEL!$44:$44</definedName>
    <definedName name="StartYr">[31]Michelin!$E$43</definedName>
    <definedName name="stats" localSheetId="2">#REF!</definedName>
    <definedName name="stats" localSheetId="7">#REF!</definedName>
    <definedName name="stats" localSheetId="13">#REF!</definedName>
    <definedName name="stats">#REF!</definedName>
    <definedName name="Stock_price">[23]Sheet1!$B$9</definedName>
    <definedName name="str">[17]other!$G$8</definedName>
    <definedName name="STREET_EPS_DELTA">[37]MODEL!$59:$59</definedName>
    <definedName name="STREET_EPS_SUR">[3]MODEL!$94:$94</definedName>
    <definedName name="STREET_REV_DELTA">[37]MODEL!$55:$55</definedName>
    <definedName name="STREET_REV_SUR">[3]MODEL!$87:$87</definedName>
    <definedName name="Subscription" localSheetId="2">[14]MODEL!#REF!</definedName>
    <definedName name="Subscription" localSheetId="7">[14]MODEL!#REF!</definedName>
    <definedName name="Subscription" localSheetId="13">[14]MODEL!#REF!</definedName>
    <definedName name="Subscription">[14]MODEL!#REF!</definedName>
    <definedName name="SUM" localSheetId="2">[1]TSFW!#REF!</definedName>
    <definedName name="SUM" localSheetId="7">[1]TSFW!#REF!</definedName>
    <definedName name="SUM" localSheetId="13">[1]TSFW!#REF!</definedName>
    <definedName name="SUM">[1]TSFW!#REF!</definedName>
    <definedName name="Summary_1">[23]Sheet1!$F:$F</definedName>
    <definedName name="Summary_1991">[23]Sheet1!$C$25:$C$106</definedName>
    <definedName name="Summary_1992">[23]Sheet1!$D$25:$D$106</definedName>
    <definedName name="Summary_1993">[23]Sheet1!$E$25:$E$106</definedName>
    <definedName name="Summary_1994">[23]Sheet1!$F$25:$F$106</definedName>
    <definedName name="Summary_1995">[23]Sheet1!$G$25:$G$106</definedName>
    <definedName name="Summary_2">[23]Sheet1!$E:$E</definedName>
    <definedName name="Summary_3">[23]Sheet1!$D:$D</definedName>
    <definedName name="Summary_4">[23]Sheet1!$C:$C</definedName>
    <definedName name="Summary_P">[23]Sheet1!$G:$G</definedName>
    <definedName name="SUMMRY" localSheetId="2">#REF!</definedName>
    <definedName name="SUMMRY" localSheetId="7">#REF!</definedName>
    <definedName name="SUMMRY" localSheetId="13">#REF!</definedName>
    <definedName name="SUMMRY">#REF!</definedName>
    <definedName name="SUSGROWTHRATE" localSheetId="7">#REF!</definedName>
    <definedName name="SUSGROWTHRATE" localSheetId="13">#REF!</definedName>
    <definedName name="SUSGROWTHRATE">#REF!</definedName>
    <definedName name="sustainingcapex" localSheetId="7">#REF!</definedName>
    <definedName name="sustainingcapex" localSheetId="13">#REF!</definedName>
    <definedName name="sustainingcapex">#REF!</definedName>
    <definedName name="SW_Dev_Costs" localSheetId="2">[3]MODEL!#REF!</definedName>
    <definedName name="SW_Dev_Costs" localSheetId="7">[3]MODEL!#REF!</definedName>
    <definedName name="SW_Dev_Costs" localSheetId="13">[3]MODEL!#REF!</definedName>
    <definedName name="SW_Dev_Costs">[3]MODEL!#REF!</definedName>
    <definedName name="symbol" localSheetId="2">#REF!</definedName>
    <definedName name="symbol" localSheetId="7">#REF!</definedName>
    <definedName name="symbol" localSheetId="13">#REF!</definedName>
    <definedName name="symbol">#REF!</definedName>
    <definedName name="t2p">[49]Assumptions!$D$4</definedName>
    <definedName name="TAB_1" localSheetId="2">[1]TSFW!#REF!</definedName>
    <definedName name="TAB_1" localSheetId="7">[1]TSFW!#REF!</definedName>
    <definedName name="TAB_1" localSheetId="13">[1]TSFW!#REF!</definedName>
    <definedName name="TAB_1">[1]TSFW!#REF!</definedName>
    <definedName name="Table_1_1">[56]MarketData!$A$14:$G$41</definedName>
    <definedName name="Table_1_2">[56]MarketData!$A$43:$G$70</definedName>
    <definedName name="Table_1_3">[56]MarketData!$A$72:$G$87</definedName>
    <definedName name="Table_1_4">[56]MarketData!$A$89:$G$114</definedName>
    <definedName name="Table_1_5">[56]MarketData!$A$116:$G$127</definedName>
    <definedName name="Table_1_6">[56]MarketData!$A$129:$G$142</definedName>
    <definedName name="Table_1_7">[56]MarketData!$A$144:$G$168</definedName>
    <definedName name="Table_2_1">[56]Definitions!$A$11:$F$15</definedName>
    <definedName name="Target1" localSheetId="2">#REF!</definedName>
    <definedName name="Target1" localSheetId="7">#REF!</definedName>
    <definedName name="Target1" localSheetId="13">#REF!</definedName>
    <definedName name="Target1">#REF!</definedName>
    <definedName name="Tau" localSheetId="2">[29]ValuationInput!#REF!</definedName>
    <definedName name="Tau" localSheetId="7">[29]ValuationInput!#REF!</definedName>
    <definedName name="Tau" localSheetId="13">[29]ValuationInput!#REF!</definedName>
    <definedName name="Tau">[29]ValuationInput!#REF!</definedName>
    <definedName name="tax" localSheetId="2">#REF!</definedName>
    <definedName name="tax" localSheetId="7">#REF!</definedName>
    <definedName name="tax" localSheetId="13">#REF!</definedName>
    <definedName name="tax">#REF!</definedName>
    <definedName name="Tax.Y1999D">'[12]Income Stmt'!$GW$27</definedName>
    <definedName name="Tax.Y2001D">'[12]Income Stmt'!$GY$27</definedName>
    <definedName name="Tax.Y2002D">'[12]Income Stmt'!$GZ$27</definedName>
    <definedName name="TAX_BEN_SBC">[3]MODEL!$602:$602</definedName>
    <definedName name="Tax_rate_for_WACC" localSheetId="2">[23]Sheet1!#REF!</definedName>
    <definedName name="Tax_rate_for_WACC" localSheetId="7">[23]Sheet1!#REF!</definedName>
    <definedName name="Tax_rate_for_WACC" localSheetId="13">[23]Sheet1!#REF!</definedName>
    <definedName name="Tax_rate_for_WACC">[23]Sheet1!#REF!</definedName>
    <definedName name="TaxRate_Input">'[10]SENSITIVITY ANALYSIS'!$E$67</definedName>
    <definedName name="TaxRate_Toggle">'[10]SENSITIVITY ANALYSIS'!$I$65</definedName>
    <definedName name="tcost00" localSheetId="2">[8]Model!#REF!</definedName>
    <definedName name="tcost00" localSheetId="7">[8]Model!#REF!</definedName>
    <definedName name="tcost00" localSheetId="13">[8]Model!#REF!</definedName>
    <definedName name="tcost00">[8]Model!#REF!</definedName>
    <definedName name="tcost93" localSheetId="2">[7]Model!#REF!</definedName>
    <definedName name="tcost93" localSheetId="7">[7]Model!#REF!</definedName>
    <definedName name="tcost93" localSheetId="13">[7]Model!#REF!</definedName>
    <definedName name="tcost93">[7]Model!#REF!</definedName>
    <definedName name="tcost94" localSheetId="7">[7]Model!#REF!</definedName>
    <definedName name="tcost94" localSheetId="13">[7]Model!#REF!</definedName>
    <definedName name="tcost94">[7]Model!#REF!</definedName>
    <definedName name="tcost95" localSheetId="7">[7]Model!#REF!</definedName>
    <definedName name="tcost95" localSheetId="13">[7]Model!#REF!</definedName>
    <definedName name="tcost95">[7]Model!#REF!</definedName>
    <definedName name="tcost96">[8]Model!#REF!</definedName>
    <definedName name="tcost97">[8]Model!#REF!</definedName>
    <definedName name="tcost98">[8]Model!#REF!</definedName>
    <definedName name="tcost99">[8]Model!#REF!</definedName>
    <definedName name="TERM_AR">[3]MODEL!#REF!</definedName>
    <definedName name="TERM_LOAN">[3]MODEL!$535:$535</definedName>
    <definedName name="TEST" localSheetId="2">#REF!</definedName>
    <definedName name="TEST" localSheetId="7">#REF!</definedName>
    <definedName name="TEST" localSheetId="13">#REF!</definedName>
    <definedName name="TEST">#REF!</definedName>
    <definedName name="TFCFOn" localSheetId="2">[29]ValuationInput!#REF!</definedName>
    <definedName name="TFCFOn" localSheetId="7">[29]ValuationInput!#REF!</definedName>
    <definedName name="TFCFOn" localSheetId="13">[29]ValuationInput!#REF!</definedName>
    <definedName name="TFCFOn">[29]ValuationInput!#REF!</definedName>
    <definedName name="thou" localSheetId="2">#REF!</definedName>
    <definedName name="thou" localSheetId="7">#REF!</definedName>
    <definedName name="thou" localSheetId="13">#REF!</definedName>
    <definedName name="thou">#REF!</definedName>
    <definedName name="THOUSAND">[5]MODEL!$490:$490</definedName>
    <definedName name="Timestamp" localSheetId="2">#REF!</definedName>
    <definedName name="Timestamp" localSheetId="7">#REF!</definedName>
    <definedName name="Timestamp" localSheetId="13">#REF!</definedName>
    <definedName name="Timestamp">#REF!</definedName>
    <definedName name="Title1" localSheetId="2">'[57]Process List'!#REF!</definedName>
    <definedName name="Title1" localSheetId="7">'[57]Process List'!#REF!</definedName>
    <definedName name="Title1" localSheetId="13">'[57]Process List'!#REF!</definedName>
    <definedName name="Title1">'[57]Process List'!#REF!</definedName>
    <definedName name="TITLEAA" localSheetId="2">[7]Model!#REF!</definedName>
    <definedName name="TITLEAA">[7]Model!#REF!</definedName>
    <definedName name="TITLEAB" localSheetId="2">[7]Model!#REF!</definedName>
    <definedName name="TITLEAB" localSheetId="7">[7]Model!#REF!</definedName>
    <definedName name="TITLEAB" localSheetId="13">[7]Model!#REF!</definedName>
    <definedName name="TITLEAB">[7]Model!#REF!</definedName>
    <definedName name="TITLEQTRA">[7]Model!#REF!</definedName>
    <definedName name="TITLEQTRB">[7]Model!#REF!</definedName>
    <definedName name="TOKENS">[3]MODEL!#REF!</definedName>
    <definedName name="Tom" localSheetId="2">#REF!</definedName>
    <definedName name="Tom" localSheetId="7">#REF!</definedName>
    <definedName name="Tom" localSheetId="13">#REF!</definedName>
    <definedName name="Tom">#REF!</definedName>
    <definedName name="TOPCST1998" localSheetId="2">[9]LaRonde!#REF!</definedName>
    <definedName name="TOPCST1998" localSheetId="7">[9]LaRonde!#REF!</definedName>
    <definedName name="TOPCST1998" localSheetId="13">[9]LaRonde!#REF!</definedName>
    <definedName name="TOPCST1998">[9]LaRonde!#REF!</definedName>
    <definedName name="TOT_CUST">[24]MODEL!$39:$39</definedName>
    <definedName name="tot_debt">'[26]Main Model'!$V$6</definedName>
    <definedName name="TOT_GATEWAY">[32]MODEL!$254:$254</definedName>
    <definedName name="Total" localSheetId="2">#REF!</definedName>
    <definedName name="Total" localSheetId="7">#REF!</definedName>
    <definedName name="Total" localSheetId="13">#REF!</definedName>
    <definedName name="Total">#REF!</definedName>
    <definedName name="Total_COS_net_DnA_fore" localSheetId="2">[23]Sheet1!#REF!</definedName>
    <definedName name="Total_COS_net_DnA_fore" localSheetId="7">[23]Sheet1!#REF!</definedName>
    <definedName name="Total_COS_net_DnA_fore" localSheetId="13">[23]Sheet1!#REF!</definedName>
    <definedName name="Total_COS_net_DnA_fore">[23]Sheet1!#REF!</definedName>
    <definedName name="Total_Cost_of_Sales">[3]MODEL!$12:$12</definedName>
    <definedName name="Total_Customers">[3]MODEL!$203:$203</definedName>
    <definedName name="Total_Gross_Profit">[3]MODEL!$16:$16</definedName>
    <definedName name="TOTAL_PP" localSheetId="2">[3]MODEL!#REF!</definedName>
    <definedName name="TOTAL_PP" localSheetId="7">[3]MODEL!#REF!</definedName>
    <definedName name="TOTAL_PP" localSheetId="13">[3]MODEL!#REF!</definedName>
    <definedName name="TOTAL_PP">[3]MODEL!#REF!</definedName>
    <definedName name="Total_Shareholders__Equity">[11]MODEL!$482:$482</definedName>
    <definedName name="totalFootNotes" localSheetId="2">#REF!</definedName>
    <definedName name="totalFootNotes" localSheetId="7">#REF!</definedName>
    <definedName name="totalFootNotes" localSheetId="13">#REF!</definedName>
    <definedName name="totalFootNotes">#REF!</definedName>
    <definedName name="TOTALVALEBITDA" localSheetId="7">#REF!</definedName>
    <definedName name="TOTALVALEBITDA" localSheetId="13">#REF!</definedName>
    <definedName name="TOTALVALEBITDA">#REF!</definedName>
    <definedName name="TOTALVALUE" localSheetId="7">#REF!</definedName>
    <definedName name="TOTALVALUE" localSheetId="13">#REF!</definedName>
    <definedName name="TOTALVALUE">#REF!</definedName>
    <definedName name="totdebt">#REF!</definedName>
    <definedName name="totounceshedged">#REF!</definedName>
    <definedName name="TSEE">[16]MODEL!$514:$514</definedName>
    <definedName name="TTM_PE_AVG">[32]MULTIPLES!$S$2052</definedName>
    <definedName name="TTM_PE_CURRENT">[32]MULTIPLES!$S$2046</definedName>
    <definedName name="TTM_PE_HIGH">[32]MULTIPLES!$S$2050</definedName>
    <definedName name="TTM_PE_LOW">[32]MULTIPLES!$S$2051</definedName>
    <definedName name="TTM_PE_MODE">[32]MULTIPLES!$S$2055</definedName>
    <definedName name="TTM_PS_AVG">[32]MULTIPLES!$U$2052</definedName>
    <definedName name="TTM_PS_CURRENT">[32]MULTIPLES!$U$2046</definedName>
    <definedName name="TTM_PS_HIGH">[32]MULTIPLES!$U$2050</definedName>
    <definedName name="TTM_PS_LOW">[32]MULTIPLES!$U$2051</definedName>
    <definedName name="TTM_PS_MODE">[32]MULTIPLES!$U$2055</definedName>
    <definedName name="tyu" hidden="1">"c124"</definedName>
    <definedName name="udfkmt" localSheetId="2">[6]Model!#REF!</definedName>
    <definedName name="udfkmt" localSheetId="7">[6]Model!#REF!</definedName>
    <definedName name="udfkmt" localSheetId="13">[6]Model!#REF!</definedName>
    <definedName name="udfkmt">[6]Model!#REF!</definedName>
    <definedName name="uigl" localSheetId="2" hidden="1">[6]DS_Industry_Specif!#REF!</definedName>
    <definedName name="uigl" localSheetId="7" hidden="1">[6]DS_Industry_Specif!#REF!</definedName>
    <definedName name="uigl" localSheetId="13" hidden="1">[6]DS_Industry_Specif!#REF!</definedName>
    <definedName name="uigl" hidden="1">[6]DS_Industry_Specif!#REF!</definedName>
    <definedName name="uky" localSheetId="7" hidden="1">[6]DS_Industry_Specif!#REF!</definedName>
    <definedName name="uky" localSheetId="13" hidden="1">[6]DS_Industry_Specif!#REF!</definedName>
    <definedName name="uky" hidden="1">[6]DS_Industry_Specif!#REF!</definedName>
    <definedName name="UNBILLED_AR">[3]MODEL!$510:$510</definedName>
    <definedName name="Uniface" localSheetId="2">#REF!</definedName>
    <definedName name="Uniface" localSheetId="7">#REF!</definedName>
    <definedName name="Uniface" localSheetId="13">#REF!</definedName>
    <definedName name="Uniface">#REF!</definedName>
    <definedName name="Unify" localSheetId="7">#REF!</definedName>
    <definedName name="Unify" localSheetId="13">#REF!</definedName>
    <definedName name="Unify">#REF!</definedName>
    <definedName name="UniqueRange_0" localSheetId="7">#REF!</definedName>
    <definedName name="UniqueRange_0" localSheetId="13">#REF!</definedName>
    <definedName name="UniqueRange_0">#REF!</definedName>
    <definedName name="UniqueRange_1">#REF!</definedName>
    <definedName name="UniqueRange_10">#REF!</definedName>
    <definedName name="UniqueRange_11">#REF!</definedName>
    <definedName name="UniqueRange_12">#REF!</definedName>
    <definedName name="UniqueRange_153">#REF!</definedName>
    <definedName name="UniqueRange_154">#REF!</definedName>
    <definedName name="UniqueRange_159">#REF!</definedName>
    <definedName name="UniqueRange_160">#REF!</definedName>
    <definedName name="UniqueRange_165">#REF!</definedName>
    <definedName name="UniqueRange_166">#REF!</definedName>
    <definedName name="UniqueRange_2">#REF!</definedName>
    <definedName name="UniqueRange_5">#REF!</definedName>
    <definedName name="UniqueRange_6">#REF!</definedName>
    <definedName name="UniqueRange_7">#REF!</definedName>
    <definedName name="UniqueRange_8">#REF!</definedName>
    <definedName name="UniqueRange_9">#REF!</definedName>
    <definedName name="upper_left1">#REF!</definedName>
    <definedName name="upper_left2">#REF!</definedName>
    <definedName name="uranium">[31]Michelin!$F$669</definedName>
    <definedName name="uranium_s">[31]Michelin!$F$677</definedName>
    <definedName name="URoy">[31]Michelin!$F$75</definedName>
    <definedName name="US_BANKS" localSheetId="2">[3]MODEL!#REF!</definedName>
    <definedName name="US_BANKS" localSheetId="7">[3]MODEL!#REF!</definedName>
    <definedName name="US_BANKS" localSheetId="13">[3]MODEL!#REF!</definedName>
    <definedName name="US_BANKS">[3]MODEL!#REF!</definedName>
    <definedName name="VALUATION" localSheetId="2">#N/A</definedName>
    <definedName name="VALUATION" localSheetId="7">V!VALUATION</definedName>
    <definedName name="VALUATION" localSheetId="13">'V Sensitivity'!VALUATION</definedName>
    <definedName name="VALUATION">V!VALUATION</definedName>
    <definedName name="Value_of_Equity" localSheetId="2">#REF!</definedName>
    <definedName name="Value_of_Equity" localSheetId="7">#REF!</definedName>
    <definedName name="Value_of_Equity" localSheetId="13">#REF!</definedName>
    <definedName name="Value_of_Equity">#REF!</definedName>
    <definedName name="vars" localSheetId="7">#REF!</definedName>
    <definedName name="vars" localSheetId="13">#REF!</definedName>
    <definedName name="vars">#REF!</definedName>
    <definedName name="Version" localSheetId="7">#REF!</definedName>
    <definedName name="Version" localSheetId="13">#REF!</definedName>
    <definedName name="Version">#REF!</definedName>
    <definedName name="VFLastRow">#REF!</definedName>
    <definedName name="VSCN">[3]MODEL!#REF!</definedName>
    <definedName name="WABSO">'[31]EPS Model'!$H$17:$AU$17</definedName>
    <definedName name="WACC">[3]WACC!$C$30</definedName>
    <definedName name="WACC_1">[23]Sheet1!$Q$44</definedName>
    <definedName name="WACC_10">[23]Sheet1!$H$44</definedName>
    <definedName name="WACC_11">[23]Sheet1!$G$44</definedName>
    <definedName name="WACC_12">[23]Sheet1!$F$44</definedName>
    <definedName name="WACC_13">[23]Sheet1!$E$44</definedName>
    <definedName name="WACC_14">[23]Sheet1!$D$44</definedName>
    <definedName name="WACC_2">[23]Sheet1!$P$44</definedName>
    <definedName name="WACC_3">[23]Sheet1!$O$44</definedName>
    <definedName name="WACC_4">[23]Sheet1!$N$44</definedName>
    <definedName name="WACC_5">[23]Sheet1!$M$44</definedName>
    <definedName name="WACC_6">[23]Sheet1!$L$44</definedName>
    <definedName name="WACC_7">[23]Sheet1!$K$44</definedName>
    <definedName name="WACC_8">[23]Sheet1!$J$44</definedName>
    <definedName name="WACC_9">[23]Sheet1!$I$44</definedName>
    <definedName name="WACC_P">[23]Sheet1!$R$44</definedName>
    <definedName name="WACC_P_8" localSheetId="2">[23]Sheet1!#REF!</definedName>
    <definedName name="WACC_P_8" localSheetId="7">[23]Sheet1!#REF!</definedName>
    <definedName name="WACC_P_8" localSheetId="13">[23]Sheet1!#REF!</definedName>
    <definedName name="WACC_P_8">[23]Sheet1!#REF!</definedName>
    <definedName name="WAFDSO">'[31]EPS Model'!$H$18:$AU$18</definedName>
    <definedName name="WBSO">[31]Michelin!$L$266:$BN$266</definedName>
    <definedName name="WFDSO">[31]Michelin!$L$267:$BN$267</definedName>
    <definedName name="WIZARD_3YRATCF" localSheetId="2">#REF!</definedName>
    <definedName name="WIZARD_3YRATCF" localSheetId="11">#REF!</definedName>
    <definedName name="WIZARD_3YRATCF" localSheetId="6">#REF!</definedName>
    <definedName name="WIZARD_3YRATCF" localSheetId="7">#REF!</definedName>
    <definedName name="WIZARD_3YRATCF" localSheetId="13">#REF!</definedName>
    <definedName name="WIZARD_3YRATCF">#REF!</definedName>
    <definedName name="WIZARD_3YREBITDA" localSheetId="11">#REF!</definedName>
    <definedName name="WIZARD_3YREBITDA" localSheetId="6">#REF!</definedName>
    <definedName name="WIZARD_3YREBITDA">#REF!</definedName>
    <definedName name="WIZARD_3YRSECGROWTH" localSheetId="11">#REF!</definedName>
    <definedName name="WIZARD_3YRSECGROWTH" localSheetId="6">#REF!</definedName>
    <definedName name="WIZARD_3YRSECGROWTH">#REF!</definedName>
    <definedName name="WIZARD_AVGTRADINGVOLUME" localSheetId="11">#REF!</definedName>
    <definedName name="WIZARD_AVGTRADINGVOLUME" localSheetId="6">#REF!</definedName>
    <definedName name="WIZARD_AVGTRADINGVOLUME">#REF!</definedName>
    <definedName name="WIZARD_BKVALSHR" localSheetId="11">#REF!</definedName>
    <definedName name="WIZARD_BKVALSHR" localSheetId="6">#REF!</definedName>
    <definedName name="WIZARD_BKVALSHR">#REF!</definedName>
    <definedName name="WIZARD_BURNRATE" localSheetId="11">#REF!</definedName>
    <definedName name="WIZARD_BURNRATE" localSheetId="6">#REF!</definedName>
    <definedName name="WIZARD_BURNRATE">#REF!</definedName>
    <definedName name="WIZARD_CASH" localSheetId="11">#REF!</definedName>
    <definedName name="WIZARD_CASH" localSheetId="6">#REF!</definedName>
    <definedName name="WIZARD_CASH">#REF!</definedName>
    <definedName name="WIZARD_DIVYIELD" localSheetId="11">#REF!</definedName>
    <definedName name="WIZARD_DIVYIELD" localSheetId="6">#REF!</definedName>
    <definedName name="WIZARD_DIVYIELD">#REF!</definedName>
    <definedName name="WIZARD_EARNINGS" localSheetId="11">#REF!</definedName>
    <definedName name="WIZARD_EARNINGS" localSheetId="6">#REF!</definedName>
    <definedName name="WIZARD_EARNINGS">#REF!</definedName>
    <definedName name="WIZARD_EBITDABYSHROO" localSheetId="11">#REF!</definedName>
    <definedName name="WIZARD_EBITDABYSHROO" localSheetId="6">#REF!</definedName>
    <definedName name="WIZARD_EBITDABYSHROO">#REF!</definedName>
    <definedName name="WIZARD_EVBYEBITDAOO" localSheetId="11">#REF!</definedName>
    <definedName name="WIZARD_EVBYEBITDAOO" localSheetId="6">#REF!</definedName>
    <definedName name="WIZARD_EVBYEBITDAOO">#REF!</definedName>
    <definedName name="WIZARD_EVINVCAP" localSheetId="11">#REF!</definedName>
    <definedName name="WIZARD_EVINVCAP" localSheetId="6">#REF!</definedName>
    <definedName name="WIZARD_EVINVCAP">#REF!</definedName>
    <definedName name="WIZARD_LTDEBT" localSheetId="11">#REF!</definedName>
    <definedName name="WIZARD_LTDEBT" localSheetId="6">#REF!</definedName>
    <definedName name="WIZARD_LTDEBT">#REF!</definedName>
    <definedName name="WIZARD_MARKETCAP" localSheetId="11">#REF!</definedName>
    <definedName name="WIZARD_MARKETCAP" localSheetId="6">#REF!</definedName>
    <definedName name="WIZARD_MARKETCAP">#REF!</definedName>
    <definedName name="WIZARD_NETDEBTCAP" localSheetId="11">#REF!</definedName>
    <definedName name="WIZARD_NETDEBTCAP" localSheetId="6">#REF!</definedName>
    <definedName name="WIZARD_NETDEBTCAP">#REF!</definedName>
    <definedName name="WIZARD_OPERMARGIN" localSheetId="11">#REF!</definedName>
    <definedName name="WIZARD_OPERMARGIN" localSheetId="6">#REF!</definedName>
    <definedName name="WIZARD_OPERMARGIN">#REF!</definedName>
    <definedName name="WIZARD_PRICEESTNAV" localSheetId="11">#REF!</definedName>
    <definedName name="WIZARD_PRICEESTNAV" localSheetId="6">#REF!</definedName>
    <definedName name="WIZARD_PRICEESTNAV">#REF!</definedName>
    <definedName name="WIZARD_REVENUES" localSheetId="11">#REF!</definedName>
    <definedName name="WIZARD_REVENUES" localSheetId="6">#REF!</definedName>
    <definedName name="WIZARD_REVENUES">#REF!</definedName>
    <definedName name="WIZARD_ROAA" localSheetId="11">#REF!</definedName>
    <definedName name="WIZARD_ROAA" localSheetId="6">#REF!</definedName>
    <definedName name="WIZARD_ROAA">#REF!</definedName>
    <definedName name="WIZARD_ROAE" localSheetId="11">#REF!</definedName>
    <definedName name="WIZARD_ROAE" localSheetId="6">#REF!</definedName>
    <definedName name="WIZARD_ROAE">#REF!</definedName>
    <definedName name="WIZARD_ROE" localSheetId="11">#REF!</definedName>
    <definedName name="WIZARD_ROE" localSheetId="6">#REF!</definedName>
    <definedName name="WIZARD_ROE">#REF!</definedName>
    <definedName name="WIZARD_ROIC" localSheetId="11">#REF!</definedName>
    <definedName name="WIZARD_ROIC" localSheetId="6">#REF!</definedName>
    <definedName name="WIZARD_ROIC">#REF!</definedName>
    <definedName name="WIZARD_SHARESOUT" localSheetId="11">#REF!</definedName>
    <definedName name="WIZARD_SHARESOUT" localSheetId="6">#REF!</definedName>
    <definedName name="WIZARD_SHARESOUT">#REF!</definedName>
    <definedName name="WIZARD_STATIONREV" localSheetId="11">#REF!</definedName>
    <definedName name="WIZARD_STATIONREV" localSheetId="6">#REF!</definedName>
    <definedName name="WIZARD_STATIONREV">#REF!</definedName>
    <definedName name="WIZARD_TICKER" localSheetId="11">#REF!</definedName>
    <definedName name="WIZARD_TICKER" localSheetId="6">#REF!</definedName>
    <definedName name="WIZARD_TICKER">#REF!</definedName>
    <definedName name="WIZARD_TOTDEBTCAP" localSheetId="11">#REF!</definedName>
    <definedName name="WIZARD_TOTDEBTCAP" localSheetId="6">#REF!</definedName>
    <definedName name="WIZARD_TOTDEBTCAP">#REF!</definedName>
    <definedName name="WIZARD_Y1CAPREVR" localSheetId="11">[58]AMAT_FC!#REF!</definedName>
    <definedName name="WIZARD_Y1CAPREVR" localSheetId="6">[58]AMAT_FC!#REF!</definedName>
    <definedName name="WIZARD_Y1CAPREVR" localSheetId="7">[58]AMAT_FC!#REF!</definedName>
    <definedName name="WIZARD_Y1CAPREVR" localSheetId="13">[58]AMAT_FC!#REF!</definedName>
    <definedName name="WIZARD_Y1CAPREVR">[58]AMAT_FC!#REF!</definedName>
    <definedName name="WIZARD_Y1CAPREVS2" localSheetId="2">#REF!</definedName>
    <definedName name="WIZARD_Y1CAPREVS2" localSheetId="11">#REF!</definedName>
    <definedName name="WIZARD_Y1CAPREVS2" localSheetId="6">#REF!</definedName>
    <definedName name="WIZARD_Y1CAPREVS2" localSheetId="7">#REF!</definedName>
    <definedName name="WIZARD_Y1CAPREVS2" localSheetId="13">#REF!</definedName>
    <definedName name="WIZARD_Y1CAPREVS2">#REF!</definedName>
    <definedName name="WIZARD_Y1CASHCYEPSS1" localSheetId="11">#REF!</definedName>
    <definedName name="WIZARD_Y1CASHCYEPSS1" localSheetId="6">#REF!</definedName>
    <definedName name="WIZARD_Y1CASHCYEPSS1">#REF!</definedName>
    <definedName name="WIZARD_Y1CASHCYPES1" localSheetId="11">#REF!</definedName>
    <definedName name="WIZARD_Y1CASHCYPES1" localSheetId="6">#REF!</definedName>
    <definedName name="WIZARD_Y1CASHCYPES1">#REF!</definedName>
    <definedName name="WIZARD_Y1CYE" localSheetId="11">[58]AMAT_FC!#REF!</definedName>
    <definedName name="WIZARD_Y1CYE" localSheetId="6">[58]AMAT_FC!#REF!</definedName>
    <definedName name="WIZARD_Y1CYE" localSheetId="7">[58]AMAT_FC!#REF!</definedName>
    <definedName name="WIZARD_Y1CYE" localSheetId="13">[58]AMAT_FC!#REF!</definedName>
    <definedName name="WIZARD_Y1CYE">[58]AMAT_FC!#REF!</definedName>
    <definedName name="WIZARD_Y1CYPEE" localSheetId="11">[58]AMAT_FC!#REF!</definedName>
    <definedName name="WIZARD_Y1CYPEE" localSheetId="6">[58]AMAT_FC!#REF!</definedName>
    <definedName name="WIZARD_Y1CYPEE" localSheetId="7">[58]AMAT_FC!#REF!</definedName>
    <definedName name="WIZARD_Y1CYPEE" localSheetId="13">[58]AMAT_FC!#REF!</definedName>
    <definedName name="WIZARD_Y1CYPEE">[58]AMAT_FC!#REF!</definedName>
    <definedName name="WIZARD_Y1CYPES1" localSheetId="2">#REF!</definedName>
    <definedName name="WIZARD_Y1CYPES1" localSheetId="11">#REF!</definedName>
    <definedName name="WIZARD_Y1CYPES1" localSheetId="6">#REF!</definedName>
    <definedName name="WIZARD_Y1CYPES1" localSheetId="7">#REF!</definedName>
    <definedName name="WIZARD_Y1CYPES1" localSheetId="13">#REF!</definedName>
    <definedName name="WIZARD_Y1CYPES1">#REF!</definedName>
    <definedName name="WIZARD_Y1CYREVS2" localSheetId="11">#REF!</definedName>
    <definedName name="WIZARD_Y1CYREVS2" localSheetId="6">#REF!</definedName>
    <definedName name="WIZARD_Y1CYREVS2">#REF!</definedName>
    <definedName name="WIZARD_Y1CYS1" localSheetId="11">#REF!</definedName>
    <definedName name="WIZARD_Y1CYS1" localSheetId="6">#REF!</definedName>
    <definedName name="WIZARD_Y1CYS1">#REF!</definedName>
    <definedName name="WIZARD_Y1E" localSheetId="11">[58]AMAT_FC!#REF!</definedName>
    <definedName name="WIZARD_Y1E" localSheetId="6">[58]AMAT_FC!#REF!</definedName>
    <definedName name="WIZARD_Y1E" localSheetId="7">[58]AMAT_FC!#REF!</definedName>
    <definedName name="WIZARD_Y1E" localSheetId="13">[58]AMAT_FC!#REF!</definedName>
    <definedName name="WIZARD_Y1E">[58]AMAT_FC!#REF!</definedName>
    <definedName name="WIZARD_Y1EBITDAYRS2" localSheetId="2">#REF!</definedName>
    <definedName name="WIZARD_Y1EBITDAYRS2" localSheetId="11">#REF!</definedName>
    <definedName name="WIZARD_Y1EBITDAYRS2" localSheetId="6">#REF!</definedName>
    <definedName name="WIZARD_Y1EBITDAYRS2" localSheetId="7">#REF!</definedName>
    <definedName name="WIZARD_Y1EBITDAYRS2" localSheetId="13">#REF!</definedName>
    <definedName name="WIZARD_Y1EBITDAYRS2">#REF!</definedName>
    <definedName name="WIZARD_Y1EMVBYREV" localSheetId="11">#REF!</definedName>
    <definedName name="WIZARD_Y1EMVBYREV" localSheetId="6">#REF!</definedName>
    <definedName name="WIZARD_Y1EMVBYREV">#REF!</definedName>
    <definedName name="WIZARD_Y1EVEBITDAS2" localSheetId="11">#REF!</definedName>
    <definedName name="WIZARD_Y1EVEBITDAS2" localSheetId="6">#REF!</definedName>
    <definedName name="WIZARD_Y1EVEBITDAS2">#REF!</definedName>
    <definedName name="WIZARD_Y1PEE" localSheetId="11">[58]AMAT_FC!#REF!</definedName>
    <definedName name="WIZARD_Y1PEE" localSheetId="6">[58]AMAT_FC!#REF!</definedName>
    <definedName name="WIZARD_Y1PEE" localSheetId="7">[58]AMAT_FC!#REF!</definedName>
    <definedName name="WIZARD_Y1PEE" localSheetId="13">[58]AMAT_FC!#REF!</definedName>
    <definedName name="WIZARD_Y1PEE">[58]AMAT_FC!#REF!</definedName>
    <definedName name="WIZARD_Y1PES1" localSheetId="2">#REF!</definedName>
    <definedName name="WIZARD_Y1PES1" localSheetId="11">#REF!</definedName>
    <definedName name="WIZARD_Y1PES1" localSheetId="6">#REF!</definedName>
    <definedName name="WIZARD_Y1PES1" localSheetId="7">#REF!</definedName>
    <definedName name="WIZARD_Y1PES1" localSheetId="13">#REF!</definedName>
    <definedName name="WIZARD_Y1PES1">#REF!</definedName>
    <definedName name="WIZARD_Y1Q1E" localSheetId="2">[58]AMAT_FC!#REF!</definedName>
    <definedName name="WIZARD_Y1Q1E" localSheetId="11">[58]AMAT_FC!#REF!</definedName>
    <definedName name="WIZARD_Y1Q1E" localSheetId="6">[58]AMAT_FC!#REF!</definedName>
    <definedName name="WIZARD_Y1Q1E" localSheetId="7">[58]AMAT_FC!#REF!</definedName>
    <definedName name="WIZARD_Y1Q1E" localSheetId="13">[58]AMAT_FC!#REF!</definedName>
    <definedName name="WIZARD_Y1Q1E">[58]AMAT_FC!#REF!</definedName>
    <definedName name="WIZARD_Y1Q1R" localSheetId="11">[58]AMAT_FC!#REF!</definedName>
    <definedName name="WIZARD_Y1Q1R" localSheetId="6">[58]AMAT_FC!#REF!</definedName>
    <definedName name="WIZARD_Y1Q1R" localSheetId="7">[58]AMAT_FC!#REF!</definedName>
    <definedName name="WIZARD_Y1Q1R" localSheetId="13">[58]AMAT_FC!#REF!</definedName>
    <definedName name="WIZARD_Y1Q1R">[58]AMAT_FC!#REF!</definedName>
    <definedName name="WIZARD_Y1Q1S1" localSheetId="2">#REF!</definedName>
    <definedName name="WIZARD_Y1Q1S1" localSheetId="11">#REF!</definedName>
    <definedName name="WIZARD_Y1Q1S1" localSheetId="6">#REF!</definedName>
    <definedName name="WIZARD_Y1Q1S1" localSheetId="7">#REF!</definedName>
    <definedName name="WIZARD_Y1Q1S1" localSheetId="13">#REF!</definedName>
    <definedName name="WIZARD_Y1Q1S1">#REF!</definedName>
    <definedName name="WIZARD_Y1Q1S2" localSheetId="11">#REF!</definedName>
    <definedName name="WIZARD_Y1Q1S2" localSheetId="6">#REF!</definedName>
    <definedName name="WIZARD_Y1Q1S2">#REF!</definedName>
    <definedName name="WIZARD_Y1Q2E" localSheetId="11">[58]AMAT_FC!#REF!</definedName>
    <definedName name="WIZARD_Y1Q2E" localSheetId="6">[58]AMAT_FC!#REF!</definedName>
    <definedName name="WIZARD_Y1Q2E" localSheetId="7">[58]AMAT_FC!#REF!</definedName>
    <definedName name="WIZARD_Y1Q2E" localSheetId="13">[58]AMAT_FC!#REF!</definedName>
    <definedName name="WIZARD_Y1Q2E">[58]AMAT_FC!#REF!</definedName>
    <definedName name="WIZARD_Y1Q2R" localSheetId="11">[58]AMAT_FC!#REF!</definedName>
    <definedName name="WIZARD_Y1Q2R" localSheetId="6">[58]AMAT_FC!#REF!</definedName>
    <definedName name="WIZARD_Y1Q2R" localSheetId="7">[58]AMAT_FC!#REF!</definedName>
    <definedName name="WIZARD_Y1Q2R" localSheetId="13">[58]AMAT_FC!#REF!</definedName>
    <definedName name="WIZARD_Y1Q2R">[58]AMAT_FC!#REF!</definedName>
    <definedName name="WIZARD_Y1Q2S1" localSheetId="2">#REF!</definedName>
    <definedName name="WIZARD_Y1Q2S1" localSheetId="11">#REF!</definedName>
    <definedName name="WIZARD_Y1Q2S1" localSheetId="6">#REF!</definedName>
    <definedName name="WIZARD_Y1Q2S1" localSheetId="7">#REF!</definedName>
    <definedName name="WIZARD_Y1Q2S1" localSheetId="13">#REF!</definedName>
    <definedName name="WIZARD_Y1Q2S1">#REF!</definedName>
    <definedName name="WIZARD_Y1Q2S2" localSheetId="11">#REF!</definedName>
    <definedName name="WIZARD_Y1Q2S2" localSheetId="6">#REF!</definedName>
    <definedName name="WIZARD_Y1Q2S2">#REF!</definedName>
    <definedName name="WIZARD_Y1Q3E" localSheetId="11">[58]AMAT_FC!#REF!</definedName>
    <definedName name="WIZARD_Y1Q3E" localSheetId="6">[58]AMAT_FC!#REF!</definedName>
    <definedName name="WIZARD_Y1Q3E" localSheetId="7">[58]AMAT_FC!#REF!</definedName>
    <definedName name="WIZARD_Y1Q3E" localSheetId="13">[58]AMAT_FC!#REF!</definedName>
    <definedName name="WIZARD_Y1Q3E">[58]AMAT_FC!#REF!</definedName>
    <definedName name="WIZARD_Y1Q3R" localSheetId="11">[58]AMAT_FC!#REF!</definedName>
    <definedName name="WIZARD_Y1Q3R" localSheetId="6">[58]AMAT_FC!#REF!</definedName>
    <definedName name="WIZARD_Y1Q3R" localSheetId="7">[58]AMAT_FC!#REF!</definedName>
    <definedName name="WIZARD_Y1Q3R" localSheetId="13">[58]AMAT_FC!#REF!</definedName>
    <definedName name="WIZARD_Y1Q3R">[58]AMAT_FC!#REF!</definedName>
    <definedName name="WIZARD_Y1Q3S1" localSheetId="2">#REF!</definedName>
    <definedName name="WIZARD_Y1Q3S1" localSheetId="11">#REF!</definedName>
    <definedName name="WIZARD_Y1Q3S1" localSheetId="6">#REF!</definedName>
    <definedName name="WIZARD_Y1Q3S1" localSheetId="7">#REF!</definedName>
    <definedName name="WIZARD_Y1Q3S1" localSheetId="13">#REF!</definedName>
    <definedName name="WIZARD_Y1Q3S1">#REF!</definedName>
    <definedName name="WIZARD_Y1Q3S2" localSheetId="11">#REF!</definedName>
    <definedName name="WIZARD_Y1Q3S2" localSheetId="6">#REF!</definedName>
    <definedName name="WIZARD_Y1Q3S2">#REF!</definedName>
    <definedName name="WIZARD_Y1Q4E" localSheetId="11">[58]AMAT_FC!#REF!</definedName>
    <definedName name="WIZARD_Y1Q4E" localSheetId="6">[58]AMAT_FC!#REF!</definedName>
    <definedName name="WIZARD_Y1Q4E" localSheetId="7">[58]AMAT_FC!#REF!</definedName>
    <definedName name="WIZARD_Y1Q4E" localSheetId="13">[58]AMAT_FC!#REF!</definedName>
    <definedName name="WIZARD_Y1Q4E">[58]AMAT_FC!#REF!</definedName>
    <definedName name="WIZARD_Y1Q4R" localSheetId="11">[58]AMAT_FC!#REF!</definedName>
    <definedName name="WIZARD_Y1Q4R" localSheetId="6">[58]AMAT_FC!#REF!</definedName>
    <definedName name="WIZARD_Y1Q4R" localSheetId="7">[58]AMAT_FC!#REF!</definedName>
    <definedName name="WIZARD_Y1Q4R" localSheetId="13">[58]AMAT_FC!#REF!</definedName>
    <definedName name="WIZARD_Y1Q4R">[58]AMAT_FC!#REF!</definedName>
    <definedName name="WIZARD_Y1Q4S1" localSheetId="2">#REF!</definedName>
    <definedName name="WIZARD_Y1Q4S1" localSheetId="11">#REF!</definedName>
    <definedName name="WIZARD_Y1Q4S1" localSheetId="6">#REF!</definedName>
    <definedName name="WIZARD_Y1Q4S1" localSheetId="7">#REF!</definedName>
    <definedName name="WIZARD_Y1Q4S1" localSheetId="13">#REF!</definedName>
    <definedName name="WIZARD_Y1Q4S1">#REF!</definedName>
    <definedName name="WIZARD_Y1Q4S2" localSheetId="11">#REF!</definedName>
    <definedName name="WIZARD_Y1Q4S2" localSheetId="6">#REF!</definedName>
    <definedName name="WIZARD_Y1Q4S2">#REF!</definedName>
    <definedName name="WIZARD_Y1R" localSheetId="11">[58]AMAT_FC!#REF!</definedName>
    <definedName name="WIZARD_Y1R" localSheetId="6">[58]AMAT_FC!#REF!</definedName>
    <definedName name="WIZARD_Y1R" localSheetId="7">[58]AMAT_FC!#REF!</definedName>
    <definedName name="WIZARD_Y1R" localSheetId="13">[58]AMAT_FC!#REF!</definedName>
    <definedName name="WIZARD_Y1R">[58]AMAT_FC!#REF!</definedName>
    <definedName name="WIZARD_Y1S1" localSheetId="2">#REF!</definedName>
    <definedName name="WIZARD_Y1S1" localSheetId="11">#REF!</definedName>
    <definedName name="WIZARD_Y1S1" localSheetId="6">#REF!</definedName>
    <definedName name="WIZARD_Y1S1" localSheetId="7">#REF!</definedName>
    <definedName name="WIZARD_Y1S1" localSheetId="13">#REF!</definedName>
    <definedName name="WIZARD_Y1S1">#REF!</definedName>
    <definedName name="WIZARD_Y1S2" localSheetId="11">#REF!</definedName>
    <definedName name="WIZARD_Y1S2" localSheetId="6">#REF!</definedName>
    <definedName name="WIZARD_Y1S2">#REF!</definedName>
    <definedName name="WIZARD_Y1YEARE" localSheetId="11">[58]AMAT_FC!#REF!</definedName>
    <definedName name="WIZARD_Y1YEARE" localSheetId="6">[58]AMAT_FC!#REF!</definedName>
    <definedName name="WIZARD_Y1YEARE" localSheetId="7">[58]AMAT_FC!#REF!</definedName>
    <definedName name="WIZARD_Y1YEARE" localSheetId="13">[58]AMAT_FC!#REF!</definedName>
    <definedName name="WIZARD_Y1YEARE">[58]AMAT_FC!#REF!</definedName>
    <definedName name="WIZARD_Y1YEARR" localSheetId="11">[58]AMAT_FC!#REF!</definedName>
    <definedName name="WIZARD_Y1YEARR" localSheetId="6">[58]AMAT_FC!#REF!</definedName>
    <definedName name="WIZARD_Y1YEARR" localSheetId="7">[58]AMAT_FC!#REF!</definedName>
    <definedName name="WIZARD_Y1YEARR" localSheetId="13">[58]AMAT_FC!#REF!</definedName>
    <definedName name="WIZARD_Y1YEARR">[58]AMAT_FC!#REF!</definedName>
    <definedName name="WIZARD_Y1YEARS1" localSheetId="2">#REF!</definedName>
    <definedName name="WIZARD_Y1YEARS1" localSheetId="11">#REF!</definedName>
    <definedName name="WIZARD_Y1YEARS1" localSheetId="6">#REF!</definedName>
    <definedName name="WIZARD_Y1YEARS1" localSheetId="7">#REF!</definedName>
    <definedName name="WIZARD_Y1YEARS1" localSheetId="13">#REF!</definedName>
    <definedName name="WIZARD_Y1YEARS1">#REF!</definedName>
    <definedName name="WIZARD_Y1YEARS2" localSheetId="11">#REF!</definedName>
    <definedName name="WIZARD_Y1YEARS2" localSheetId="6">#REF!</definedName>
    <definedName name="WIZARD_Y1YEARS2">#REF!</definedName>
    <definedName name="WIZARD_Y2EMVBYREV" localSheetId="11">#REF!</definedName>
    <definedName name="WIZARD_Y2EMVBYREV" localSheetId="6">#REF!</definedName>
    <definedName name="WIZARD_Y2EMVBYREV">#REF!</definedName>
    <definedName name="WIZARD_Y2PES1" localSheetId="11">#REF!</definedName>
    <definedName name="WIZARD_Y2PES1" localSheetId="6">#REF!</definedName>
    <definedName name="WIZARD_Y2PES1">#REF!</definedName>
    <definedName name="WIZARD_Y2Q1S1" localSheetId="11">#REF!</definedName>
    <definedName name="WIZARD_Y2Q1S1" localSheetId="6">#REF!</definedName>
    <definedName name="WIZARD_Y2Q1S1">#REF!</definedName>
    <definedName name="WIZARD_Y2Q1S2" localSheetId="11">#REF!</definedName>
    <definedName name="WIZARD_Y2Q1S2" localSheetId="6">#REF!</definedName>
    <definedName name="WIZARD_Y2Q1S2">#REF!</definedName>
    <definedName name="WIZARD_Y2Q2S1" localSheetId="11">#REF!</definedName>
    <definedName name="WIZARD_Y2Q2S1" localSheetId="6">#REF!</definedName>
    <definedName name="WIZARD_Y2Q2S1">#REF!</definedName>
    <definedName name="WIZARD_Y2Q2S2" localSheetId="11">#REF!</definedName>
    <definedName name="WIZARD_Y2Q2S2" localSheetId="6">#REF!</definedName>
    <definedName name="WIZARD_Y2Q2S2">#REF!</definedName>
    <definedName name="WIZARD_Y2Q3S1" localSheetId="11">#REF!</definedName>
    <definedName name="WIZARD_Y2Q3S1" localSheetId="6">#REF!</definedName>
    <definedName name="WIZARD_Y2Q3S1">#REF!</definedName>
    <definedName name="WIZARD_Y2Q3S2" localSheetId="11">#REF!</definedName>
    <definedName name="WIZARD_Y2Q3S2" localSheetId="6">#REF!</definedName>
    <definedName name="WIZARD_Y2Q3S2">#REF!</definedName>
    <definedName name="WIZARD_Y2Q4S1" localSheetId="11">#REF!</definedName>
    <definedName name="WIZARD_Y2Q4S1" localSheetId="6">#REF!</definedName>
    <definedName name="WIZARD_Y2Q4S1">#REF!</definedName>
    <definedName name="WIZARD_Y2Q4S2" localSheetId="11">#REF!</definedName>
    <definedName name="WIZARD_Y2Q4S2" localSheetId="6">#REF!</definedName>
    <definedName name="WIZARD_Y2Q4S2">#REF!</definedName>
    <definedName name="WIZARD_Y2S1" localSheetId="11">#REF!</definedName>
    <definedName name="WIZARD_Y2S1" localSheetId="6">#REF!</definedName>
    <definedName name="WIZARD_Y2S1">#REF!</definedName>
    <definedName name="WIZARD_Y2S2" localSheetId="11">#REF!</definedName>
    <definedName name="WIZARD_Y2S2" localSheetId="6">#REF!</definedName>
    <definedName name="WIZARD_Y2S2">#REF!</definedName>
    <definedName name="WIZARD_Y2YEARS2" localSheetId="11">#REF!</definedName>
    <definedName name="WIZARD_Y2YEARS2" localSheetId="6">#REF!</definedName>
    <definedName name="WIZARD_Y2YEARS2">#REF!</definedName>
    <definedName name="WIZARD_Y3EMVBYREV" localSheetId="11">#REF!</definedName>
    <definedName name="WIZARD_Y3EMVBYREV" localSheetId="6">#REF!</definedName>
    <definedName name="WIZARD_Y3EMVBYREV">#REF!</definedName>
    <definedName name="WIZARD_Y3PES1" localSheetId="11">#REF!</definedName>
    <definedName name="WIZARD_Y3PES1" localSheetId="6">#REF!</definedName>
    <definedName name="WIZARD_Y3PES1">#REF!</definedName>
    <definedName name="WIZARD_Y3Q1E">[59]NVLS_FC!$G$11</definedName>
    <definedName name="WIZARD_Y3Q1S1" localSheetId="2">#REF!</definedName>
    <definedName name="WIZARD_Y3Q1S1" localSheetId="11">#REF!</definedName>
    <definedName name="WIZARD_Y3Q1S1" localSheetId="6">#REF!</definedName>
    <definedName name="WIZARD_Y3Q1S1" localSheetId="7">#REF!</definedName>
    <definedName name="WIZARD_Y3Q1S1" localSheetId="13">#REF!</definedName>
    <definedName name="WIZARD_Y3Q1S1">#REF!</definedName>
    <definedName name="WIZARD_Y3Q1S2" localSheetId="11">#REF!</definedName>
    <definedName name="WIZARD_Y3Q1S2" localSheetId="6">#REF!</definedName>
    <definedName name="WIZARD_Y3Q1S2">#REF!</definedName>
    <definedName name="WIZARD_Y3Q2S1" localSheetId="11">#REF!</definedName>
    <definedName name="WIZARD_Y3Q2S1" localSheetId="6">#REF!</definedName>
    <definedName name="WIZARD_Y3Q2S1">#REF!</definedName>
    <definedName name="WIZARD_Y3Q2S2" localSheetId="11">#REF!</definedName>
    <definedName name="WIZARD_Y3Q2S2" localSheetId="6">#REF!</definedName>
    <definedName name="WIZARD_Y3Q2S2">#REF!</definedName>
    <definedName name="WIZARD_Y3Q3S1" localSheetId="11">#REF!</definedName>
    <definedName name="WIZARD_Y3Q3S1" localSheetId="6">#REF!</definedName>
    <definedName name="WIZARD_Y3Q3S1">#REF!</definedName>
    <definedName name="WIZARD_Y3Q3S2" localSheetId="11">#REF!</definedName>
    <definedName name="WIZARD_Y3Q3S2" localSheetId="6">#REF!</definedName>
    <definedName name="WIZARD_Y3Q3S2">#REF!</definedName>
    <definedName name="WIZARD_Y3Q4S1" localSheetId="11">#REF!</definedName>
    <definedName name="WIZARD_Y3Q4S1" localSheetId="6">#REF!</definedName>
    <definedName name="WIZARD_Y3Q4S1">#REF!</definedName>
    <definedName name="WIZARD_Y3Q4S2" localSheetId="11">#REF!</definedName>
    <definedName name="WIZARD_Y3Q4S2" localSheetId="6">#REF!</definedName>
    <definedName name="WIZARD_Y3Q4S2">#REF!</definedName>
    <definedName name="WIZARD_Y3S1" localSheetId="11">#REF!</definedName>
    <definedName name="WIZARD_Y3S1" localSheetId="6">#REF!</definedName>
    <definedName name="WIZARD_Y3S1">#REF!</definedName>
    <definedName name="WIZARD_Y3S2" localSheetId="11">#REF!</definedName>
    <definedName name="WIZARD_Y3S2" localSheetId="6">#REF!</definedName>
    <definedName name="WIZARD_Y3S2">#REF!</definedName>
    <definedName name="WIZARD_Y3YEARE">[59]NVLS_FC!$G$15</definedName>
    <definedName name="WIZARD_Y3YEARS2" localSheetId="2">#REF!</definedName>
    <definedName name="WIZARD_Y3YEARS2" localSheetId="11">#REF!</definedName>
    <definedName name="WIZARD_Y3YEARS2" localSheetId="6">#REF!</definedName>
    <definedName name="WIZARD_Y3YEARS2" localSheetId="7">#REF!</definedName>
    <definedName name="WIZARD_Y3YEARS2" localSheetId="13">#REF!</definedName>
    <definedName name="WIZARD_Y3YEARS2">#REF!</definedName>
    <definedName name="WIZARD_YEARSOFCASH" localSheetId="11">#REF!</definedName>
    <definedName name="WIZARD_YEARSOFCASH" localSheetId="6">#REF!</definedName>
    <definedName name="WIZARD_YEARSOFCASH">#REF!</definedName>
    <definedName name="working_capital">[8]Model!#REF!</definedName>
    <definedName name="WORKINGCAP" localSheetId="2">#REF!</definedName>
    <definedName name="WORKINGCAP" localSheetId="7">#REF!</definedName>
    <definedName name="WORKINGCAP" localSheetId="13">#REF!</definedName>
    <definedName name="WORKINGCAP">#REF!</definedName>
    <definedName name="WorkingCapital" localSheetId="2">'[18]NAV Summary'!#REF!</definedName>
    <definedName name="WorkingCapital" localSheetId="7">'[18]NAV Summary'!#REF!</definedName>
    <definedName name="WorkingCapital" localSheetId="13">'[18]NAV Summary'!#REF!</definedName>
    <definedName name="WorkingCapital">'[18]NAV Summary'!#REF!</definedName>
    <definedName name="WorkingCapital_Input">'[10]SENSITIVITY ANALYSIS'!$E$75</definedName>
    <definedName name="WorkingCapital_Toggle">'[10]SENSITIVITY ANALYSIS'!$I$73</definedName>
    <definedName name="workis" localSheetId="2">#REF!</definedName>
    <definedName name="workis" localSheetId="7">#REF!</definedName>
    <definedName name="workis" localSheetId="13">#REF!</definedName>
    <definedName name="workis">#REF!</definedName>
    <definedName name="workiscal" localSheetId="2">#REF!:#REF!</definedName>
    <definedName name="workiscal" localSheetId="7">#REF!:#REF!</definedName>
    <definedName name="workiscal" localSheetId="13">#REF!:#REF!</definedName>
    <definedName name="workiscal">#REF!:#REF!</definedName>
    <definedName name="workrev1" localSheetId="2">#REF!</definedName>
    <definedName name="workrev1" localSheetId="7">#REF!</definedName>
    <definedName name="workrev1" localSheetId="13">#REF!</definedName>
    <definedName name="workrev1">#REF!</definedName>
    <definedName name="wrn.Compensation." localSheetId="2" hidden="1">{"Comp sum",#N/A,FALSE,"Compensation";"Comp by emp",#N/A,FALSE,"Compensation";"Salary summary",#N/A,FALSE,"Compensation";"Payroll taxes",#N/A,FALSE,"Compensation";"HC by Month",#N/A,FALSE,"Compensation";"Misc",#N/A,FALSE,"Compensation"}</definedName>
    <definedName name="wrn.Compensation." localSheetId="7" hidden="1">{"Comp sum",#N/A,FALSE,"Compensation";"Comp by emp",#N/A,FALSE,"Compensation";"Salary summary",#N/A,FALSE,"Compensation";"Payroll taxes",#N/A,FALSE,"Compensation";"HC by Month",#N/A,FALSE,"Compensation";"Misc",#N/A,FALSE,"Compensation"}</definedName>
    <definedName name="wrn.Compensation." localSheetId="13" hidden="1">{"Comp sum",#N/A,FALSE,"Compensation";"Comp by emp",#N/A,FALSE,"Compensation";"Salary summary",#N/A,FALSE,"Compensation";"Payroll taxes",#N/A,FALSE,"Compensation";"HC by Month",#N/A,FALSE,"Compensation";"Misc",#N/A,FALSE,"Compensation"}</definedName>
    <definedName name="wrn.Compensation." hidden="1">{"Comp sum",#N/A,FALSE,"Compensation";"Comp by emp",#N/A,FALSE,"Compensation";"Salary summary",#N/A,FALSE,"Compensation";"Payroll taxes",#N/A,FALSE,"Compensation";"HC by Month",#N/A,FALSE,"Compensation";"Misc",#N/A,FALSE,"Compensation"}</definedName>
    <definedName name="wrn.Final." localSheetId="2" hidden="1">{#N/A,#N/A,FALSE,"Total Sum";#N/A,#N/A,FALSE,"NA Summary";#N/A,#N/A,FALSE,"Junior Summary";#N/A,#N/A,FALSE,"FMC -NA Summary";#N/A,#N/A,FALSE,"Pacif Summary";#N/A,#N/A,FALSE,"NAV";#N/A,#N/A,FALSE,"Asset Summary";#N/A,#N/A,FALSE,"Bulawan";#N/A,#N/A,FALSE,"Sibutad";#N/A,#N/A,FALSE,"Prodn &amp; Reserves"}</definedName>
    <definedName name="wrn.Final." localSheetId="7" hidden="1">{#N/A,#N/A,FALSE,"Total Sum";#N/A,#N/A,FALSE,"NA Summary";#N/A,#N/A,FALSE,"Junior Summary";#N/A,#N/A,FALSE,"FMC -NA Summary";#N/A,#N/A,FALSE,"Pacif Summary";#N/A,#N/A,FALSE,"NAV";#N/A,#N/A,FALSE,"Asset Summary";#N/A,#N/A,FALSE,"Bulawan";#N/A,#N/A,FALSE,"Sibutad";#N/A,#N/A,FALSE,"Prodn &amp; Reserves"}</definedName>
    <definedName name="wrn.Final." localSheetId="13" hidden="1">{#N/A,#N/A,FALSE,"Total Sum";#N/A,#N/A,FALSE,"NA Summary";#N/A,#N/A,FALSE,"Junior Summary";#N/A,#N/A,FALSE,"FMC -NA Summary";#N/A,#N/A,FALSE,"Pacif Summary";#N/A,#N/A,FALSE,"NAV";#N/A,#N/A,FALSE,"Asset Summary";#N/A,#N/A,FALSE,"Bulawan";#N/A,#N/A,FALSE,"Sibutad";#N/A,#N/A,FALSE,"Prodn &amp; Reserves"}</definedName>
    <definedName name="wrn.Final." hidden="1">{#N/A,#N/A,FALSE,"Total Sum";#N/A,#N/A,FALSE,"NA Summary";#N/A,#N/A,FALSE,"Junior Summary";#N/A,#N/A,FALSE,"FMC -NA Summary";#N/A,#N/A,FALSE,"Pacif Summary";#N/A,#N/A,FALSE,"NAV";#N/A,#N/A,FALSE,"Asset Summary";#N/A,#N/A,FALSE,"Bulawan";#N/A,#N/A,FALSE,"Sibutad";#N/A,#N/A,FALSE,"Prodn &amp; Reserves"}</definedName>
    <definedName name="wrn.FULL._.REPORT." localSheetId="2" hidden="1">{"p1TOC",#N/A,FALSE,"DCF_Summary";"p23summary",#N/A,FALSE,"DCF_Summary";"p4contact",#N/A,FALSE,"Contact Lake";"p5kumtor",#N/A,FALSE,"Kumtor";#N/A,#N/A,FALSE,"CCAU_NAV";"p8compdata",#N/A,FALSE,"Gold_Comps";#N/A,#N/A,FALSE,"Comp_Valuation"}</definedName>
    <definedName name="wrn.FULL._.REPORT." localSheetId="7" hidden="1">{"p1TOC",#N/A,FALSE,"DCF_Summary";"p23summary",#N/A,FALSE,"DCF_Summary";"p4contact",#N/A,FALSE,"Contact Lake";"p5kumtor",#N/A,FALSE,"Kumtor";#N/A,#N/A,FALSE,"CCAU_NAV";"p8compdata",#N/A,FALSE,"Gold_Comps";#N/A,#N/A,FALSE,"Comp_Valuation"}</definedName>
    <definedName name="wrn.FULL._.REPORT." localSheetId="13" hidden="1">{"p1TOC",#N/A,FALSE,"DCF_Summary";"p23summary",#N/A,FALSE,"DCF_Summary";"p4contact",#N/A,FALSE,"Contact Lake";"p5kumtor",#N/A,FALSE,"Kumtor";#N/A,#N/A,FALSE,"CCAU_NAV";"p8compdata",#N/A,FALSE,"Gold_Comps";#N/A,#N/A,FALSE,"Comp_Valuation"}</definedName>
    <definedName name="wrn.FULL._.REPORT." hidden="1">{"p1TOC",#N/A,FALSE,"DCF_Summary";"p23summary",#N/A,FALSE,"DCF_Summary";"p4contact",#N/A,FALSE,"Contact Lake";"p5kumtor",#N/A,FALSE,"Kumtor";#N/A,#N/A,FALSE,"CCAU_NAV";"p8compdata",#N/A,FALSE,"Gold_Comps";#N/A,#N/A,FALSE,"Comp_Valuation"}</definedName>
    <definedName name="wrn.Pegasus." localSheetId="2"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 localSheetId="7"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 localSheetId="13"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 hidden="1">{#N/A,#N/A,FALSE,"Proforma NAV";#N/A,#N/A,FALSE,"P NAV";#N/A,#N/A,FALSE,"Prodn &amp; Reserves";#N/A,#N/A,FALSE,"Asset Summary";#N/A,#N/A,FALSE,"Mt.Todd";#N/A,#N/A,FALSE,"Zortman";#N/A,#N/A,FALSE,"Pullalli";#N/A,#N/A,FALSE,"Black Pine";#N/A,#N/A,FALSE,"Beal Mtn.";#N/A,#N/A,FALSE,"Florida";#N/A,#N/A,FALSE,"Montana";#N/A,#N/A,FALSE,"Diamond Hill";#N/A,#N/A,FALSE,"K_SUMM"}</definedName>
    <definedName name="wrn.Placer._.NAV." localSheetId="2"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 localSheetId="7"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 localSheetId="13"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xcv" hidden="1">"c161"</definedName>
    <definedName name="Y_92" localSheetId="2">#REF!</definedName>
    <definedName name="Y_92" localSheetId="7">#REF!</definedName>
    <definedName name="Y_92" localSheetId="13">#REF!</definedName>
    <definedName name="Y_92">#REF!</definedName>
    <definedName name="Y_93" localSheetId="7">#REF!</definedName>
    <definedName name="Y_93" localSheetId="13">#REF!</definedName>
    <definedName name="Y_93">#REF!</definedName>
    <definedName name="Y_94" localSheetId="7">#REF!</definedName>
    <definedName name="Y_94" localSheetId="13">#REF!</definedName>
    <definedName name="Y_94">#REF!</definedName>
    <definedName name="Y_95">#REF!</definedName>
    <definedName name="Y_96">#REF!</definedName>
    <definedName name="Yahoo__Annual_EPS_Model___1995A___1998E">#REF!</definedName>
    <definedName name="Yahoo__Quarterly_Advertising_Revenue_Summary__1996E___1998E">#REF!</definedName>
    <definedName name="Yahoo__Quarterly_EPS_Model___1996E___1998E">#REF!</definedName>
    <definedName name="yearend">#REF!</definedName>
    <definedName name="yearhigh">#REF!</definedName>
    <definedName name="yearlow">#REF!</definedName>
    <definedName name="yearshedged">#REF!</definedName>
    <definedName name="yewg" localSheetId="2">[6]Model!#REF!</definedName>
    <definedName name="yewg" localSheetId="7">[6]Model!#REF!</definedName>
    <definedName name="yewg" localSheetId="13">[6]Model!#REF!</definedName>
    <definedName name="yewg">[6]Model!#REF!</definedName>
    <definedName name="Yield" localSheetId="2">[7]Model!#REF!</definedName>
    <definedName name="Yield" localSheetId="7">[7]Model!#REF!</definedName>
    <definedName name="Yield" localSheetId="13">[7]Model!#REF!</definedName>
    <definedName name="Yield">[7]Model!#REF!</definedName>
    <definedName name="yr_ago_eps" localSheetId="2">#REF!</definedName>
    <definedName name="yr_ago_eps" localSheetId="7">#REF!</definedName>
    <definedName name="yr_ago_eps" localSheetId="13">#REF!</definedName>
    <definedName name="yr_ago_eps">#REF!</definedName>
    <definedName name="yr_ago_rev" localSheetId="7">#REF!</definedName>
    <definedName name="yr_ago_rev" localSheetId="13">#REF!</definedName>
    <definedName name="yr_ago_rev">#REF!</definedName>
    <definedName name="YR1_CONTRACT">[35]MODEL!$327:$327</definedName>
    <definedName name="ZacaOwner">'[31]Val Detail'!$F$187</definedName>
    <definedName name="Zortnew" localSheetId="2" hidden="1">{"p1TOC",#N/A,FALSE,"DCF_Summary";"p23summary",#N/A,FALSE,"DCF_Summary";"p4contact",#N/A,FALSE,"Contact Lake";"p5kumtor",#N/A,FALSE,"Kumtor";#N/A,#N/A,FALSE,"CCAU_NAV";"p8compdata",#N/A,FALSE,"Gold_Comps";#N/A,#N/A,FALSE,"Comp_Valuation"}</definedName>
    <definedName name="Zortnew" localSheetId="7" hidden="1">{"p1TOC",#N/A,FALSE,"DCF_Summary";"p23summary",#N/A,FALSE,"DCF_Summary";"p4contact",#N/A,FALSE,"Contact Lake";"p5kumtor",#N/A,FALSE,"Kumtor";#N/A,#N/A,FALSE,"CCAU_NAV";"p8compdata",#N/A,FALSE,"Gold_Comps";#N/A,#N/A,FALSE,"Comp_Valuation"}</definedName>
    <definedName name="Zortnew" localSheetId="13" hidden="1">{"p1TOC",#N/A,FALSE,"DCF_Summary";"p23summary",#N/A,FALSE,"DCF_Summary";"p4contact",#N/A,FALSE,"Contact Lake";"p5kumtor",#N/A,FALSE,"Kumtor";#N/A,#N/A,FALSE,"CCAU_NAV";"p8compdata",#N/A,FALSE,"Gold_Comps";#N/A,#N/A,FALSE,"Comp_Valuation"}</definedName>
    <definedName name="Zortnew" hidden="1">{"p1TOC",#N/A,FALSE,"DCF_Summary";"p23summary",#N/A,FALSE,"DCF_Summary";"p4contact",#N/A,FALSE,"Contact Lake";"p5kumtor",#N/A,FALSE,"Kumtor";#N/A,#N/A,FALSE,"CCAU_NAV";"p8compdata",#N/A,FALSE,"Gold_Comps";#N/A,#N/A,FALSE,"Comp_Valuation"}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6" i="12" l="1"/>
  <c r="AV24" i="25" l="1"/>
  <c r="AV23" i="25"/>
  <c r="H116" i="12"/>
  <c r="M116" i="12"/>
  <c r="H118" i="12"/>
  <c r="M118" i="12"/>
  <c r="D120" i="12"/>
  <c r="E120" i="12"/>
  <c r="F120" i="12"/>
  <c r="G120" i="12"/>
  <c r="H120" i="12" s="1"/>
  <c r="I120" i="12"/>
  <c r="J120" i="12"/>
  <c r="K120" i="12"/>
  <c r="L120" i="12"/>
  <c r="N120" i="12"/>
  <c r="N132" i="12" s="1"/>
  <c r="N134" i="12" s="1"/>
  <c r="H122" i="12"/>
  <c r="M122" i="12"/>
  <c r="H123" i="12"/>
  <c r="M123" i="12"/>
  <c r="H124" i="12"/>
  <c r="M124" i="12"/>
  <c r="D126" i="12"/>
  <c r="E126" i="12"/>
  <c r="E132" i="12" s="1"/>
  <c r="E134" i="12" s="1"/>
  <c r="F126" i="12"/>
  <c r="F132" i="12" s="1"/>
  <c r="F134" i="12" s="1"/>
  <c r="G126" i="12"/>
  <c r="I126" i="12"/>
  <c r="J126" i="12"/>
  <c r="K126" i="12"/>
  <c r="L126" i="12"/>
  <c r="N126" i="12"/>
  <c r="D128" i="12"/>
  <c r="E128" i="12"/>
  <c r="F128" i="12"/>
  <c r="G128" i="12"/>
  <c r="I128" i="12"/>
  <c r="J128" i="12"/>
  <c r="K128" i="12"/>
  <c r="L128" i="12"/>
  <c r="N128" i="12"/>
  <c r="H129" i="12"/>
  <c r="M129" i="12"/>
  <c r="H130" i="12"/>
  <c r="M130" i="12"/>
  <c r="H133" i="12"/>
  <c r="M133" i="12"/>
  <c r="H137" i="12"/>
  <c r="M137" i="12"/>
  <c r="H138" i="12"/>
  <c r="M138" i="12"/>
  <c r="H139" i="12"/>
  <c r="M139" i="12"/>
  <c r="H140" i="12"/>
  <c r="M140" i="12"/>
  <c r="D141" i="12"/>
  <c r="E141" i="12"/>
  <c r="F141" i="12"/>
  <c r="G141" i="12"/>
  <c r="H141" i="12"/>
  <c r="I141" i="12"/>
  <c r="J141" i="12"/>
  <c r="K141" i="12"/>
  <c r="L141" i="12"/>
  <c r="N141" i="12"/>
  <c r="H143" i="12"/>
  <c r="M143" i="12"/>
  <c r="N82" i="12"/>
  <c r="O82" i="12"/>
  <c r="P82" i="12"/>
  <c r="Q82" i="12"/>
  <c r="O83" i="12"/>
  <c r="P83" i="12"/>
  <c r="Q83" i="12"/>
  <c r="N84" i="12"/>
  <c r="AL32" i="13"/>
  <c r="AL24" i="13"/>
  <c r="AL18" i="13"/>
  <c r="AL15" i="13"/>
  <c r="AL49" i="13"/>
  <c r="AK48" i="13"/>
  <c r="AK45" i="13"/>
  <c r="AK43" i="13"/>
  <c r="AK33" i="13"/>
  <c r="AK30" i="13"/>
  <c r="AK23" i="13"/>
  <c r="AK22" i="13"/>
  <c r="AK21" i="13"/>
  <c r="AK20" i="13"/>
  <c r="AK19" i="13"/>
  <c r="AK17" i="13"/>
  <c r="AK16" i="13"/>
  <c r="AK14" i="13"/>
  <c r="AK13" i="13"/>
  <c r="AK12" i="13"/>
  <c r="AK11" i="13"/>
  <c r="AK10" i="13"/>
  <c r="AL4" i="13"/>
  <c r="AK4" i="13"/>
  <c r="AK6" i="14"/>
  <c r="AK10" i="14" s="1"/>
  <c r="AK17" i="14" s="1"/>
  <c r="AK45" i="14"/>
  <c r="AK30" i="14"/>
  <c r="AK29" i="14"/>
  <c r="AK28" i="14"/>
  <c r="AK4" i="14"/>
  <c r="E12" i="30"/>
  <c r="E8" i="30"/>
  <c r="E6" i="30"/>
  <c r="AU21" i="25"/>
  <c r="AU19" i="25"/>
  <c r="AV21" i="25"/>
  <c r="AV19" i="25"/>
  <c r="AV13" i="25"/>
  <c r="AV4" i="25"/>
  <c r="AU4" i="25"/>
  <c r="AU13" i="25"/>
  <c r="AL71" i="12"/>
  <c r="AL70" i="12"/>
  <c r="AK5" i="12"/>
  <c r="AK104" i="12"/>
  <c r="AK97" i="12"/>
  <c r="AK89" i="12"/>
  <c r="AK82" i="12"/>
  <c r="AK54" i="12"/>
  <c r="AK45" i="12" s="1"/>
  <c r="AK47" i="12"/>
  <c r="AK40" i="12"/>
  <c r="AK46" i="12" s="1"/>
  <c r="AK33" i="12"/>
  <c r="AK25" i="12"/>
  <c r="M141" i="12" l="1"/>
  <c r="H128" i="12"/>
  <c r="D132" i="12"/>
  <c r="D134" i="12" s="1"/>
  <c r="AK34" i="14"/>
  <c r="L132" i="12"/>
  <c r="L134" i="12" s="1"/>
  <c r="K132" i="12"/>
  <c r="K134" i="12" s="1"/>
  <c r="J132" i="12"/>
  <c r="J134" i="12" s="1"/>
  <c r="M120" i="12"/>
  <c r="M126" i="12"/>
  <c r="G132" i="12"/>
  <c r="G134" i="12" s="1"/>
  <c r="H134" i="12" s="1"/>
  <c r="H126" i="12"/>
  <c r="M128" i="12"/>
  <c r="H132" i="12"/>
  <c r="I132" i="12"/>
  <c r="AK44" i="12"/>
  <c r="AL34" i="13"/>
  <c r="AK59" i="13"/>
  <c r="AK58" i="13" s="1"/>
  <c r="AK37" i="14"/>
  <c r="AK38" i="14" s="1"/>
  <c r="AK41" i="14" s="1"/>
  <c r="AK7" i="12"/>
  <c r="AB40" i="13"/>
  <c r="W40" i="13"/>
  <c r="M40" i="13"/>
  <c r="H40" i="13"/>
  <c r="M132" i="12" l="1"/>
  <c r="I134" i="12"/>
  <c r="M134" i="12" s="1"/>
  <c r="R40" i="13"/>
  <c r="AQ24" i="13"/>
  <c r="AQ15" i="13"/>
  <c r="W15" i="13"/>
  <c r="AB15" i="13"/>
  <c r="AG15" i="13" l="1"/>
  <c r="R15" i="13"/>
  <c r="M15" i="13"/>
  <c r="H15" i="13"/>
  <c r="AO18" i="25" l="1"/>
  <c r="AP21" i="25" s="1"/>
  <c r="D36" i="15"/>
  <c r="D15" i="15"/>
  <c r="D14" i="15"/>
  <c r="D13" i="15"/>
  <c r="D4" i="15"/>
  <c r="G36" i="15"/>
  <c r="G15" i="15"/>
  <c r="G14" i="15"/>
  <c r="G13" i="15"/>
  <c r="G8" i="15"/>
  <c r="G7" i="15"/>
  <c r="G5" i="15"/>
  <c r="G4" i="15"/>
  <c r="K32" i="15"/>
  <c r="K4" i="15"/>
  <c r="D17" i="10" l="1"/>
  <c r="E17" i="10"/>
  <c r="F17" i="10"/>
  <c r="G17" i="10"/>
  <c r="H17" i="10"/>
  <c r="I17" i="10"/>
  <c r="J17" i="10"/>
  <c r="K17" i="10"/>
  <c r="L17" i="10"/>
  <c r="M17" i="10"/>
  <c r="N17" i="10"/>
  <c r="O17" i="10"/>
  <c r="P17" i="10"/>
  <c r="Q17" i="10"/>
  <c r="R17" i="10"/>
  <c r="S17" i="10"/>
  <c r="T17" i="10"/>
  <c r="U17" i="10"/>
  <c r="V17" i="10"/>
  <c r="W17" i="10"/>
  <c r="X17" i="10"/>
  <c r="Y17" i="10"/>
  <c r="Z17" i="10"/>
  <c r="AA17" i="10"/>
  <c r="AB17" i="10"/>
  <c r="C34" i="27" l="1"/>
  <c r="D13" i="10"/>
  <c r="D10" i="10"/>
  <c r="AL22" i="14" l="1"/>
  <c r="AM22" i="14" s="1"/>
  <c r="AN22" i="14" s="1"/>
  <c r="AO22" i="14" s="1"/>
  <c r="AP22" i="14" s="1"/>
  <c r="AQ22" i="14" s="1"/>
  <c r="AL8" i="14"/>
  <c r="AM8" i="14" s="1"/>
  <c r="AN8" i="14" s="1"/>
  <c r="AO8" i="14" s="1"/>
  <c r="AP8" i="14" s="1"/>
  <c r="AQ8" i="14" s="1"/>
  <c r="AJ51" i="14"/>
  <c r="AJ6" i="14"/>
  <c r="C36" i="27" s="1"/>
  <c r="AJ24" i="13"/>
  <c r="AK24" i="13" s="1"/>
  <c r="AJ18" i="13"/>
  <c r="AK18" i="13" s="1"/>
  <c r="AJ15" i="13"/>
  <c r="AJ48" i="12"/>
  <c r="AT21" i="25"/>
  <c r="AJ59" i="13"/>
  <c r="AJ58" i="13" s="1"/>
  <c r="AJ4" i="13"/>
  <c r="AJ59" i="14"/>
  <c r="AJ58" i="14"/>
  <c r="AJ57" i="14"/>
  <c r="AJ56" i="14"/>
  <c r="AJ53" i="14"/>
  <c r="AJ52" i="14"/>
  <c r="AJ50" i="14"/>
  <c r="AJ45" i="14"/>
  <c r="AK47" i="14" s="1"/>
  <c r="AJ43" i="14"/>
  <c r="AJ28" i="14"/>
  <c r="AJ34" i="14" s="1"/>
  <c r="AJ4" i="14"/>
  <c r="AJ54" i="12"/>
  <c r="AJ8" i="12"/>
  <c r="G6" i="15" s="1"/>
  <c r="AJ97" i="12"/>
  <c r="AJ89" i="12"/>
  <c r="AJ83" i="12"/>
  <c r="AJ82" i="12"/>
  <c r="AJ47" i="12"/>
  <c r="AJ44" i="12"/>
  <c r="AJ40" i="12"/>
  <c r="AJ33" i="12"/>
  <c r="G21" i="15" s="1"/>
  <c r="AJ24" i="12"/>
  <c r="AJ104" i="12"/>
  <c r="AJ15" i="12"/>
  <c r="AJ7" i="12"/>
  <c r="AJ6" i="12"/>
  <c r="AJ45" i="12" l="1"/>
  <c r="G32" i="15"/>
  <c r="AJ46" i="12"/>
  <c r="G26" i="15"/>
  <c r="AJ10" i="14"/>
  <c r="AJ17" i="14" s="1"/>
  <c r="AJ37" i="14" s="1"/>
  <c r="AJ38" i="14" s="1"/>
  <c r="AJ41" i="14" s="1"/>
  <c r="AJ16" i="12"/>
  <c r="AJ20" i="12"/>
  <c r="AJ22" i="12"/>
  <c r="AJ25" i="12"/>
  <c r="AJ27" i="12" s="1"/>
  <c r="AJ13" i="12"/>
  <c r="AT13" i="25"/>
  <c r="AT4" i="25"/>
  <c r="G10" i="30"/>
  <c r="D10" i="30"/>
  <c r="AJ35" i="12" l="1"/>
  <c r="AJ53" i="12"/>
  <c r="AJ28" i="12"/>
  <c r="G8" i="31"/>
  <c r="AJ56" i="12" l="1"/>
  <c r="AJ55" i="12"/>
  <c r="AJ59" i="12"/>
  <c r="AJ36" i="12"/>
  <c r="C35" i="27"/>
  <c r="AJ62" i="12" l="1"/>
  <c r="AJ7" i="13" s="1"/>
  <c r="AJ25" i="13" s="1"/>
  <c r="AJ61" i="12"/>
  <c r="AJ65" i="12"/>
  <c r="G39" i="15" s="1"/>
  <c r="AJ57" i="12"/>
  <c r="AI48" i="12"/>
  <c r="AN18" i="25"/>
  <c r="AO21" i="25" s="1"/>
  <c r="AI47" i="13"/>
  <c r="AI46" i="13"/>
  <c r="AI44" i="13"/>
  <c r="AI42" i="13"/>
  <c r="AI41" i="13"/>
  <c r="AI31" i="13"/>
  <c r="AI29" i="13"/>
  <c r="AI15" i="13"/>
  <c r="AI6" i="14"/>
  <c r="C37" i="27" s="1"/>
  <c r="AI54" i="12"/>
  <c r="AI14" i="12"/>
  <c r="AJ31" i="13" l="1"/>
  <c r="AK31" i="13"/>
  <c r="AJ42" i="13"/>
  <c r="AK42" i="13"/>
  <c r="AJ47" i="13"/>
  <c r="AK47" i="13"/>
  <c r="AJ41" i="13"/>
  <c r="AK41" i="13"/>
  <c r="AJ46" i="13"/>
  <c r="AK46" i="13"/>
  <c r="AJ29" i="13"/>
  <c r="AJ36" i="13" s="1"/>
  <c r="AJ37" i="13" s="1"/>
  <c r="AK29" i="13"/>
  <c r="AJ44" i="13"/>
  <c r="AK44" i="13"/>
  <c r="AJ49" i="13"/>
  <c r="AJ26" i="13"/>
  <c r="AJ67" i="12"/>
  <c r="G40" i="15" s="1"/>
  <c r="AJ63" i="12"/>
  <c r="AJ43" i="12"/>
  <c r="AJ50" i="12" s="1"/>
  <c r="AI49" i="13"/>
  <c r="AI59" i="13"/>
  <c r="AI58" i="13" s="1"/>
  <c r="AI4" i="13"/>
  <c r="AI59" i="14"/>
  <c r="AI58" i="14"/>
  <c r="AI57" i="14"/>
  <c r="AI56" i="14"/>
  <c r="AI53" i="14"/>
  <c r="AI52" i="14"/>
  <c r="AI51" i="14"/>
  <c r="AI50" i="14"/>
  <c r="AI45" i="14"/>
  <c r="AJ47" i="14" s="1"/>
  <c r="AI43" i="14"/>
  <c r="AI28" i="14"/>
  <c r="AI34" i="14" s="1"/>
  <c r="AI10" i="14"/>
  <c r="AI17" i="14" s="1"/>
  <c r="AI4" i="14"/>
  <c r="AI33" i="12"/>
  <c r="AI97" i="12"/>
  <c r="AI89" i="12"/>
  <c r="AI83" i="12"/>
  <c r="AI82" i="12"/>
  <c r="AI47" i="12"/>
  <c r="AI45" i="12"/>
  <c r="AI44" i="12"/>
  <c r="AI40" i="12"/>
  <c r="AI24" i="12"/>
  <c r="AI15" i="12"/>
  <c r="AI13" i="12"/>
  <c r="AI12" i="12"/>
  <c r="AI8" i="12"/>
  <c r="AI7" i="12"/>
  <c r="AI6" i="12"/>
  <c r="AK49" i="13" l="1"/>
  <c r="AJ51" i="12"/>
  <c r="G28" i="15"/>
  <c r="AJ10" i="12"/>
  <c r="AI46" i="12"/>
  <c r="AI37" i="14"/>
  <c r="AI38" i="14" s="1"/>
  <c r="AI41" i="14" s="1"/>
  <c r="AI22" i="12"/>
  <c r="AI25" i="12"/>
  <c r="AI27" i="12" s="1"/>
  <c r="AI16" i="12"/>
  <c r="AI20" i="12"/>
  <c r="AS21" i="25"/>
  <c r="AS13" i="25"/>
  <c r="AS4" i="25"/>
  <c r="AI53" i="12" l="1"/>
  <c r="AI28" i="12"/>
  <c r="AI35" i="12"/>
  <c r="AF5" i="12"/>
  <c r="AK6" i="12" s="1"/>
  <c r="E10" i="30"/>
  <c r="F8" i="30"/>
  <c r="AM18" i="25"/>
  <c r="AN21" i="25" s="1"/>
  <c r="AH48" i="12"/>
  <c r="AH32" i="13"/>
  <c r="AH15" i="13"/>
  <c r="AK15" i="13" s="1"/>
  <c r="AH6" i="14"/>
  <c r="AH10" i="14" s="1"/>
  <c r="AH17" i="14" s="1"/>
  <c r="AR16" i="25"/>
  <c r="AR13" i="25"/>
  <c r="AH49" i="13"/>
  <c r="AH4" i="13"/>
  <c r="AH59" i="14"/>
  <c r="AH58" i="14"/>
  <c r="AH57" i="14"/>
  <c r="AH56" i="14"/>
  <c r="AH53" i="14"/>
  <c r="AH52" i="14"/>
  <c r="AH51" i="14"/>
  <c r="AH50" i="14"/>
  <c r="AH45" i="14"/>
  <c r="AI47" i="14" s="1"/>
  <c r="AH28" i="14"/>
  <c r="AH4" i="14"/>
  <c r="AH54" i="12"/>
  <c r="AH97" i="12"/>
  <c r="AH89" i="12"/>
  <c r="AK90" i="12" s="1"/>
  <c r="AH83" i="12"/>
  <c r="AH82" i="12"/>
  <c r="AH47" i="12"/>
  <c r="AH44" i="12"/>
  <c r="AH40" i="12"/>
  <c r="AH33" i="12"/>
  <c r="AH24" i="12"/>
  <c r="AH22" i="12"/>
  <c r="AH25" i="12"/>
  <c r="AH15" i="12"/>
  <c r="AH12" i="12"/>
  <c r="AH8" i="12"/>
  <c r="AH6" i="12"/>
  <c r="AI10" i="12" l="1"/>
  <c r="AK8" i="12"/>
  <c r="AK93" i="12"/>
  <c r="AK94" i="12" s="1"/>
  <c r="AH7" i="12"/>
  <c r="D5" i="15"/>
  <c r="AH34" i="13"/>
  <c r="AI32" i="13"/>
  <c r="AI55" i="12"/>
  <c r="AI56" i="12"/>
  <c r="AI36" i="12"/>
  <c r="AI59" i="12"/>
  <c r="AH45" i="12"/>
  <c r="AH46" i="12"/>
  <c r="AH16" i="12"/>
  <c r="AH27" i="12"/>
  <c r="AH20" i="12"/>
  <c r="AP49" i="13"/>
  <c r="AO49" i="13"/>
  <c r="AN49" i="13"/>
  <c r="AM49" i="13"/>
  <c r="AQ48" i="13"/>
  <c r="AQ47" i="13"/>
  <c r="AQ46" i="13"/>
  <c r="AQ45" i="13"/>
  <c r="AQ44" i="13"/>
  <c r="AQ43" i="13"/>
  <c r="AQ42" i="13"/>
  <c r="AQ41" i="13"/>
  <c r="AP34" i="13"/>
  <c r="AO34" i="13"/>
  <c r="AN34" i="13"/>
  <c r="AM34" i="13"/>
  <c r="AQ33" i="13"/>
  <c r="AQ32" i="13"/>
  <c r="AQ31" i="13"/>
  <c r="AQ30" i="13"/>
  <c r="AQ29" i="13"/>
  <c r="AQ23" i="13"/>
  <c r="AQ14" i="13"/>
  <c r="AQ13" i="13"/>
  <c r="AQ12" i="13"/>
  <c r="AP11" i="13"/>
  <c r="AO11" i="13"/>
  <c r="AN11" i="13"/>
  <c r="AM11" i="13"/>
  <c r="AQ8" i="13"/>
  <c r="AQ4" i="13"/>
  <c r="AP4" i="13"/>
  <c r="AO4" i="13"/>
  <c r="AN4" i="13"/>
  <c r="AM4" i="13"/>
  <c r="AN52" i="14"/>
  <c r="AO52" i="14" s="1"/>
  <c r="AP52" i="14" s="1"/>
  <c r="AQ16" i="14"/>
  <c r="AQ4" i="14"/>
  <c r="AP4" i="14"/>
  <c r="AO4" i="14"/>
  <c r="AN4" i="14"/>
  <c r="AM4" i="14"/>
  <c r="AP97" i="12"/>
  <c r="AO97" i="12"/>
  <c r="AN97" i="12"/>
  <c r="AM97" i="12"/>
  <c r="AM98" i="12" s="1"/>
  <c r="AP89" i="12"/>
  <c r="AO89" i="12"/>
  <c r="AN89" i="12"/>
  <c r="AM89" i="12"/>
  <c r="AQ82" i="12"/>
  <c r="AP82" i="12"/>
  <c r="AO82" i="12"/>
  <c r="AN82" i="12"/>
  <c r="AM82" i="12"/>
  <c r="AM81" i="12"/>
  <c r="AP60" i="12"/>
  <c r="AO60" i="12"/>
  <c r="AN60" i="12"/>
  <c r="AM60" i="12"/>
  <c r="AQ54" i="12"/>
  <c r="AQ48" i="12"/>
  <c r="AP47" i="12"/>
  <c r="AO47" i="12"/>
  <c r="AN47" i="12"/>
  <c r="AM47" i="12"/>
  <c r="AP45" i="12"/>
  <c r="AO45" i="12"/>
  <c r="AN45" i="12"/>
  <c r="AM45" i="12"/>
  <c r="AQ39" i="12"/>
  <c r="AP33" i="12"/>
  <c r="AO33" i="12"/>
  <c r="AN33" i="12"/>
  <c r="AM33" i="12"/>
  <c r="AQ32" i="12"/>
  <c r="AQ31" i="12"/>
  <c r="AM8" i="12"/>
  <c r="AM5" i="12"/>
  <c r="F10" i="30"/>
  <c r="D43" i="15"/>
  <c r="D42" i="15"/>
  <c r="G16" i="15"/>
  <c r="G42" i="15"/>
  <c r="G43" i="15"/>
  <c r="AK11" i="12" l="1"/>
  <c r="AK10" i="12"/>
  <c r="AI34" i="13"/>
  <c r="AJ32" i="13"/>
  <c r="AJ34" i="13" s="1"/>
  <c r="AJ51" i="13" s="1"/>
  <c r="AI57" i="12"/>
  <c r="AI65" i="12"/>
  <c r="AI62" i="12"/>
  <c r="AI7" i="13" s="1"/>
  <c r="AI25" i="13" s="1"/>
  <c r="AI61" i="12"/>
  <c r="AQ47" i="12"/>
  <c r="AQ34" i="13"/>
  <c r="AQ49" i="13"/>
  <c r="AQ11" i="13"/>
  <c r="AH35" i="12"/>
  <c r="AH53" i="12"/>
  <c r="AH28" i="12"/>
  <c r="AP90" i="12"/>
  <c r="AM11" i="12"/>
  <c r="AQ45" i="12"/>
  <c r="AQ33" i="12"/>
  <c r="AQ60" i="12"/>
  <c r="AP6" i="25"/>
  <c r="AQ23" i="25"/>
  <c r="AL23" i="25"/>
  <c r="AG23" i="25"/>
  <c r="AB23" i="25"/>
  <c r="AB24" i="25"/>
  <c r="AG24" i="25"/>
  <c r="AQ24" i="25"/>
  <c r="AL24" i="25"/>
  <c r="AK32" i="13" l="1"/>
  <c r="AK34" i="13" s="1"/>
  <c r="AK53" i="14"/>
  <c r="AK52" i="14"/>
  <c r="AK51" i="14"/>
  <c r="AU16" i="25"/>
  <c r="AK50" i="14"/>
  <c r="AK43" i="14"/>
  <c r="AK59" i="14"/>
  <c r="AK58" i="14"/>
  <c r="AK57" i="14"/>
  <c r="AK56" i="14"/>
  <c r="AK83" i="12"/>
  <c r="AK22" i="12"/>
  <c r="AK20" i="12"/>
  <c r="AK13" i="12"/>
  <c r="AK24" i="12"/>
  <c r="AK15" i="12"/>
  <c r="AI36" i="13"/>
  <c r="AI37" i="13" s="1"/>
  <c r="AI51" i="13"/>
  <c r="AI26" i="13"/>
  <c r="AI67" i="12"/>
  <c r="AI43" i="12"/>
  <c r="AI63" i="12"/>
  <c r="X21" i="10"/>
  <c r="AM21" i="14"/>
  <c r="AM25" i="14"/>
  <c r="AM20" i="14"/>
  <c r="AM9" i="14"/>
  <c r="AM23" i="14"/>
  <c r="AM7" i="14"/>
  <c r="AH56" i="12"/>
  <c r="AH55" i="12"/>
  <c r="AH59" i="12"/>
  <c r="AH36" i="12"/>
  <c r="AP93" i="12"/>
  <c r="AP94" i="12" s="1"/>
  <c r="AM12" i="12"/>
  <c r="AM21" i="12"/>
  <c r="AM19" i="12"/>
  <c r="AM83" i="12"/>
  <c r="AM14" i="12"/>
  <c r="AM23" i="12"/>
  <c r="W21" i="25"/>
  <c r="AB21" i="25"/>
  <c r="AG21" i="25"/>
  <c r="AL21" i="25"/>
  <c r="AK27" i="12" l="1"/>
  <c r="AK16" i="12"/>
  <c r="AI50" i="12"/>
  <c r="AM15" i="12"/>
  <c r="AH62" i="12"/>
  <c r="AH7" i="13" s="1"/>
  <c r="AH61" i="12"/>
  <c r="AH65" i="12"/>
  <c r="AH57" i="12"/>
  <c r="AM45" i="14"/>
  <c r="AM25" i="12"/>
  <c r="AP7" i="25"/>
  <c r="AL19" i="25"/>
  <c r="AG19" i="25"/>
  <c r="AB19" i="25"/>
  <c r="AQ21" i="25"/>
  <c r="W19" i="25"/>
  <c r="R19" i="25"/>
  <c r="AQ19" i="25"/>
  <c r="AF48" i="12"/>
  <c r="P19" i="30"/>
  <c r="AG32" i="13"/>
  <c r="AF32" i="13" s="1"/>
  <c r="AF6" i="14"/>
  <c r="AF10" i="14" s="1"/>
  <c r="AF17" i="14" s="1"/>
  <c r="AF32" i="12"/>
  <c r="AF33" i="12" s="1"/>
  <c r="D21" i="15" s="1"/>
  <c r="AF14" i="12"/>
  <c r="D8" i="15" s="1"/>
  <c r="AF8" i="12"/>
  <c r="AF6" i="12"/>
  <c r="AP13" i="25"/>
  <c r="AP4" i="25"/>
  <c r="AF43" i="13"/>
  <c r="AF30" i="13"/>
  <c r="AF33" i="13"/>
  <c r="AF16" i="13"/>
  <c r="AF4" i="13"/>
  <c r="AF45" i="14"/>
  <c r="AF30" i="14"/>
  <c r="AF29" i="14"/>
  <c r="AF28" i="14"/>
  <c r="AF4" i="14"/>
  <c r="AF97" i="12"/>
  <c r="AK98" i="12" s="1"/>
  <c r="AF89" i="12"/>
  <c r="AJ90" i="12" s="1"/>
  <c r="AF82" i="12"/>
  <c r="AF54" i="12"/>
  <c r="D32" i="15" s="1"/>
  <c r="AF47" i="12"/>
  <c r="AF40" i="12"/>
  <c r="D26" i="15" s="1"/>
  <c r="AF7" i="12"/>
  <c r="AH47" i="14" l="1"/>
  <c r="AK46" i="14"/>
  <c r="D6" i="15"/>
  <c r="AK9" i="12"/>
  <c r="AH25" i="13"/>
  <c r="AH51" i="13" s="1"/>
  <c r="AK35" i="12"/>
  <c r="AK28" i="12"/>
  <c r="AK53" i="12"/>
  <c r="AJ93" i="12"/>
  <c r="AJ94" i="12" s="1"/>
  <c r="G5" i="31"/>
  <c r="G6" i="31" s="1"/>
  <c r="G10" i="31" s="1"/>
  <c r="AI51" i="12"/>
  <c r="AF45" i="12"/>
  <c r="AH36" i="13"/>
  <c r="AH37" i="13" s="1"/>
  <c r="AH26" i="13"/>
  <c r="AM27" i="12"/>
  <c r="AM35" i="12" s="1"/>
  <c r="AF46" i="12"/>
  <c r="AF9" i="12"/>
  <c r="AH10" i="12"/>
  <c r="AF11" i="12"/>
  <c r="AH63" i="12"/>
  <c r="AH43" i="12"/>
  <c r="AH50" i="12" s="1"/>
  <c r="AH67" i="12"/>
  <c r="AQ5" i="25"/>
  <c r="AF34" i="14"/>
  <c r="AF37" i="14" s="1"/>
  <c r="AF38" i="14" s="1"/>
  <c r="AF41" i="14" s="1"/>
  <c r="AF25" i="12"/>
  <c r="AV7" i="25" l="1"/>
  <c r="AV6" i="25"/>
  <c r="AK59" i="12"/>
  <c r="AK36" i="12"/>
  <c r="AK12" i="12"/>
  <c r="AK56" i="12"/>
  <c r="AK55" i="12"/>
  <c r="AF20" i="12"/>
  <c r="D7" i="15"/>
  <c r="AF83" i="12"/>
  <c r="AF15" i="12"/>
  <c r="AF16" i="12" s="1"/>
  <c r="AF59" i="14"/>
  <c r="AF57" i="14"/>
  <c r="AF53" i="14"/>
  <c r="AF43" i="14"/>
  <c r="AF56" i="14"/>
  <c r="AF58" i="14"/>
  <c r="AP9" i="25"/>
  <c r="AF22" i="12"/>
  <c r="AF24" i="12"/>
  <c r="AM28" i="12"/>
  <c r="X31" i="10" s="1"/>
  <c r="AH13" i="12"/>
  <c r="G9" i="15"/>
  <c r="AF52" i="14"/>
  <c r="AP16" i="25"/>
  <c r="AU17" i="25" s="1"/>
  <c r="AF51" i="14"/>
  <c r="AF50" i="14"/>
  <c r="AH51" i="12"/>
  <c r="AM36" i="12"/>
  <c r="AG13" i="14"/>
  <c r="AL13" i="14" s="1"/>
  <c r="AM13" i="14" s="1"/>
  <c r="AN13" i="14" s="1"/>
  <c r="AO13" i="14" s="1"/>
  <c r="AP13" i="14" s="1"/>
  <c r="AQ13" i="14" s="1"/>
  <c r="AM31" i="14"/>
  <c r="AN31" i="14" s="1"/>
  <c r="AO31" i="14" s="1"/>
  <c r="AP31" i="14" s="1"/>
  <c r="AQ31" i="14" s="1"/>
  <c r="AM26" i="14"/>
  <c r="AM12" i="14"/>
  <c r="AN12" i="14" s="1"/>
  <c r="AO12" i="14" s="1"/>
  <c r="AP12" i="14" s="1"/>
  <c r="AQ12" i="14" s="1"/>
  <c r="AK65" i="12" l="1"/>
  <c r="AK57" i="12"/>
  <c r="AK62" i="12"/>
  <c r="AK61" i="12"/>
  <c r="AF27" i="12"/>
  <c r="AF35" i="12" s="1"/>
  <c r="AF59" i="12" s="1"/>
  <c r="AN26" i="14"/>
  <c r="AO26" i="14" s="1"/>
  <c r="AP26" i="14" s="1"/>
  <c r="AQ26" i="14" s="1"/>
  <c r="G10" i="15"/>
  <c r="G18" i="15"/>
  <c r="AE48" i="12"/>
  <c r="AE31" i="13"/>
  <c r="AF31" i="13" s="1"/>
  <c r="AE15" i="13"/>
  <c r="AF15" i="13" s="1"/>
  <c r="AE6" i="14"/>
  <c r="AE10" i="14" s="1"/>
  <c r="AE17" i="14" s="1"/>
  <c r="AE54" i="12"/>
  <c r="AE23" i="12"/>
  <c r="AE21" i="12"/>
  <c r="AE19" i="12"/>
  <c r="AE14" i="12"/>
  <c r="AE6" i="12"/>
  <c r="AE11" i="12"/>
  <c r="AO13" i="25"/>
  <c r="AO7" i="25"/>
  <c r="AO6" i="25"/>
  <c r="AO4" i="25"/>
  <c r="AE49" i="13"/>
  <c r="AE59" i="13"/>
  <c r="AE58" i="13" s="1"/>
  <c r="AE4" i="13"/>
  <c r="AE45" i="14"/>
  <c r="AE28" i="14"/>
  <c r="AE34" i="14" s="1"/>
  <c r="AE4" i="14"/>
  <c r="AE97" i="12"/>
  <c r="AJ98" i="12" s="1"/>
  <c r="AE89" i="12"/>
  <c r="AI90" i="12" s="1"/>
  <c r="AE82" i="12"/>
  <c r="AE47" i="12"/>
  <c r="AE40" i="12"/>
  <c r="AE33" i="12"/>
  <c r="AE7" i="12"/>
  <c r="AJ12" i="12" l="1"/>
  <c r="AK108" i="12"/>
  <c r="AK7" i="13"/>
  <c r="AK67" i="12"/>
  <c r="AK43" i="12"/>
  <c r="AK50" i="12" s="1"/>
  <c r="AK51" i="12" s="1"/>
  <c r="AK63" i="12"/>
  <c r="AF47" i="14"/>
  <c r="AJ46" i="14"/>
  <c r="AF13" i="12"/>
  <c r="AI104" i="12"/>
  <c r="AI93" i="12"/>
  <c r="AI94" i="12" s="1"/>
  <c r="AF36" i="12"/>
  <c r="AF28" i="12"/>
  <c r="AF53" i="12"/>
  <c r="AF55" i="12" s="1"/>
  <c r="G31" i="15"/>
  <c r="G33" i="15" s="1"/>
  <c r="G19" i="15"/>
  <c r="G23" i="15"/>
  <c r="AF62" i="12"/>
  <c r="AF7" i="13" s="1"/>
  <c r="AF61" i="12"/>
  <c r="AE46" i="12"/>
  <c r="AE45" i="12"/>
  <c r="AE13" i="12"/>
  <c r="AE43" i="14"/>
  <c r="AE8" i="12"/>
  <c r="AE25" i="12"/>
  <c r="AE52" i="14"/>
  <c r="AE56" i="14"/>
  <c r="AE57" i="14"/>
  <c r="AE58" i="14"/>
  <c r="AE53" i="14"/>
  <c r="AO9" i="25"/>
  <c r="AE59" i="14"/>
  <c r="AO16" i="25"/>
  <c r="AE50" i="14"/>
  <c r="AE51" i="14"/>
  <c r="AE44" i="12"/>
  <c r="AE37" i="14"/>
  <c r="AE38" i="14" s="1"/>
  <c r="AE41" i="14" s="1"/>
  <c r="AE24" i="12"/>
  <c r="AE83" i="12"/>
  <c r="AE15" i="12"/>
  <c r="AE16" i="12" s="1"/>
  <c r="AE20" i="12"/>
  <c r="AE22" i="12"/>
  <c r="AK25" i="13" l="1"/>
  <c r="AL7" i="13"/>
  <c r="AL25" i="13" s="1"/>
  <c r="AJ9" i="12"/>
  <c r="AF56" i="12"/>
  <c r="AF65" i="12" s="1"/>
  <c r="G35" i="15"/>
  <c r="G37" i="15" s="1"/>
  <c r="G24" i="15"/>
  <c r="AE9" i="12"/>
  <c r="AF10" i="12"/>
  <c r="AF67" i="12"/>
  <c r="AF43" i="12"/>
  <c r="AF63" i="12"/>
  <c r="AE27" i="12"/>
  <c r="AE53" i="12" s="1"/>
  <c r="AM38" i="12"/>
  <c r="AN6" i="25"/>
  <c r="AD47" i="13"/>
  <c r="AF47" i="13" s="1"/>
  <c r="AD46" i="13"/>
  <c r="AF46" i="13" s="1"/>
  <c r="AD45" i="13"/>
  <c r="AF45" i="13" s="1"/>
  <c r="AD44" i="13"/>
  <c r="AF44" i="13" s="1"/>
  <c r="AD42" i="13"/>
  <c r="AF42" i="13" s="1"/>
  <c r="AD41" i="13"/>
  <c r="AF41" i="13" s="1"/>
  <c r="AD29" i="13"/>
  <c r="AD24" i="13"/>
  <c r="AF24" i="13" s="1"/>
  <c r="AD23" i="13"/>
  <c r="AF23" i="13" s="1"/>
  <c r="AD22" i="13"/>
  <c r="AF22" i="13" s="1"/>
  <c r="AD21" i="13"/>
  <c r="AF21" i="13" s="1"/>
  <c r="AD20" i="13"/>
  <c r="AF20" i="13" s="1"/>
  <c r="AD18" i="13"/>
  <c r="AF18" i="13" s="1"/>
  <c r="AD19" i="13"/>
  <c r="AF19" i="13" s="1"/>
  <c r="AD17" i="13"/>
  <c r="AF17" i="13" s="1"/>
  <c r="AD14" i="13"/>
  <c r="AF14" i="13" s="1"/>
  <c r="AD13" i="13"/>
  <c r="AF13" i="13" s="1"/>
  <c r="AD12" i="13"/>
  <c r="AF12" i="13" s="1"/>
  <c r="AD11" i="13"/>
  <c r="AF11" i="13" s="1"/>
  <c r="AD10" i="13"/>
  <c r="AD48" i="12"/>
  <c r="AD23" i="12"/>
  <c r="AD21" i="12"/>
  <c r="AD19" i="12"/>
  <c r="AD14" i="12"/>
  <c r="AD48" i="13"/>
  <c r="AF48" i="13" s="1"/>
  <c r="AD4" i="13"/>
  <c r="X4" i="14"/>
  <c r="Y4" i="14"/>
  <c r="Z4" i="14"/>
  <c r="AA4" i="14"/>
  <c r="AB4" i="14"/>
  <c r="AC4" i="14"/>
  <c r="AD4" i="14"/>
  <c r="AD45" i="14"/>
  <c r="AD28" i="14"/>
  <c r="AD10" i="14"/>
  <c r="AD17" i="14" s="1"/>
  <c r="AD6" i="12"/>
  <c r="AD97" i="12"/>
  <c r="AI98" i="12" s="1"/>
  <c r="AD89" i="12"/>
  <c r="AH90" i="12" s="1"/>
  <c r="AD82" i="12"/>
  <c r="AD45" i="12"/>
  <c r="AD47" i="12"/>
  <c r="AD40" i="12"/>
  <c r="AD33" i="12"/>
  <c r="AD7" i="12"/>
  <c r="AL36" i="13" l="1"/>
  <c r="AL51" i="13"/>
  <c r="AK26" i="13"/>
  <c r="AK36" i="13"/>
  <c r="AK37" i="13" s="1"/>
  <c r="AK51" i="13"/>
  <c r="D40" i="15"/>
  <c r="AK68" i="12"/>
  <c r="D39" i="15"/>
  <c r="AK66" i="12"/>
  <c r="AF57" i="12"/>
  <c r="AE47" i="14"/>
  <c r="AI46" i="14"/>
  <c r="AH104" i="12"/>
  <c r="AF49" i="13"/>
  <c r="AH93" i="12"/>
  <c r="AH94" i="12" s="1"/>
  <c r="AM40" i="12"/>
  <c r="AN38" i="12"/>
  <c r="AD59" i="13"/>
  <c r="AD58" i="13" s="1"/>
  <c r="AF10" i="13"/>
  <c r="AF25" i="13" s="1"/>
  <c r="AK2" i="13" s="1"/>
  <c r="AD25" i="12"/>
  <c r="AD34" i="13"/>
  <c r="AE29" i="13"/>
  <c r="AF29" i="13" s="1"/>
  <c r="AF34" i="13" s="1"/>
  <c r="AE28" i="12"/>
  <c r="AE35" i="12"/>
  <c r="AE59" i="12" s="1"/>
  <c r="AE56" i="12"/>
  <c r="AE55" i="12"/>
  <c r="AD46" i="12"/>
  <c r="AD49" i="13"/>
  <c r="AD44" i="12"/>
  <c r="AK6" i="25"/>
  <c r="AJ6" i="25"/>
  <c r="AI6" i="25"/>
  <c r="AF6" i="25"/>
  <c r="AA6" i="25"/>
  <c r="X6" i="25"/>
  <c r="AH81" i="12"/>
  <c r="AC81" i="12"/>
  <c r="X81" i="12"/>
  <c r="W4" i="25"/>
  <c r="X4" i="25"/>
  <c r="Y4" i="25"/>
  <c r="Z4" i="25"/>
  <c r="AA4" i="25"/>
  <c r="AB4" i="25"/>
  <c r="AC4" i="25"/>
  <c r="AD4" i="25"/>
  <c r="AE4" i="25"/>
  <c r="AF4" i="25"/>
  <c r="AG4" i="25"/>
  <c r="AH4" i="25"/>
  <c r="AI4" i="25"/>
  <c r="AJ4" i="25"/>
  <c r="AK4" i="25"/>
  <c r="AL4" i="25"/>
  <c r="AM4" i="25"/>
  <c r="AQ4" i="25"/>
  <c r="AR4" i="25"/>
  <c r="AN4" i="25"/>
  <c r="M4" i="13"/>
  <c r="N4" i="13"/>
  <c r="O4" i="13"/>
  <c r="P4" i="13"/>
  <c r="Q4" i="13"/>
  <c r="R4" i="13"/>
  <c r="S4" i="13"/>
  <c r="T4" i="13"/>
  <c r="U4" i="13"/>
  <c r="V4" i="13"/>
  <c r="W4" i="13"/>
  <c r="X4" i="13"/>
  <c r="Y4" i="13"/>
  <c r="Z4" i="13"/>
  <c r="AA4" i="13"/>
  <c r="AB4" i="13"/>
  <c r="AC4" i="13"/>
  <c r="AG4" i="13"/>
  <c r="AG4" i="14"/>
  <c r="AL4" i="14"/>
  <c r="E13" i="30"/>
  <c r="I5" i="30"/>
  <c r="H5" i="30"/>
  <c r="AN40" i="12" l="1"/>
  <c r="AO38" i="12"/>
  <c r="AM46" i="12"/>
  <c r="AM53" i="12"/>
  <c r="AM59" i="12"/>
  <c r="AF26" i="13"/>
  <c r="AF36" i="13"/>
  <c r="AF37" i="13" s="1"/>
  <c r="AF51" i="13"/>
  <c r="AF44" i="12"/>
  <c r="AF50" i="12" s="1"/>
  <c r="D28" i="15" s="1"/>
  <c r="AF59" i="13"/>
  <c r="AF58" i="13" s="1"/>
  <c r="AE34" i="13"/>
  <c r="AE36" i="12"/>
  <c r="AE62" i="12"/>
  <c r="AE61" i="12"/>
  <c r="AE57" i="12"/>
  <c r="AE65" i="12"/>
  <c r="AM6" i="25"/>
  <c r="AC48" i="12"/>
  <c r="AC14" i="12"/>
  <c r="D9" i="15" s="1"/>
  <c r="AC19" i="12"/>
  <c r="AC21" i="12"/>
  <c r="AC23" i="12"/>
  <c r="AC76" i="12"/>
  <c r="AC77" i="12" s="1"/>
  <c r="AC8" i="12"/>
  <c r="AC6" i="12"/>
  <c r="AJ66" i="12" l="1"/>
  <c r="AE43" i="12"/>
  <c r="AE50" i="12" s="1"/>
  <c r="AE7" i="13"/>
  <c r="AE25" i="13" s="1"/>
  <c r="AF104" i="12"/>
  <c r="D16" i="15"/>
  <c r="D18" i="15" s="1"/>
  <c r="AC9" i="12"/>
  <c r="AH9" i="12"/>
  <c r="D10" i="15"/>
  <c r="AF51" i="12"/>
  <c r="G29" i="15"/>
  <c r="AM61" i="12"/>
  <c r="AM62" i="12"/>
  <c r="AM56" i="12"/>
  <c r="AM55" i="12"/>
  <c r="AP38" i="12"/>
  <c r="AP40" i="12" s="1"/>
  <c r="AO40" i="12"/>
  <c r="AN46" i="12"/>
  <c r="AE67" i="12"/>
  <c r="AE63" i="12"/>
  <c r="AC24" i="12"/>
  <c r="AC22" i="12"/>
  <c r="AC20" i="12"/>
  <c r="G21" i="10"/>
  <c r="E21" i="10"/>
  <c r="D21" i="10"/>
  <c r="AL31" i="14"/>
  <c r="AL26" i="14"/>
  <c r="AL16" i="14"/>
  <c r="AL12" i="14"/>
  <c r="AP98" i="12"/>
  <c r="AO98" i="12"/>
  <c r="AN98" i="12"/>
  <c r="AL82" i="12"/>
  <c r="K36" i="15"/>
  <c r="AL54" i="12"/>
  <c r="AL48" i="12"/>
  <c r="AL39" i="12"/>
  <c r="AL38" i="12"/>
  <c r="K21" i="15"/>
  <c r="AL32" i="12"/>
  <c r="AL31" i="12"/>
  <c r="K26" i="15" l="1"/>
  <c r="AJ2" i="13"/>
  <c r="AE26" i="13"/>
  <c r="AE36" i="13"/>
  <c r="AE37" i="13" s="1"/>
  <c r="AJ68" i="12"/>
  <c r="AE51" i="13"/>
  <c r="AQ38" i="12"/>
  <c r="D19" i="15"/>
  <c r="AM90" i="12"/>
  <c r="AO90" i="12"/>
  <c r="AO93" i="12" s="1"/>
  <c r="AO94" i="12" s="1"/>
  <c r="AN90" i="12"/>
  <c r="AN93" i="12" s="1"/>
  <c r="AN94" i="12" s="1"/>
  <c r="AO46" i="12"/>
  <c r="AQ40" i="12"/>
  <c r="AP46" i="12"/>
  <c r="AM57" i="12"/>
  <c r="AM7" i="13"/>
  <c r="AM63" i="12"/>
  <c r="AM43" i="12"/>
  <c r="AE51" i="12"/>
  <c r="AL33" i="12"/>
  <c r="AL46" i="12"/>
  <c r="AL45" i="12"/>
  <c r="AL60" i="12"/>
  <c r="AL40" i="12"/>
  <c r="AL47" i="12"/>
  <c r="K6" i="15"/>
  <c r="K5" i="15"/>
  <c r="AB8" i="12"/>
  <c r="AA10" i="12"/>
  <c r="Z10" i="12"/>
  <c r="Y10" i="12"/>
  <c r="AA7" i="12"/>
  <c r="Z7" i="12"/>
  <c r="Y7" i="12"/>
  <c r="AA11" i="12"/>
  <c r="Z11" i="12"/>
  <c r="AE12" i="12" s="1"/>
  <c r="Y11" i="12"/>
  <c r="X11" i="12"/>
  <c r="AB5" i="12"/>
  <c r="AO5" i="12" l="1"/>
  <c r="AO8" i="12"/>
  <c r="AN5" i="12"/>
  <c r="AN7" i="12" s="1"/>
  <c r="AP8" i="12"/>
  <c r="AM10" i="12"/>
  <c r="AM93" i="12"/>
  <c r="AM94" i="12" s="1"/>
  <c r="AM91" i="12"/>
  <c r="AM95" i="12" s="1"/>
  <c r="AP5" i="12"/>
  <c r="AM7" i="12"/>
  <c r="AQ46" i="12"/>
  <c r="AP91" i="12"/>
  <c r="AF12" i="12"/>
  <c r="AF108" i="12"/>
  <c r="L21" i="10"/>
  <c r="K21" i="10"/>
  <c r="J21" i="10"/>
  <c r="AL5" i="12"/>
  <c r="AB11" i="12"/>
  <c r="M21" i="10" s="1"/>
  <c r="I21" i="10"/>
  <c r="AG5" i="12"/>
  <c r="AC10" i="12"/>
  <c r="AC7" i="12"/>
  <c r="AA76" i="12"/>
  <c r="AA77" i="12" s="1"/>
  <c r="AA54" i="12"/>
  <c r="AA48" i="12"/>
  <c r="AA32" i="12"/>
  <c r="AA23" i="12"/>
  <c r="AA21" i="12"/>
  <c r="AA19" i="12"/>
  <c r="AA14" i="12"/>
  <c r="AA12" i="12"/>
  <c r="AA50" i="14"/>
  <c r="AA59" i="14"/>
  <c r="AA58" i="14"/>
  <c r="AA57" i="14"/>
  <c r="AA56" i="14"/>
  <c r="AA53" i="14"/>
  <c r="AA52" i="14"/>
  <c r="AA51" i="14"/>
  <c r="AB13" i="14"/>
  <c r="AM13" i="12" l="1"/>
  <c r="K7" i="15"/>
  <c r="E9" i="30"/>
  <c r="D9" i="30"/>
  <c r="AO11" i="12"/>
  <c r="AO83" i="12" s="1"/>
  <c r="AP10" i="12"/>
  <c r="H10" i="30"/>
  <c r="I10" i="30" s="1"/>
  <c r="J10" i="30" s="1"/>
  <c r="L6" i="15"/>
  <c r="E6" i="15"/>
  <c r="F6" i="15" s="1"/>
  <c r="H6" i="15"/>
  <c r="I6" i="15" s="1"/>
  <c r="AT16" i="25"/>
  <c r="AT17" i="25" s="1"/>
  <c r="H5" i="15"/>
  <c r="I5" i="15" s="1"/>
  <c r="L5" i="15"/>
  <c r="H8" i="30"/>
  <c r="I8" i="30" s="1"/>
  <c r="J8" i="30" s="1"/>
  <c r="E5" i="15"/>
  <c r="F5" i="15" s="1"/>
  <c r="AO7" i="12"/>
  <c r="AP7" i="12"/>
  <c r="AP11" i="12"/>
  <c r="G12" i="31" s="1"/>
  <c r="AQ5" i="12"/>
  <c r="AQ6" i="12" s="1"/>
  <c r="AO7" i="14"/>
  <c r="Z21" i="10"/>
  <c r="AO21" i="14"/>
  <c r="AP95" i="12"/>
  <c r="AA24" i="12"/>
  <c r="AA20" i="12"/>
  <c r="AE104" i="12"/>
  <c r="AA22" i="12"/>
  <c r="S21" i="10"/>
  <c r="AC57" i="14"/>
  <c r="AC59" i="14"/>
  <c r="AC58" i="14"/>
  <c r="AC56" i="14"/>
  <c r="AC53" i="14"/>
  <c r="AC52" i="14"/>
  <c r="AC51" i="14"/>
  <c r="AC50" i="14"/>
  <c r="AL6" i="12"/>
  <c r="U21" i="10"/>
  <c r="AC12" i="12"/>
  <c r="N21" i="10"/>
  <c r="AL23" i="14"/>
  <c r="AL9" i="14"/>
  <c r="AM18" i="13" s="1"/>
  <c r="V21" i="10"/>
  <c r="AM20" i="13"/>
  <c r="K15" i="15"/>
  <c r="K14" i="15"/>
  <c r="K13" i="15"/>
  <c r="Q21" i="10"/>
  <c r="P21" i="10"/>
  <c r="AG6" i="12"/>
  <c r="AO25" i="14" l="1"/>
  <c r="AO23" i="12"/>
  <c r="K8" i="15"/>
  <c r="AO19" i="12"/>
  <c r="AO12" i="12"/>
  <c r="AO23" i="14"/>
  <c r="AO20" i="14"/>
  <c r="AO21" i="12"/>
  <c r="AO9" i="14"/>
  <c r="AO14" i="12"/>
  <c r="AO15" i="12" s="1"/>
  <c r="AP13" i="12"/>
  <c r="AP25" i="14"/>
  <c r="AP7" i="14"/>
  <c r="AP17" i="13" s="1"/>
  <c r="AP9" i="14"/>
  <c r="AQ9" i="14" s="1"/>
  <c r="AA21" i="10"/>
  <c r="AP21" i="14"/>
  <c r="AP20" i="14"/>
  <c r="AP23" i="14"/>
  <c r="AQ23" i="14" s="1"/>
  <c r="AP14" i="12"/>
  <c r="AP15" i="12" s="1"/>
  <c r="AP83" i="12"/>
  <c r="AP21" i="12"/>
  <c r="AP12" i="12"/>
  <c r="AP23" i="12"/>
  <c r="AP19" i="12"/>
  <c r="AO45" i="14"/>
  <c r="S31" i="10"/>
  <c r="AL21" i="14"/>
  <c r="AM21" i="13" s="1"/>
  <c r="AL7" i="14"/>
  <c r="AL20" i="14"/>
  <c r="AL25" i="14"/>
  <c r="AM22" i="13" s="1"/>
  <c r="Z76" i="12"/>
  <c r="Z77" i="12" s="1"/>
  <c r="Z23" i="12"/>
  <c r="Z19" i="12"/>
  <c r="Z20" i="12" s="1"/>
  <c r="Z21" i="12"/>
  <c r="Z14" i="12"/>
  <c r="Z54" i="12"/>
  <c r="Z30" i="13"/>
  <c r="Z59" i="14"/>
  <c r="Z58" i="14"/>
  <c r="Z57" i="14"/>
  <c r="Z56" i="14"/>
  <c r="Z53" i="14"/>
  <c r="Z52" i="14"/>
  <c r="Z51" i="14"/>
  <c r="Z50" i="14"/>
  <c r="AO25" i="12" l="1"/>
  <c r="AO27" i="12" s="1"/>
  <c r="AO35" i="12" s="1"/>
  <c r="AO36" i="12" s="1"/>
  <c r="AK73" i="12"/>
  <c r="AK84" i="12"/>
  <c r="AK85" i="12" s="1"/>
  <c r="AJ73" i="12"/>
  <c r="AJ84" i="12"/>
  <c r="AJ85" i="12" s="1"/>
  <c r="AP18" i="13"/>
  <c r="AM84" i="12"/>
  <c r="AM85" i="12" s="1"/>
  <c r="AM47" i="14"/>
  <c r="AM43" i="14"/>
  <c r="AM17" i="13"/>
  <c r="AQ20" i="14"/>
  <c r="AP20" i="13"/>
  <c r="AO46" i="14"/>
  <c r="AP43" i="14"/>
  <c r="AQ7" i="14"/>
  <c r="AQ21" i="14"/>
  <c r="AP21" i="13"/>
  <c r="AP25" i="12"/>
  <c r="AP27" i="12" s="1"/>
  <c r="AQ25" i="14"/>
  <c r="AP22" i="13"/>
  <c r="AP45" i="14"/>
  <c r="AH84" i="12"/>
  <c r="AH85" i="12" s="1"/>
  <c r="AH73" i="12"/>
  <c r="AM46" i="14"/>
  <c r="Z24" i="12"/>
  <c r="Z22" i="12"/>
  <c r="AD104" i="12"/>
  <c r="V31" i="10"/>
  <c r="U31" i="10"/>
  <c r="AA30" i="13"/>
  <c r="AB30" i="13" s="1"/>
  <c r="AI9" i="25"/>
  <c r="AI7" i="25"/>
  <c r="Y48" i="12"/>
  <c r="Y23" i="12"/>
  <c r="Y21" i="12"/>
  <c r="Y19" i="12"/>
  <c r="Y14" i="12"/>
  <c r="Y76" i="12"/>
  <c r="Y77" i="12" s="1"/>
  <c r="Y12" i="12"/>
  <c r="Y59" i="14"/>
  <c r="Y58" i="14"/>
  <c r="Y57" i="14"/>
  <c r="Y56" i="14"/>
  <c r="Y53" i="14"/>
  <c r="Y52" i="14"/>
  <c r="Y51" i="14"/>
  <c r="Y50" i="14"/>
  <c r="Y10" i="14"/>
  <c r="Y47" i="13"/>
  <c r="Z47" i="13" s="1"/>
  <c r="AA47" i="13" s="1"/>
  <c r="Y44" i="13"/>
  <c r="Z44" i="13" s="1"/>
  <c r="AA44" i="13" s="1"/>
  <c r="Y42" i="13"/>
  <c r="Y41" i="13"/>
  <c r="Z41" i="13" s="1"/>
  <c r="AA41" i="13" s="1"/>
  <c r="Y48" i="13"/>
  <c r="Y31" i="13"/>
  <c r="Y33" i="13"/>
  <c r="Z33" i="13" s="1"/>
  <c r="AA33" i="13" s="1"/>
  <c r="Y29" i="13"/>
  <c r="Y24" i="13"/>
  <c r="Y23" i="13"/>
  <c r="Z23" i="13" s="1"/>
  <c r="AA23" i="13" s="1"/>
  <c r="Y22" i="13"/>
  <c r="Z22" i="13" s="1"/>
  <c r="AA22" i="13" s="1"/>
  <c r="Y21" i="13"/>
  <c r="Z21" i="13" s="1"/>
  <c r="AA21" i="13" s="1"/>
  <c r="Y20" i="13"/>
  <c r="Z20" i="13" s="1"/>
  <c r="AA20" i="13" s="1"/>
  <c r="Y19" i="13"/>
  <c r="Y18" i="13"/>
  <c r="Z18" i="13" s="1"/>
  <c r="AA18" i="13" s="1"/>
  <c r="Y17" i="13"/>
  <c r="Z17" i="13" s="1"/>
  <c r="AA17" i="13" s="1"/>
  <c r="Y14" i="13"/>
  <c r="Z14" i="13" s="1"/>
  <c r="AA14" i="13" s="1"/>
  <c r="Y13" i="13"/>
  <c r="Z13" i="13" s="1"/>
  <c r="AA13" i="13" s="1"/>
  <c r="Y12" i="13"/>
  <c r="Z12" i="13" s="1"/>
  <c r="AA12" i="13" s="1"/>
  <c r="Y11" i="13"/>
  <c r="Z11" i="13" s="1"/>
  <c r="AA11" i="13" s="1"/>
  <c r="Y10" i="13"/>
  <c r="Z10" i="13" s="1"/>
  <c r="Y7" i="13"/>
  <c r="Z7" i="13" s="1"/>
  <c r="AA7" i="13" s="1"/>
  <c r="AK87" i="12" l="1"/>
  <c r="AO53" i="12"/>
  <c r="AO55" i="12" s="1"/>
  <c r="AO59" i="12"/>
  <c r="AO61" i="12" s="1"/>
  <c r="AO28" i="12"/>
  <c r="Z31" i="10" s="1"/>
  <c r="AP35" i="12"/>
  <c r="AP28" i="12"/>
  <c r="AA31" i="10" s="1"/>
  <c r="AP53" i="12"/>
  <c r="AP46" i="14"/>
  <c r="AP47" i="14"/>
  <c r="AP84" i="12"/>
  <c r="AP85" i="12" s="1"/>
  <c r="AM87" i="12"/>
  <c r="AM86" i="12"/>
  <c r="Y24" i="12"/>
  <c r="Y20" i="12"/>
  <c r="Y22" i="12"/>
  <c r="Z42" i="13"/>
  <c r="AA42" i="13" s="1"/>
  <c r="AB42" i="13" s="1"/>
  <c r="Z19" i="13"/>
  <c r="AA19" i="13" s="1"/>
  <c r="Z24" i="13"/>
  <c r="AA24" i="13" s="1"/>
  <c r="Z31" i="13"/>
  <c r="AA31" i="13"/>
  <c r="Y59" i="13"/>
  <c r="Z59" i="13"/>
  <c r="AA10" i="13"/>
  <c r="AA59" i="13" s="1"/>
  <c r="Y34" i="13"/>
  <c r="Z29" i="13"/>
  <c r="AA29" i="13" s="1"/>
  <c r="AO62" i="12" l="1"/>
  <c r="AO43" i="12" s="1"/>
  <c r="AO56" i="12"/>
  <c r="AO57" i="12" s="1"/>
  <c r="AP86" i="12"/>
  <c r="AP55" i="12"/>
  <c r="AP56" i="12"/>
  <c r="AP57" i="12" s="1"/>
  <c r="AP36" i="12"/>
  <c r="AP59" i="12"/>
  <c r="AB24" i="13"/>
  <c r="AB19" i="13"/>
  <c r="AB31" i="13"/>
  <c r="AH13" i="25"/>
  <c r="AH9" i="25"/>
  <c r="AO7" i="13" l="1"/>
  <c r="AO63" i="12"/>
  <c r="AP62" i="12"/>
  <c r="AP61" i="12"/>
  <c r="X48" i="12"/>
  <c r="X76" i="12"/>
  <c r="X77" i="12" s="1"/>
  <c r="X12" i="12"/>
  <c r="X54" i="12"/>
  <c r="X23" i="12"/>
  <c r="X21" i="12"/>
  <c r="X19" i="12"/>
  <c r="X14" i="12"/>
  <c r="AP43" i="12" l="1"/>
  <c r="AP63" i="12"/>
  <c r="AP7" i="13"/>
  <c r="X20" i="12"/>
  <c r="X24" i="12"/>
  <c r="X22" i="12"/>
  <c r="X45" i="14"/>
  <c r="X73" i="12" s="1"/>
  <c r="X50" i="14"/>
  <c r="X51" i="14"/>
  <c r="X52" i="14"/>
  <c r="X53" i="14"/>
  <c r="X56" i="14"/>
  <c r="X57" i="14"/>
  <c r="X58" i="14"/>
  <c r="X59" i="14"/>
  <c r="D13" i="30" l="1"/>
  <c r="F12" i="30" l="1"/>
  <c r="F6" i="30"/>
  <c r="AP99" i="12" l="1"/>
  <c r="AO99" i="12"/>
  <c r="AO102" i="12" s="1"/>
  <c r="AN99" i="12"/>
  <c r="AN102" i="12" s="1"/>
  <c r="AC97" i="12"/>
  <c r="AH98" i="12" s="1"/>
  <c r="AC89" i="12"/>
  <c r="AF90" i="12" s="1"/>
  <c r="AK91" i="12" s="1"/>
  <c r="AG82" i="12"/>
  <c r="AC82" i="12"/>
  <c r="AG54" i="12"/>
  <c r="AG48" i="12"/>
  <c r="AC47" i="12"/>
  <c r="AC45" i="12"/>
  <c r="AC40" i="12"/>
  <c r="D31" i="15" s="1"/>
  <c r="D33" i="15" s="1"/>
  <c r="AG39" i="12"/>
  <c r="AG38" i="12"/>
  <c r="AC33" i="12"/>
  <c r="D23" i="15" s="1"/>
  <c r="AG32" i="12"/>
  <c r="AG31" i="12"/>
  <c r="AG31" i="14"/>
  <c r="AG26" i="14"/>
  <c r="AG16" i="14"/>
  <c r="AG15" i="14"/>
  <c r="AL15" i="14" s="1"/>
  <c r="AM15" i="14" s="1"/>
  <c r="AN15" i="14" s="1"/>
  <c r="AO15" i="14" s="1"/>
  <c r="AP15" i="14" s="1"/>
  <c r="AQ15" i="14" s="1"/>
  <c r="AG14" i="14"/>
  <c r="AG12" i="14"/>
  <c r="AC49" i="13"/>
  <c r="AC34" i="13"/>
  <c r="AQ13" i="25"/>
  <c r="AN13" i="25"/>
  <c r="AM13" i="25"/>
  <c r="AL14" i="14" l="1"/>
  <c r="AN14" i="14" s="1"/>
  <c r="AP14" i="14" s="1"/>
  <c r="AQ14" i="14" s="1"/>
  <c r="AM14" i="14"/>
  <c r="AO14" i="14" s="1"/>
  <c r="AM99" i="12"/>
  <c r="AP102" i="12"/>
  <c r="AP100" i="12"/>
  <c r="AP101" i="12" s="1"/>
  <c r="D24" i="15"/>
  <c r="D35" i="15"/>
  <c r="D37" i="15" s="1"/>
  <c r="AF93" i="12"/>
  <c r="AF94" i="12" s="1"/>
  <c r="AK95" i="12" s="1"/>
  <c r="AC46" i="12"/>
  <c r="AG46" i="12" s="1"/>
  <c r="AN91" i="12"/>
  <c r="AO91" i="12"/>
  <c r="AG34" i="13"/>
  <c r="AG47" i="12"/>
  <c r="AG49" i="13"/>
  <c r="AG45" i="12"/>
  <c r="AM9" i="25"/>
  <c r="AG33" i="12"/>
  <c r="AC45" i="14"/>
  <c r="AG60" i="12"/>
  <c r="AC83" i="12"/>
  <c r="AM16" i="25"/>
  <c r="AR17" i="25" s="1"/>
  <c r="AG40" i="12"/>
  <c r="AF36" i="25"/>
  <c r="AD47" i="14" l="1"/>
  <c r="AH46" i="14"/>
  <c r="AM10" i="25"/>
  <c r="AM102" i="12"/>
  <c r="AM100" i="12"/>
  <c r="AM101" i="12" s="1"/>
  <c r="AC73" i="12"/>
  <c r="AO95" i="12"/>
  <c r="AO100" i="12" s="1"/>
  <c r="AC15" i="12"/>
  <c r="AC16" i="12" s="1"/>
  <c r="AN95" i="12"/>
  <c r="AN100" i="12" s="1"/>
  <c r="AC25" i="12"/>
  <c r="V76" i="12"/>
  <c r="V77" i="12" s="1"/>
  <c r="V12" i="12"/>
  <c r="V48" i="12"/>
  <c r="V23" i="12"/>
  <c r="V21" i="12"/>
  <c r="V19" i="12"/>
  <c r="V14" i="12"/>
  <c r="V50" i="14"/>
  <c r="V51" i="14"/>
  <c r="V52" i="14"/>
  <c r="V53" i="14"/>
  <c r="V56" i="14"/>
  <c r="V57" i="14"/>
  <c r="V58" i="14"/>
  <c r="V59" i="14"/>
  <c r="AC27" i="12" l="1"/>
  <c r="AC53" i="12" s="1"/>
  <c r="AO101" i="12"/>
  <c r="AN101" i="12"/>
  <c r="V22" i="12"/>
  <c r="V20" i="12"/>
  <c r="V24" i="12"/>
  <c r="AC35" i="12" l="1"/>
  <c r="AC59" i="12" s="1"/>
  <c r="AC28" i="12"/>
  <c r="N31" i="10" s="1"/>
  <c r="AC36" i="12"/>
  <c r="AC56" i="12"/>
  <c r="AC55" i="12"/>
  <c r="Z5" i="25"/>
  <c r="AE6" i="25" l="1"/>
  <c r="Z6" i="25"/>
  <c r="AC57" i="12"/>
  <c r="AC62" i="12"/>
  <c r="AC7" i="13" s="1"/>
  <c r="AC61" i="12"/>
  <c r="U48" i="12"/>
  <c r="U76" i="12"/>
  <c r="U77" i="12" s="1"/>
  <c r="U24" i="13"/>
  <c r="V24" i="13" s="1"/>
  <c r="U13" i="13"/>
  <c r="U23" i="12"/>
  <c r="U19" i="12"/>
  <c r="U21" i="12"/>
  <c r="U14" i="12"/>
  <c r="U11" i="12"/>
  <c r="F21" i="10" s="1"/>
  <c r="Z12" i="12" l="1"/>
  <c r="U51" i="14"/>
  <c r="AC43" i="12"/>
  <c r="AC63" i="12"/>
  <c r="U24" i="12"/>
  <c r="U58" i="14"/>
  <c r="U20" i="12"/>
  <c r="U59" i="14"/>
  <c r="U22" i="12"/>
  <c r="U50" i="14"/>
  <c r="U57" i="14"/>
  <c r="U56" i="14"/>
  <c r="U12" i="12"/>
  <c r="U52" i="14"/>
  <c r="U53" i="14"/>
  <c r="T19" i="12"/>
  <c r="T21" i="12"/>
  <c r="T76" i="12" l="1"/>
  <c r="T77" i="12" s="1"/>
  <c r="T32" i="12"/>
  <c r="T48" i="12" s="1"/>
  <c r="W24" i="13"/>
  <c r="T48" i="13"/>
  <c r="U48" i="13" s="1"/>
  <c r="V48" i="13" s="1"/>
  <c r="T47" i="13"/>
  <c r="U47" i="13" s="1"/>
  <c r="V47" i="13" s="1"/>
  <c r="T44" i="13"/>
  <c r="U44" i="13" s="1"/>
  <c r="V44" i="13" s="1"/>
  <c r="T41" i="13"/>
  <c r="U41" i="13" s="1"/>
  <c r="V41" i="13" s="1"/>
  <c r="N58" i="13"/>
  <c r="P58" i="13"/>
  <c r="T14" i="13"/>
  <c r="U14" i="13" s="1"/>
  <c r="V14" i="13" s="1"/>
  <c r="T12" i="13"/>
  <c r="U12" i="13" s="1"/>
  <c r="V12" i="13" s="1"/>
  <c r="T11" i="13"/>
  <c r="U11" i="13" s="1"/>
  <c r="V11" i="13" s="1"/>
  <c r="T10" i="13"/>
  <c r="T33" i="13"/>
  <c r="U33" i="13" s="1"/>
  <c r="V33" i="13" s="1"/>
  <c r="T29" i="13"/>
  <c r="U29" i="13" s="1"/>
  <c r="V29" i="13" s="1"/>
  <c r="T23" i="13"/>
  <c r="U23" i="13" s="1"/>
  <c r="V23" i="13" s="1"/>
  <c r="T22" i="13"/>
  <c r="U22" i="13" s="1"/>
  <c r="V22" i="13" s="1"/>
  <c r="T21" i="13"/>
  <c r="U21" i="13" s="1"/>
  <c r="V21" i="13" s="1"/>
  <c r="T20" i="13"/>
  <c r="U20" i="13" s="1"/>
  <c r="V20" i="13" s="1"/>
  <c r="T19" i="13"/>
  <c r="U19" i="13" s="1"/>
  <c r="V19" i="13" s="1"/>
  <c r="T18" i="13"/>
  <c r="U18" i="13" s="1"/>
  <c r="V18" i="13" s="1"/>
  <c r="T17" i="13"/>
  <c r="U17" i="13" s="1"/>
  <c r="V17" i="13" s="1"/>
  <c r="T59" i="14"/>
  <c r="T58" i="14"/>
  <c r="T57" i="14"/>
  <c r="T56" i="14"/>
  <c r="T53" i="14"/>
  <c r="T52" i="14"/>
  <c r="T51" i="14"/>
  <c r="T50" i="14"/>
  <c r="T23" i="12"/>
  <c r="T24" i="12" s="1"/>
  <c r="T20" i="12"/>
  <c r="T14" i="12"/>
  <c r="T12" i="12"/>
  <c r="U10" i="13" l="1"/>
  <c r="T59" i="13"/>
  <c r="T25" i="12"/>
  <c r="T22" i="12"/>
  <c r="U59" i="13" l="1"/>
  <c r="V10" i="13"/>
  <c r="V59" i="13" s="1"/>
  <c r="S76" i="12"/>
  <c r="S77" i="12" s="1"/>
  <c r="C5" i="27"/>
  <c r="AB33" i="13" l="1"/>
  <c r="W33" i="13"/>
  <c r="R33" i="13"/>
  <c r="M33" i="13"/>
  <c r="H33" i="13"/>
  <c r="AA34" i="13"/>
  <c r="Z34" i="13"/>
  <c r="X34" i="13"/>
  <c r="V34" i="13"/>
  <c r="U34" i="13"/>
  <c r="T34" i="13"/>
  <c r="S34" i="13"/>
  <c r="N34" i="13"/>
  <c r="L34" i="13"/>
  <c r="K34" i="13"/>
  <c r="J34" i="13"/>
  <c r="I34" i="13"/>
  <c r="S59" i="14"/>
  <c r="S58" i="14"/>
  <c r="S57" i="14"/>
  <c r="S56" i="14"/>
  <c r="S53" i="14"/>
  <c r="S52" i="14"/>
  <c r="S51" i="14"/>
  <c r="S50" i="14"/>
  <c r="AB15" i="14"/>
  <c r="AB14" i="14"/>
  <c r="W15" i="14"/>
  <c r="W14" i="14"/>
  <c r="R15" i="14"/>
  <c r="R14" i="14"/>
  <c r="M15" i="14"/>
  <c r="M14" i="14"/>
  <c r="H15" i="14"/>
  <c r="H14" i="14"/>
  <c r="S23" i="12"/>
  <c r="S19" i="12"/>
  <c r="S21" i="12"/>
  <c r="S14" i="12"/>
  <c r="S22" i="12" l="1"/>
  <c r="S24" i="12"/>
  <c r="S20" i="12"/>
  <c r="Q76" i="12" l="1"/>
  <c r="Q77" i="12" s="1"/>
  <c r="S31" i="23" l="1"/>
  <c r="Q13" i="13"/>
  <c r="Q59" i="14"/>
  <c r="Q58" i="14"/>
  <c r="Q57" i="14"/>
  <c r="Q56" i="14"/>
  <c r="Q53" i="14"/>
  <c r="Q52" i="14"/>
  <c r="Q51" i="14"/>
  <c r="Q50" i="14"/>
  <c r="Q23" i="12"/>
  <c r="Q19" i="12"/>
  <c r="Q21" i="12"/>
  <c r="Q14" i="12"/>
  <c r="Q24" i="12" l="1"/>
  <c r="Q22" i="12"/>
  <c r="Q20" i="12"/>
  <c r="P59" i="14" l="1"/>
  <c r="O59" i="14"/>
  <c r="P58" i="14"/>
  <c r="O58" i="14"/>
  <c r="P57" i="14"/>
  <c r="O57" i="14"/>
  <c r="P56" i="14"/>
  <c r="O56" i="14"/>
  <c r="P53" i="14"/>
  <c r="O53" i="14"/>
  <c r="P52" i="14"/>
  <c r="O52" i="14"/>
  <c r="P51" i="14"/>
  <c r="O51" i="14"/>
  <c r="P50" i="14"/>
  <c r="O50" i="14"/>
  <c r="P76" i="12"/>
  <c r="P77" i="12" s="1"/>
  <c r="P59" i="13"/>
  <c r="O58" i="13"/>
  <c r="O59" i="13" s="1"/>
  <c r="P48" i="13"/>
  <c r="Q48" i="13" s="1"/>
  <c r="P19" i="13"/>
  <c r="Q19" i="13" s="1"/>
  <c r="P23" i="12"/>
  <c r="P19" i="12"/>
  <c r="P21" i="12"/>
  <c r="P22" i="12" s="1"/>
  <c r="P14" i="12"/>
  <c r="P20" i="12" l="1"/>
  <c r="P24" i="12"/>
  <c r="O76" i="12" l="1"/>
  <c r="O77" i="12" s="1"/>
  <c r="Z45" i="12"/>
  <c r="X45" i="12"/>
  <c r="V45" i="12"/>
  <c r="U45" i="12"/>
  <c r="T45" i="12"/>
  <c r="S45" i="12"/>
  <c r="Q45" i="12"/>
  <c r="P45" i="12"/>
  <c r="O45" i="12"/>
  <c r="O23" i="12"/>
  <c r="O24" i="12" s="1"/>
  <c r="O19" i="12"/>
  <c r="O20" i="12" s="1"/>
  <c r="O21" i="12"/>
  <c r="O22" i="12" s="1"/>
  <c r="O14" i="12"/>
  <c r="O47" i="13"/>
  <c r="P47" i="13" s="1"/>
  <c r="Q47" i="13" s="1"/>
  <c r="O44" i="13"/>
  <c r="P44" i="13" s="1"/>
  <c r="Q44" i="13" s="1"/>
  <c r="O41" i="13"/>
  <c r="P41" i="13" s="1"/>
  <c r="Q41" i="13" s="1"/>
  <c r="O29" i="13"/>
  <c r="O23" i="13"/>
  <c r="P23" i="13" s="1"/>
  <c r="Q23" i="13" s="1"/>
  <c r="O22" i="13"/>
  <c r="P22" i="13" s="1"/>
  <c r="Q22" i="13" s="1"/>
  <c r="O21" i="13"/>
  <c r="P21" i="13" s="1"/>
  <c r="Q21" i="13" s="1"/>
  <c r="O20" i="13"/>
  <c r="P20" i="13" s="1"/>
  <c r="Q20" i="13" s="1"/>
  <c r="O18" i="13"/>
  <c r="P18" i="13" s="1"/>
  <c r="Q18" i="13" s="1"/>
  <c r="O17" i="13"/>
  <c r="O14" i="13"/>
  <c r="P14" i="13" s="1"/>
  <c r="Q14" i="13" s="1"/>
  <c r="O12" i="13"/>
  <c r="P12" i="13" s="1"/>
  <c r="Q12" i="13" s="1"/>
  <c r="O11" i="13"/>
  <c r="P11" i="13" s="1"/>
  <c r="Q11" i="13" s="1"/>
  <c r="O10" i="13"/>
  <c r="P10" i="13" s="1"/>
  <c r="Q10" i="13" s="1"/>
  <c r="P17" i="13" l="1"/>
  <c r="Q17" i="13" s="1"/>
  <c r="R17" i="13"/>
  <c r="O34" i="13"/>
  <c r="P29" i="13"/>
  <c r="T25" i="28"/>
  <c r="O22" i="27"/>
  <c r="J22" i="27"/>
  <c r="P34" i="13" l="1"/>
  <c r="Q29" i="13"/>
  <c r="Q34" i="13" s="1"/>
  <c r="M26" i="28"/>
  <c r="I19" i="28"/>
  <c r="H19" i="28"/>
  <c r="G19" i="28"/>
  <c r="F19" i="28"/>
  <c r="E19" i="28"/>
  <c r="I18" i="28"/>
  <c r="H18" i="28"/>
  <c r="G18" i="28"/>
  <c r="F18" i="28"/>
  <c r="E18" i="28"/>
  <c r="I17" i="28"/>
  <c r="H17" i="28"/>
  <c r="G17" i="28"/>
  <c r="F17" i="28"/>
  <c r="E17" i="28"/>
  <c r="I16" i="28"/>
  <c r="H16" i="28"/>
  <c r="G16" i="28"/>
  <c r="F16" i="28"/>
  <c r="E16" i="28"/>
  <c r="I15" i="28"/>
  <c r="H15" i="28"/>
  <c r="G15" i="28"/>
  <c r="F15" i="28"/>
  <c r="E15" i="28"/>
  <c r="D15" i="28"/>
  <c r="E14" i="28"/>
  <c r="D7" i="28"/>
  <c r="D8" i="28" s="1"/>
  <c r="F5" i="28"/>
  <c r="F14" i="28" s="1"/>
  <c r="AE13" i="27"/>
  <c r="O5" i="27"/>
  <c r="T5" i="27" s="1"/>
  <c r="Y5" i="27" s="1"/>
  <c r="AD5" i="27" s="1"/>
  <c r="D16" i="28" l="1"/>
  <c r="D9" i="28"/>
  <c r="D18" i="28" s="1"/>
  <c r="D17" i="28"/>
  <c r="G5" i="28"/>
  <c r="G14" i="28" s="1"/>
  <c r="N26" i="28"/>
  <c r="J23" i="27"/>
  <c r="O23" i="27"/>
  <c r="D10" i="28" l="1"/>
  <c r="D19" i="28" s="1"/>
  <c r="H5" i="28"/>
  <c r="I5" i="28" s="1"/>
  <c r="I14" i="28" s="1"/>
  <c r="H14" i="28" l="1"/>
  <c r="C22" i="27"/>
  <c r="C23" i="27" s="1"/>
  <c r="G11" i="12"/>
  <c r="F11" i="12"/>
  <c r="E11" i="12"/>
  <c r="D11" i="12"/>
  <c r="D83" i="12" s="1"/>
  <c r="L11" i="12"/>
  <c r="K11" i="12"/>
  <c r="P12" i="12" s="1"/>
  <c r="J11" i="12"/>
  <c r="I11" i="12"/>
  <c r="N11" i="12"/>
  <c r="N83" i="12" s="1"/>
  <c r="N85" i="12" s="1"/>
  <c r="T26" i="28" l="1"/>
  <c r="T29" i="28" s="1"/>
  <c r="AE22" i="27"/>
  <c r="S12" i="12"/>
  <c r="Q12" i="12"/>
  <c r="O12" i="12"/>
  <c r="P31" i="23"/>
  <c r="N53" i="14"/>
  <c r="N52" i="14"/>
  <c r="X16" i="25"/>
  <c r="X9" i="25"/>
  <c r="I31" i="23"/>
  <c r="Q9" i="25"/>
  <c r="Q16" i="25"/>
  <c r="K31" i="23"/>
  <c r="I52" i="14"/>
  <c r="I53" i="14"/>
  <c r="S16" i="25"/>
  <c r="S9" i="25"/>
  <c r="L31" i="23"/>
  <c r="J53" i="14"/>
  <c r="J52" i="14"/>
  <c r="T9" i="25"/>
  <c r="T16" i="25"/>
  <c r="M31" i="23"/>
  <c r="K53" i="14"/>
  <c r="K52" i="14"/>
  <c r="U9" i="25"/>
  <c r="U16" i="25"/>
  <c r="N31" i="23"/>
  <c r="L52" i="14"/>
  <c r="L53" i="14"/>
  <c r="V9" i="25"/>
  <c r="V16" i="25"/>
  <c r="F31" i="23"/>
  <c r="D53" i="14"/>
  <c r="D52" i="14"/>
  <c r="N16" i="25"/>
  <c r="N9" i="25"/>
  <c r="G31" i="23"/>
  <c r="O16" i="25"/>
  <c r="O9" i="25"/>
  <c r="H31" i="23"/>
  <c r="P16" i="25"/>
  <c r="P9" i="25"/>
  <c r="D76" i="12"/>
  <c r="X10" i="25" l="1"/>
  <c r="X39" i="23"/>
  <c r="W39" i="23"/>
  <c r="V39" i="23"/>
  <c r="U39" i="23"/>
  <c r="X38" i="23"/>
  <c r="W38" i="23"/>
  <c r="V38" i="23"/>
  <c r="U38" i="23"/>
  <c r="X37" i="23"/>
  <c r="W37" i="23"/>
  <c r="V37" i="23"/>
  <c r="U37" i="23"/>
  <c r="P39" i="23"/>
  <c r="P38" i="23"/>
  <c r="S39" i="23"/>
  <c r="R37" i="23"/>
  <c r="Q37" i="23"/>
  <c r="P37" i="23"/>
  <c r="M37" i="23"/>
  <c r="L37" i="23"/>
  <c r="U27" i="23"/>
  <c r="V27" i="23"/>
  <c r="W27" i="23"/>
  <c r="X27" i="23"/>
  <c r="U28" i="23"/>
  <c r="V28" i="23"/>
  <c r="W28" i="23"/>
  <c r="X28" i="23"/>
  <c r="U29" i="23"/>
  <c r="V29" i="23"/>
  <c r="W29" i="23"/>
  <c r="X29" i="23"/>
  <c r="P27" i="23"/>
  <c r="Q27" i="23"/>
  <c r="R27" i="23"/>
  <c r="S27" i="23"/>
  <c r="P28" i="23"/>
  <c r="Q28" i="23"/>
  <c r="R28" i="23"/>
  <c r="S28" i="23"/>
  <c r="P29" i="23"/>
  <c r="Q29" i="23"/>
  <c r="R29" i="23"/>
  <c r="S29" i="23"/>
  <c r="N27" i="23"/>
  <c r="N28" i="23"/>
  <c r="N29" i="23"/>
  <c r="L29" i="23"/>
  <c r="K28" i="23"/>
  <c r="K27" i="23"/>
  <c r="I27" i="23"/>
  <c r="K29" i="23"/>
  <c r="G28" i="23"/>
  <c r="H28" i="23"/>
  <c r="I28" i="23"/>
  <c r="L28" i="23"/>
  <c r="M28" i="23"/>
  <c r="AC67" i="12" l="1"/>
  <c r="AC65" i="12"/>
  <c r="L38" i="23"/>
  <c r="Q38" i="23"/>
  <c r="Q39" i="23"/>
  <c r="S37" i="23"/>
  <c r="M38" i="23"/>
  <c r="R38" i="23"/>
  <c r="R39" i="23"/>
  <c r="N37" i="23"/>
  <c r="N38" i="23"/>
  <c r="S38" i="23"/>
  <c r="AH66" i="12" l="1"/>
  <c r="AH68" i="12"/>
  <c r="AG70" i="12"/>
  <c r="K42" i="15"/>
  <c r="N23" i="10"/>
  <c r="H19" i="13"/>
  <c r="AB8" i="13"/>
  <c r="AB12" i="13"/>
  <c r="AB13" i="13"/>
  <c r="AB14" i="13"/>
  <c r="W8" i="13"/>
  <c r="W12" i="13"/>
  <c r="W13" i="13"/>
  <c r="W14" i="13"/>
  <c r="W19" i="13"/>
  <c r="R8" i="13"/>
  <c r="R13" i="13"/>
  <c r="R14" i="13"/>
  <c r="R19" i="13"/>
  <c r="R23" i="13"/>
  <c r="M19" i="13"/>
  <c r="AB48" i="12"/>
  <c r="P47" i="12"/>
  <c r="Q47" i="12"/>
  <c r="S47" i="12"/>
  <c r="T47" i="12"/>
  <c r="U47" i="12"/>
  <c r="V47" i="12"/>
  <c r="X47" i="12"/>
  <c r="Y47" i="12"/>
  <c r="Z47" i="12"/>
  <c r="AA47" i="12"/>
  <c r="O47" i="12"/>
  <c r="R32" i="14"/>
  <c r="S32" i="14" s="1"/>
  <c r="W32" i="14" s="1"/>
  <c r="AB32" i="14" s="1"/>
  <c r="AG32" i="14" s="1"/>
  <c r="AL32" i="14" s="1"/>
  <c r="AM32" i="14" s="1"/>
  <c r="AN32" i="14" s="1"/>
  <c r="AO32" i="14" s="1"/>
  <c r="AP32" i="14" s="1"/>
  <c r="AQ32" i="14" s="1"/>
  <c r="R26" i="14"/>
  <c r="W26" i="14" s="1"/>
  <c r="AB26" i="14" s="1"/>
  <c r="AB12" i="14"/>
  <c r="AB16" i="14"/>
  <c r="R12" i="14"/>
  <c r="R16" i="14"/>
  <c r="W12" i="14"/>
  <c r="W16" i="14"/>
  <c r="O97" i="12"/>
  <c r="P97" i="12"/>
  <c r="Q97" i="12"/>
  <c r="N76" i="12"/>
  <c r="I76" i="12"/>
  <c r="J76" i="12"/>
  <c r="K76" i="12"/>
  <c r="L76" i="12"/>
  <c r="E76" i="12"/>
  <c r="F76" i="12"/>
  <c r="G76" i="12"/>
  <c r="K43" i="15" l="1"/>
  <c r="W45" i="12"/>
  <c r="AB47" i="12"/>
  <c r="W47" i="12"/>
  <c r="R12" i="13"/>
  <c r="AG71" i="12" l="1"/>
  <c r="S23" i="10"/>
  <c r="W23" i="13"/>
  <c r="R10" i="13" l="1"/>
  <c r="AB23" i="13"/>
  <c r="AM70" i="12" l="1"/>
  <c r="K40" i="15"/>
  <c r="AM71" i="12"/>
  <c r="U23" i="10"/>
  <c r="W48" i="12"/>
  <c r="V23" i="10" l="1"/>
  <c r="K39" i="15"/>
  <c r="AN71" i="12"/>
  <c r="AM67" i="12"/>
  <c r="AM68" i="12" s="1"/>
  <c r="AN70" i="12"/>
  <c r="AM65" i="12"/>
  <c r="N31" i="12"/>
  <c r="E58" i="13"/>
  <c r="E59" i="13" s="1"/>
  <c r="F58" i="13"/>
  <c r="F59" i="13" s="1"/>
  <c r="G58" i="13"/>
  <c r="G59" i="13" s="1"/>
  <c r="I58" i="13"/>
  <c r="J58" i="13"/>
  <c r="J59" i="13" s="1"/>
  <c r="K58" i="13"/>
  <c r="K59" i="13" s="1"/>
  <c r="L58" i="13"/>
  <c r="L59" i="13" s="1"/>
  <c r="D58" i="13"/>
  <c r="D59" i="13" s="1"/>
  <c r="AM66" i="12" l="1"/>
  <c r="X23" i="10"/>
  <c r="AO70" i="12"/>
  <c r="AO71" i="12"/>
  <c r="I97" i="12"/>
  <c r="J97" i="12"/>
  <c r="K97" i="12"/>
  <c r="L97" i="12"/>
  <c r="N97" i="12"/>
  <c r="E97" i="12"/>
  <c r="F97" i="12"/>
  <c r="G97" i="12"/>
  <c r="D97" i="12"/>
  <c r="E84" i="12"/>
  <c r="F84" i="12"/>
  <c r="G84" i="12"/>
  <c r="I84" i="12"/>
  <c r="J84" i="12"/>
  <c r="K84" i="12"/>
  <c r="L84" i="12"/>
  <c r="D84" i="12"/>
  <c r="AP71" i="12" l="1"/>
  <c r="AP67" i="12" s="1"/>
  <c r="AP68" i="12" s="1"/>
  <c r="AO67" i="12"/>
  <c r="AO68" i="12" s="1"/>
  <c r="AP70" i="12"/>
  <c r="AO65" i="12"/>
  <c r="N45" i="14"/>
  <c r="E45" i="14"/>
  <c r="F45" i="14"/>
  <c r="G45" i="14"/>
  <c r="I45" i="14"/>
  <c r="J45" i="14"/>
  <c r="K45" i="14"/>
  <c r="L45" i="14"/>
  <c r="D45" i="14"/>
  <c r="D73" i="12" s="1"/>
  <c r="AQ71" i="12" l="1"/>
  <c r="AQ70" i="12"/>
  <c r="AP65" i="12"/>
  <c r="AO66" i="12"/>
  <c r="Z23" i="10"/>
  <c r="N44" i="12"/>
  <c r="R44" i="12" s="1"/>
  <c r="G54" i="12"/>
  <c r="G45" i="12" s="1"/>
  <c r="E54" i="12"/>
  <c r="E45" i="12" s="1"/>
  <c r="F54" i="12"/>
  <c r="F45" i="12" s="1"/>
  <c r="D54" i="12"/>
  <c r="D45" i="12" s="1"/>
  <c r="I48" i="12"/>
  <c r="J48" i="12"/>
  <c r="K48" i="12"/>
  <c r="L48" i="12"/>
  <c r="N48" i="12"/>
  <c r="R48" i="12" s="1"/>
  <c r="I14" i="12"/>
  <c r="J14" i="12"/>
  <c r="K14" i="12"/>
  <c r="L14" i="12"/>
  <c r="N14" i="12"/>
  <c r="I39" i="12"/>
  <c r="J39" i="12"/>
  <c r="K39" i="12"/>
  <c r="L39" i="12"/>
  <c r="N39" i="12"/>
  <c r="N38" i="12"/>
  <c r="I44" i="12"/>
  <c r="J44" i="12"/>
  <c r="K44" i="12"/>
  <c r="L44" i="12"/>
  <c r="I38" i="12"/>
  <c r="J38" i="12"/>
  <c r="K38" i="12"/>
  <c r="L38" i="12"/>
  <c r="I23" i="12"/>
  <c r="J23" i="12"/>
  <c r="K23" i="12"/>
  <c r="L23" i="12"/>
  <c r="N23" i="12"/>
  <c r="I21" i="12"/>
  <c r="J21" i="12"/>
  <c r="K21" i="12"/>
  <c r="L21" i="12"/>
  <c r="N21" i="12"/>
  <c r="I19" i="12"/>
  <c r="J19" i="12"/>
  <c r="K19" i="12"/>
  <c r="L19" i="12"/>
  <c r="N19" i="12"/>
  <c r="E48" i="12"/>
  <c r="F48" i="12"/>
  <c r="G48" i="12"/>
  <c r="D48" i="12"/>
  <c r="E44" i="12"/>
  <c r="F44" i="12"/>
  <c r="G44" i="12"/>
  <c r="D44" i="12"/>
  <c r="AP66" i="12" l="1"/>
  <c r="AA23" i="10"/>
  <c r="M48" i="12"/>
  <c r="K15" i="12"/>
  <c r="J15" i="12"/>
  <c r="L15" i="12"/>
  <c r="N15" i="12"/>
  <c r="K13" i="12"/>
  <c r="N13" i="12"/>
  <c r="L13" i="12"/>
  <c r="M44" i="12"/>
  <c r="H48" i="12"/>
  <c r="H44" i="12"/>
  <c r="H45" i="12"/>
  <c r="N25" i="12"/>
  <c r="I25" i="12"/>
  <c r="J25" i="12"/>
  <c r="K25" i="12"/>
  <c r="L25" i="12"/>
  <c r="AC16" i="25" l="1"/>
  <c r="AC17" i="25" s="1"/>
  <c r="Y16" i="25"/>
  <c r="R11" i="12"/>
  <c r="AA9" i="25"/>
  <c r="AA10" i="25" s="1"/>
  <c r="AA16" i="25"/>
  <c r="AA17" i="25" s="1"/>
  <c r="Z9" i="25"/>
  <c r="Z10" i="25" s="1"/>
  <c r="Z16" i="25"/>
  <c r="Z17" i="25" s="1"/>
  <c r="N12" i="12"/>
  <c r="I15" i="12"/>
  <c r="O13" i="12"/>
  <c r="J13" i="12"/>
  <c r="Q13" i="12"/>
  <c r="S13" i="12"/>
  <c r="P13" i="12"/>
  <c r="O15" i="12"/>
  <c r="O16" i="12" s="1"/>
  <c r="Q33" i="23"/>
  <c r="S34" i="23"/>
  <c r="P34" i="23"/>
  <c r="P32" i="23"/>
  <c r="N32" i="23"/>
  <c r="N33" i="23"/>
  <c r="P33" i="23"/>
  <c r="M33" i="23"/>
  <c r="L33" i="23"/>
  <c r="X17" i="25"/>
  <c r="G23" i="12"/>
  <c r="G14" i="12"/>
  <c r="F14" i="12"/>
  <c r="E39" i="12"/>
  <c r="F39" i="12"/>
  <c r="G39" i="12"/>
  <c r="E38" i="12"/>
  <c r="F38" i="12"/>
  <c r="G38" i="12"/>
  <c r="E23" i="12"/>
  <c r="F23" i="12"/>
  <c r="E21" i="12"/>
  <c r="F21" i="12"/>
  <c r="G21" i="12"/>
  <c r="G19" i="12"/>
  <c r="E19" i="12"/>
  <c r="F19" i="12"/>
  <c r="E14" i="12"/>
  <c r="D14" i="12"/>
  <c r="D39" i="12"/>
  <c r="D38" i="12"/>
  <c r="D23" i="12"/>
  <c r="D21" i="12"/>
  <c r="D19" i="12"/>
  <c r="M38" i="12"/>
  <c r="M11" i="12"/>
  <c r="H38" i="12"/>
  <c r="H54" i="12"/>
  <c r="H11" i="12"/>
  <c r="H19" i="12" l="1"/>
  <c r="S15" i="12"/>
  <c r="S16" i="12" s="1"/>
  <c r="Q15" i="12"/>
  <c r="Q16" i="12" s="1"/>
  <c r="J6" i="27"/>
  <c r="C9" i="19"/>
  <c r="P15" i="12"/>
  <c r="P16" i="12" s="1"/>
  <c r="O6" i="27"/>
  <c r="D9" i="19"/>
  <c r="T6" i="27"/>
  <c r="E9" i="19"/>
  <c r="G8" i="23"/>
  <c r="H8" i="23"/>
  <c r="F8" i="23"/>
  <c r="AH16" i="25"/>
  <c r="AF16" i="25"/>
  <c r="AF17" i="25" s="1"/>
  <c r="AD16" i="25"/>
  <c r="W11" i="12"/>
  <c r="H21" i="10" s="1"/>
  <c r="R16" i="25"/>
  <c r="AE9" i="25"/>
  <c r="AE10" i="25" s="1"/>
  <c r="AE16" i="25"/>
  <c r="AE17" i="25" s="1"/>
  <c r="AB16" i="25"/>
  <c r="Q34" i="23"/>
  <c r="Q32" i="23"/>
  <c r="I12" i="12"/>
  <c r="D15" i="12"/>
  <c r="U13" i="12"/>
  <c r="V13" i="12"/>
  <c r="T13" i="12"/>
  <c r="E15" i="12"/>
  <c r="G15" i="12"/>
  <c r="X13" i="12"/>
  <c r="F15" i="12"/>
  <c r="R33" i="23"/>
  <c r="R32" i="23"/>
  <c r="R34" i="23"/>
  <c r="S33" i="23"/>
  <c r="S32" i="23"/>
  <c r="R14" i="12"/>
  <c r="H23" i="12"/>
  <c r="M14" i="12"/>
  <c r="T17" i="25"/>
  <c r="U17" i="25"/>
  <c r="S17" i="25"/>
  <c r="V17" i="25"/>
  <c r="H14" i="12"/>
  <c r="H39" i="12"/>
  <c r="M39" i="12"/>
  <c r="M23" i="12"/>
  <c r="M19" i="12"/>
  <c r="H21" i="12"/>
  <c r="M21" i="12"/>
  <c r="E25" i="12"/>
  <c r="F25" i="12"/>
  <c r="G25" i="12"/>
  <c r="X7" i="25"/>
  <c r="V7" i="25"/>
  <c r="U7" i="25"/>
  <c r="T7" i="25"/>
  <c r="S7" i="25"/>
  <c r="Q7" i="25"/>
  <c r="P7" i="25"/>
  <c r="O7" i="25"/>
  <c r="AG5" i="25"/>
  <c r="AD9" i="25"/>
  <c r="AI10" i="25" s="1"/>
  <c r="W5" i="25"/>
  <c r="W9" i="25" s="1"/>
  <c r="R5" i="25"/>
  <c r="R9" i="25" s="1"/>
  <c r="W7" i="25" l="1"/>
  <c r="AC13" i="12"/>
  <c r="X15" i="12"/>
  <c r="X16" i="12" s="1"/>
  <c r="AH17" i="25"/>
  <c r="AM17" i="25"/>
  <c r="V15" i="12"/>
  <c r="V16" i="12" s="1"/>
  <c r="AF9" i="25"/>
  <c r="AF10" i="25" s="1"/>
  <c r="U15" i="12"/>
  <c r="U16" i="12" s="1"/>
  <c r="T15" i="12"/>
  <c r="T16" i="12" s="1"/>
  <c r="L28" i="28"/>
  <c r="L25" i="28"/>
  <c r="M25" i="28" s="1"/>
  <c r="N25" i="28" s="1"/>
  <c r="O28" i="27"/>
  <c r="J28" i="27"/>
  <c r="Y6" i="27"/>
  <c r="F9" i="19"/>
  <c r="M28" i="28"/>
  <c r="T28" i="27"/>
  <c r="H9" i="23"/>
  <c r="AG9" i="25"/>
  <c r="I8" i="23"/>
  <c r="G9" i="23"/>
  <c r="AG16" i="25"/>
  <c r="AJ16" i="25"/>
  <c r="AI16" i="25"/>
  <c r="AK16" i="25"/>
  <c r="AP17" i="25" s="1"/>
  <c r="M15" i="12"/>
  <c r="E13" i="12"/>
  <c r="J12" i="12"/>
  <c r="AA13" i="12"/>
  <c r="Z13" i="12"/>
  <c r="F13" i="12"/>
  <c r="K12" i="12"/>
  <c r="G13" i="12"/>
  <c r="L12" i="12"/>
  <c r="I13" i="12"/>
  <c r="Y13" i="12"/>
  <c r="W14" i="12"/>
  <c r="G33" i="23"/>
  <c r="L34" i="23"/>
  <c r="I33" i="23"/>
  <c r="I32" i="23"/>
  <c r="K33" i="23"/>
  <c r="N34" i="23"/>
  <c r="K32" i="23"/>
  <c r="H33" i="23"/>
  <c r="M34" i="23"/>
  <c r="Z13" i="25"/>
  <c r="AA13" i="25"/>
  <c r="Y13" i="25"/>
  <c r="M25" i="12"/>
  <c r="G12" i="23" s="1"/>
  <c r="G13" i="23" s="1"/>
  <c r="H25" i="12"/>
  <c r="F12" i="23" s="1"/>
  <c r="F13" i="23" s="1"/>
  <c r="AE7" i="25"/>
  <c r="AA7" i="25"/>
  <c r="AB7" i="25" s="1"/>
  <c r="W16" i="25"/>
  <c r="AF7" i="25"/>
  <c r="AB5" i="25"/>
  <c r="AB9" i="25" s="1"/>
  <c r="AB10" i="25" s="1"/>
  <c r="AG7" i="25" l="1"/>
  <c r="AJ17" i="25"/>
  <c r="AO17" i="25"/>
  <c r="AG10" i="25"/>
  <c r="AA15" i="12"/>
  <c r="AA16" i="12" s="1"/>
  <c r="Z15" i="12"/>
  <c r="Z16" i="12" s="1"/>
  <c r="Y15" i="12"/>
  <c r="Y16" i="12" s="1"/>
  <c r="AG23" i="14"/>
  <c r="AG7" i="14"/>
  <c r="AH43" i="14" s="1"/>
  <c r="AG9" i="14"/>
  <c r="AG21" i="14"/>
  <c r="O7" i="27"/>
  <c r="G10" i="23"/>
  <c r="Q28" i="28"/>
  <c r="Q25" i="28"/>
  <c r="AD6" i="27"/>
  <c r="AD28" i="27" s="1"/>
  <c r="G9" i="19"/>
  <c r="M29" i="28"/>
  <c r="N28" i="28"/>
  <c r="Y28" i="27"/>
  <c r="AE24" i="27"/>
  <c r="I9" i="23"/>
  <c r="J8" i="23"/>
  <c r="AL16" i="25"/>
  <c r="AI17" i="25"/>
  <c r="M12" i="12"/>
  <c r="H15" i="12"/>
  <c r="AB14" i="12"/>
  <c r="AB15" i="12" s="1"/>
  <c r="AK17" i="25"/>
  <c r="W17" i="25"/>
  <c r="AB9" i="14"/>
  <c r="R9" i="14"/>
  <c r="W9" i="14"/>
  <c r="AB13" i="25"/>
  <c r="AF13" i="25"/>
  <c r="AD13" i="25"/>
  <c r="AE13" i="25"/>
  <c r="AC13" i="25"/>
  <c r="AG13" i="25"/>
  <c r="AG20" i="14" l="1"/>
  <c r="AG14" i="12"/>
  <c r="AG23" i="12"/>
  <c r="AG25" i="14"/>
  <c r="AG19" i="12"/>
  <c r="AG21" i="12"/>
  <c r="AL17" i="25"/>
  <c r="J7" i="27"/>
  <c r="F10" i="23"/>
  <c r="N29" i="28"/>
  <c r="AD7" i="27"/>
  <c r="J10" i="23"/>
  <c r="J9" i="23"/>
  <c r="U43" i="14"/>
  <c r="T43" i="14"/>
  <c r="Y43" i="14"/>
  <c r="Z43" i="14"/>
  <c r="W7" i="14"/>
  <c r="X43" i="14" s="1"/>
  <c r="V43" i="14"/>
  <c r="AB7" i="14"/>
  <c r="AA43" i="14"/>
  <c r="R7" i="14"/>
  <c r="S43" i="14" s="1"/>
  <c r="Q43" i="14"/>
  <c r="X13" i="25"/>
  <c r="L13" i="25"/>
  <c r="K13" i="25"/>
  <c r="J13" i="25"/>
  <c r="I13" i="25"/>
  <c r="W10" i="25"/>
  <c r="V10" i="25"/>
  <c r="U10" i="25"/>
  <c r="T10" i="25"/>
  <c r="S10" i="25"/>
  <c r="L10" i="25"/>
  <c r="K10" i="25"/>
  <c r="J10" i="25"/>
  <c r="I10" i="25"/>
  <c r="L6" i="25"/>
  <c r="K6" i="25"/>
  <c r="J6" i="25"/>
  <c r="I6" i="25"/>
  <c r="AA49" i="13"/>
  <c r="Z49" i="13"/>
  <c r="Y49" i="13"/>
  <c r="X49" i="13"/>
  <c r="AB48" i="13"/>
  <c r="AB47" i="13"/>
  <c r="AB44" i="13"/>
  <c r="AB43" i="13"/>
  <c r="AB41" i="13"/>
  <c r="AB29" i="13"/>
  <c r="AB34" i="13" s="1"/>
  <c r="AF84" i="12" l="1"/>
  <c r="AF85" i="12" s="1"/>
  <c r="AF73" i="12"/>
  <c r="AE73" i="12"/>
  <c r="AE84" i="12"/>
  <c r="AE85" i="12" s="1"/>
  <c r="AJ86" i="12" s="1"/>
  <c r="AD73" i="12"/>
  <c r="AD84" i="12"/>
  <c r="Q31" i="10"/>
  <c r="AC43" i="14"/>
  <c r="P31" i="10"/>
  <c r="AG25" i="12"/>
  <c r="AB18" i="13"/>
  <c r="AB11" i="13"/>
  <c r="W18" i="13"/>
  <c r="AB49" i="13"/>
  <c r="T6" i="25"/>
  <c r="S6" i="25"/>
  <c r="U6" i="25"/>
  <c r="V6" i="25"/>
  <c r="AH87" i="12" l="1"/>
  <c r="AK86" i="12"/>
  <c r="AF87" i="12"/>
  <c r="W6" i="25"/>
  <c r="AK9" i="25" l="1"/>
  <c r="AP10" i="25" s="1"/>
  <c r="AM7" i="25"/>
  <c r="AH7" i="25"/>
  <c r="AL5" i="25"/>
  <c r="AG6" i="25"/>
  <c r="AB6" i="25"/>
  <c r="AL9" i="25" l="1"/>
  <c r="AL10" i="25" s="1"/>
  <c r="AQ6" i="25"/>
  <c r="AK10" i="25"/>
  <c r="P23" i="10"/>
  <c r="Q23" i="10"/>
  <c r="AJ9" i="25"/>
  <c r="AK13" i="25"/>
  <c r="AL13" i="25"/>
  <c r="AJ7" i="25"/>
  <c r="AJ13" i="25"/>
  <c r="AI13" i="25"/>
  <c r="AK7" i="25"/>
  <c r="AL7" i="25" l="1"/>
  <c r="AJ10" i="25"/>
  <c r="AO10" i="25"/>
  <c r="AN7" i="25"/>
  <c r="AQ7" i="25" s="1"/>
  <c r="AL6" i="25"/>
  <c r="V49" i="13" l="1"/>
  <c r="U49" i="13"/>
  <c r="T49" i="13"/>
  <c r="S49" i="13"/>
  <c r="Q49" i="13"/>
  <c r="P49" i="13"/>
  <c r="O49" i="13"/>
  <c r="N49" i="13"/>
  <c r="L49" i="13"/>
  <c r="K49" i="13"/>
  <c r="J49" i="13"/>
  <c r="I49" i="13"/>
  <c r="G49" i="13"/>
  <c r="F49" i="13"/>
  <c r="E49" i="13"/>
  <c r="D49" i="13"/>
  <c r="W48" i="13"/>
  <c r="W47" i="13"/>
  <c r="W44" i="13"/>
  <c r="W43" i="13"/>
  <c r="W41" i="13"/>
  <c r="R48" i="13"/>
  <c r="R47" i="13"/>
  <c r="R44" i="13"/>
  <c r="R43" i="13"/>
  <c r="R41" i="13"/>
  <c r="M48" i="13"/>
  <c r="M47" i="13"/>
  <c r="M44" i="13"/>
  <c r="M43" i="13"/>
  <c r="M41" i="13"/>
  <c r="H48" i="13"/>
  <c r="H47" i="13"/>
  <c r="H44" i="13"/>
  <c r="H43" i="13"/>
  <c r="H41" i="13"/>
  <c r="W29" i="13"/>
  <c r="W34" i="13" s="1"/>
  <c r="R29" i="13"/>
  <c r="R34" i="13" s="1"/>
  <c r="M29" i="13"/>
  <c r="M34" i="13" s="1"/>
  <c r="M23" i="13"/>
  <c r="M22" i="13"/>
  <c r="M21" i="13"/>
  <c r="M20" i="13"/>
  <c r="M18" i="13"/>
  <c r="M17" i="13"/>
  <c r="H21" i="13"/>
  <c r="H22" i="13"/>
  <c r="H16" i="13"/>
  <c r="H13" i="13"/>
  <c r="AA97" i="12"/>
  <c r="Z97" i="12"/>
  <c r="Y97" i="12"/>
  <c r="X97" i="12"/>
  <c r="AC98" i="12" s="1"/>
  <c r="AH99" i="12" s="1"/>
  <c r="AB82" i="12"/>
  <c r="AA82" i="12"/>
  <c r="Z82" i="12"/>
  <c r="Y82" i="12"/>
  <c r="X82" i="12"/>
  <c r="AA40" i="12"/>
  <c r="Z40" i="12"/>
  <c r="Y40" i="12"/>
  <c r="X40" i="12"/>
  <c r="AB39" i="12"/>
  <c r="AB38" i="12"/>
  <c r="AA33" i="12"/>
  <c r="Z33" i="12"/>
  <c r="Y33" i="12"/>
  <c r="X33" i="12"/>
  <c r="AB32" i="12"/>
  <c r="AB31" i="12"/>
  <c r="N54" i="12"/>
  <c r="L54" i="12"/>
  <c r="K54" i="12"/>
  <c r="J54" i="12"/>
  <c r="J45" i="12" s="1"/>
  <c r="I54" i="12"/>
  <c r="I45" i="12" s="1"/>
  <c r="E60" i="12"/>
  <c r="D60" i="12"/>
  <c r="O33" i="14"/>
  <c r="P33" i="14" s="1"/>
  <c r="R33" i="14" s="1"/>
  <c r="W33" i="14" s="1"/>
  <c r="AB33" i="14" s="1"/>
  <c r="AG33" i="14" s="1"/>
  <c r="AL33" i="14" s="1"/>
  <c r="AM33" i="14" s="1"/>
  <c r="AN33" i="14" s="1"/>
  <c r="AO33" i="14" s="1"/>
  <c r="AP33" i="14" s="1"/>
  <c r="AQ33" i="14" s="1"/>
  <c r="O30" i="14"/>
  <c r="P30" i="14" s="1"/>
  <c r="Q30" i="14" s="1"/>
  <c r="R30" i="14" s="1"/>
  <c r="S30" i="14" s="1"/>
  <c r="T30" i="14" s="1"/>
  <c r="U30" i="14" s="1"/>
  <c r="V30" i="14" s="1"/>
  <c r="W30" i="14" s="1"/>
  <c r="X30" i="14" s="1"/>
  <c r="Y30" i="14" s="1"/>
  <c r="Z30" i="14" s="1"/>
  <c r="AA30" i="14" s="1"/>
  <c r="AB30" i="14" s="1"/>
  <c r="AC30" i="14" s="1"/>
  <c r="R27" i="14"/>
  <c r="W27" i="14" s="1"/>
  <c r="M33" i="14"/>
  <c r="M31" i="14"/>
  <c r="M30" i="14"/>
  <c r="M29" i="14"/>
  <c r="O21" i="27" s="1"/>
  <c r="M27" i="14"/>
  <c r="M25" i="14"/>
  <c r="M23" i="14"/>
  <c r="M21" i="14"/>
  <c r="M20" i="14"/>
  <c r="M16" i="14"/>
  <c r="M12" i="14"/>
  <c r="M11" i="14"/>
  <c r="N59" i="13" s="1"/>
  <c r="M9" i="14"/>
  <c r="M7" i="14"/>
  <c r="M6" i="14"/>
  <c r="O20" i="27" s="1"/>
  <c r="H33" i="14"/>
  <c r="H31" i="14"/>
  <c r="H30" i="14"/>
  <c r="H29" i="14"/>
  <c r="J21" i="27" s="1"/>
  <c r="H27" i="14"/>
  <c r="H25" i="14"/>
  <c r="H23" i="14"/>
  <c r="H21" i="14"/>
  <c r="H20" i="14"/>
  <c r="H16" i="14"/>
  <c r="H12" i="14"/>
  <c r="H11" i="14"/>
  <c r="I59" i="13" s="1"/>
  <c r="H9" i="14"/>
  <c r="H7" i="14"/>
  <c r="I43" i="14" s="1"/>
  <c r="H6" i="14"/>
  <c r="J20" i="27" s="1"/>
  <c r="I47" i="12"/>
  <c r="G47" i="12"/>
  <c r="F47" i="12"/>
  <c r="E47" i="12"/>
  <c r="D47" i="12"/>
  <c r="G43" i="14"/>
  <c r="F43" i="14"/>
  <c r="D43" i="14"/>
  <c r="AH102" i="12" l="1"/>
  <c r="AF98" i="12"/>
  <c r="AK99" i="12" s="1"/>
  <c r="AE98" i="12"/>
  <c r="AJ99" i="12" s="1"/>
  <c r="AD30" i="14"/>
  <c r="AG30" i="14" s="1"/>
  <c r="AD98" i="12"/>
  <c r="AI99" i="12" s="1"/>
  <c r="AI102" i="12" s="1"/>
  <c r="AA46" i="12"/>
  <c r="Z46" i="12"/>
  <c r="Y46" i="12"/>
  <c r="X46" i="12"/>
  <c r="J24" i="27"/>
  <c r="J13" i="27" s="1"/>
  <c r="W49" i="13"/>
  <c r="O24" i="27"/>
  <c r="O13" i="27" s="1"/>
  <c r="L45" i="12"/>
  <c r="K45" i="12"/>
  <c r="N45" i="12"/>
  <c r="R45" i="12" s="1"/>
  <c r="H47" i="12"/>
  <c r="N43" i="14"/>
  <c r="F50" i="14"/>
  <c r="F57" i="14"/>
  <c r="F56" i="14"/>
  <c r="F51" i="14"/>
  <c r="F58" i="14"/>
  <c r="F59" i="14"/>
  <c r="G59" i="14"/>
  <c r="G56" i="14"/>
  <c r="G50" i="14"/>
  <c r="G57" i="14"/>
  <c r="G51" i="14"/>
  <c r="G58" i="14"/>
  <c r="D59" i="14"/>
  <c r="D51" i="14"/>
  <c r="D56" i="14"/>
  <c r="D50" i="14"/>
  <c r="D57" i="14"/>
  <c r="D58" i="14"/>
  <c r="I58" i="14"/>
  <c r="I59" i="14"/>
  <c r="I56" i="14"/>
  <c r="I51" i="14"/>
  <c r="I50" i="14"/>
  <c r="I57" i="14"/>
  <c r="N50" i="14"/>
  <c r="N57" i="14"/>
  <c r="N59" i="14"/>
  <c r="N58" i="14"/>
  <c r="N51" i="14"/>
  <c r="N56" i="14"/>
  <c r="J31" i="12"/>
  <c r="J47" i="12"/>
  <c r="K31" i="12"/>
  <c r="K47" i="12"/>
  <c r="L31" i="12"/>
  <c r="L47" i="12"/>
  <c r="N47" i="12"/>
  <c r="R47" i="12" s="1"/>
  <c r="M49" i="13"/>
  <c r="R49" i="13"/>
  <c r="N60" i="12"/>
  <c r="L60" i="12"/>
  <c r="I60" i="12"/>
  <c r="J60" i="12"/>
  <c r="K60" i="12"/>
  <c r="D31" i="12"/>
  <c r="D33" i="12" s="1"/>
  <c r="E31" i="12"/>
  <c r="G31" i="12"/>
  <c r="F31" i="12"/>
  <c r="F60" i="12"/>
  <c r="I31" i="12"/>
  <c r="N77" i="12"/>
  <c r="N40" i="12"/>
  <c r="E43" i="14"/>
  <c r="J43" i="14"/>
  <c r="K43" i="14"/>
  <c r="L43" i="14"/>
  <c r="N20" i="12"/>
  <c r="N22" i="12"/>
  <c r="AB40" i="12"/>
  <c r="AB33" i="12"/>
  <c r="N24" i="12"/>
  <c r="M54" i="12"/>
  <c r="M28" i="14"/>
  <c r="M34" i="14" s="1"/>
  <c r="M10" i="14"/>
  <c r="M17" i="14" s="1"/>
  <c r="H28" i="14"/>
  <c r="H34" i="14" s="1"/>
  <c r="H10" i="14"/>
  <c r="H17" i="14" s="1"/>
  <c r="AK102" i="12" l="1"/>
  <c r="AK100" i="12"/>
  <c r="AJ102" i="12"/>
  <c r="AH30" i="14"/>
  <c r="AL30" i="14" s="1"/>
  <c r="AM30" i="14" s="1"/>
  <c r="AN30" i="14" s="1"/>
  <c r="AO30" i="14" s="1"/>
  <c r="AP30" i="14" s="1"/>
  <c r="AQ30" i="14" s="1"/>
  <c r="AB46" i="12"/>
  <c r="J14" i="27"/>
  <c r="M45" i="12"/>
  <c r="O14" i="27"/>
  <c r="N46" i="12"/>
  <c r="M47" i="12"/>
  <c r="K50" i="14"/>
  <c r="K57" i="14"/>
  <c r="K51" i="14"/>
  <c r="K58" i="14"/>
  <c r="K59" i="14"/>
  <c r="K56" i="14"/>
  <c r="L56" i="14"/>
  <c r="L59" i="14"/>
  <c r="L50" i="14"/>
  <c r="L57" i="14"/>
  <c r="L51" i="14"/>
  <c r="L58" i="14"/>
  <c r="L108" i="12"/>
  <c r="J10" i="19" s="1"/>
  <c r="J51" i="14"/>
  <c r="J58" i="14"/>
  <c r="J59" i="14"/>
  <c r="J50" i="14"/>
  <c r="J57" i="14"/>
  <c r="J56" i="14"/>
  <c r="E51" i="14"/>
  <c r="E58" i="14"/>
  <c r="E57" i="14"/>
  <c r="E59" i="14"/>
  <c r="E56" i="14"/>
  <c r="E50" i="14"/>
  <c r="Z27" i="14"/>
  <c r="Z28" i="14" s="1"/>
  <c r="N27" i="12"/>
  <c r="AK106" i="12" l="1"/>
  <c r="AK101" i="12"/>
  <c r="N16" i="12"/>
  <c r="N28" i="12"/>
  <c r="N53" i="12"/>
  <c r="N56" i="12" s="1"/>
  <c r="AB27" i="14" l="1"/>
  <c r="N55" i="12"/>
  <c r="AC28" i="14" l="1"/>
  <c r="N57" i="12"/>
  <c r="N65" i="12"/>
  <c r="Y34" i="23" l="1"/>
  <c r="Y33" i="23"/>
  <c r="Y32" i="23"/>
  <c r="M11" i="13"/>
  <c r="M14" i="13"/>
  <c r="M13" i="13"/>
  <c r="M12" i="13"/>
  <c r="B2" i="15" l="1"/>
  <c r="B2" i="25" s="1"/>
  <c r="AG27" i="14" l="1"/>
  <c r="B2" i="13"/>
  <c r="B2" i="14"/>
  <c r="AG28" i="14" l="1"/>
  <c r="W32" i="23"/>
  <c r="V32" i="23" l="1"/>
  <c r="U32" i="23"/>
  <c r="M32" i="23"/>
  <c r="L32" i="23"/>
  <c r="H32" i="23"/>
  <c r="G32" i="23"/>
  <c r="H27" i="23"/>
  <c r="G27" i="23"/>
  <c r="M27" i="23"/>
  <c r="L27" i="23"/>
  <c r="J40" i="12" l="1"/>
  <c r="J46" i="12" l="1"/>
  <c r="W34" i="23"/>
  <c r="W33" i="23"/>
  <c r="V34" i="23"/>
  <c r="V33" i="23"/>
  <c r="AL27" i="14" l="1"/>
  <c r="K34" i="23"/>
  <c r="U34" i="23"/>
  <c r="U33" i="23"/>
  <c r="M29" i="23"/>
  <c r="AL28" i="14" l="1"/>
  <c r="AM27" i="14"/>
  <c r="H49" i="13"/>
  <c r="I73" i="12"/>
  <c r="I77" i="12"/>
  <c r="G73" i="12"/>
  <c r="F73" i="12"/>
  <c r="E73" i="12"/>
  <c r="AN27" i="14" l="1"/>
  <c r="AO27" i="14" s="1"/>
  <c r="AM28" i="14"/>
  <c r="W11" i="13"/>
  <c r="R11" i="13"/>
  <c r="R31" i="14"/>
  <c r="W31" i="14" s="1"/>
  <c r="AB31" i="14" s="1"/>
  <c r="J47" i="14"/>
  <c r="J73" i="12"/>
  <c r="AP27" i="14" l="1"/>
  <c r="AO28" i="14"/>
  <c r="H23" i="13"/>
  <c r="H29" i="13"/>
  <c r="H34" i="13" s="1"/>
  <c r="H18" i="13"/>
  <c r="H17" i="13"/>
  <c r="H11" i="13"/>
  <c r="H14" i="13"/>
  <c r="H12" i="13"/>
  <c r="H10" i="13"/>
  <c r="AQ27" i="14" l="1"/>
  <c r="AQ28" i="14" s="1"/>
  <c r="AP28" i="14"/>
  <c r="N108" i="12"/>
  <c r="K10" i="19" s="1"/>
  <c r="H20" i="13"/>
  <c r="W17" i="13" l="1"/>
  <c r="F7" i="23" l="1"/>
  <c r="I10" i="14" l="1"/>
  <c r="I17" i="14" s="1"/>
  <c r="G10" i="14"/>
  <c r="G17" i="14" s="1"/>
  <c r="G53" i="14" s="1"/>
  <c r="F10" i="14"/>
  <c r="F17" i="14" s="1"/>
  <c r="F53" i="14" s="1"/>
  <c r="E10" i="14"/>
  <c r="E17" i="14" s="1"/>
  <c r="E53" i="14" s="1"/>
  <c r="D10" i="14"/>
  <c r="D17" i="14" s="1"/>
  <c r="V60" i="12" l="1"/>
  <c r="T60" i="12"/>
  <c r="S60" i="12"/>
  <c r="Q60" i="12"/>
  <c r="P60" i="12"/>
  <c r="AB17" i="13" l="1"/>
  <c r="G28" i="14" l="1"/>
  <c r="G34" i="14" s="1"/>
  <c r="G37" i="14" s="1"/>
  <c r="W82" i="12"/>
  <c r="V82" i="12"/>
  <c r="U82" i="12"/>
  <c r="T82" i="12"/>
  <c r="S82" i="12"/>
  <c r="W60" i="12"/>
  <c r="W54" i="12"/>
  <c r="V40" i="12"/>
  <c r="U40" i="12"/>
  <c r="T40" i="12"/>
  <c r="S40" i="12"/>
  <c r="W39" i="12"/>
  <c r="W38" i="12"/>
  <c r="V33" i="12"/>
  <c r="U33" i="12"/>
  <c r="T33" i="12"/>
  <c r="W32" i="12"/>
  <c r="D16" i="12"/>
  <c r="V46" i="12" l="1"/>
  <c r="U46" i="12"/>
  <c r="T46" i="12"/>
  <c r="S46" i="12"/>
  <c r="G38" i="14"/>
  <c r="H37" i="14"/>
  <c r="W40" i="12"/>
  <c r="W46" i="12" l="1"/>
  <c r="H38" i="14"/>
  <c r="H41" i="14" s="1"/>
  <c r="G41" i="14"/>
  <c r="J24" i="12"/>
  <c r="J22" i="12"/>
  <c r="J20" i="12"/>
  <c r="L22" i="12"/>
  <c r="L24" i="12"/>
  <c r="L20" i="12"/>
  <c r="K22" i="12"/>
  <c r="K24" i="12"/>
  <c r="K20" i="12"/>
  <c r="S97" i="12"/>
  <c r="X98" i="12" s="1"/>
  <c r="AC99" i="12" s="1"/>
  <c r="Q45" i="14" l="1"/>
  <c r="P45" i="14"/>
  <c r="R25" i="14"/>
  <c r="R20" i="14"/>
  <c r="R21" i="14"/>
  <c r="R23" i="14"/>
  <c r="U97" i="12"/>
  <c r="Z98" i="12" s="1"/>
  <c r="AE99" i="12" s="1"/>
  <c r="P73" i="12" l="1"/>
  <c r="Q73" i="12"/>
  <c r="Q84" i="12"/>
  <c r="Q85" i="12" s="1"/>
  <c r="R28" i="14"/>
  <c r="V97" i="12"/>
  <c r="AA98" i="12" s="1"/>
  <c r="AF99" i="12" s="1"/>
  <c r="T97" i="12"/>
  <c r="Y98" i="12" s="1"/>
  <c r="AD99" i="12" s="1"/>
  <c r="G82" i="12"/>
  <c r="AF102" i="12" l="1"/>
  <c r="R82" i="12"/>
  <c r="R32" i="12"/>
  <c r="R31" i="12"/>
  <c r="O33" i="12"/>
  <c r="P33" i="12"/>
  <c r="Q33" i="12"/>
  <c r="R38" i="12"/>
  <c r="R39" i="12"/>
  <c r="O40" i="12"/>
  <c r="P40" i="12"/>
  <c r="Q40" i="12"/>
  <c r="R60" i="12"/>
  <c r="Q46" i="12" l="1"/>
  <c r="P46" i="12"/>
  <c r="O46" i="12"/>
  <c r="R54" i="12"/>
  <c r="R40" i="12"/>
  <c r="R46" i="12" l="1"/>
  <c r="G40" i="12"/>
  <c r="G46" i="12" s="1"/>
  <c r="M32" i="12" l="1"/>
  <c r="I40" i="12"/>
  <c r="K40" i="12"/>
  <c r="L40" i="12"/>
  <c r="M60" i="12"/>
  <c r="I82" i="12"/>
  <c r="J82" i="12"/>
  <c r="K82" i="12"/>
  <c r="L82" i="12"/>
  <c r="M82" i="12"/>
  <c r="K46" i="12" l="1"/>
  <c r="I46" i="12"/>
  <c r="L46" i="12"/>
  <c r="I89" i="12"/>
  <c r="M40" i="12"/>
  <c r="M46" i="12" l="1"/>
  <c r="I22" i="12"/>
  <c r="I24" i="12"/>
  <c r="I20" i="12"/>
  <c r="N89" i="12"/>
  <c r="I83" i="12"/>
  <c r="I16" i="12" l="1"/>
  <c r="I27" i="12" l="1"/>
  <c r="I53" i="12" l="1"/>
  <c r="I56" i="12" s="1"/>
  <c r="I65" i="12" s="1"/>
  <c r="I28" i="12"/>
  <c r="N98" i="12"/>
  <c r="S98" i="12"/>
  <c r="X99" i="12" s="1"/>
  <c r="I55" i="12" l="1"/>
  <c r="N66" i="12"/>
  <c r="S99" i="12"/>
  <c r="I57" i="12" l="1"/>
  <c r="R70" i="12"/>
  <c r="R71" i="12" l="1"/>
  <c r="T22" i="27" s="1"/>
  <c r="T23" i="27" s="1"/>
  <c r="W70" i="12" l="1"/>
  <c r="AB70" i="12" l="1"/>
  <c r="W71" i="12" l="1"/>
  <c r="Y22" i="27" s="1"/>
  <c r="Q31" i="28" l="1"/>
  <c r="Y23" i="27"/>
  <c r="AB71" i="12"/>
  <c r="AD22" i="27" s="1"/>
  <c r="AD23" i="27" s="1"/>
  <c r="G34" i="13"/>
  <c r="F34" i="13"/>
  <c r="E34" i="13"/>
  <c r="D34" i="13"/>
  <c r="H82" i="12"/>
  <c r="F82" i="12"/>
  <c r="E82" i="12"/>
  <c r="D82" i="12"/>
  <c r="H60" i="12"/>
  <c r="F40" i="12"/>
  <c r="F46" i="12" s="1"/>
  <c r="E40" i="12"/>
  <c r="E46" i="12" s="1"/>
  <c r="D40" i="12"/>
  <c r="D46" i="12" s="1"/>
  <c r="G33" i="12"/>
  <c r="F33" i="12"/>
  <c r="E33" i="12"/>
  <c r="H31" i="12"/>
  <c r="H32" i="12"/>
  <c r="H46" i="12" l="1"/>
  <c r="I33" i="12"/>
  <c r="H40" i="12"/>
  <c r="H33" i="12"/>
  <c r="D89" i="12"/>
  <c r="K33" i="12" l="1"/>
  <c r="L33" i="12"/>
  <c r="I35" i="12"/>
  <c r="D20" i="12"/>
  <c r="D24" i="12"/>
  <c r="D22" i="12"/>
  <c r="I98" i="12"/>
  <c r="N99" i="12" s="1"/>
  <c r="D25" i="12"/>
  <c r="I36" i="12" l="1"/>
  <c r="I59" i="12"/>
  <c r="I62" i="12" s="1"/>
  <c r="I67" i="12" s="1"/>
  <c r="D27" i="12"/>
  <c r="D35" i="12" s="1"/>
  <c r="I61" i="12" l="1"/>
  <c r="N33" i="12"/>
  <c r="R33" i="12"/>
  <c r="D59" i="12"/>
  <c r="D53" i="12"/>
  <c r="D56" i="12" s="1"/>
  <c r="D28" i="12"/>
  <c r="D62" i="12" l="1"/>
  <c r="D7" i="13" s="1"/>
  <c r="D25" i="13" s="1"/>
  <c r="D51" i="13" s="1"/>
  <c r="N35" i="12"/>
  <c r="I43" i="12"/>
  <c r="I50" i="12" s="1"/>
  <c r="I7" i="13"/>
  <c r="I63" i="12"/>
  <c r="D55" i="12"/>
  <c r="D36" i="12"/>
  <c r="I25" i="13" l="1"/>
  <c r="I51" i="13" s="1"/>
  <c r="D43" i="12"/>
  <c r="D50" i="12" s="1"/>
  <c r="D74" i="12"/>
  <c r="N59" i="12"/>
  <c r="N62" i="12" s="1"/>
  <c r="N36" i="12"/>
  <c r="D36" i="13"/>
  <c r="D61" i="12"/>
  <c r="D57" i="12"/>
  <c r="I36" i="13" l="1"/>
  <c r="I74" i="12"/>
  <c r="N61" i="12"/>
  <c r="D63" i="12"/>
  <c r="N67" i="12" l="1"/>
  <c r="N43" i="12"/>
  <c r="N50" i="12" s="1"/>
  <c r="N63" i="12"/>
  <c r="N7" i="13"/>
  <c r="N25" i="13" s="1"/>
  <c r="N51" i="12" l="1"/>
  <c r="N68" i="12"/>
  <c r="D98" i="12" l="1"/>
  <c r="I99" i="12" s="1"/>
  <c r="P89" i="12" l="1"/>
  <c r="K89" i="12"/>
  <c r="F89" i="12"/>
  <c r="F24" i="12" l="1"/>
  <c r="F22" i="12"/>
  <c r="F20" i="12"/>
  <c r="K83" i="12"/>
  <c r="K73" i="12"/>
  <c r="F83" i="12"/>
  <c r="F98" i="12"/>
  <c r="F16" i="12" l="1"/>
  <c r="F27" i="12"/>
  <c r="F53" i="12" s="1"/>
  <c r="F56" i="12" s="1"/>
  <c r="P98" i="12" l="1"/>
  <c r="U98" i="12"/>
  <c r="Z99" i="12" s="1"/>
  <c r="F99" i="12"/>
  <c r="K98" i="12"/>
  <c r="F35" i="12"/>
  <c r="F28" i="12"/>
  <c r="P99" i="12" l="1"/>
  <c r="U99" i="12"/>
  <c r="F59" i="12"/>
  <c r="F62" i="12" s="1"/>
  <c r="K99" i="12"/>
  <c r="F55" i="12"/>
  <c r="F36" i="12"/>
  <c r="F43" i="12" l="1"/>
  <c r="F50" i="12" s="1"/>
  <c r="F61" i="12"/>
  <c r="F57" i="12"/>
  <c r="F7" i="13" l="1"/>
  <c r="F25" i="13" s="1"/>
  <c r="F51" i="13" s="1"/>
  <c r="F63" i="12"/>
  <c r="F36" i="13" l="1"/>
  <c r="F74" i="12"/>
  <c r="E4" i="15"/>
  <c r="H4" i="15"/>
  <c r="H43" i="15" l="1"/>
  <c r="E43" i="15"/>
  <c r="H42" i="15"/>
  <c r="E42" i="15"/>
  <c r="R16" i="10"/>
  <c r="W16" i="10" l="1"/>
  <c r="C5" i="11"/>
  <c r="D5" i="11" s="1"/>
  <c r="E5" i="11" s="1"/>
  <c r="D3" i="11"/>
  <c r="E3" i="11" s="1"/>
  <c r="F3" i="11" s="1"/>
  <c r="Q16" i="10"/>
  <c r="P16" i="10"/>
  <c r="O16" i="10"/>
  <c r="N16" i="10"/>
  <c r="M16" i="10"/>
  <c r="L16" i="10"/>
  <c r="K16" i="10"/>
  <c r="J16" i="10"/>
  <c r="I16" i="10"/>
  <c r="H16" i="10"/>
  <c r="G16" i="10"/>
  <c r="F16" i="10"/>
  <c r="E16" i="10"/>
  <c r="D16" i="10"/>
  <c r="I15" i="11"/>
  <c r="J15" i="11"/>
  <c r="R18" i="10"/>
  <c r="I10" i="11"/>
  <c r="L10" i="11" s="1"/>
  <c r="J2" i="11"/>
  <c r="J10" i="11"/>
  <c r="K2" i="11"/>
  <c r="K10" i="11"/>
  <c r="K13" i="11"/>
  <c r="I13" i="11"/>
  <c r="L13" i="11" s="1"/>
  <c r="J13" i="11"/>
  <c r="K14" i="11"/>
  <c r="K11" i="11"/>
  <c r="K12" i="11"/>
  <c r="J14" i="11"/>
  <c r="I14" i="11"/>
  <c r="B3" i="11"/>
  <c r="B2" i="11"/>
  <c r="B23" i="11"/>
  <c r="D23" i="11" s="1"/>
  <c r="K15" i="11"/>
  <c r="L15" i="11" s="1"/>
  <c r="B18" i="11"/>
  <c r="C18" i="11"/>
  <c r="D18" i="11" s="1"/>
  <c r="E18" i="11" s="1"/>
  <c r="F18" i="11" s="1"/>
  <c r="B13" i="11"/>
  <c r="B15" i="11"/>
  <c r="B17" i="11"/>
  <c r="C2" i="11"/>
  <c r="C13" i="11"/>
  <c r="C15" i="11"/>
  <c r="C17" i="11"/>
  <c r="R30" i="10"/>
  <c r="R26" i="10"/>
  <c r="R28" i="10"/>
  <c r="R36" i="10"/>
  <c r="R34" i="10"/>
  <c r="U16" i="10" l="1"/>
  <c r="V16" i="10"/>
  <c r="S16" i="10"/>
  <c r="T16" i="10"/>
  <c r="AB16" i="10"/>
  <c r="D2" i="11"/>
  <c r="D4" i="11" s="1"/>
  <c r="Q20" i="10"/>
  <c r="R20" i="10" s="1"/>
  <c r="K20" i="10"/>
  <c r="K4" i="11"/>
  <c r="E20" i="10"/>
  <c r="Q18" i="10"/>
  <c r="N20" i="10"/>
  <c r="J20" i="10"/>
  <c r="C16" i="11"/>
  <c r="I20" i="10"/>
  <c r="M18" i="10"/>
  <c r="L20" i="10"/>
  <c r="M20" i="10" s="1"/>
  <c r="C3" i="11"/>
  <c r="H18" i="10"/>
  <c r="F18" i="10"/>
  <c r="N18" i="10"/>
  <c r="P20" i="10"/>
  <c r="F20" i="10"/>
  <c r="W18" i="10"/>
  <c r="I18" i="10"/>
  <c r="G20" i="10"/>
  <c r="H20" i="10" s="1"/>
  <c r="D20" i="10"/>
  <c r="P18" i="10"/>
  <c r="O18" i="10"/>
  <c r="D18" i="10"/>
  <c r="E18" i="10"/>
  <c r="G18" i="10"/>
  <c r="O20" i="10"/>
  <c r="K18" i="10"/>
  <c r="L18" i="10"/>
  <c r="J18" i="10"/>
  <c r="C23" i="11"/>
  <c r="K5" i="11"/>
  <c r="B16" i="11"/>
  <c r="L5" i="11"/>
  <c r="I6" i="11"/>
  <c r="K3" i="11"/>
  <c r="J7" i="11"/>
  <c r="I5" i="11"/>
  <c r="K7" i="11"/>
  <c r="B14" i="11"/>
  <c r="J5" i="11"/>
  <c r="J6" i="11"/>
  <c r="B31" i="11"/>
  <c r="C31" i="11" s="1"/>
  <c r="D31" i="11" s="1"/>
  <c r="K6" i="11"/>
  <c r="I11" i="11"/>
  <c r="C4" i="11"/>
  <c r="I7" i="11"/>
  <c r="C14" i="11"/>
  <c r="L14" i="11"/>
  <c r="B6" i="11"/>
  <c r="B4" i="11"/>
  <c r="C6" i="11"/>
  <c r="J11" i="11"/>
  <c r="J3" i="11" s="1"/>
  <c r="H34" i="10"/>
  <c r="N28" i="10"/>
  <c r="P26" i="10"/>
  <c r="O30" i="10"/>
  <c r="D22" i="10"/>
  <c r="E26" i="10"/>
  <c r="E36" i="10"/>
  <c r="J28" i="10"/>
  <c r="W26" i="10"/>
  <c r="Q32" i="10"/>
  <c r="G36" i="10"/>
  <c r="D28" i="10"/>
  <c r="K36" i="10"/>
  <c r="J34" i="10"/>
  <c r="Q24" i="10"/>
  <c r="W30" i="10"/>
  <c r="H28" i="10"/>
  <c r="U26" i="10"/>
  <c r="L36" i="10"/>
  <c r="Q26" i="10"/>
  <c r="T30" i="10"/>
  <c r="O28" i="10"/>
  <c r="J26" i="10"/>
  <c r="Q30" i="10"/>
  <c r="K28" i="10"/>
  <c r="P28" i="10"/>
  <c r="Q22" i="10"/>
  <c r="N34" i="10"/>
  <c r="P24" i="10"/>
  <c r="S30" i="10"/>
  <c r="I36" i="10"/>
  <c r="G22" i="10"/>
  <c r="F30" i="10"/>
  <c r="K22" i="10"/>
  <c r="M26" i="10"/>
  <c r="N36" i="10"/>
  <c r="I30" i="10"/>
  <c r="F36" i="10"/>
  <c r="E34" i="10"/>
  <c r="K30" i="10"/>
  <c r="G34" i="10"/>
  <c r="M28" i="10"/>
  <c r="I28" i="10"/>
  <c r="J36" i="10"/>
  <c r="E30" i="10"/>
  <c r="N26" i="10"/>
  <c r="Q34" i="10"/>
  <c r="P32" i="10"/>
  <c r="E28" i="10"/>
  <c r="M30" i="10"/>
  <c r="G30" i="10"/>
  <c r="Q36" i="10"/>
  <c r="P36" i="10"/>
  <c r="U30" i="10"/>
  <c r="L26" i="10"/>
  <c r="K26" i="10"/>
  <c r="W34" i="10"/>
  <c r="P34" i="10"/>
  <c r="F28" i="10"/>
  <c r="W36" i="10"/>
  <c r="I34" i="10"/>
  <c r="H36" i="10"/>
  <c r="N32" i="10"/>
  <c r="L34" i="10"/>
  <c r="O34" i="10"/>
  <c r="I26" i="10"/>
  <c r="M22" i="10"/>
  <c r="D30" i="10"/>
  <c r="F34" i="10"/>
  <c r="H22" i="10"/>
  <c r="F26" i="10"/>
  <c r="L28" i="10"/>
  <c r="J30" i="10"/>
  <c r="P30" i="10"/>
  <c r="N24" i="10"/>
  <c r="G28" i="10"/>
  <c r="K34" i="10"/>
  <c r="D36" i="10"/>
  <c r="D34" i="10"/>
  <c r="O36" i="10"/>
  <c r="P22" i="10"/>
  <c r="N30" i="10"/>
  <c r="D26" i="10"/>
  <c r="L22" i="10"/>
  <c r="M34" i="10"/>
  <c r="M36" i="10"/>
  <c r="O26" i="10"/>
  <c r="Q28" i="10"/>
  <c r="H30" i="10"/>
  <c r="J22" i="10"/>
  <c r="L30" i="10"/>
  <c r="W28" i="10"/>
  <c r="N22" i="10"/>
  <c r="H26" i="10"/>
  <c r="I22" i="10"/>
  <c r="G26" i="10"/>
  <c r="F22" i="10"/>
  <c r="E22" i="10"/>
  <c r="V18" i="10" l="1"/>
  <c r="S20" i="10"/>
  <c r="U20" i="10"/>
  <c r="S18" i="10"/>
  <c r="V20" i="10"/>
  <c r="W20" i="10" s="1"/>
  <c r="U18" i="10"/>
  <c r="T20" i="10"/>
  <c r="T18" i="10"/>
  <c r="Y16" i="10"/>
  <c r="AB18" i="10"/>
  <c r="Z16" i="10"/>
  <c r="AA16" i="10"/>
  <c r="X16" i="10"/>
  <c r="D6" i="11"/>
  <c r="D8" i="11" s="1"/>
  <c r="D11" i="11" s="1"/>
  <c r="E2" i="11"/>
  <c r="F2" i="11" s="1"/>
  <c r="D13" i="11"/>
  <c r="D15" i="11"/>
  <c r="D17" i="11" s="1"/>
  <c r="H26" i="15"/>
  <c r="I26" i="15" s="1"/>
  <c r="E26" i="15"/>
  <c r="F26" i="15" s="1"/>
  <c r="L26" i="15"/>
  <c r="C8" i="11"/>
  <c r="C11" i="11" s="1"/>
  <c r="B8" i="11"/>
  <c r="B11" i="11" s="1"/>
  <c r="B21" i="11" s="1"/>
  <c r="B29" i="11" s="1"/>
  <c r="I12" i="11"/>
  <c r="I3" i="11"/>
  <c r="L11" i="11"/>
  <c r="L3" i="11" s="1"/>
  <c r="L7" i="11"/>
  <c r="L6" i="11"/>
  <c r="J12" i="11"/>
  <c r="J4" i="11" s="1"/>
  <c r="S32" i="10"/>
  <c r="AB34" i="10"/>
  <c r="T28" i="10"/>
  <c r="V34" i="10"/>
  <c r="V26" i="10"/>
  <c r="S22" i="10"/>
  <c r="V36" i="10"/>
  <c r="U32" i="10"/>
  <c r="AB30" i="10"/>
  <c r="S34" i="10"/>
  <c r="V32" i="10"/>
  <c r="T34" i="10"/>
  <c r="V22" i="10"/>
  <c r="S28" i="10"/>
  <c r="AB36" i="10"/>
  <c r="AB28" i="10"/>
  <c r="S36" i="10"/>
  <c r="S24" i="10"/>
  <c r="V28" i="10"/>
  <c r="T36" i="10"/>
  <c r="U22" i="10"/>
  <c r="U24" i="10"/>
  <c r="T26" i="10"/>
  <c r="S26" i="10"/>
  <c r="U34" i="10"/>
  <c r="AB26" i="10"/>
  <c r="U36" i="10"/>
  <c r="V24" i="10"/>
  <c r="V30" i="10"/>
  <c r="U28" i="10"/>
  <c r="X20" i="10" l="1"/>
  <c r="X18" i="10"/>
  <c r="Y20" i="10"/>
  <c r="Y18" i="10"/>
  <c r="Z20" i="10"/>
  <c r="Z18" i="10"/>
  <c r="AA18" i="10"/>
  <c r="AA20" i="10"/>
  <c r="AB20" i="10" s="1"/>
  <c r="E6" i="11"/>
  <c r="E15" i="11"/>
  <c r="E17" i="11" s="1"/>
  <c r="E13" i="11"/>
  <c r="E4" i="11"/>
  <c r="J89" i="12"/>
  <c r="G89" i="12"/>
  <c r="E89" i="12"/>
  <c r="G98" i="12"/>
  <c r="C21" i="11"/>
  <c r="C24" i="11" s="1"/>
  <c r="C25" i="11" s="1"/>
  <c r="B24" i="11"/>
  <c r="B25" i="11" s="1"/>
  <c r="I4" i="11"/>
  <c r="L12" i="11"/>
  <c r="L4" i="11" s="1"/>
  <c r="F4" i="11"/>
  <c r="B30" i="11"/>
  <c r="F6" i="11"/>
  <c r="F13" i="11"/>
  <c r="B22" i="11"/>
  <c r="F15" i="11"/>
  <c r="C29" i="11"/>
  <c r="B32" i="11"/>
  <c r="B33" i="11" s="1"/>
  <c r="AA28" i="10"/>
  <c r="X28" i="10"/>
  <c r="AA36" i="10"/>
  <c r="Z32" i="10"/>
  <c r="Y30" i="10"/>
  <c r="Z36" i="10"/>
  <c r="AA30" i="10"/>
  <c r="AA26" i="10"/>
  <c r="X24" i="10"/>
  <c r="Z34" i="10"/>
  <c r="AA34" i="10"/>
  <c r="Y26" i="10"/>
  <c r="X36" i="10"/>
  <c r="Y28" i="10"/>
  <c r="X22" i="10"/>
  <c r="Z22" i="10"/>
  <c r="AA22" i="10"/>
  <c r="X30" i="10"/>
  <c r="X26" i="10"/>
  <c r="AA24" i="10"/>
  <c r="X34" i="10"/>
  <c r="Z30" i="10"/>
  <c r="Y34" i="10"/>
  <c r="Z24" i="10"/>
  <c r="Z26" i="10"/>
  <c r="X32" i="10"/>
  <c r="Z28" i="10"/>
  <c r="AA32" i="10"/>
  <c r="Y36" i="10"/>
  <c r="E8" i="11" l="1"/>
  <c r="E11" i="11" s="1"/>
  <c r="J16" i="12"/>
  <c r="E22" i="12"/>
  <c r="E20" i="12"/>
  <c r="E24" i="12"/>
  <c r="I90" i="12"/>
  <c r="I94" i="12" s="1"/>
  <c r="L89" i="12"/>
  <c r="K90" i="12"/>
  <c r="J90" i="12"/>
  <c r="J94" i="12" s="1"/>
  <c r="J83" i="12"/>
  <c r="E16" i="12"/>
  <c r="E83" i="12"/>
  <c r="G90" i="12"/>
  <c r="E98" i="12"/>
  <c r="D21" i="11"/>
  <c r="D24" i="11" s="1"/>
  <c r="D25" i="11" s="1"/>
  <c r="F8" i="11"/>
  <c r="D30" i="11" s="1"/>
  <c r="C32" i="11"/>
  <c r="C33" i="11" s="1"/>
  <c r="D29" i="11"/>
  <c r="D32" i="11" s="1"/>
  <c r="D33" i="11" s="1"/>
  <c r="C22" i="11"/>
  <c r="F17" i="11"/>
  <c r="C30" i="11"/>
  <c r="G20" i="12" l="1"/>
  <c r="G22" i="12"/>
  <c r="G24" i="12"/>
  <c r="T98" i="12"/>
  <c r="Y99" i="12" s="1"/>
  <c r="I102" i="12"/>
  <c r="N90" i="12"/>
  <c r="Q89" i="12"/>
  <c r="L90" i="12"/>
  <c r="L94" i="12" s="1"/>
  <c r="G83" i="12"/>
  <c r="J27" i="12"/>
  <c r="J104" i="12"/>
  <c r="K94" i="12"/>
  <c r="K102" i="12"/>
  <c r="G16" i="12"/>
  <c r="D104" i="12"/>
  <c r="E27" i="12"/>
  <c r="E53" i="12" s="1"/>
  <c r="E56" i="12" s="1"/>
  <c r="E104" i="12"/>
  <c r="G104" i="12"/>
  <c r="F104" i="12"/>
  <c r="G93" i="12"/>
  <c r="G94" i="12" s="1"/>
  <c r="D22" i="11"/>
  <c r="F11" i="11"/>
  <c r="O98" i="12" l="1"/>
  <c r="T99" i="12" s="1"/>
  <c r="I104" i="12"/>
  <c r="L91" i="12"/>
  <c r="L95" i="12" s="1"/>
  <c r="N91" i="12"/>
  <c r="N95" i="12" s="1"/>
  <c r="N100" i="12" s="1"/>
  <c r="N101" i="12" s="1"/>
  <c r="N94" i="12"/>
  <c r="N102" i="12"/>
  <c r="K104" i="12"/>
  <c r="G27" i="12"/>
  <c r="G99" i="12"/>
  <c r="G102" i="12" s="1"/>
  <c r="L73" i="12"/>
  <c r="L83" i="12"/>
  <c r="J28" i="12"/>
  <c r="J53" i="12"/>
  <c r="J56" i="12" s="1"/>
  <c r="J65" i="12" s="1"/>
  <c r="E99" i="12"/>
  <c r="J98" i="12"/>
  <c r="H24" i="12"/>
  <c r="H22" i="12"/>
  <c r="H16" i="12"/>
  <c r="F11" i="23" s="1"/>
  <c r="E35" i="12"/>
  <c r="E59" i="12" s="1"/>
  <c r="E62" i="12" s="1"/>
  <c r="E28" i="12"/>
  <c r="H20" i="12"/>
  <c r="E43" i="12" l="1"/>
  <c r="E50" i="12" s="1"/>
  <c r="M24" i="12"/>
  <c r="G53" i="12"/>
  <c r="G56" i="12" s="1"/>
  <c r="L16" i="12"/>
  <c r="O99" i="12"/>
  <c r="V98" i="12"/>
  <c r="AA99" i="12" s="1"/>
  <c r="N104" i="12"/>
  <c r="G35" i="12"/>
  <c r="J99" i="12"/>
  <c r="J102" i="12" s="1"/>
  <c r="M22" i="12"/>
  <c r="L104" i="12"/>
  <c r="J55" i="12"/>
  <c r="H27" i="12"/>
  <c r="J8" i="27" s="1"/>
  <c r="J15" i="27" s="1"/>
  <c r="G28" i="12"/>
  <c r="E36" i="12"/>
  <c r="E55" i="12"/>
  <c r="F14" i="23" l="1"/>
  <c r="H28" i="12"/>
  <c r="L27" i="12"/>
  <c r="L53" i="12" s="1"/>
  <c r="L56" i="12" s="1"/>
  <c r="L65" i="12" s="1"/>
  <c r="G59" i="12"/>
  <c r="G62" i="12" s="1"/>
  <c r="G36" i="12"/>
  <c r="N106" i="12"/>
  <c r="L98" i="12"/>
  <c r="L99" i="12" s="1"/>
  <c r="L102" i="12" s="1"/>
  <c r="Q98" i="12"/>
  <c r="V99" i="12" s="1"/>
  <c r="M20" i="12"/>
  <c r="J57" i="12"/>
  <c r="H35" i="12"/>
  <c r="H59" i="12" s="1"/>
  <c r="H62" i="12" s="1"/>
  <c r="H67" i="12" s="1"/>
  <c r="G55" i="12"/>
  <c r="H53" i="12"/>
  <c r="H56" i="12" s="1"/>
  <c r="H65" i="12" s="1"/>
  <c r="E57" i="12"/>
  <c r="E61" i="12"/>
  <c r="F18" i="23" l="1"/>
  <c r="J10" i="27"/>
  <c r="J17" i="27" s="1"/>
  <c r="C10" i="19"/>
  <c r="F15" i="23"/>
  <c r="H55" i="12"/>
  <c r="H57" i="12"/>
  <c r="G43" i="12"/>
  <c r="G50" i="12" s="1"/>
  <c r="G57" i="12"/>
  <c r="E7" i="13"/>
  <c r="E25" i="13" s="1"/>
  <c r="E51" i="13" s="1"/>
  <c r="G61" i="12"/>
  <c r="L28" i="12"/>
  <c r="L35" i="12"/>
  <c r="L59" i="12" s="1"/>
  <c r="L62" i="12" s="1"/>
  <c r="L67" i="12" s="1"/>
  <c r="Q99" i="12"/>
  <c r="L100" i="12"/>
  <c r="L101" i="12" s="1"/>
  <c r="L55" i="12"/>
  <c r="H36" i="12"/>
  <c r="E63" i="12"/>
  <c r="H61" i="12"/>
  <c r="G7" i="13" l="1"/>
  <c r="G25" i="13" s="1"/>
  <c r="G51" i="13" s="1"/>
  <c r="G63" i="12"/>
  <c r="E36" i="13"/>
  <c r="E74" i="12"/>
  <c r="L36" i="12"/>
  <c r="H43" i="12"/>
  <c r="H50" i="12" s="1"/>
  <c r="L106" i="12"/>
  <c r="L61" i="12"/>
  <c r="L57" i="12"/>
  <c r="H7" i="13"/>
  <c r="H25" i="13" s="1"/>
  <c r="H63" i="12"/>
  <c r="F16" i="23" l="1"/>
  <c r="J9" i="27"/>
  <c r="J16" i="27" s="1"/>
  <c r="C36" i="19"/>
  <c r="F20" i="23"/>
  <c r="G36" i="13"/>
  <c r="H51" i="13"/>
  <c r="G74" i="12"/>
  <c r="L43" i="12"/>
  <c r="H36" i="13"/>
  <c r="J11" i="27" s="1"/>
  <c r="J18" i="27" s="1"/>
  <c r="H74" i="12"/>
  <c r="L7" i="13"/>
  <c r="L63" i="12"/>
  <c r="D85" i="12"/>
  <c r="L25" i="13" l="1"/>
  <c r="L51" i="13" s="1"/>
  <c r="C38" i="19"/>
  <c r="F21" i="23"/>
  <c r="L50" i="12"/>
  <c r="L74" i="12" l="1"/>
  <c r="L36" i="13"/>
  <c r="E47" i="14"/>
  <c r="E85" i="12"/>
  <c r="D28" i="14" l="1"/>
  <c r="D34" i="14" s="1"/>
  <c r="E87" i="12"/>
  <c r="F85" i="12"/>
  <c r="F47" i="14"/>
  <c r="I46" i="14" l="1"/>
  <c r="E28" i="14"/>
  <c r="E34" i="14" s="1"/>
  <c r="G47" i="14"/>
  <c r="G85" i="12"/>
  <c r="F87" i="12"/>
  <c r="I47" i="14" l="1"/>
  <c r="I85" i="12"/>
  <c r="F28" i="14"/>
  <c r="F34" i="14" s="1"/>
  <c r="G87" i="12"/>
  <c r="H85" i="12"/>
  <c r="I86" i="12" l="1"/>
  <c r="N86" i="12"/>
  <c r="I87" i="12"/>
  <c r="J85" i="12"/>
  <c r="J46" i="14"/>
  <c r="K47" i="14" l="1"/>
  <c r="K85" i="12"/>
  <c r="K46" i="14"/>
  <c r="J86" i="12"/>
  <c r="J87" i="12"/>
  <c r="O29" i="14" l="1"/>
  <c r="N73" i="12"/>
  <c r="K87" i="12"/>
  <c r="K86" i="12"/>
  <c r="L47" i="14"/>
  <c r="L85" i="12"/>
  <c r="L46" i="14"/>
  <c r="I28" i="14"/>
  <c r="I34" i="14" s="1"/>
  <c r="Q86" i="12" l="1"/>
  <c r="N87" i="12"/>
  <c r="P29" i="14"/>
  <c r="N46" i="14"/>
  <c r="N47" i="14"/>
  <c r="M85" i="12"/>
  <c r="L87" i="12"/>
  <c r="L86" i="12"/>
  <c r="J28" i="14"/>
  <c r="J34" i="14" s="1"/>
  <c r="Q29" i="14" l="1"/>
  <c r="M86" i="12"/>
  <c r="K28" i="14"/>
  <c r="K34" i="14" s="1"/>
  <c r="R29" i="14" l="1"/>
  <c r="T21" i="27" s="1"/>
  <c r="P46" i="14"/>
  <c r="L28" i="14"/>
  <c r="L34" i="14" s="1"/>
  <c r="R34" i="14" l="1"/>
  <c r="S29" i="14"/>
  <c r="C21" i="27" s="1"/>
  <c r="Q47" i="14"/>
  <c r="Q46" i="14"/>
  <c r="T28" i="28" l="1"/>
  <c r="AE21" i="27"/>
  <c r="T29" i="14"/>
  <c r="N28" i="14"/>
  <c r="N34" i="14" s="1"/>
  <c r="U29" i="14" l="1"/>
  <c r="V29" i="14" l="1"/>
  <c r="P28" i="14"/>
  <c r="P34" i="14" s="1"/>
  <c r="W29" i="14" l="1"/>
  <c r="Y21" i="27" s="1"/>
  <c r="Q28" i="14"/>
  <c r="Q34" i="14" s="1"/>
  <c r="X29" i="14" l="1"/>
  <c r="Y29" i="14" s="1"/>
  <c r="Z29" i="14" s="1"/>
  <c r="AA29" i="14" s="1"/>
  <c r="AB29" i="14" s="1"/>
  <c r="AD21" i="27" l="1"/>
  <c r="AC29" i="14"/>
  <c r="AD29" i="14" s="1"/>
  <c r="AD34" i="14" s="1"/>
  <c r="AD37" i="14" s="1"/>
  <c r="AD38" i="14" s="1"/>
  <c r="AD41" i="14" s="1"/>
  <c r="AC34" i="14" l="1"/>
  <c r="D99" i="12" l="1"/>
  <c r="D51" i="12" l="1"/>
  <c r="AG29" i="14" l="1"/>
  <c r="AH29" i="14" s="1"/>
  <c r="AH34" i="14" s="1"/>
  <c r="AH37" i="14" s="1"/>
  <c r="AH38" i="14" s="1"/>
  <c r="AH41" i="14" s="1"/>
  <c r="D37" i="13"/>
  <c r="D26" i="13"/>
  <c r="E51" i="12"/>
  <c r="AG34" i="14" l="1"/>
  <c r="F51" i="12"/>
  <c r="D37" i="14"/>
  <c r="D38" i="14" s="1"/>
  <c r="D41" i="14" s="1"/>
  <c r="E37" i="13" l="1"/>
  <c r="E26" i="13"/>
  <c r="G37" i="13" l="1"/>
  <c r="F26" i="13"/>
  <c r="F37" i="13"/>
  <c r="E37" i="14"/>
  <c r="G26" i="13"/>
  <c r="H51" i="12"/>
  <c r="F17" i="23" s="1"/>
  <c r="G51" i="12"/>
  <c r="E38" i="14" l="1"/>
  <c r="E41" i="14" s="1"/>
  <c r="I51" i="12"/>
  <c r="F37" i="14"/>
  <c r="AL29" i="14" l="1"/>
  <c r="F38" i="14"/>
  <c r="F41" i="14" s="1"/>
  <c r="D54" i="13"/>
  <c r="H26" i="13"/>
  <c r="C37" i="19" s="1"/>
  <c r="AL34" i="14" l="1"/>
  <c r="AM29" i="14"/>
  <c r="H54" i="13"/>
  <c r="D56" i="13"/>
  <c r="E53" i="13"/>
  <c r="E54" i="13" s="1"/>
  <c r="I37" i="13"/>
  <c r="I26" i="13"/>
  <c r="H37" i="13"/>
  <c r="AN29" i="14" l="1"/>
  <c r="AO29" i="14" s="1"/>
  <c r="AM34" i="14"/>
  <c r="C39" i="19"/>
  <c r="F22" i="23"/>
  <c r="F53" i="13"/>
  <c r="F54" i="13" s="1"/>
  <c r="E56" i="13"/>
  <c r="M53" i="13"/>
  <c r="I53" i="13"/>
  <c r="I54" i="13" s="1"/>
  <c r="H56" i="13"/>
  <c r="AP29" i="14" l="1"/>
  <c r="AO34" i="14"/>
  <c r="J53" i="13"/>
  <c r="I56" i="13"/>
  <c r="G53" i="13"/>
  <c r="G54" i="13" s="1"/>
  <c r="G56" i="13" s="1"/>
  <c r="F56" i="13"/>
  <c r="I37" i="14"/>
  <c r="I38" i="14" s="1"/>
  <c r="I41" i="14" s="1"/>
  <c r="L37" i="13"/>
  <c r="L26" i="13"/>
  <c r="M10" i="13"/>
  <c r="L51" i="12"/>
  <c r="AQ29" i="14" l="1"/>
  <c r="AQ34" i="14" s="1"/>
  <c r="AP34" i="14"/>
  <c r="N51" i="13"/>
  <c r="N74" i="12" l="1"/>
  <c r="N36" i="13"/>
  <c r="N37" i="13" s="1"/>
  <c r="N26" i="13"/>
  <c r="E90" i="12" l="1"/>
  <c r="D90" i="12" l="1"/>
  <c r="D93" i="12" s="1"/>
  <c r="E93" i="12"/>
  <c r="E94" i="12" s="1"/>
  <c r="J91" i="12"/>
  <c r="E91" i="12"/>
  <c r="E102" i="12"/>
  <c r="F90" i="12"/>
  <c r="D102" i="12" l="1"/>
  <c r="D91" i="12"/>
  <c r="D95" i="12" s="1"/>
  <c r="D100" i="12" s="1"/>
  <c r="D94" i="12"/>
  <c r="I91" i="12"/>
  <c r="F91" i="12"/>
  <c r="F102" i="12"/>
  <c r="K91" i="12"/>
  <c r="F93" i="12"/>
  <c r="F94" i="12" s="1"/>
  <c r="G91" i="12"/>
  <c r="J95" i="12"/>
  <c r="J100" i="12" s="1"/>
  <c r="E95" i="12"/>
  <c r="E100" i="12" s="1"/>
  <c r="I95" i="12" l="1"/>
  <c r="I100" i="12" s="1"/>
  <c r="I101" i="12" s="1"/>
  <c r="D106" i="12"/>
  <c r="D101" i="12"/>
  <c r="K95" i="12"/>
  <c r="K100" i="12" s="1"/>
  <c r="F95" i="12"/>
  <c r="F100" i="12" s="1"/>
  <c r="E106" i="12"/>
  <c r="E101" i="12"/>
  <c r="G95" i="12"/>
  <c r="G100" i="12" s="1"/>
  <c r="J106" i="12"/>
  <c r="J101" i="12"/>
  <c r="I106" i="12" l="1"/>
  <c r="F106" i="12"/>
  <c r="F101" i="12"/>
  <c r="G101" i="12"/>
  <c r="G106" i="12"/>
  <c r="K101" i="12"/>
  <c r="K106" i="12"/>
  <c r="S33" i="12"/>
  <c r="W31" i="12"/>
  <c r="W33" i="12" s="1"/>
  <c r="L21" i="15" l="1"/>
  <c r="H21" i="15"/>
  <c r="I21" i="15" s="1"/>
  <c r="E21" i="15"/>
  <c r="M31" i="12"/>
  <c r="M33" i="12" s="1"/>
  <c r="J33" i="12"/>
  <c r="J35" i="12" l="1"/>
  <c r="J36" i="12" s="1"/>
  <c r="F21" i="15" l="1"/>
  <c r="J59" i="12"/>
  <c r="J62" i="12" s="1"/>
  <c r="J67" i="12" s="1"/>
  <c r="J61" i="12" l="1"/>
  <c r="J63" i="12"/>
  <c r="J43" i="12"/>
  <c r="J50" i="12" s="1"/>
  <c r="J7" i="13"/>
  <c r="J25" i="13" l="1"/>
  <c r="J51" i="13" s="1"/>
  <c r="J26" i="13" l="1"/>
  <c r="J36" i="13"/>
  <c r="J37" i="13" s="1"/>
  <c r="J74" i="12"/>
  <c r="J51" i="12"/>
  <c r="J54" i="13"/>
  <c r="K53" i="13" l="1"/>
  <c r="J56" i="13"/>
  <c r="J10" i="14"/>
  <c r="J17" i="14" l="1"/>
  <c r="J37" i="14" l="1"/>
  <c r="J38" i="14" s="1"/>
  <c r="J41" i="14" s="1"/>
  <c r="K16" i="12" l="1"/>
  <c r="K27" i="12" l="1"/>
  <c r="K28" i="12" l="1"/>
  <c r="K35" i="12"/>
  <c r="K36" i="12" s="1"/>
  <c r="K53" i="12"/>
  <c r="K56" i="12" s="1"/>
  <c r="K65" i="12" s="1"/>
  <c r="M16" i="12"/>
  <c r="G11" i="23" s="1"/>
  <c r="M27" i="12"/>
  <c r="O8" i="27" s="1"/>
  <c r="O15" i="27" s="1"/>
  <c r="G14" i="23" l="1"/>
  <c r="K55" i="12"/>
  <c r="K59" i="12"/>
  <c r="K62" i="12" s="1"/>
  <c r="K67" i="12" s="1"/>
  <c r="M35" i="12"/>
  <c r="M53" i="12"/>
  <c r="M56" i="12" s="1"/>
  <c r="M65" i="12" s="1"/>
  <c r="M28" i="12"/>
  <c r="G18" i="23" l="1"/>
  <c r="O10" i="27"/>
  <c r="O17" i="27" s="1"/>
  <c r="D10" i="19"/>
  <c r="G15" i="23"/>
  <c r="M55" i="12"/>
  <c r="M57" i="12"/>
  <c r="K61" i="12"/>
  <c r="K57" i="12"/>
  <c r="M59" i="12"/>
  <c r="M62" i="12" s="1"/>
  <c r="M67" i="12" s="1"/>
  <c r="M36" i="12"/>
  <c r="M61" i="12" l="1"/>
  <c r="K7" i="13"/>
  <c r="K25" i="13" s="1"/>
  <c r="K63" i="12"/>
  <c r="K43" i="12"/>
  <c r="M63" i="12" l="1"/>
  <c r="M7" i="13"/>
  <c r="M43" i="12"/>
  <c r="K50" i="12"/>
  <c r="M66" i="12"/>
  <c r="M68" i="12"/>
  <c r="M25" i="13" l="1"/>
  <c r="C3" i="26" s="1"/>
  <c r="M50" i="12"/>
  <c r="K51" i="12"/>
  <c r="K51" i="13"/>
  <c r="M51" i="13" l="1"/>
  <c r="M54" i="13" s="1"/>
  <c r="G20" i="23"/>
  <c r="M26" i="13"/>
  <c r="C4" i="26" s="1"/>
  <c r="D36" i="19"/>
  <c r="G16" i="23"/>
  <c r="O9" i="27"/>
  <c r="O16" i="27" s="1"/>
  <c r="M51" i="12"/>
  <c r="G17" i="23" s="1"/>
  <c r="M74" i="12"/>
  <c r="K36" i="13"/>
  <c r="K74" i="12"/>
  <c r="M36" i="13"/>
  <c r="K26" i="13"/>
  <c r="D37" i="19" l="1"/>
  <c r="K37" i="13"/>
  <c r="C5" i="26"/>
  <c r="O11" i="27"/>
  <c r="O18" i="27" s="1"/>
  <c r="D38" i="19"/>
  <c r="G21" i="23"/>
  <c r="R53" i="13"/>
  <c r="M56" i="13"/>
  <c r="M37" i="13"/>
  <c r="C6" i="26" s="1"/>
  <c r="K54" i="13"/>
  <c r="L53" i="13" l="1"/>
  <c r="L54" i="13" s="1"/>
  <c r="K56" i="13"/>
  <c r="D39" i="19"/>
  <c r="G22" i="23"/>
  <c r="K10" i="14"/>
  <c r="K17" i="14" s="1"/>
  <c r="N53" i="13" l="1"/>
  <c r="N54" i="13" s="1"/>
  <c r="L56" i="13"/>
  <c r="K37" i="14"/>
  <c r="K38" i="14" s="1"/>
  <c r="K41" i="14" s="1"/>
  <c r="L10" i="14"/>
  <c r="L17" i="14" s="1"/>
  <c r="O53" i="13" l="1"/>
  <c r="N56" i="13"/>
  <c r="L37" i="14"/>
  <c r="L38" i="14" s="1"/>
  <c r="M37" i="14" l="1"/>
  <c r="M38" i="14"/>
  <c r="M41" i="14" s="1"/>
  <c r="L41" i="14"/>
  <c r="N10" i="14"/>
  <c r="N17" i="14" s="1"/>
  <c r="N37" i="14" l="1"/>
  <c r="N38" i="14" s="1"/>
  <c r="N41" i="14" s="1"/>
  <c r="S89" i="12" l="1"/>
  <c r="S83" i="12" l="1"/>
  <c r="S45" i="14" l="1"/>
  <c r="S25" i="12"/>
  <c r="S27" i="12" s="1"/>
  <c r="S28" i="14"/>
  <c r="S34" i="14" s="1"/>
  <c r="S73" i="12" l="1"/>
  <c r="X46" i="14"/>
  <c r="S53" i="12"/>
  <c r="S56" i="12" s="1"/>
  <c r="S28" i="12"/>
  <c r="D31" i="10" s="1"/>
  <c r="S35" i="12"/>
  <c r="S46" i="14"/>
  <c r="S47" i="14"/>
  <c r="S84" i="12"/>
  <c r="S85" i="12" s="1"/>
  <c r="D32" i="10"/>
  <c r="S36" i="12" l="1"/>
  <c r="S59" i="12"/>
  <c r="S62" i="12" s="1"/>
  <c r="S55" i="12"/>
  <c r="S87" i="12"/>
  <c r="S86" i="12"/>
  <c r="S57" i="12" l="1"/>
  <c r="S65" i="12"/>
  <c r="D23" i="10" s="1"/>
  <c r="S61" i="12"/>
  <c r="D24" i="10"/>
  <c r="S66" i="12" l="1"/>
  <c r="S63" i="12"/>
  <c r="S7" i="13"/>
  <c r="S67" i="12"/>
  <c r="S43" i="12"/>
  <c r="T7" i="13" l="1"/>
  <c r="S25" i="13"/>
  <c r="S68" i="12"/>
  <c r="U83" i="12"/>
  <c r="T89" i="12"/>
  <c r="T90" i="12" s="1"/>
  <c r="U89" i="12"/>
  <c r="V89" i="12"/>
  <c r="T25" i="13" l="1"/>
  <c r="T51" i="13" s="1"/>
  <c r="U7" i="13"/>
  <c r="V7" i="13" s="1"/>
  <c r="W15" i="12"/>
  <c r="V90" i="12"/>
  <c r="V102" i="12" s="1"/>
  <c r="U90" i="12"/>
  <c r="T83" i="12"/>
  <c r="V83" i="12"/>
  <c r="W19" i="12"/>
  <c r="T102" i="12"/>
  <c r="T93" i="12"/>
  <c r="T94" i="12" s="1"/>
  <c r="T74" i="12" l="1"/>
  <c r="T2" i="13"/>
  <c r="Y7" i="27"/>
  <c r="AE14" i="27" s="1"/>
  <c r="I10" i="23"/>
  <c r="AB12" i="12"/>
  <c r="N16" i="30" s="1"/>
  <c r="N17" i="30" s="1"/>
  <c r="U45" i="14"/>
  <c r="U73" i="12" s="1"/>
  <c r="T45" i="14"/>
  <c r="T73" i="12" s="1"/>
  <c r="V45" i="14"/>
  <c r="V93" i="12"/>
  <c r="V94" i="12" s="1"/>
  <c r="W20" i="12"/>
  <c r="U102" i="12"/>
  <c r="U93" i="12"/>
  <c r="U94" i="12" s="1"/>
  <c r="T104" i="12"/>
  <c r="T27" i="12"/>
  <c r="T28" i="12" s="1"/>
  <c r="E31" i="10" s="1"/>
  <c r="W23" i="12"/>
  <c r="W24" i="12" s="1"/>
  <c r="U25" i="12"/>
  <c r="U27" i="12" s="1"/>
  <c r="U104" i="12"/>
  <c r="V104" i="12"/>
  <c r="W21" i="12"/>
  <c r="W22" i="12" s="1"/>
  <c r="V25" i="12"/>
  <c r="V27" i="12" s="1"/>
  <c r="T28" i="14"/>
  <c r="T34" i="14" s="1"/>
  <c r="W23" i="14"/>
  <c r="W21" i="14"/>
  <c r="W25" i="14"/>
  <c r="W20" i="14"/>
  <c r="V28" i="14"/>
  <c r="V34" i="14" s="1"/>
  <c r="U28" i="14"/>
  <c r="U34" i="14" s="1"/>
  <c r="E32" i="10"/>
  <c r="V73" i="12" l="1"/>
  <c r="X47" i="14"/>
  <c r="U28" i="12"/>
  <c r="F31" i="10" s="1"/>
  <c r="U53" i="12"/>
  <c r="U56" i="12" s="1"/>
  <c r="W21" i="13"/>
  <c r="W22" i="13"/>
  <c r="W20" i="13"/>
  <c r="T53" i="12"/>
  <c r="T56" i="12" s="1"/>
  <c r="T35" i="12"/>
  <c r="T59" i="12" s="1"/>
  <c r="T62" i="12" s="1"/>
  <c r="U35" i="12"/>
  <c r="U59" i="12" s="1"/>
  <c r="U62" i="12" s="1"/>
  <c r="W28" i="14"/>
  <c r="W34" i="14" s="1"/>
  <c r="W25" i="12"/>
  <c r="I12" i="23" s="1"/>
  <c r="I13" i="23" s="1"/>
  <c r="V84" i="12"/>
  <c r="V85" i="12" s="1"/>
  <c r="V47" i="14"/>
  <c r="V46" i="14"/>
  <c r="V53" i="12"/>
  <c r="V56" i="12" s="1"/>
  <c r="V28" i="12"/>
  <c r="G31" i="10" s="1"/>
  <c r="V35" i="12"/>
  <c r="U47" i="14"/>
  <c r="U46" i="14"/>
  <c r="U84" i="12"/>
  <c r="U85" i="12" s="1"/>
  <c r="T47" i="14"/>
  <c r="T84" i="12"/>
  <c r="T85" i="12" s="1"/>
  <c r="G32" i="10"/>
  <c r="F32" i="10"/>
  <c r="T55" i="12" l="1"/>
  <c r="T57" i="12"/>
  <c r="T36" i="12"/>
  <c r="U36" i="12"/>
  <c r="U55" i="12"/>
  <c r="V55" i="12"/>
  <c r="T61" i="12"/>
  <c r="U87" i="12"/>
  <c r="U61" i="12"/>
  <c r="V86" i="12"/>
  <c r="V87" i="12"/>
  <c r="W85" i="12"/>
  <c r="T87" i="12"/>
  <c r="U65" i="12"/>
  <c r="F23" i="10" s="1"/>
  <c r="U57" i="12"/>
  <c r="V36" i="12"/>
  <c r="V59" i="12"/>
  <c r="V62" i="12" s="1"/>
  <c r="F24" i="10"/>
  <c r="T65" i="12" l="1"/>
  <c r="E23" i="10" s="1"/>
  <c r="V57" i="12"/>
  <c r="V65" i="12"/>
  <c r="G23" i="10" s="1"/>
  <c r="U43" i="12"/>
  <c r="U63" i="12"/>
  <c r="U25" i="13"/>
  <c r="U67" i="12"/>
  <c r="T63" i="12"/>
  <c r="T67" i="12"/>
  <c r="T43" i="12"/>
  <c r="V61" i="12"/>
  <c r="G24" i="10"/>
  <c r="E24" i="10"/>
  <c r="U74" i="12" l="1"/>
  <c r="V43" i="12"/>
  <c r="V63" i="12"/>
  <c r="V67" i="12"/>
  <c r="W43" i="12" l="1"/>
  <c r="W7" i="13"/>
  <c r="X89" i="12" l="1"/>
  <c r="X90" i="12" s="1"/>
  <c r="Y89" i="12"/>
  <c r="Z89" i="12"/>
  <c r="AA89" i="12"/>
  <c r="AD90" i="12" l="1"/>
  <c r="AE90" i="12"/>
  <c r="AJ91" i="12" s="1"/>
  <c r="AC90" i="12"/>
  <c r="AH91" i="12" s="1"/>
  <c r="AA90" i="12"/>
  <c r="AF91" i="12" s="1"/>
  <c r="X102" i="12"/>
  <c r="X93" i="12"/>
  <c r="X94" i="12" s="1"/>
  <c r="Y90" i="12"/>
  <c r="Y102" i="12" s="1"/>
  <c r="AB23" i="14"/>
  <c r="Z83" i="12"/>
  <c r="AA83" i="12"/>
  <c r="Y83" i="12"/>
  <c r="Z90" i="12"/>
  <c r="X83" i="12"/>
  <c r="AD93" i="12" l="1"/>
  <c r="AD94" i="12" s="1"/>
  <c r="AI91" i="12"/>
  <c r="AI95" i="12" s="1"/>
  <c r="AI100" i="12" s="1"/>
  <c r="AD102" i="12"/>
  <c r="AE91" i="12"/>
  <c r="AE93" i="12"/>
  <c r="AE94" i="12" s="1"/>
  <c r="AJ95" i="12" s="1"/>
  <c r="AJ100" i="12" s="1"/>
  <c r="AE102" i="12"/>
  <c r="AD91" i="12"/>
  <c r="AA102" i="12"/>
  <c r="AC91" i="12"/>
  <c r="AC95" i="12" s="1"/>
  <c r="AC100" i="12" s="1"/>
  <c r="AC101" i="12" s="1"/>
  <c r="AC93" i="12"/>
  <c r="AC94" i="12" s="1"/>
  <c r="AH95" i="12" s="1"/>
  <c r="AH100" i="12" s="1"/>
  <c r="AC102" i="12"/>
  <c r="AC104" i="12"/>
  <c r="Z45" i="14"/>
  <c r="AE46" i="14" s="1"/>
  <c r="AA45" i="14"/>
  <c r="AC46" i="14"/>
  <c r="Y45" i="14"/>
  <c r="AD46" i="14" s="1"/>
  <c r="AA93" i="12"/>
  <c r="AA94" i="12" s="1"/>
  <c r="AF95" i="12" s="1"/>
  <c r="AF100" i="12" s="1"/>
  <c r="AA91" i="12"/>
  <c r="AA95" i="12" s="1"/>
  <c r="AA100" i="12" s="1"/>
  <c r="AA101" i="12" s="1"/>
  <c r="Y93" i="12"/>
  <c r="Y94" i="12" s="1"/>
  <c r="Y91" i="12"/>
  <c r="Y95" i="12" s="1"/>
  <c r="Y100" i="12" s="1"/>
  <c r="Y101" i="12" s="1"/>
  <c r="AB23" i="12"/>
  <c r="AB24" i="12" s="1"/>
  <c r="X25" i="12"/>
  <c r="X27" i="12" s="1"/>
  <c r="AB21" i="14"/>
  <c r="AA28" i="14"/>
  <c r="AA34" i="14" s="1"/>
  <c r="AB20" i="14"/>
  <c r="Z34" i="14"/>
  <c r="AB25" i="14"/>
  <c r="Y28" i="14"/>
  <c r="Y34" i="14" s="1"/>
  <c r="X28" i="14"/>
  <c r="X34" i="14" s="1"/>
  <c r="Z91" i="12"/>
  <c r="Z95" i="12" s="1"/>
  <c r="Z100" i="12" s="1"/>
  <c r="Z101" i="12" s="1"/>
  <c r="Z102" i="12"/>
  <c r="Z93" i="12"/>
  <c r="Z94" i="12" s="1"/>
  <c r="AB21" i="12"/>
  <c r="AB22" i="12" s="1"/>
  <c r="X104" i="12"/>
  <c r="Y104" i="12"/>
  <c r="Z104" i="12"/>
  <c r="AA104" i="12"/>
  <c r="AJ101" i="12" l="1"/>
  <c r="AJ106" i="12"/>
  <c r="AI101" i="12"/>
  <c r="AI106" i="12"/>
  <c r="AH101" i="12"/>
  <c r="AH106" i="12"/>
  <c r="AF101" i="12"/>
  <c r="AF106" i="12"/>
  <c r="AA73" i="12"/>
  <c r="AF46" i="14"/>
  <c r="AE95" i="12"/>
  <c r="AE100" i="12" s="1"/>
  <c r="AD95" i="12"/>
  <c r="AD100" i="12" s="1"/>
  <c r="Z73" i="12"/>
  <c r="Y73" i="12"/>
  <c r="AC106" i="12"/>
  <c r="AC84" i="12"/>
  <c r="AC85" i="12" s="1"/>
  <c r="AH86" i="12" s="1"/>
  <c r="AC47" i="14"/>
  <c r="AB22" i="13"/>
  <c r="AB21" i="13"/>
  <c r="AB20" i="13"/>
  <c r="AA106" i="12"/>
  <c r="Y106" i="12"/>
  <c r="Z106" i="12"/>
  <c r="X84" i="12"/>
  <c r="X85" i="12" s="1"/>
  <c r="Z84" i="12"/>
  <c r="Z85" i="12" s="1"/>
  <c r="AE86" i="12" s="1"/>
  <c r="Z46" i="14"/>
  <c r="Z47" i="14"/>
  <c r="Y46" i="14"/>
  <c r="Y47" i="14"/>
  <c r="Y84" i="12"/>
  <c r="Y85" i="12" s="1"/>
  <c r="X35" i="12"/>
  <c r="X28" i="12"/>
  <c r="I31" i="10" s="1"/>
  <c r="X53" i="12"/>
  <c r="X56" i="12" s="1"/>
  <c r="AA84" i="12"/>
  <c r="AA85" i="12" s="1"/>
  <c r="AF86" i="12" s="1"/>
  <c r="AA46" i="14"/>
  <c r="AA47" i="14"/>
  <c r="AB28" i="14"/>
  <c r="AB34" i="14" s="1"/>
  <c r="I32" i="10"/>
  <c r="AE101" i="12" l="1"/>
  <c r="AE106" i="12"/>
  <c r="AD101" i="12"/>
  <c r="AD106" i="12"/>
  <c r="AC86" i="12"/>
  <c r="AC87" i="12"/>
  <c r="X87" i="12"/>
  <c r="X86" i="12"/>
  <c r="AB85" i="12"/>
  <c r="X55" i="12"/>
  <c r="AA87" i="12"/>
  <c r="AA86" i="12"/>
  <c r="X59" i="12"/>
  <c r="X62" i="12" s="1"/>
  <c r="X36" i="12"/>
  <c r="Y86" i="12"/>
  <c r="Y87" i="12"/>
  <c r="Z86" i="12"/>
  <c r="Z87" i="12"/>
  <c r="AB86" i="12" l="1"/>
  <c r="X57" i="12"/>
  <c r="X65" i="12"/>
  <c r="X61" i="12"/>
  <c r="I23" i="10" l="1"/>
  <c r="AC66" i="12"/>
  <c r="X67" i="12"/>
  <c r="X63" i="12"/>
  <c r="X43" i="12"/>
  <c r="X66" i="12"/>
  <c r="I24" i="10"/>
  <c r="X68" i="12" l="1"/>
  <c r="AC68" i="12"/>
  <c r="O89" i="12"/>
  <c r="S90" i="12" s="1"/>
  <c r="R15" i="12" l="1"/>
  <c r="O90" i="12"/>
  <c r="O102" i="12" s="1"/>
  <c r="Q90" i="12"/>
  <c r="Q91" i="12" s="1"/>
  <c r="Q95" i="12" s="1"/>
  <c r="Q100" i="12" s="1"/>
  <c r="Q101" i="12" s="1"/>
  <c r="Y17" i="25"/>
  <c r="AD17" i="25"/>
  <c r="V108" i="12"/>
  <c r="R10" i="19" s="1"/>
  <c r="X91" i="12"/>
  <c r="S91" i="12"/>
  <c r="S95" i="12" s="1"/>
  <c r="S100" i="12" s="1"/>
  <c r="S101" i="12" s="1"/>
  <c r="S93" i="12"/>
  <c r="S94" i="12" s="1"/>
  <c r="S102" i="12"/>
  <c r="P90" i="12"/>
  <c r="V91" i="12" l="1"/>
  <c r="Q94" i="12"/>
  <c r="Q102" i="12"/>
  <c r="R23" i="12"/>
  <c r="R24" i="12" s="1"/>
  <c r="T7" i="27"/>
  <c r="H10" i="23"/>
  <c r="R20" i="13"/>
  <c r="R21" i="12"/>
  <c r="R22" i="12" s="1"/>
  <c r="R12" i="12"/>
  <c r="W12" i="12"/>
  <c r="M16" i="30" s="1"/>
  <c r="M17" i="30" s="1"/>
  <c r="P104" i="12"/>
  <c r="S104" i="12"/>
  <c r="S106" i="12" s="1"/>
  <c r="O43" i="14"/>
  <c r="P43" i="14"/>
  <c r="O28" i="14"/>
  <c r="O34" i="14" s="1"/>
  <c r="O91" i="12"/>
  <c r="O95" i="12" s="1"/>
  <c r="O100" i="12" s="1"/>
  <c r="O101" i="12" s="1"/>
  <c r="T91" i="12"/>
  <c r="O94" i="12"/>
  <c r="Q104" i="12"/>
  <c r="Q106" i="12" s="1"/>
  <c r="O104" i="12"/>
  <c r="P102" i="12"/>
  <c r="P94" i="12"/>
  <c r="U91" i="12"/>
  <c r="P91" i="12"/>
  <c r="P95" i="12" s="1"/>
  <c r="P100" i="12" s="1"/>
  <c r="P101" i="12" s="1"/>
  <c r="O45" i="14"/>
  <c r="AG17" i="25"/>
  <c r="AB17" i="25"/>
  <c r="X108" i="12"/>
  <c r="S10" i="19" s="1"/>
  <c r="X95" i="12"/>
  <c r="X100" i="12" s="1"/>
  <c r="O73" i="12" l="1"/>
  <c r="O84" i="12"/>
  <c r="O85" i="12" s="1"/>
  <c r="P84" i="12"/>
  <c r="P85" i="12" s="1"/>
  <c r="V95" i="12"/>
  <c r="V100" i="12" s="1"/>
  <c r="V101" i="12" s="1"/>
  <c r="T95" i="12"/>
  <c r="T100" i="12" s="1"/>
  <c r="T101" i="12" s="1"/>
  <c r="R22" i="13"/>
  <c r="R18" i="13"/>
  <c r="R21" i="13"/>
  <c r="P106" i="12"/>
  <c r="O106" i="12"/>
  <c r="U95" i="12"/>
  <c r="U100" i="12" s="1"/>
  <c r="U101" i="12" s="1"/>
  <c r="X106" i="12"/>
  <c r="X101" i="12"/>
  <c r="P47" i="14"/>
  <c r="O46" i="14"/>
  <c r="T46" i="14"/>
  <c r="O47" i="14"/>
  <c r="R11" i="14"/>
  <c r="P87" i="12" l="1"/>
  <c r="Q87" i="12"/>
  <c r="P86" i="12"/>
  <c r="O87" i="12"/>
  <c r="O86" i="12"/>
  <c r="V106" i="12"/>
  <c r="S59" i="13"/>
  <c r="S58" i="13" s="1"/>
  <c r="S44" i="12"/>
  <c r="S50" i="12" s="1"/>
  <c r="S74" i="12"/>
  <c r="T106" i="12"/>
  <c r="U106" i="12"/>
  <c r="U86" i="12"/>
  <c r="T86" i="12"/>
  <c r="R85" i="12"/>
  <c r="S51" i="12" l="1"/>
  <c r="S51" i="13"/>
  <c r="S54" i="13" s="1"/>
  <c r="S36" i="13"/>
  <c r="S26" i="13"/>
  <c r="T58" i="13"/>
  <c r="W86" i="12"/>
  <c r="R86" i="12"/>
  <c r="S37" i="13" l="1"/>
  <c r="T44" i="12"/>
  <c r="T50" i="12" s="1"/>
  <c r="AB16" i="12"/>
  <c r="J11" i="23" s="1"/>
  <c r="R16" i="12"/>
  <c r="H11" i="23" s="1"/>
  <c r="T26" i="13" l="1"/>
  <c r="T36" i="13"/>
  <c r="T37" i="13" s="1"/>
  <c r="U58" i="13"/>
  <c r="W27" i="12"/>
  <c r="Y8" i="27" s="1"/>
  <c r="W16" i="12"/>
  <c r="I11" i="23" s="1"/>
  <c r="T51" i="12" l="1"/>
  <c r="AE15" i="27"/>
  <c r="Y15" i="27"/>
  <c r="U44" i="12"/>
  <c r="W28" i="12"/>
  <c r="H31" i="10" s="1"/>
  <c r="I14" i="23"/>
  <c r="W35" i="12"/>
  <c r="W36" i="12" s="1"/>
  <c r="W53" i="12"/>
  <c r="W56" i="12" s="1"/>
  <c r="W65" i="12" s="1"/>
  <c r="H32" i="10"/>
  <c r="H23" i="10" l="1"/>
  <c r="Y10" i="27"/>
  <c r="I18" i="23"/>
  <c r="U51" i="13"/>
  <c r="U36" i="13"/>
  <c r="U37" i="13" s="1"/>
  <c r="U26" i="13"/>
  <c r="V58" i="13"/>
  <c r="V25" i="13" s="1"/>
  <c r="V74" i="12" s="1"/>
  <c r="U50" i="12"/>
  <c r="W59" i="12"/>
  <c r="W62" i="12" s="1"/>
  <c r="W67" i="12" s="1"/>
  <c r="W55" i="12"/>
  <c r="W57" i="12"/>
  <c r="F10" i="19"/>
  <c r="I15" i="23"/>
  <c r="H24" i="10"/>
  <c r="Y17" i="27" l="1"/>
  <c r="AE17" i="27"/>
  <c r="U51" i="12"/>
  <c r="V44" i="12"/>
  <c r="W10" i="13"/>
  <c r="W11" i="14"/>
  <c r="X59" i="13" s="1"/>
  <c r="X58" i="13" s="1"/>
  <c r="W61" i="12"/>
  <c r="W63" i="12"/>
  <c r="W25" i="13" l="1"/>
  <c r="V51" i="13"/>
  <c r="V26" i="13"/>
  <c r="V36" i="13"/>
  <c r="V37" i="13" s="1"/>
  <c r="X25" i="13"/>
  <c r="X74" i="12" s="1"/>
  <c r="V50" i="12"/>
  <c r="W44" i="12"/>
  <c r="W50" i="12" s="1"/>
  <c r="Y9" i="27" s="1"/>
  <c r="E3" i="26" l="1"/>
  <c r="W74" i="12"/>
  <c r="V51" i="12"/>
  <c r="W36" i="13"/>
  <c r="W37" i="13" s="1"/>
  <c r="E6" i="26" s="1"/>
  <c r="W51" i="13"/>
  <c r="W26" i="13"/>
  <c r="E4" i="26" s="1"/>
  <c r="F36" i="19"/>
  <c r="I20" i="23"/>
  <c r="AE16" i="27"/>
  <c r="Y16" i="27"/>
  <c r="X44" i="12"/>
  <c r="I16" i="23"/>
  <c r="W51" i="12"/>
  <c r="I17" i="23" l="1"/>
  <c r="M20" i="30"/>
  <c r="M21" i="30" s="1"/>
  <c r="F38" i="19"/>
  <c r="Y11" i="27"/>
  <c r="AE18" i="27" s="1"/>
  <c r="I21" i="23"/>
  <c r="F37" i="19"/>
  <c r="E5" i="26"/>
  <c r="Y58" i="13"/>
  <c r="X51" i="13"/>
  <c r="X26" i="13"/>
  <c r="X36" i="13"/>
  <c r="X37" i="13" s="1"/>
  <c r="X50" i="12"/>
  <c r="I22" i="23"/>
  <c r="F39" i="19"/>
  <c r="Y108" i="12" l="1"/>
  <c r="T10" i="19" s="1"/>
  <c r="X51" i="12"/>
  <c r="Y18" i="27"/>
  <c r="Y44" i="12"/>
  <c r="Z108" i="12"/>
  <c r="U10" i="19" s="1"/>
  <c r="AA108" i="12"/>
  <c r="V10" i="19" s="1"/>
  <c r="Y25" i="12"/>
  <c r="Y27" i="12" s="1"/>
  <c r="Z25" i="12"/>
  <c r="Z27" i="12" s="1"/>
  <c r="AA25" i="12"/>
  <c r="AA27" i="12" s="1"/>
  <c r="AB19" i="12"/>
  <c r="AE108" i="12" s="1"/>
  <c r="AC108" i="12" l="1"/>
  <c r="Z58" i="13"/>
  <c r="AA28" i="12"/>
  <c r="L31" i="10" s="1"/>
  <c r="AA35" i="12"/>
  <c r="AA59" i="12" s="1"/>
  <c r="AA53" i="12"/>
  <c r="AA56" i="12" s="1"/>
  <c r="Z35" i="12"/>
  <c r="Z28" i="12"/>
  <c r="K31" i="10" s="1"/>
  <c r="Z53" i="12"/>
  <c r="Z56" i="12" s="1"/>
  <c r="AB25" i="12"/>
  <c r="AB20" i="12"/>
  <c r="Y35" i="12"/>
  <c r="Y28" i="12"/>
  <c r="J31" i="10" s="1"/>
  <c r="Y53" i="12"/>
  <c r="K32" i="10"/>
  <c r="J32" i="10"/>
  <c r="L32" i="10"/>
  <c r="AB27" i="12" l="1"/>
  <c r="AB28" i="12" s="1"/>
  <c r="M31" i="10" s="1"/>
  <c r="J12" i="23"/>
  <c r="J13" i="23" s="1"/>
  <c r="Z44" i="12"/>
  <c r="Z59" i="12"/>
  <c r="Z62" i="12" s="1"/>
  <c r="Z36" i="12"/>
  <c r="AA36" i="12"/>
  <c r="AA62" i="12"/>
  <c r="AA55" i="12"/>
  <c r="Z55" i="12"/>
  <c r="Y59" i="12"/>
  <c r="Y36" i="12"/>
  <c r="M32" i="10"/>
  <c r="AB53" i="12" l="1"/>
  <c r="AB35" i="12"/>
  <c r="AB59" i="12" s="1"/>
  <c r="J14" i="23"/>
  <c r="AD8" i="27"/>
  <c r="AD15" i="27" s="1"/>
  <c r="AA58" i="13"/>
  <c r="AB11" i="14" s="1"/>
  <c r="AC59" i="13" s="1"/>
  <c r="G10" i="19"/>
  <c r="J15" i="23"/>
  <c r="Z57" i="12"/>
  <c r="Z65" i="12"/>
  <c r="AE66" i="12" s="1"/>
  <c r="AA65" i="12"/>
  <c r="AF66" i="12" s="1"/>
  <c r="AA57" i="12"/>
  <c r="AA61" i="12"/>
  <c r="Z61" i="12"/>
  <c r="L23" i="10" l="1"/>
  <c r="K23" i="10"/>
  <c r="AC58" i="13"/>
  <c r="AB36" i="12"/>
  <c r="AA66" i="12"/>
  <c r="Z66" i="12"/>
  <c r="AA44" i="12"/>
  <c r="AB44" i="12" s="1"/>
  <c r="AB10" i="13"/>
  <c r="Z63" i="12"/>
  <c r="Z67" i="12"/>
  <c r="Z43" i="12"/>
  <c r="Z50" i="12" s="1"/>
  <c r="Z25" i="13"/>
  <c r="Z74" i="12" s="1"/>
  <c r="AA67" i="12"/>
  <c r="AA25" i="13"/>
  <c r="AA74" i="12" s="1"/>
  <c r="AA63" i="12"/>
  <c r="AA43" i="12"/>
  <c r="Y25" i="13"/>
  <c r="Y74" i="12" s="1"/>
  <c r="L24" i="10"/>
  <c r="K24" i="10"/>
  <c r="AF68" i="12" l="1"/>
  <c r="AE68" i="12"/>
  <c r="Z51" i="12"/>
  <c r="AA68" i="12"/>
  <c r="Z68" i="12"/>
  <c r="AC44" i="12"/>
  <c r="AC25" i="13"/>
  <c r="AC74" i="12" s="1"/>
  <c r="AA50" i="12"/>
  <c r="Y51" i="13"/>
  <c r="AB7" i="13"/>
  <c r="Z36" i="13"/>
  <c r="Z37" i="13" s="1"/>
  <c r="Z51" i="13"/>
  <c r="Z26" i="13"/>
  <c r="AA26" i="13"/>
  <c r="AA51" i="13"/>
  <c r="AA36" i="13"/>
  <c r="AA37" i="13" s="1"/>
  <c r="AA51" i="12" l="1"/>
  <c r="AC36" i="13"/>
  <c r="AC37" i="13" s="1"/>
  <c r="AC26" i="13"/>
  <c r="AC51" i="13"/>
  <c r="AC50" i="12"/>
  <c r="AB25" i="13"/>
  <c r="Y36" i="13"/>
  <c r="Y37" i="13" s="1"/>
  <c r="Y26" i="13"/>
  <c r="F3" i="26" l="1"/>
  <c r="AB74" i="12"/>
  <c r="AC51" i="12"/>
  <c r="AG25" i="13"/>
  <c r="AG74" i="12" s="1"/>
  <c r="AE74" i="12"/>
  <c r="G36" i="19"/>
  <c r="J20" i="23"/>
  <c r="AB26" i="13"/>
  <c r="G37" i="19" s="1"/>
  <c r="AB36" i="13"/>
  <c r="AD11" i="27" s="1"/>
  <c r="AD18" i="27" s="1"/>
  <c r="AB51" i="13"/>
  <c r="O25" i="12"/>
  <c r="O27" i="12" s="1"/>
  <c r="O53" i="12" s="1"/>
  <c r="O56" i="12" s="1"/>
  <c r="Q108" i="12"/>
  <c r="N10" i="19" s="1"/>
  <c r="Q25" i="12"/>
  <c r="Q27" i="12" s="1"/>
  <c r="Q53" i="12" s="1"/>
  <c r="Q56" i="12" s="1"/>
  <c r="P108" i="12"/>
  <c r="M10" i="19" s="1"/>
  <c r="P25" i="12"/>
  <c r="P27" i="12" s="1"/>
  <c r="R19" i="12"/>
  <c r="O108" i="12"/>
  <c r="L10" i="19" s="1"/>
  <c r="AG11" i="14" l="1"/>
  <c r="AH59" i="13" s="1"/>
  <c r="AH58" i="13" s="1"/>
  <c r="AG51" i="13"/>
  <c r="AG36" i="13"/>
  <c r="AF74" i="12"/>
  <c r="F4" i="26"/>
  <c r="J21" i="23"/>
  <c r="AB37" i="13"/>
  <c r="F6" i="26" s="1"/>
  <c r="F5" i="26"/>
  <c r="G38" i="19"/>
  <c r="Q28" i="12"/>
  <c r="O28" i="12"/>
  <c r="O35" i="12"/>
  <c r="O36" i="12" s="1"/>
  <c r="O55" i="12"/>
  <c r="Q35" i="12"/>
  <c r="Q59" i="12" s="1"/>
  <c r="Q62" i="12" s="1"/>
  <c r="Q55" i="12"/>
  <c r="O57" i="12"/>
  <c r="O65" i="12"/>
  <c r="U108" i="12"/>
  <c r="Q10" i="19" s="1"/>
  <c r="R20" i="12"/>
  <c r="S108" i="12"/>
  <c r="O10" i="19" s="1"/>
  <c r="T108" i="12"/>
  <c r="P10" i="19" s="1"/>
  <c r="R25" i="12"/>
  <c r="P53" i="12"/>
  <c r="P56" i="12" s="1"/>
  <c r="P28" i="12"/>
  <c r="P35" i="12"/>
  <c r="AG44" i="12" l="1"/>
  <c r="G39" i="19"/>
  <c r="J22" i="23"/>
  <c r="O59" i="12"/>
  <c r="O62" i="12" s="1"/>
  <c r="O67" i="12" s="1"/>
  <c r="R27" i="12"/>
  <c r="R53" i="12" s="1"/>
  <c r="R56" i="12" s="1"/>
  <c r="R65" i="12" s="1"/>
  <c r="H12" i="23"/>
  <c r="H13" i="23" s="1"/>
  <c r="Q36" i="12"/>
  <c r="P36" i="12"/>
  <c r="P59" i="12"/>
  <c r="P62" i="12" s="1"/>
  <c r="T66" i="12"/>
  <c r="O66" i="12"/>
  <c r="Q61" i="12"/>
  <c r="P55" i="12"/>
  <c r="Q57" i="12"/>
  <c r="Q65" i="12"/>
  <c r="R66" i="12" l="1"/>
  <c r="W66" i="12"/>
  <c r="AH74" i="12"/>
  <c r="R35" i="12"/>
  <c r="R59" i="12" s="1"/>
  <c r="R62" i="12" s="1"/>
  <c r="R67" i="12" s="1"/>
  <c r="O61" i="12"/>
  <c r="R28" i="12"/>
  <c r="H14" i="23"/>
  <c r="T8" i="27"/>
  <c r="T15" i="27" s="1"/>
  <c r="P65" i="12"/>
  <c r="P57" i="12"/>
  <c r="P61" i="12"/>
  <c r="Q66" i="12"/>
  <c r="V66" i="12"/>
  <c r="Q43" i="12"/>
  <c r="Q50" i="12" s="1"/>
  <c r="Q7" i="13"/>
  <c r="Q25" i="13" s="1"/>
  <c r="Q67" i="12"/>
  <c r="Q63" i="12"/>
  <c r="R57" i="12"/>
  <c r="R55" i="12"/>
  <c r="O43" i="12"/>
  <c r="O7" i="13"/>
  <c r="O25" i="13" s="1"/>
  <c r="O63" i="12"/>
  <c r="R68" i="12" l="1"/>
  <c r="W68" i="12"/>
  <c r="R36" i="12"/>
  <c r="Q51" i="13"/>
  <c r="Q74" i="12"/>
  <c r="Q51" i="12"/>
  <c r="E10" i="19"/>
  <c r="H15" i="23"/>
  <c r="Q36" i="13"/>
  <c r="Q37" i="13" s="1"/>
  <c r="Q26" i="13"/>
  <c r="P63" i="12"/>
  <c r="P67" i="12"/>
  <c r="P43" i="12"/>
  <c r="P50" i="12" s="1"/>
  <c r="P7" i="13"/>
  <c r="T68" i="12"/>
  <c r="O68" i="12"/>
  <c r="R61" i="12"/>
  <c r="P66" i="12"/>
  <c r="U66" i="12"/>
  <c r="O50" i="12"/>
  <c r="V68" i="12"/>
  <c r="Q68" i="12"/>
  <c r="AL11" i="14" l="1"/>
  <c r="P25" i="13"/>
  <c r="P74" i="12" s="1"/>
  <c r="P51" i="12"/>
  <c r="O51" i="12"/>
  <c r="H18" i="23"/>
  <c r="T10" i="27"/>
  <c r="T17" i="27" s="1"/>
  <c r="R7" i="13"/>
  <c r="R25" i="13" s="1"/>
  <c r="R43" i="12"/>
  <c r="R50" i="12" s="1"/>
  <c r="R63" i="12"/>
  <c r="U68" i="12"/>
  <c r="P68" i="12"/>
  <c r="AM58" i="13" l="1"/>
  <c r="AM10" i="13" s="1"/>
  <c r="AM11" i="14" s="1"/>
  <c r="AK74" i="12"/>
  <c r="P36" i="13"/>
  <c r="P37" i="13" s="1"/>
  <c r="P26" i="13"/>
  <c r="U2" i="13"/>
  <c r="P51" i="13"/>
  <c r="H16" i="23"/>
  <c r="T9" i="27"/>
  <c r="T16" i="27" s="1"/>
  <c r="R51" i="12"/>
  <c r="H17" i="23" s="1"/>
  <c r="AN58" i="13" l="1"/>
  <c r="AN10" i="13" s="1"/>
  <c r="AN44" i="12" s="1"/>
  <c r="AM44" i="12"/>
  <c r="AM25" i="13"/>
  <c r="AL44" i="12"/>
  <c r="O74" i="12"/>
  <c r="AM50" i="12" l="1"/>
  <c r="AM51" i="12" s="1"/>
  <c r="K28" i="15"/>
  <c r="AN11" i="14"/>
  <c r="AO58" i="13" s="1"/>
  <c r="AO10" i="13" s="1"/>
  <c r="AO44" i="12" s="1"/>
  <c r="AO50" i="12" s="1"/>
  <c r="AO51" i="12" s="1"/>
  <c r="AM26" i="13"/>
  <c r="AM51" i="13"/>
  <c r="AM36" i="13"/>
  <c r="AM37" i="13" s="1"/>
  <c r="D3" i="26"/>
  <c r="R74" i="12"/>
  <c r="H20" i="23"/>
  <c r="E36" i="19"/>
  <c r="O26" i="13"/>
  <c r="O51" i="13"/>
  <c r="R51" i="13"/>
  <c r="R54" i="13" s="1"/>
  <c r="R26" i="13"/>
  <c r="R36" i="13"/>
  <c r="O36" i="13"/>
  <c r="O37" i="13" s="1"/>
  <c r="AO11" i="14" l="1"/>
  <c r="AP58" i="13" s="1"/>
  <c r="AP10" i="13" s="1"/>
  <c r="D5" i="26"/>
  <c r="T11" i="27"/>
  <c r="T18" i="27" s="1"/>
  <c r="E37" i="19"/>
  <c r="D4" i="26"/>
  <c r="H21" i="23"/>
  <c r="E38" i="19"/>
  <c r="W53" i="13"/>
  <c r="W54" i="13" s="1"/>
  <c r="R37" i="13"/>
  <c r="D6" i="26" s="1"/>
  <c r="O54" i="13"/>
  <c r="AP11" i="14" l="1"/>
  <c r="AQ11" i="14" s="1"/>
  <c r="AP44" i="12"/>
  <c r="AP25" i="13"/>
  <c r="AQ10" i="13"/>
  <c r="H22" i="23"/>
  <c r="E39" i="19"/>
  <c r="P53" i="13"/>
  <c r="P54" i="13" s="1"/>
  <c r="O56" i="13"/>
  <c r="AB53" i="13"/>
  <c r="AB54" i="13" s="1"/>
  <c r="O10" i="14"/>
  <c r="O17" i="14" s="1"/>
  <c r="AP26" i="13" l="1"/>
  <c r="AP36" i="13"/>
  <c r="AP37" i="13" s="1"/>
  <c r="AP51" i="13"/>
  <c r="AQ44" i="12"/>
  <c r="AP50" i="12"/>
  <c r="AP51" i="12" s="1"/>
  <c r="AG53" i="13"/>
  <c r="AG54" i="13" s="1"/>
  <c r="AL53" i="13" s="1"/>
  <c r="AL54" i="13" s="1"/>
  <c r="Q53" i="13"/>
  <c r="Q54" i="13" s="1"/>
  <c r="P56" i="13"/>
  <c r="O37" i="14"/>
  <c r="O38" i="14" s="1"/>
  <c r="O41" i="14" s="1"/>
  <c r="P10" i="14"/>
  <c r="P17" i="14" s="1"/>
  <c r="R6" i="14" l="1"/>
  <c r="T20" i="27" s="1"/>
  <c r="T24" i="27" s="1"/>
  <c r="T53" i="13"/>
  <c r="T54" i="13" s="1"/>
  <c r="T56" i="13" s="1"/>
  <c r="Q56" i="13"/>
  <c r="Q10" i="14"/>
  <c r="P37" i="14"/>
  <c r="P38" i="14" s="1"/>
  <c r="P41" i="14" s="1"/>
  <c r="T14" i="27" l="1"/>
  <c r="T13" i="27"/>
  <c r="R56" i="13"/>
  <c r="C20" i="27"/>
  <c r="Q17" i="14"/>
  <c r="R17" i="14" s="1"/>
  <c r="R10" i="14"/>
  <c r="T27" i="28" l="1"/>
  <c r="T30" i="28" s="1"/>
  <c r="C24" i="27"/>
  <c r="AE20" i="27"/>
  <c r="AE23" i="27" s="1"/>
  <c r="AE25" i="27" s="1"/>
  <c r="C8" i="27" s="1"/>
  <c r="C9" i="27" s="1"/>
  <c r="S56" i="13"/>
  <c r="U53" i="13"/>
  <c r="U54" i="13" s="1"/>
  <c r="Q37" i="14"/>
  <c r="Q38" i="14" s="1"/>
  <c r="S10" i="14"/>
  <c r="S17" i="14" s="1"/>
  <c r="Y29" i="27" l="1"/>
  <c r="T29" i="27"/>
  <c r="O29" i="27"/>
  <c r="AD29" i="27"/>
  <c r="J29" i="27"/>
  <c r="T31" i="28"/>
  <c r="T32" i="28"/>
  <c r="U56" i="13"/>
  <c r="V53" i="13"/>
  <c r="V54" i="13" s="1"/>
  <c r="R37" i="14"/>
  <c r="T10" i="14"/>
  <c r="T17" i="14" s="1"/>
  <c r="R38" i="14"/>
  <c r="R41" i="14" s="1"/>
  <c r="Q41" i="14"/>
  <c r="S37" i="14"/>
  <c r="S38" i="14" s="1"/>
  <c r="S41" i="14" s="1"/>
  <c r="V56" i="13" l="1"/>
  <c r="X53" i="13"/>
  <c r="X54" i="13" s="1"/>
  <c r="U10" i="14"/>
  <c r="U17" i="14" s="1"/>
  <c r="T37" i="14"/>
  <c r="T38" i="14" s="1"/>
  <c r="T41" i="14" s="1"/>
  <c r="W6" i="14" l="1"/>
  <c r="Y20" i="27" s="1"/>
  <c r="Y53" i="13"/>
  <c r="Y54" i="13" s="1"/>
  <c r="V10" i="14"/>
  <c r="U37" i="14"/>
  <c r="U38" i="14" s="1"/>
  <c r="U41" i="14" s="1"/>
  <c r="Q29" i="28" l="1"/>
  <c r="Q30" i="28" s="1"/>
  <c r="Q32" i="28" s="1"/>
  <c r="D5" i="28" s="1"/>
  <c r="Y24" i="27"/>
  <c r="W56" i="13"/>
  <c r="Z53" i="13"/>
  <c r="Z54" i="13" s="1"/>
  <c r="V17" i="14"/>
  <c r="W17" i="14" s="1"/>
  <c r="W10" i="14"/>
  <c r="Y13" i="27" l="1"/>
  <c r="Y14" i="27"/>
  <c r="X56" i="13"/>
  <c r="AA53" i="13"/>
  <c r="AA54" i="13" s="1"/>
  <c r="AC53" i="13" s="1"/>
  <c r="AC54" i="13" s="1"/>
  <c r="V37" i="14"/>
  <c r="V38" i="14" s="1"/>
  <c r="X10" i="14"/>
  <c r="X17" i="14" s="1"/>
  <c r="AD53" i="13" l="1"/>
  <c r="Y56" i="13"/>
  <c r="W37" i="14"/>
  <c r="Y17" i="14"/>
  <c r="W38" i="14"/>
  <c r="W41" i="14" s="1"/>
  <c r="V41" i="14"/>
  <c r="X37" i="14"/>
  <c r="X38" i="14" s="1"/>
  <c r="X41" i="14" s="1"/>
  <c r="Z56" i="13" l="1"/>
  <c r="Y37" i="14"/>
  <c r="Y38" i="14" s="1"/>
  <c r="Y41" i="14" s="1"/>
  <c r="Z10" i="14"/>
  <c r="Z17" i="14" s="1"/>
  <c r="AB6" i="14" l="1"/>
  <c r="AB56" i="13" s="1"/>
  <c r="AA56" i="13"/>
  <c r="AA10" i="14"/>
  <c r="Z37" i="14"/>
  <c r="Z38" i="14" s="1"/>
  <c r="Z41" i="14" s="1"/>
  <c r="AC56" i="13" l="1"/>
  <c r="AC10" i="14"/>
  <c r="AC17" i="14" s="1"/>
  <c r="AC37" i="14" s="1"/>
  <c r="AC38" i="14" s="1"/>
  <c r="AC41" i="14" s="1"/>
  <c r="AD76" i="12"/>
  <c r="AD77" i="12" s="1"/>
  <c r="AD20" i="27"/>
  <c r="AD24" i="27" s="1"/>
  <c r="AA17" i="14"/>
  <c r="AB17" i="14" s="1"/>
  <c r="AB10" i="14"/>
  <c r="AE76" i="12" l="1"/>
  <c r="AE77" i="12" s="1"/>
  <c r="AD14" i="27"/>
  <c r="AD13" i="27"/>
  <c r="AA37" i="14"/>
  <c r="AB37" i="14" s="1"/>
  <c r="AF76" i="12" l="1"/>
  <c r="AF77" i="12" s="1"/>
  <c r="AA38" i="14"/>
  <c r="AB38" i="14" s="1"/>
  <c r="AB41" i="14" s="1"/>
  <c r="AG6" i="14" l="1"/>
  <c r="AA41" i="14"/>
  <c r="AG56" i="13" l="1"/>
  <c r="AH76" i="12"/>
  <c r="AH77" i="12" s="1"/>
  <c r="AG10" i="14"/>
  <c r="Q58" i="13"/>
  <c r="AG17" i="14" l="1"/>
  <c r="AG37" i="14" l="1"/>
  <c r="AG38" i="14" l="1"/>
  <c r="AG41" i="14" s="1"/>
  <c r="Y61" i="12"/>
  <c r="AB60" i="12"/>
  <c r="AB61" i="12" s="1"/>
  <c r="Y54" i="12"/>
  <c r="Y62" i="12"/>
  <c r="Y63" i="12" s="1"/>
  <c r="Y56" i="12" l="1"/>
  <c r="Y57" i="12" s="1"/>
  <c r="E36" i="15"/>
  <c r="F36" i="15" s="1"/>
  <c r="L36" i="15"/>
  <c r="H36" i="15"/>
  <c r="I36" i="15" s="1"/>
  <c r="Y55" i="12"/>
  <c r="Y45" i="12"/>
  <c r="AB45" i="12" s="1"/>
  <c r="AB54" i="12"/>
  <c r="Y67" i="12"/>
  <c r="Y43" i="12"/>
  <c r="AB62" i="12"/>
  <c r="AB67" i="12" s="1"/>
  <c r="AB68" i="12" s="1"/>
  <c r="Y65" i="12" l="1"/>
  <c r="Y66" i="12" s="1"/>
  <c r="Y68" i="12"/>
  <c r="AB63" i="12"/>
  <c r="AB43" i="12"/>
  <c r="AB50" i="12" s="1"/>
  <c r="Y50" i="12"/>
  <c r="AB56" i="12"/>
  <c r="AB55" i="12"/>
  <c r="H32" i="15"/>
  <c r="I32" i="15" s="1"/>
  <c r="L32" i="15"/>
  <c r="E32" i="15"/>
  <c r="F32" i="15" s="1"/>
  <c r="J23" i="10" l="1"/>
  <c r="AB57" i="12"/>
  <c r="AB65" i="12"/>
  <c r="AB66" i="12" s="1"/>
  <c r="Y51" i="12"/>
  <c r="AD9" i="27"/>
  <c r="AD16" i="27" s="1"/>
  <c r="J16" i="23"/>
  <c r="AB51" i="12"/>
  <c r="AD13" i="12"/>
  <c r="AD12" i="12"/>
  <c r="AD51" i="14"/>
  <c r="AD56" i="14"/>
  <c r="AD57" i="14"/>
  <c r="AD52" i="14"/>
  <c r="AD24" i="12"/>
  <c r="AD22" i="12"/>
  <c r="AD58" i="14"/>
  <c r="AD43" i="14"/>
  <c r="AD53" i="14"/>
  <c r="AD50" i="14"/>
  <c r="AD108" i="12"/>
  <c r="AD59" i="14"/>
  <c r="AD20" i="12"/>
  <c r="AN9" i="25"/>
  <c r="AN10" i="25" s="1"/>
  <c r="AN16" i="25"/>
  <c r="AN17" i="25" s="1"/>
  <c r="O21" i="10"/>
  <c r="AD83" i="12"/>
  <c r="AD85" i="12" s="1"/>
  <c r="AD8" i="12"/>
  <c r="AI9" i="12" s="1"/>
  <c r="AD15" i="12"/>
  <c r="AD16" i="12" s="1"/>
  <c r="J24" i="10"/>
  <c r="O22" i="10"/>
  <c r="AD10" i="27" l="1"/>
  <c r="AD17" i="27" s="1"/>
  <c r="J18" i="23"/>
  <c r="M23" i="10"/>
  <c r="AQ16" i="25"/>
  <c r="AQ17" i="25" s="1"/>
  <c r="J17" i="23"/>
  <c r="N20" i="30"/>
  <c r="N21" i="30" s="1"/>
  <c r="AG85" i="12"/>
  <c r="AG86" i="12" s="1"/>
  <c r="AE87" i="12"/>
  <c r="AE10" i="12"/>
  <c r="AG8" i="12"/>
  <c r="AD27" i="12"/>
  <c r="AD53" i="12" s="1"/>
  <c r="AD86" i="12"/>
  <c r="AD87" i="12"/>
  <c r="AD10" i="12"/>
  <c r="AD9" i="12"/>
  <c r="M24" i="10"/>
  <c r="AS16" i="25" l="1"/>
  <c r="AG9" i="12"/>
  <c r="AL8" i="12"/>
  <c r="AN8" i="12"/>
  <c r="AG11" i="12"/>
  <c r="AJ108" i="12" s="1"/>
  <c r="T21" i="10"/>
  <c r="AD28" i="12"/>
  <c r="O31" i="10" s="1"/>
  <c r="AD35" i="12"/>
  <c r="AD55" i="12"/>
  <c r="AD56" i="12"/>
  <c r="T22" i="10"/>
  <c r="O32" i="10"/>
  <c r="AS17" i="25" l="1"/>
  <c r="AV16" i="25"/>
  <c r="AV17" i="25" s="1"/>
  <c r="AL11" i="12"/>
  <c r="D11" i="30"/>
  <c r="E11" i="30"/>
  <c r="AI108" i="12"/>
  <c r="W21" i="10"/>
  <c r="C38" i="27"/>
  <c r="C39" i="27" s="1"/>
  <c r="AI73" i="12"/>
  <c r="AI84" i="12"/>
  <c r="AI85" i="12" s="1"/>
  <c r="AJ87" i="12" s="1"/>
  <c r="AL14" i="12"/>
  <c r="AL15" i="12" s="1"/>
  <c r="AL16" i="12" s="1"/>
  <c r="K9" i="15"/>
  <c r="AL19" i="12"/>
  <c r="AM108" i="12" s="1"/>
  <c r="L14" i="15"/>
  <c r="H14" i="15"/>
  <c r="I14" i="15" s="1"/>
  <c r="E14" i="15"/>
  <c r="F14" i="15" s="1"/>
  <c r="AL23" i="12"/>
  <c r="L7" i="15"/>
  <c r="H7" i="15"/>
  <c r="I7" i="15" s="1"/>
  <c r="H6" i="30"/>
  <c r="I6" i="30" s="1"/>
  <c r="J6" i="30" s="1"/>
  <c r="E7" i="15"/>
  <c r="F7" i="15" s="1"/>
  <c r="AL9" i="12"/>
  <c r="AH108" i="12"/>
  <c r="AM104" i="12"/>
  <c r="AM106" i="12" s="1"/>
  <c r="AN10" i="12"/>
  <c r="AQ8" i="12"/>
  <c r="AO10" i="12"/>
  <c r="AN11" i="12"/>
  <c r="AG12" i="12"/>
  <c r="O16" i="30" s="1"/>
  <c r="O17" i="30" s="1"/>
  <c r="AQ9" i="25"/>
  <c r="AQ10" i="25" s="1"/>
  <c r="P15" i="30"/>
  <c r="AL21" i="12"/>
  <c r="AL22" i="12" s="1"/>
  <c r="AG15" i="12"/>
  <c r="AG16" i="12" s="1"/>
  <c r="AG22" i="12"/>
  <c r="AG26" i="13"/>
  <c r="AG20" i="12"/>
  <c r="AG24" i="12"/>
  <c r="AL12" i="12"/>
  <c r="P16" i="30" s="1"/>
  <c r="R21" i="10"/>
  <c r="AG37" i="13"/>
  <c r="AD36" i="12"/>
  <c r="AD59" i="12"/>
  <c r="AD57" i="12"/>
  <c r="AD65" i="12"/>
  <c r="R22" i="10"/>
  <c r="W22" i="10"/>
  <c r="AV9" i="25" l="1"/>
  <c r="AV10" i="25" s="1"/>
  <c r="AL26" i="13"/>
  <c r="AL37" i="13"/>
  <c r="P17" i="30"/>
  <c r="AL24" i="12"/>
  <c r="E7" i="30"/>
  <c r="D7" i="30"/>
  <c r="AL20" i="12"/>
  <c r="AI66" i="12"/>
  <c r="AI87" i="12"/>
  <c r="AI86" i="12"/>
  <c r="L9" i="15"/>
  <c r="E9" i="15"/>
  <c r="F9" i="15" s="1"/>
  <c r="K10" i="15"/>
  <c r="H9" i="15"/>
  <c r="I9" i="15" s="1"/>
  <c r="L15" i="15"/>
  <c r="E15" i="15"/>
  <c r="F15" i="15" s="1"/>
  <c r="H15" i="15"/>
  <c r="I15" i="15" s="1"/>
  <c r="L8" i="15"/>
  <c r="H8" i="15"/>
  <c r="I8" i="15" s="1"/>
  <c r="E8" i="15"/>
  <c r="F8" i="15" s="1"/>
  <c r="K16" i="15"/>
  <c r="N16" i="15" s="1"/>
  <c r="E13" i="15"/>
  <c r="F13" i="15" s="1"/>
  <c r="L13" i="15"/>
  <c r="H13" i="15"/>
  <c r="I13" i="15" s="1"/>
  <c r="AQ11" i="12"/>
  <c r="C41" i="27" s="1"/>
  <c r="C42" i="27" s="1"/>
  <c r="AQ9" i="12"/>
  <c r="AO13" i="12"/>
  <c r="AN20" i="14"/>
  <c r="AN9" i="14"/>
  <c r="AN25" i="14"/>
  <c r="AN7" i="14"/>
  <c r="AN23" i="14"/>
  <c r="Y21" i="10"/>
  <c r="AN21" i="14"/>
  <c r="AN21" i="12"/>
  <c r="AN19" i="12"/>
  <c r="AN83" i="12"/>
  <c r="AN23" i="12"/>
  <c r="AQ23" i="12" s="1"/>
  <c r="AN12" i="12"/>
  <c r="AN14" i="12"/>
  <c r="AQ14" i="12" s="1"/>
  <c r="AN13" i="12"/>
  <c r="T31" i="10"/>
  <c r="AL85" i="12"/>
  <c r="AG27" i="12"/>
  <c r="AG35" i="12" s="1"/>
  <c r="AL25" i="12"/>
  <c r="AL27" i="12" s="1"/>
  <c r="AL53" i="12" s="1"/>
  <c r="AD62" i="12"/>
  <c r="AD61" i="12"/>
  <c r="AD66" i="12"/>
  <c r="O23" i="10"/>
  <c r="Y22" i="10"/>
  <c r="T32" i="10"/>
  <c r="O24" i="10"/>
  <c r="AD43" i="12" l="1"/>
  <c r="AD7" i="13"/>
  <c r="AD25" i="13" s="1"/>
  <c r="AJ74" i="12"/>
  <c r="E16" i="15"/>
  <c r="F16" i="15" s="1"/>
  <c r="H16" i="15"/>
  <c r="I16" i="15" s="1"/>
  <c r="L16" i="15"/>
  <c r="K18" i="15"/>
  <c r="E10" i="15"/>
  <c r="H10" i="15"/>
  <c r="AQ24" i="12"/>
  <c r="AN104" i="12"/>
  <c r="AN106" i="12" s="1"/>
  <c r="AQ21" i="12"/>
  <c r="AQ22" i="12" s="1"/>
  <c r="AO104" i="12"/>
  <c r="AO106" i="12" s="1"/>
  <c r="AP104" i="12"/>
  <c r="AP106" i="12" s="1"/>
  <c r="AN21" i="13"/>
  <c r="AO21" i="13"/>
  <c r="AO17" i="13"/>
  <c r="AN43" i="14"/>
  <c r="AN17" i="13"/>
  <c r="AO43" i="14"/>
  <c r="AO18" i="13"/>
  <c r="AN18" i="13"/>
  <c r="AQ19" i="12"/>
  <c r="AN25" i="12"/>
  <c r="AP108" i="12"/>
  <c r="AO108" i="12"/>
  <c r="AN108" i="12"/>
  <c r="AN45" i="14"/>
  <c r="AN22" i="13"/>
  <c r="AO22" i="13"/>
  <c r="AN28" i="14"/>
  <c r="AN34" i="14" s="1"/>
  <c r="AN20" i="13"/>
  <c r="AO20" i="13"/>
  <c r="AN15" i="12"/>
  <c r="AB21" i="10"/>
  <c r="AQ15" i="12"/>
  <c r="AQ12" i="12"/>
  <c r="AL86" i="12"/>
  <c r="AG28" i="12"/>
  <c r="R31" i="10" s="1"/>
  <c r="AG53" i="12"/>
  <c r="AG56" i="12" s="1"/>
  <c r="AL28" i="12"/>
  <c r="W31" i="10" s="1"/>
  <c r="AL35" i="12"/>
  <c r="AL36" i="12" s="1"/>
  <c r="AD63" i="12"/>
  <c r="AD67" i="12"/>
  <c r="AL56" i="12"/>
  <c r="AL55" i="12"/>
  <c r="AG36" i="12"/>
  <c r="AG59" i="12"/>
  <c r="R32" i="10"/>
  <c r="AB22" i="10"/>
  <c r="W32" i="10"/>
  <c r="AD36" i="13" l="1"/>
  <c r="AD37" i="13" s="1"/>
  <c r="AD51" i="13"/>
  <c r="AD54" i="13" s="1"/>
  <c r="AD74" i="12"/>
  <c r="AD26" i="13"/>
  <c r="AI68" i="12"/>
  <c r="K19" i="15"/>
  <c r="E18" i="15"/>
  <c r="F18" i="15" s="1"/>
  <c r="K23" i="15"/>
  <c r="H18" i="15"/>
  <c r="I18" i="15" s="1"/>
  <c r="K31" i="15"/>
  <c r="L18" i="15"/>
  <c r="AQ17" i="13"/>
  <c r="AQ18" i="13"/>
  <c r="AO25" i="13"/>
  <c r="AN46" i="14"/>
  <c r="AN84" i="12"/>
  <c r="AN85" i="12" s="1"/>
  <c r="AN47" i="14"/>
  <c r="AO47" i="14"/>
  <c r="AO84" i="12"/>
  <c r="AO85" i="12" s="1"/>
  <c r="AQ21" i="13"/>
  <c r="AQ20" i="13"/>
  <c r="AQ16" i="12"/>
  <c r="AN27" i="12"/>
  <c r="AQ22" i="13"/>
  <c r="AQ20" i="12"/>
  <c r="AQ25" i="12"/>
  <c r="AQ27" i="12" s="1"/>
  <c r="AL57" i="12"/>
  <c r="AL65" i="12"/>
  <c r="AG57" i="12"/>
  <c r="AG65" i="12"/>
  <c r="AG55" i="12"/>
  <c r="AL59" i="12"/>
  <c r="AL61" i="12" s="1"/>
  <c r="AG43" i="12"/>
  <c r="AD50" i="12"/>
  <c r="D29" i="15" s="1"/>
  <c r="AD68" i="12"/>
  <c r="AG61" i="12"/>
  <c r="AG62" i="12"/>
  <c r="AG67" i="12" s="1"/>
  <c r="AG68" i="12" s="1"/>
  <c r="AD56" i="13" l="1"/>
  <c r="AE53" i="13"/>
  <c r="AE54" i="13" s="1"/>
  <c r="H23" i="15"/>
  <c r="I23" i="15" s="1"/>
  <c r="K35" i="15"/>
  <c r="K24" i="15"/>
  <c r="L23" i="15"/>
  <c r="E23" i="15"/>
  <c r="F23" i="15" s="1"/>
  <c r="L39" i="15"/>
  <c r="E39" i="15"/>
  <c r="F39" i="15" s="1"/>
  <c r="H39" i="15"/>
  <c r="I39" i="15" s="1"/>
  <c r="K33" i="15"/>
  <c r="L31" i="15"/>
  <c r="E31" i="15"/>
  <c r="F31" i="15" s="1"/>
  <c r="H31" i="15"/>
  <c r="I31" i="15" s="1"/>
  <c r="H19" i="15"/>
  <c r="E19" i="15"/>
  <c r="AN28" i="12"/>
  <c r="Y31" i="10" s="1"/>
  <c r="AN35" i="12"/>
  <c r="AN53" i="12"/>
  <c r="AQ35" i="12"/>
  <c r="AQ28" i="12"/>
  <c r="AB31" i="10" s="1"/>
  <c r="AQ53" i="12"/>
  <c r="AO86" i="12"/>
  <c r="AO87" i="12"/>
  <c r="AP87" i="12"/>
  <c r="AN87" i="12"/>
  <c r="AQ85" i="12"/>
  <c r="AQ86" i="12" s="1"/>
  <c r="AN86" i="12"/>
  <c r="AO26" i="13"/>
  <c r="AO51" i="13"/>
  <c r="AO36" i="13"/>
  <c r="AO37" i="13" s="1"/>
  <c r="AL66" i="12"/>
  <c r="AG66" i="12"/>
  <c r="R23" i="10"/>
  <c r="AG50" i="12"/>
  <c r="AG51" i="12" s="1"/>
  <c r="AL62" i="12"/>
  <c r="W23" i="10"/>
  <c r="AD51" i="12"/>
  <c r="AG63" i="12"/>
  <c r="T23" i="10"/>
  <c r="E40" i="15"/>
  <c r="T24" i="10"/>
  <c r="R24" i="10"/>
  <c r="Y32" i="10"/>
  <c r="W24" i="10"/>
  <c r="AB32" i="10"/>
  <c r="AE56" i="13" l="1"/>
  <c r="AF53" i="13"/>
  <c r="AF54" i="13" s="1"/>
  <c r="H40" i="15"/>
  <c r="K37" i="15"/>
  <c r="E35" i="15"/>
  <c r="F35" i="15" s="1"/>
  <c r="H35" i="15"/>
  <c r="I35" i="15" s="1"/>
  <c r="L35" i="15"/>
  <c r="E33" i="15"/>
  <c r="F33" i="15" s="1"/>
  <c r="H33" i="15"/>
  <c r="I33" i="15" s="1"/>
  <c r="L33" i="15"/>
  <c r="H24" i="15"/>
  <c r="E24" i="15"/>
  <c r="AQ56" i="12"/>
  <c r="AQ55" i="12"/>
  <c r="AQ36" i="12"/>
  <c r="AQ59" i="12"/>
  <c r="AN55" i="12"/>
  <c r="AN56" i="12"/>
  <c r="AN36" i="12"/>
  <c r="AN59" i="12"/>
  <c r="O20" i="30"/>
  <c r="O21" i="30" s="1"/>
  <c r="AL63" i="12"/>
  <c r="AL67" i="12"/>
  <c r="E28" i="15"/>
  <c r="F28" i="15" s="1"/>
  <c r="K29" i="15"/>
  <c r="L28" i="15"/>
  <c r="H28" i="15"/>
  <c r="I28" i="15" s="1"/>
  <c r="H12" i="30"/>
  <c r="I12" i="30" s="1"/>
  <c r="J12" i="30" s="1"/>
  <c r="AI74" i="12"/>
  <c r="AL43" i="12"/>
  <c r="AF56" i="13" l="1"/>
  <c r="AH53" i="13"/>
  <c r="AH54" i="13" s="1"/>
  <c r="E37" i="15"/>
  <c r="F37" i="15" s="1"/>
  <c r="L37" i="15"/>
  <c r="H37" i="15"/>
  <c r="I37" i="15" s="1"/>
  <c r="AN57" i="12"/>
  <c r="AN65" i="12"/>
  <c r="AN62" i="12"/>
  <c r="AN61" i="12"/>
  <c r="AQ62" i="12"/>
  <c r="AQ61" i="12"/>
  <c r="AQ57" i="12"/>
  <c r="AQ65" i="12"/>
  <c r="AL68" i="12"/>
  <c r="AL50" i="12"/>
  <c r="AL51" i="12" s="1"/>
  <c r="P20" i="30" s="1"/>
  <c r="P21" i="30" s="1"/>
  <c r="H29" i="15"/>
  <c r="E29" i="15"/>
  <c r="AQ53" i="13"/>
  <c r="AH56" i="13" l="1"/>
  <c r="AI53" i="13"/>
  <c r="AI54" i="13" s="1"/>
  <c r="AQ63" i="12"/>
  <c r="AQ67" i="12"/>
  <c r="AQ68" i="12" s="1"/>
  <c r="AN7" i="13"/>
  <c r="AN63" i="12"/>
  <c r="AN43" i="12"/>
  <c r="AN67" i="12"/>
  <c r="AN68" i="12" s="1"/>
  <c r="Y23" i="10"/>
  <c r="AN66" i="12"/>
  <c r="AB23" i="10"/>
  <c r="AQ66" i="12"/>
  <c r="AI76" i="12"/>
  <c r="AI77" i="12" s="1"/>
  <c r="Y24" i="10"/>
  <c r="AB24" i="10"/>
  <c r="AI56" i="13" l="1"/>
  <c r="AJ53" i="13"/>
  <c r="AJ54" i="13" s="1"/>
  <c r="AN50" i="12"/>
  <c r="AN51" i="12" s="1"/>
  <c r="AQ43" i="12"/>
  <c r="AQ50" i="12" s="1"/>
  <c r="AQ51" i="12" s="1"/>
  <c r="AN25" i="13"/>
  <c r="AQ7" i="13"/>
  <c r="AQ25" i="13" s="1"/>
  <c r="AJ76" i="12"/>
  <c r="AJ77" i="12" s="1"/>
  <c r="AJ56" i="13" l="1"/>
  <c r="AK53" i="13"/>
  <c r="AK54" i="13" s="1"/>
  <c r="AK56" i="13" s="1"/>
  <c r="AQ26" i="13"/>
  <c r="AQ51" i="13"/>
  <c r="AQ54" i="13" s="1"/>
  <c r="AQ36" i="13"/>
  <c r="AQ37" i="13" s="1"/>
  <c r="AN51" i="13"/>
  <c r="AN26" i="13"/>
  <c r="AN36" i="13"/>
  <c r="AN37" i="13" s="1"/>
  <c r="AK76" i="12"/>
  <c r="AK77" i="12" s="1"/>
  <c r="AM53" i="13" l="1"/>
  <c r="AM54" i="13" s="1"/>
  <c r="AN53" i="13"/>
  <c r="AN54" i="13" s="1"/>
  <c r="AL6" i="14"/>
  <c r="AL56" i="13" s="1"/>
  <c r="AM6" i="14" l="1"/>
  <c r="AO53" i="13"/>
  <c r="AO54" i="13" s="1"/>
  <c r="AL10" i="14"/>
  <c r="AP53" i="13" l="1"/>
  <c r="AP54" i="13" s="1"/>
  <c r="AM10" i="14"/>
  <c r="AM17" i="14" s="1"/>
  <c r="AM37" i="14" s="1"/>
  <c r="AM38" i="14" s="1"/>
  <c r="AM41" i="14" s="1"/>
  <c r="AN6" i="14"/>
  <c r="AM56" i="13"/>
  <c r="AL17" i="14"/>
  <c r="AO6" i="14" l="1"/>
  <c r="AN10" i="14"/>
  <c r="AN17" i="14" s="1"/>
  <c r="AN37" i="14" s="1"/>
  <c r="AN38" i="14" s="1"/>
  <c r="AN41" i="14" s="1"/>
  <c r="AN56" i="13"/>
  <c r="AL37" i="14"/>
  <c r="AO10" i="14" l="1"/>
  <c r="AO17" i="14" s="1"/>
  <c r="AO37" i="14" s="1"/>
  <c r="AO38" i="14" s="1"/>
  <c r="AO41" i="14" s="1"/>
  <c r="AP6" i="14"/>
  <c r="AO56" i="13"/>
  <c r="AL38" i="14"/>
  <c r="AL41" i="14" s="1"/>
  <c r="AQ6" i="14" l="1"/>
  <c r="AQ56" i="13" s="1"/>
  <c r="AP10" i="14"/>
  <c r="AP56" i="13"/>
  <c r="AP17" i="14" l="1"/>
  <c r="AQ10" i="14"/>
  <c r="AQ17" i="14" l="1"/>
  <c r="AP37" i="14"/>
  <c r="AQ37" i="14" l="1"/>
  <c r="AP38" i="14"/>
  <c r="AQ38" i="14" l="1"/>
  <c r="AQ41" i="14" s="1"/>
  <c r="AP41"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A1" authorId="0" shapeId="0" xr:uid="{C6C81E8F-5042-4708-8AEB-48B93553AFFF}">
      <text>
        <r>
          <rPr>
            <b/>
            <sz val="9"/>
            <color indexed="81"/>
            <rFont val="Tahoma"/>
            <family val="2"/>
          </rPr>
          <t>&lt;?xml version="1.0" encoding="utf-8"?&gt;&lt;Schema xmlns:xsd="http://www.w3.org/2001/XMLSchema" xmlns:xsi="http://www.w3.org/2001/XMLSchema-instance" Version="2" Timestamp="1772035795"&gt;&lt;FQL&gt;&lt;Q&gt;LAW^P_PRICE(NOW)&lt;/Q&gt;&lt;R&gt;1&lt;/R&gt;&lt;C&gt;1&lt;/C&gt;&lt;D xsi:type="xsd:double"&gt;22.32&lt;/D&gt;&lt;/FQL&gt;&lt;/Schema&gt;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C8" authorId="0" shapeId="0" xr:uid="{5BF37D48-8682-4FE4-B9C4-82D8ADE9C3D0}">
      <text>
        <r>
          <rPr>
            <b/>
            <sz val="9"/>
            <color indexed="81"/>
            <rFont val="Tahoma"/>
            <family val="2"/>
          </rPr>
          <t>Black, Ian:</t>
        </r>
        <r>
          <rPr>
            <sz val="9"/>
            <color indexed="81"/>
            <rFont val="Tahoma"/>
            <family val="2"/>
          </rPr>
          <t xml:space="preserve">
Includes Disco Auto Review</t>
        </r>
      </text>
    </comment>
    <comment ref="AJ11" authorId="0" shapeId="0" xr:uid="{7833C5B9-D02D-4978-A8C1-4311DE3F004E}">
      <text>
        <r>
          <rPr>
            <b/>
            <sz val="9"/>
            <color indexed="81"/>
            <rFont val="Tahoma"/>
            <family val="2"/>
          </rPr>
          <t>Black, Ian:</t>
        </r>
        <r>
          <rPr>
            <sz val="9"/>
            <color indexed="81"/>
            <rFont val="Tahoma"/>
            <family val="2"/>
          </rPr>
          <t xml:space="preserve">
Includes $1.3mm in contingent cases revenue with $1.2mm in software and $0.1mm in services</t>
        </r>
      </text>
    </comment>
    <comment ref="K32" authorId="0" shapeId="0" xr:uid="{AAF8EA25-A1AE-4F8F-8CCA-BA006D9EE662}">
      <text>
        <r>
          <rPr>
            <b/>
            <sz val="9"/>
            <color indexed="81"/>
            <rFont val="Tahoma"/>
            <family val="2"/>
          </rPr>
          <t>Black, Ian:</t>
        </r>
        <r>
          <rPr>
            <sz val="9"/>
            <color indexed="81"/>
            <rFont val="Tahoma"/>
            <family val="2"/>
          </rPr>
          <t xml:space="preserve">
Refund of sales and use taxes</t>
        </r>
      </text>
    </comment>
    <comment ref="AF32" authorId="0" shapeId="0" xr:uid="{5BD04DE6-C3DC-4C5A-8A7D-2E552DAF28E4}">
      <text>
        <r>
          <rPr>
            <b/>
            <sz val="9"/>
            <color indexed="81"/>
            <rFont val="Tahoma"/>
            <family val="2"/>
          </rPr>
          <t>Black, Ian:</t>
        </r>
        <r>
          <rPr>
            <sz val="9"/>
            <color indexed="81"/>
            <rFont val="Tahoma"/>
            <family val="2"/>
          </rPr>
          <t xml:space="preserve">
Includes $15.2mm impairment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T15" authorId="0" shapeId="0" xr:uid="{65DDFDAB-168C-4EE6-9735-9938D8BF2CE4}">
      <text>
        <r>
          <rPr>
            <b/>
            <sz val="9"/>
            <color indexed="81"/>
            <rFont val="Tahoma"/>
            <family val="2"/>
          </rPr>
          <t>Black, Ian:</t>
        </r>
        <r>
          <rPr>
            <sz val="9"/>
            <color indexed="81"/>
            <rFont val="Tahoma"/>
            <family val="2"/>
          </rPr>
          <t xml:space="preserve">
Unoccupied lease charge</t>
        </r>
      </text>
    </comment>
    <comment ref="U15" authorId="0" shapeId="0" xr:uid="{712C7A0F-C28B-492B-AB9A-DB9AA63E41E7}">
      <text>
        <r>
          <rPr>
            <b/>
            <sz val="9"/>
            <color indexed="81"/>
            <rFont val="Tahoma"/>
            <family val="2"/>
          </rPr>
          <t>Black, Ian:</t>
        </r>
        <r>
          <rPr>
            <sz val="9"/>
            <color indexed="81"/>
            <rFont val="Tahoma"/>
            <family val="2"/>
          </rPr>
          <t xml:space="preserve">
Unoccupied lease charge</t>
        </r>
      </text>
    </comment>
    <comment ref="V15" authorId="0" shapeId="0" xr:uid="{8C3EB9A7-0417-44D0-85E4-D724BA75DCD6}">
      <text>
        <r>
          <rPr>
            <b/>
            <sz val="9"/>
            <color indexed="81"/>
            <rFont val="Tahoma"/>
            <family val="2"/>
          </rPr>
          <t>Black, Ian:</t>
        </r>
        <r>
          <rPr>
            <sz val="9"/>
            <color indexed="81"/>
            <rFont val="Tahoma"/>
            <family val="2"/>
          </rPr>
          <t xml:space="preserve">
Remeasurement of contingent consideration</t>
        </r>
      </text>
    </comment>
    <comment ref="AA15" authorId="0" shapeId="0" xr:uid="{433B2958-555F-4796-9B62-429B86E7682F}">
      <text>
        <r>
          <rPr>
            <b/>
            <sz val="9"/>
            <color indexed="81"/>
            <rFont val="Tahoma"/>
            <family val="2"/>
          </rPr>
          <t>Black, Ian:</t>
        </r>
        <r>
          <rPr>
            <sz val="9"/>
            <color indexed="81"/>
            <rFont val="Tahoma"/>
            <family val="2"/>
          </rPr>
          <t xml:space="preserve">
Remeasurement of contingent consideration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Black, Ian</author>
  </authors>
  <commentList>
    <comment ref="AK5" authorId="0" shapeId="0" xr:uid="{7DF1E07B-6503-44C5-9972-F4DE454927CA}">
      <text>
        <r>
          <rPr>
            <b/>
            <sz val="9"/>
            <color indexed="81"/>
            <rFont val="Tahoma"/>
            <family val="2"/>
          </rPr>
          <t>Black, Ian:</t>
        </r>
        <r>
          <rPr>
            <sz val="9"/>
            <color indexed="81"/>
            <rFont val="Tahoma"/>
            <family val="2"/>
          </rPr>
          <t xml:space="preserve">
Restated in FY24 10-K (up from 1,441) but corresponding quarterly results were not updated</t>
        </r>
      </text>
    </comment>
    <comment ref="AP5" authorId="0" shapeId="0" xr:uid="{F0E74E4A-5B1F-4614-87C0-02AACB62DE74}">
      <text>
        <r>
          <rPr>
            <b/>
            <sz val="9"/>
            <color indexed="81"/>
            <rFont val="Tahoma"/>
            <family val="2"/>
          </rPr>
          <t>Black, Ian:</t>
        </r>
        <r>
          <rPr>
            <sz val="9"/>
            <color indexed="81"/>
            <rFont val="Tahoma"/>
            <family val="2"/>
          </rPr>
          <t xml:space="preserve">
Management: "overall customer count grew about 1%</t>
        </r>
      </text>
    </comment>
    <comment ref="AT18" authorId="0" shapeId="0" xr:uid="{F6C8382B-A851-457D-9CAF-7619B7723E0D}">
      <text>
        <r>
          <rPr>
            <b/>
            <sz val="9"/>
            <color indexed="81"/>
            <rFont val="Tahoma"/>
            <family val="2"/>
          </rPr>
          <t>Black, Ian:</t>
        </r>
        <r>
          <rPr>
            <sz val="9"/>
            <color indexed="81"/>
            <rFont val="Tahoma"/>
            <family val="2"/>
          </rPr>
          <t xml:space="preserve">
Given on the call</t>
        </r>
      </text>
    </comment>
    <comment ref="AT20" authorId="0" shapeId="0" xr:uid="{DA8F3351-BB1A-4586-8EC2-42436639B4BB}">
      <text>
        <r>
          <rPr>
            <b/>
            <sz val="9"/>
            <color indexed="81"/>
            <rFont val="Tahoma"/>
            <family val="2"/>
          </rPr>
          <t>Black, Ian:</t>
        </r>
        <r>
          <rPr>
            <sz val="9"/>
            <color indexed="81"/>
            <rFont val="Tahoma"/>
            <family val="2"/>
          </rPr>
          <t xml:space="preserve">
Given on the call</t>
        </r>
      </text>
    </comment>
    <comment ref="B25" authorId="0" shapeId="0" xr:uid="{06FC2E13-3C1F-4081-94D3-4B1C2C28FC77}">
      <text>
        <r>
          <rPr>
            <b/>
            <sz val="9"/>
            <color indexed="81"/>
            <rFont val="Tahoma"/>
            <family val="2"/>
          </rPr>
          <t>Black, Ian:</t>
        </r>
        <r>
          <rPr>
            <sz val="9"/>
            <color indexed="81"/>
            <rFont val="Tahoma"/>
            <family val="2"/>
          </rPr>
          <t xml:space="preserve">
In 10-K, "Dollar based net retention rate"</t>
        </r>
      </text>
    </comment>
  </commentList>
</comments>
</file>

<file path=xl/sharedStrings.xml><?xml version="1.0" encoding="utf-8"?>
<sst xmlns="http://schemas.openxmlformats.org/spreadsheetml/2006/main" count="784" uniqueCount="508">
  <si>
    <t>2014E</t>
  </si>
  <si>
    <t>GAAP Operating Income</t>
  </si>
  <si>
    <t>GAAP Net Income</t>
  </si>
  <si>
    <t>GAAP EPS</t>
  </si>
  <si>
    <t>Adjusted EBITDA</t>
  </si>
  <si>
    <t>FCF</t>
  </si>
  <si>
    <t>Total Current Assets</t>
  </si>
  <si>
    <t>Total Assets</t>
  </si>
  <si>
    <t>Total Current Liabilities</t>
  </si>
  <si>
    <t>Total Liabilities</t>
  </si>
  <si>
    <t>Revenues</t>
  </si>
  <si>
    <t>Net change in cash &amp; cash equivalents</t>
  </si>
  <si>
    <t>ALL FISCAL DATA MUST BE ENTERED IN MILLION (INCLUDING NUMBER OF SHARE)</t>
  </si>
  <si>
    <t>NULL:FISCAL</t>
  </si>
  <si>
    <t xml:space="preserve">ALL PER SHARE DATA MUST BE IN UNIT </t>
  </si>
  <si>
    <t>ADJUSTED:FISCAL</t>
  </si>
  <si>
    <t>DATA MUST BE ENTERED IN THE CURRENCY OF THE COMPANY</t>
  </si>
  <si>
    <t>BASIC:FISCAL</t>
  </si>
  <si>
    <t>Click here to find a list of BlueMatrix Client Codes</t>
  </si>
  <si>
    <t>DILUTED:FISCAL</t>
  </si>
  <si>
    <t>Strong Buy</t>
  </si>
  <si>
    <t>GAAP:FISCAL</t>
  </si>
  <si>
    <t>Buy</t>
  </si>
  <si>
    <t>INDICATED:FISCAL</t>
  </si>
  <si>
    <t>Hold</t>
  </si>
  <si>
    <t>MANAGED:FISCAL</t>
  </si>
  <si>
    <t>Under Perform</t>
  </si>
  <si>
    <t>NON-GAAP:FISCAL</t>
  </si>
  <si>
    <t>Company name</t>
  </si>
  <si>
    <t>Rating Suspended</t>
  </si>
  <si>
    <t>OPERATING:FISCAL</t>
  </si>
  <si>
    <t>Rating</t>
  </si>
  <si>
    <t>RATING</t>
  </si>
  <si>
    <t>Restricted</t>
  </si>
  <si>
    <t>PRIMARY:FISCAL</t>
  </si>
  <si>
    <t>Currency</t>
  </si>
  <si>
    <t>USD</t>
  </si>
  <si>
    <t>Under Review</t>
  </si>
  <si>
    <t>PROFORMA:FISCAL</t>
  </si>
  <si>
    <t>Sell</t>
  </si>
  <si>
    <t>RESTATED:FISCAL</t>
  </si>
  <si>
    <t>12-Month Price Target</t>
  </si>
  <si>
    <t>TARGET_PRICE</t>
  </si>
  <si>
    <t>REVENUE:FISCAL</t>
  </si>
  <si>
    <t>Ticker</t>
  </si>
  <si>
    <t>E</t>
  </si>
  <si>
    <t>A</t>
  </si>
  <si>
    <t>NULL:CALENDAR</t>
  </si>
  <si>
    <t>ADJUSTED:CALENDAR</t>
  </si>
  <si>
    <t>BASIC:CALENDAR</t>
  </si>
  <si>
    <r>
      <t xml:space="preserve">Current  Year </t>
    </r>
    <r>
      <rPr>
        <i/>
        <sz val="12"/>
        <rFont val="Arial"/>
        <family val="2"/>
      </rPr>
      <t>(Matching What Selected From Drop-down Bars - ie. Fiscal or Calendar)</t>
    </r>
  </si>
  <si>
    <t>DILUTED:CALENDAR</t>
  </si>
  <si>
    <r>
      <t xml:space="preserve">Current Base Quarter </t>
    </r>
    <r>
      <rPr>
        <i/>
        <sz val="12"/>
        <rFont val="Arial"/>
        <family val="2"/>
      </rPr>
      <t>(NOT one just reported - One After That)</t>
    </r>
  </si>
  <si>
    <t>Q3</t>
  </si>
  <si>
    <t>GAAP:CALENDAR</t>
  </si>
  <si>
    <t>Q1</t>
  </si>
  <si>
    <t>Q2</t>
  </si>
  <si>
    <t>Q4</t>
  </si>
  <si>
    <t>AN</t>
  </si>
  <si>
    <t>INDICATED:CALENDAR</t>
  </si>
  <si>
    <t>BlueMatrix Time Series Grids</t>
  </si>
  <si>
    <t>MANAGED:CALENDAR</t>
  </si>
  <si>
    <t>Revenue ($M)</t>
  </si>
  <si>
    <t>REVENUE</t>
  </si>
  <si>
    <t>NON-GAAP:CALENDAR</t>
  </si>
  <si>
    <t>OPERATING:CALENDAR</t>
  </si>
  <si>
    <t>EPS</t>
  </si>
  <si>
    <t>PRIMARY:CALENDAR</t>
  </si>
  <si>
    <t>PROFORMA:CALENDAR</t>
  </si>
  <si>
    <t>RESTATED:CALENDAR</t>
  </si>
  <si>
    <t>REVENUE:CALENDAR</t>
  </si>
  <si>
    <t>FFO</t>
  </si>
  <si>
    <t>Net Cash/Debt ($M)</t>
  </si>
  <si>
    <t>NET_CASH_DEBT</t>
  </si>
  <si>
    <t>Operating Margin</t>
  </si>
  <si>
    <t>OP_MARGIN</t>
  </si>
  <si>
    <t>ROIC</t>
  </si>
  <si>
    <t>Calendar Year = Fiscal Year (If yes =0, if less= -1, if more = 1)</t>
  </si>
  <si>
    <t>Fiscal 1Q Ending Month Number</t>
  </si>
  <si>
    <t>Fiscal 2Q Ending Month Number</t>
  </si>
  <si>
    <t>Fiscal 3Q Ending Month Number</t>
  </si>
  <si>
    <t>Fiscal 4Q Ending Month Number</t>
  </si>
  <si>
    <t>Net Margin</t>
  </si>
  <si>
    <t>2015E</t>
  </si>
  <si>
    <t>R&amp;D</t>
  </si>
  <si>
    <t>G&amp;A</t>
  </si>
  <si>
    <t>Cash</t>
  </si>
  <si>
    <t>($000s)</t>
  </si>
  <si>
    <t>2016E</t>
  </si>
  <si>
    <t>2017E</t>
  </si>
  <si>
    <t>2018E</t>
  </si>
  <si>
    <t>Historical Metrics</t>
  </si>
  <si>
    <t>3 Yr</t>
  </si>
  <si>
    <t>Rev growth (yoy)</t>
  </si>
  <si>
    <t>Rev growth rate</t>
  </si>
  <si>
    <t>CF yield</t>
  </si>
  <si>
    <t>CF Ops</t>
  </si>
  <si>
    <t>FCF yield</t>
  </si>
  <si>
    <t>Op Margin</t>
  </si>
  <si>
    <t>CapEx</t>
  </si>
  <si>
    <t>CapEx (% sales)</t>
  </si>
  <si>
    <t>Historical Data</t>
  </si>
  <si>
    <t>Discount Period</t>
  </si>
  <si>
    <t>DCF</t>
  </si>
  <si>
    <t>Op Income</t>
  </si>
  <si>
    <t>Op margin</t>
  </si>
  <si>
    <t>Net Income</t>
  </si>
  <si>
    <t># shares</t>
  </si>
  <si>
    <t># Shares</t>
  </si>
  <si>
    <t>Valuation w/ Discounted Terminal Val</t>
  </si>
  <si>
    <t>EV/Rev</t>
  </si>
  <si>
    <t>EV/Earnings</t>
  </si>
  <si>
    <t>EV/FCF</t>
  </si>
  <si>
    <t>Sum of FCFs</t>
  </si>
  <si>
    <t>Terminal Value (discounted)</t>
  </si>
  <si>
    <t>Value (w/ terminal discount)</t>
  </si>
  <si>
    <t xml:space="preserve">Share Price </t>
  </si>
  <si>
    <t>Multiple (w/ discount)</t>
  </si>
  <si>
    <t>Valuation w/o TV Discount</t>
  </si>
  <si>
    <t>Terminal Value (ex-discount)</t>
  </si>
  <si>
    <t>Value</t>
  </si>
  <si>
    <t>Growth Rate</t>
  </si>
  <si>
    <t>Discount Rate</t>
  </si>
  <si>
    <t>Revenue</t>
  </si>
  <si>
    <t>% change q/q</t>
  </si>
  <si>
    <t>% change y/y</t>
  </si>
  <si>
    <t>Billings</t>
  </si>
  <si>
    <t xml:space="preserve">  Change In Deferred Revenue</t>
  </si>
  <si>
    <t>$ in thousands, except per share data</t>
  </si>
  <si>
    <t>763.350.4027</t>
  </si>
  <si>
    <t>Source: Company Reports and Needham &amp; Company, LLC Estimates</t>
  </si>
  <si>
    <t>Scott Berg, sberg@needhamco.com</t>
  </si>
  <si>
    <t>Cash/Share</t>
  </si>
  <si>
    <t>Net Cash</t>
  </si>
  <si>
    <t>Cash Flow-Operating</t>
  </si>
  <si>
    <t>Deferred Revenue</t>
  </si>
  <si>
    <t>Diluted Shares Outstanding</t>
  </si>
  <si>
    <t>Basic Shares Outstanding</t>
  </si>
  <si>
    <t>Y/Y Growth %</t>
  </si>
  <si>
    <t>Non-GAAP EPS</t>
  </si>
  <si>
    <t>GAAP Net Margin</t>
  </si>
  <si>
    <t>Tax Rate %</t>
  </si>
  <si>
    <t>Income Tax</t>
  </si>
  <si>
    <t>GAAP Pre-Tax Income</t>
  </si>
  <si>
    <t>Non-GAAP Net Margin</t>
  </si>
  <si>
    <t>Non-GAAP Pre-Tax Income</t>
  </si>
  <si>
    <t>EBITDA Margins</t>
  </si>
  <si>
    <t>Total Other Income (Expense)</t>
  </si>
  <si>
    <t>GAAP Operating Margin</t>
  </si>
  <si>
    <t xml:space="preserve">Stock base compensation </t>
  </si>
  <si>
    <t>Other</t>
  </si>
  <si>
    <t>GAAP Adjustments</t>
  </si>
  <si>
    <t>Non-GAAP Operating Margin</t>
  </si>
  <si>
    <t>Non-GAAP Operating Income</t>
  </si>
  <si>
    <t>Total Operating Expense</t>
  </si>
  <si>
    <t>% of Revenue</t>
  </si>
  <si>
    <t>Research &amp; Development</t>
  </si>
  <si>
    <t>Operating Expenses</t>
  </si>
  <si>
    <t xml:space="preserve"> Gross Margin</t>
  </si>
  <si>
    <t>Gross Profit</t>
  </si>
  <si>
    <t>Gross Margins</t>
  </si>
  <si>
    <t>Cost of Revenue</t>
  </si>
  <si>
    <t>Q/Q Growth</t>
  </si>
  <si>
    <t>Y/Y Growth</t>
  </si>
  <si>
    <t>Income Statement</t>
  </si>
  <si>
    <t>Ending cash &amp; cash equivalents</t>
  </si>
  <si>
    <t>Beginning cash &amp; cash equivalents</t>
  </si>
  <si>
    <t>Cash used in Financing Activites</t>
  </si>
  <si>
    <t>Financing Activities</t>
  </si>
  <si>
    <t xml:space="preserve">FCF Margin </t>
  </si>
  <si>
    <t>Free Cash Flow</t>
  </si>
  <si>
    <t>Cash Used in Investing Activites</t>
  </si>
  <si>
    <t>Investing Activites</t>
  </si>
  <si>
    <t>Cash Flow from Operating Activites</t>
  </si>
  <si>
    <t>AR</t>
  </si>
  <si>
    <t>Adjustments to reconcile net cash</t>
  </si>
  <si>
    <t>Operating Activities</t>
  </si>
  <si>
    <t>Balance Sheet</t>
  </si>
  <si>
    <t>Assets:</t>
  </si>
  <si>
    <t>Accounts Receivable</t>
  </si>
  <si>
    <t>Other Assets</t>
  </si>
  <si>
    <t>Liabilities:</t>
  </si>
  <si>
    <t>Shareholders Equity:</t>
  </si>
  <si>
    <t>Total Shareholder Equity</t>
  </si>
  <si>
    <t>Total Liabilities &amp; Shareholders Equity</t>
  </si>
  <si>
    <t>check</t>
  </si>
  <si>
    <t>DSO</t>
  </si>
  <si>
    <t>Deferred Revs</t>
  </si>
  <si>
    <t>% y/y change</t>
  </si>
  <si>
    <t>% q/q change</t>
  </si>
  <si>
    <t xml:space="preserve">Drivers of Revenue % - Assets </t>
  </si>
  <si>
    <t xml:space="preserve">Drivers of Revenue % - Liabilities </t>
  </si>
  <si>
    <t>Variance Analysis</t>
  </si>
  <si>
    <t>Total Operating Expenses</t>
  </si>
  <si>
    <t>GAAP &amp; Non-cash charges</t>
  </si>
  <si>
    <t>Interest &amp; Other Income (Expense)</t>
  </si>
  <si>
    <t xml:space="preserve">Non-GAAP Income before Taxes </t>
  </si>
  <si>
    <t>Non-GAAP Net Income</t>
  </si>
  <si>
    <t xml:space="preserve">GAAP Income before Taxes </t>
  </si>
  <si>
    <t>Source: Company reports and Needham &amp; Co estimates</t>
  </si>
  <si>
    <t>OCF Margins</t>
  </si>
  <si>
    <t>Y/Y Change in LTM Revenes</t>
  </si>
  <si>
    <t>Retention Rate</t>
  </si>
  <si>
    <t>NTM Gross New Revenue Churn</t>
  </si>
  <si>
    <t>Short Term Deferred Revenue</t>
  </si>
  <si>
    <t>LTM S&amp;M</t>
  </si>
  <si>
    <t>Change in Y/Y Short Term Deferred</t>
  </si>
  <si>
    <t>Y/Y Change Short Term Deferred Rev</t>
  </si>
  <si>
    <t>Revenue Run Off</t>
  </si>
  <si>
    <t>Billings Ratio</t>
  </si>
  <si>
    <t>Operating Cash Flow</t>
  </si>
  <si>
    <t>OCF margins</t>
  </si>
  <si>
    <t>FCF Margins</t>
  </si>
  <si>
    <t xml:space="preserve">Net Change in Working Capital </t>
  </si>
  <si>
    <t>NTM Revenue Retention</t>
  </si>
  <si>
    <t>LTM Gross New Suscription Revv</t>
  </si>
  <si>
    <t>Source: Company reports and Needham &amp; Company estimates</t>
  </si>
  <si>
    <t xml:space="preserve">Gross Cash </t>
  </si>
  <si>
    <t>1Q17</t>
  </si>
  <si>
    <t>2Q17</t>
  </si>
  <si>
    <t>3Q17</t>
  </si>
  <si>
    <t>4Q17</t>
  </si>
  <si>
    <t>1Q18</t>
  </si>
  <si>
    <t>2Q18</t>
  </si>
  <si>
    <t>3Q18</t>
  </si>
  <si>
    <t>4Q18</t>
  </si>
  <si>
    <t>CAC Ratio</t>
  </si>
  <si>
    <t>Current Price</t>
  </si>
  <si>
    <t>Price Target</t>
  </si>
  <si>
    <t>Debt</t>
  </si>
  <si>
    <t>2019 Billings</t>
  </si>
  <si>
    <t>1Q19</t>
  </si>
  <si>
    <t>2020 Billings</t>
  </si>
  <si>
    <t>2Q19</t>
  </si>
  <si>
    <t>3Q19</t>
  </si>
  <si>
    <t>4Q19</t>
  </si>
  <si>
    <t>2021 Billings</t>
  </si>
  <si>
    <t>2Q21E</t>
  </si>
  <si>
    <t>3Q21E</t>
  </si>
  <si>
    <t>4Q21E</t>
  </si>
  <si>
    <t>2021E</t>
  </si>
  <si>
    <t>1Q20</t>
  </si>
  <si>
    <t>1Q22E</t>
  </si>
  <si>
    <t>2Q22E</t>
  </si>
  <si>
    <t>3Q22E</t>
  </si>
  <si>
    <t>4Q22E</t>
  </si>
  <si>
    <t>2022E</t>
  </si>
  <si>
    <t>Dep &amp; Amortization</t>
  </si>
  <si>
    <t>Provision for Income Taxes</t>
  </si>
  <si>
    <t>2022 Billings</t>
  </si>
  <si>
    <t>Cash &amp; Cash Equivalents</t>
  </si>
  <si>
    <t>Net loss</t>
  </si>
  <si>
    <t>Stock-based compensation</t>
  </si>
  <si>
    <t>y/y growth</t>
  </si>
  <si>
    <t>FCF Margin</t>
  </si>
  <si>
    <t>1Q23E</t>
  </si>
  <si>
    <t>2Q23E</t>
  </si>
  <si>
    <t>4Q23E</t>
  </si>
  <si>
    <t>2023E</t>
  </si>
  <si>
    <t>2Q20</t>
  </si>
  <si>
    <t>Sales &amp; marketing</t>
  </si>
  <si>
    <t>q/q growth</t>
  </si>
  <si>
    <t>Metrics</t>
  </si>
  <si>
    <t>3Q20</t>
  </si>
  <si>
    <t>Net quartely additions</t>
  </si>
  <si>
    <t>4Q20</t>
  </si>
  <si>
    <t>% Revenue</t>
  </si>
  <si>
    <t>Assumptions / Outputs</t>
  </si>
  <si>
    <t>Valuation and Price Target</t>
  </si>
  <si>
    <t>Financials ($M)</t>
  </si>
  <si>
    <t>Target</t>
  </si>
  <si>
    <t>$ Multiplier</t>
  </si>
  <si>
    <t>Base</t>
  </si>
  <si>
    <t>Non-GAAP Gross Profit</t>
  </si>
  <si>
    <t>Target Price</t>
  </si>
  <si>
    <t>Non-GAAP Op Inc</t>
  </si>
  <si>
    <t>Up / Down to Target</t>
  </si>
  <si>
    <t>Adj. EBITDA</t>
  </si>
  <si>
    <t>Multiple Scenario</t>
  </si>
  <si>
    <t>Multiples</t>
  </si>
  <si>
    <t xml:space="preserve">Bear </t>
  </si>
  <si>
    <t>EV/Revenue</t>
  </si>
  <si>
    <t>EV/Gross Profit</t>
  </si>
  <si>
    <t>Bull</t>
  </si>
  <si>
    <t>EV/Non-GAAP Op Inc</t>
  </si>
  <si>
    <t>EV/Adj. EBITDA</t>
  </si>
  <si>
    <t>Adj. P/E</t>
  </si>
  <si>
    <t>Most Recent Q (Update)</t>
  </si>
  <si>
    <t>Capitalization</t>
  </si>
  <si>
    <t>Shares Outstanding</t>
  </si>
  <si>
    <t>Market Cap</t>
  </si>
  <si>
    <t>EV</t>
  </si>
  <si>
    <t>Total Revenue</t>
  </si>
  <si>
    <t>1Q21</t>
  </si>
  <si>
    <t>Cash Flow Statement</t>
  </si>
  <si>
    <t>GAAP IS</t>
  </si>
  <si>
    <t>GAAP Sales &amp; Marketing</t>
  </si>
  <si>
    <t>GAAP Research &amp; Development</t>
  </si>
  <si>
    <t>GAAP General &amp; Administration</t>
  </si>
  <si>
    <t>GAAP Total Operating Expenses</t>
  </si>
  <si>
    <t>Stock Based Compensation</t>
  </si>
  <si>
    <t>Total Stock Based Compensation</t>
  </si>
  <si>
    <t>Net Interest</t>
  </si>
  <si>
    <t>Provision / (Benefit) for Income Taxes</t>
  </si>
  <si>
    <t>Income Before Taxes</t>
  </si>
  <si>
    <t>Depreciation &amp; Amortization</t>
  </si>
  <si>
    <t>AP</t>
  </si>
  <si>
    <t>Net New Customers</t>
  </si>
  <si>
    <t>SBC - Cost of Goods Sold</t>
  </si>
  <si>
    <t>SBC - Sales &amp; marketing</t>
  </si>
  <si>
    <t>SBC - Research &amp; development</t>
  </si>
  <si>
    <t>SBC - General &amp; administrative</t>
  </si>
  <si>
    <t>Interest and Other Income</t>
  </si>
  <si>
    <t>Interest and Other Expense</t>
  </si>
  <si>
    <t>Depreciation and Amortization</t>
  </si>
  <si>
    <t>Interest and Other, Net</t>
  </si>
  <si>
    <t>Stock-based Compensation</t>
  </si>
  <si>
    <t>GAAP Net Loss</t>
  </si>
  <si>
    <t>EBITDA Reconciliation</t>
  </si>
  <si>
    <t>Refund of Sales and Use Taxes</t>
  </si>
  <si>
    <t>Accounts Receivable, Net</t>
  </si>
  <si>
    <t>Other Current Assets</t>
  </si>
  <si>
    <t>Property and Equipment, Net</t>
  </si>
  <si>
    <t>Operating Lease Right-of-Use Assets</t>
  </si>
  <si>
    <t>Accrued Expenses</t>
  </si>
  <si>
    <t>Accrued Salary and Benefits</t>
  </si>
  <si>
    <t>Current Portion of Revolving Line of Credit</t>
  </si>
  <si>
    <t>Operating Leases</t>
  </si>
  <si>
    <t>Finance Leases</t>
  </si>
  <si>
    <t>Long-term Debt</t>
  </si>
  <si>
    <t>Debt Issuance Costs</t>
  </si>
  <si>
    <t>Operating Lease, Noncurrent</t>
  </si>
  <si>
    <t>Financing Lease, Noncurrent</t>
  </si>
  <si>
    <t>Other Liabilities</t>
  </si>
  <si>
    <t xml:space="preserve">Charge to Allowance for Credit Losses </t>
  </si>
  <si>
    <t>Loss on Disposal of Long-Lived Assets</t>
  </si>
  <si>
    <t>Non-Cash Operating Lease Costs</t>
  </si>
  <si>
    <t>Other current assets</t>
  </si>
  <si>
    <t>Other Long-Term Assets</t>
  </si>
  <si>
    <t>Accrued Expenses and Other</t>
  </si>
  <si>
    <t>Operating Lease Liabilities</t>
  </si>
  <si>
    <t>Proceeds from Exercise of Stock Options</t>
  </si>
  <si>
    <t>Repurchase of Common Stock Related to Net Share Settlement</t>
  </si>
  <si>
    <t>Principal Payments on Finance Lease Obligations</t>
  </si>
  <si>
    <t>Accounts Payable</t>
  </si>
  <si>
    <t>Gross New Billings</t>
  </si>
  <si>
    <t>Net New Billings</t>
  </si>
  <si>
    <t>Annualized Revenue Per Customer</t>
  </si>
  <si>
    <t>Net Dollar Revenue Retention</t>
  </si>
  <si>
    <t>Drivers of Growth: % of Revenue</t>
  </si>
  <si>
    <t>LTM  Revenue</t>
  </si>
  <si>
    <t>N/A</t>
  </si>
  <si>
    <t>2Q21</t>
  </si>
  <si>
    <t>3Q21</t>
  </si>
  <si>
    <t>4Q21</t>
  </si>
  <si>
    <t>Net quarterly increase</t>
  </si>
  <si>
    <t>Net quarterly change</t>
  </si>
  <si>
    <t>FY20</t>
  </si>
  <si>
    <t>Long term model</t>
  </si>
  <si>
    <t>Target Model</t>
  </si>
  <si>
    <t>Gross Margin</t>
  </si>
  <si>
    <t>20%+</t>
  </si>
  <si>
    <t>FY21E</t>
  </si>
  <si>
    <t>73-78%</t>
  </si>
  <si>
    <t>25-30%</t>
  </si>
  <si>
    <t>17-20%</t>
  </si>
  <si>
    <t>8-10%</t>
  </si>
  <si>
    <t>Reports Contained</t>
  </si>
  <si>
    <t>Revenue vs. Operating Margin</t>
  </si>
  <si>
    <t>Long-term Model</t>
  </si>
  <si>
    <t>FY22E</t>
  </si>
  <si>
    <t>FY23E</t>
  </si>
  <si>
    <t>Q/Q Revenue Growth</t>
  </si>
  <si>
    <t>Gross margins vs. Q/Q Revenue growth</t>
  </si>
  <si>
    <t>Customer Count</t>
  </si>
  <si>
    <t>$50k+</t>
  </si>
  <si>
    <t>$100k+</t>
  </si>
  <si>
    <t>$250k</t>
  </si>
  <si>
    <t>$500k</t>
  </si>
  <si>
    <t>$1m</t>
  </si>
  <si>
    <t>$250k+</t>
  </si>
  <si>
    <t>$500k+</t>
  </si>
  <si>
    <t>$1mm+</t>
  </si>
  <si>
    <t>Operating Lease Righ to Use Assets</t>
  </si>
  <si>
    <t>Total Customers</t>
  </si>
  <si>
    <t>ARPU</t>
  </si>
  <si>
    <t>Revenues ($M)</t>
  </si>
  <si>
    <t>OCF Margin</t>
  </si>
  <si>
    <t>Sales and Marketing %</t>
  </si>
  <si>
    <t>Research &amp; Development %</t>
  </si>
  <si>
    <t>General &amp; Administrative %</t>
  </si>
  <si>
    <t>Adj. EBITDA Margin</t>
  </si>
  <si>
    <t>Summary Metrics</t>
  </si>
  <si>
    <t>NA</t>
  </si>
  <si>
    <t>Margin</t>
  </si>
  <si>
    <t>Non-GAAP Operating Income (Loss)</t>
  </si>
  <si>
    <t>Total Non-GAAP Operating Expense</t>
  </si>
  <si>
    <t>LAW</t>
  </si>
  <si>
    <t>Disco</t>
  </si>
  <si>
    <t>Current Market cap</t>
  </si>
  <si>
    <t>Current EV</t>
  </si>
  <si>
    <t>Current EV / Revenue</t>
  </si>
  <si>
    <t>Share Price and Upside Sensitivity</t>
  </si>
  <si>
    <t>Base Scenario for table</t>
  </si>
  <si>
    <t>FY22 / FY23 Revenue Growth</t>
  </si>
  <si>
    <t>EV / Revenue</t>
  </si>
  <si>
    <t>Inputs</t>
  </si>
  <si>
    <t>Base Assumption</t>
  </si>
  <si>
    <t>Current Valuation</t>
  </si>
  <si>
    <t>Growth</t>
  </si>
  <si>
    <t>Latest Fully Diluted Shares</t>
  </si>
  <si>
    <t>Multiple</t>
  </si>
  <si>
    <t>Latest Cash</t>
  </si>
  <si>
    <t>Actual Est.</t>
  </si>
  <si>
    <t>Latest Debt</t>
  </si>
  <si>
    <t>(+) Net Cash</t>
  </si>
  <si>
    <t>Current Mkt. Cap</t>
  </si>
  <si>
    <t>Mkt. Cap</t>
  </si>
  <si>
    <t>Assumed Shares</t>
  </si>
  <si>
    <t>Current EV / 22E Sales</t>
  </si>
  <si>
    <t>Implied Share Price</t>
  </si>
  <si>
    <t>Current EV / 23E Sales</t>
  </si>
  <si>
    <t>This sheet contains FactSet XML data for use with this workbook's =FDS codes.  Modifying the worksheet's contents may damage the workbook's =FDS functionality.</t>
  </si>
  <si>
    <t>FY20A</t>
  </si>
  <si>
    <t>S&amp;M</t>
  </si>
  <si>
    <t>Y/Y Chg.</t>
  </si>
  <si>
    <t>Q/Q Chg.</t>
  </si>
  <si>
    <t>% Delta</t>
  </si>
  <si>
    <t>Current $50 PT is 18x FY22</t>
  </si>
  <si>
    <t>1Q22</t>
  </si>
  <si>
    <t>Intangible assets, net</t>
  </si>
  <si>
    <t>Goodwill</t>
  </si>
  <si>
    <t>Purchases of PPE and capitalized internal-use software</t>
  </si>
  <si>
    <t>Cash paid for acquisitions</t>
  </si>
  <si>
    <t>2Q22</t>
  </si>
  <si>
    <t>3Q22</t>
  </si>
  <si>
    <t>4Q22</t>
  </si>
  <si>
    <t>-</t>
  </si>
  <si>
    <t>Delta</t>
  </si>
  <si>
    <t>Rest of Year
Raise / (Reduce)</t>
  </si>
  <si>
    <t>1Q23</t>
  </si>
  <si>
    <t>2Q23</t>
  </si>
  <si>
    <t>Proceeds from disposal of equipment</t>
  </si>
  <si>
    <t>3Q23</t>
  </si>
  <si>
    <t>Primary law intangible asset, net</t>
  </si>
  <si>
    <t>Purchase of primary law intangible asset</t>
  </si>
  <si>
    <t>4Q23</t>
  </si>
  <si>
    <t>Software Revenue</t>
  </si>
  <si>
    <t>Services Revenue</t>
  </si>
  <si>
    <t>4Q25E</t>
  </si>
  <si>
    <t>1Q24</t>
  </si>
  <si>
    <t>Repurchase of common stock related to share repurchase program</t>
  </si>
  <si>
    <t>Cash Paid for Acquisitions</t>
  </si>
  <si>
    <t>General &amp; Administrative</t>
  </si>
  <si>
    <t>2Q24</t>
  </si>
  <si>
    <t xml:space="preserve">CS DISCO (LAW) </t>
  </si>
  <si>
    <t>3Q24</t>
  </si>
  <si>
    <t>Changes in ST investments</t>
  </si>
  <si>
    <t>4Q24</t>
  </si>
  <si>
    <t>Guidance History</t>
  </si>
  <si>
    <t>FY22</t>
  </si>
  <si>
    <t>FY23</t>
  </si>
  <si>
    <t>FY24</t>
  </si>
  <si>
    <t>FY25E</t>
  </si>
  <si>
    <t>Revenue Growth - Initial Guide</t>
  </si>
  <si>
    <t>Revenue Growth- Actual</t>
  </si>
  <si>
    <t>Adj. EBITDA Margin - Actual</t>
  </si>
  <si>
    <t>Adj. EBITDA Margin - Initial Guide</t>
  </si>
  <si>
    <t xml:space="preserve">   Difference</t>
  </si>
  <si>
    <t>Needham &amp; Company Research</t>
  </si>
  <si>
    <t>Over $1M Revenue Customers</t>
  </si>
  <si>
    <t>Multi-Product Attach Rate</t>
  </si>
  <si>
    <t>Net Revenue Retention</t>
  </si>
  <si>
    <t>1Q26E</t>
  </si>
  <si>
    <t>2Q26E</t>
  </si>
  <si>
    <t>3Q26E</t>
  </si>
  <si>
    <t>4Q26E</t>
  </si>
  <si>
    <t>2026E</t>
  </si>
  <si>
    <t>1Q25</t>
  </si>
  <si>
    <t xml:space="preserve">  Growth</t>
  </si>
  <si>
    <t xml:space="preserve">  Margin</t>
  </si>
  <si>
    <t>2Q25</t>
  </si>
  <si>
    <t>Market Value</t>
  </si>
  <si>
    <t>Cash &amp; Equivalents</t>
  </si>
  <si>
    <t>FY25 Revenue</t>
  </si>
  <si>
    <t>2Q25 Adj. EBITDA Loss</t>
  </si>
  <si>
    <t>60% Revenue Conversion level to reduce Adj. EBITDA Loss to $0</t>
  </si>
  <si>
    <t>2Q Total Revenue</t>
  </si>
  <si>
    <t>Quarterly revenue required to achieve Adj. EBITDA breakeven (2Q total revenue + $4,480k)</t>
  </si>
  <si>
    <t>Current 4Q26 5.8% revenue estimate</t>
  </si>
  <si>
    <t>Manually update Software/Services Result</t>
  </si>
  <si>
    <t>3Q25</t>
  </si>
  <si>
    <t>Insurance Recovery Receivable</t>
  </si>
  <si>
    <t>Accrued legal loss contingency</t>
  </si>
  <si>
    <t>FY26E</t>
  </si>
  <si>
    <t>4Q25</t>
  </si>
  <si>
    <t>TBD</t>
  </si>
  <si>
    <t>FY26 Guidance ($mm)</t>
  </si>
  <si>
    <t>3Q26 Guide</t>
  </si>
  <si>
    <t>FY26 Street Estimate</t>
  </si>
  <si>
    <t>Initial FY26 Guidance</t>
  </si>
  <si>
    <t>Issuance and Repayment of Debt</t>
  </si>
  <si>
    <t>Issuance of Redeemable Convertible Preferred Stock</t>
  </si>
  <si>
    <t>Proceeds from Initial Public Offering, Net</t>
  </si>
  <si>
    <t>Issuance of Common Stock under ESPP, Net</t>
  </si>
  <si>
    <t>Large Customers (&gt;$100K TTM rev)</t>
  </si>
  <si>
    <t>Software Net Revenue Retention</t>
  </si>
  <si>
    <t>EBITDA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</si>
</sst>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5">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quot;$&quot;* #,##0.0_);_(&quot;$&quot;* \(#,##0.0\);_(&quot;$&quot;* &quot;-&quot;??_);_(@_)"/>
    <numFmt numFmtId="166" formatCode="[$-409]mmm\-yy;@"/>
    <numFmt numFmtId="167" formatCode="_(* #,##0_);_(* \(#,##0\);_(* &quot;-&quot;??_);_(@_)"/>
    <numFmt numFmtId="168" formatCode="0.0%"/>
    <numFmt numFmtId="169" formatCode="_(* #,##0.0_);_(* \(#,##0.0\);_(* &quot;-&quot;??_);_(@_)"/>
    <numFmt numFmtId="170" formatCode="0_)"/>
    <numFmt numFmtId="171" formatCode="General_)"/>
    <numFmt numFmtId="172" formatCode="0.0"/>
    <numFmt numFmtId="173" formatCode="&quot;$&quot;#,##0.00"/>
    <numFmt numFmtId="174" formatCode="[$-409]mmmmm;@"/>
    <numFmt numFmtId="175" formatCode="[$€-2]\ #,##0.00"/>
    <numFmt numFmtId="176" formatCode="#,##0.0\ \ \ ;\(#,##0.0\)\ \ "/>
    <numFmt numFmtId="177" formatCode="#,##0.00\ \ ;"/>
    <numFmt numFmtId="178" formatCode="#,##0.\9\5\ \ ;"/>
    <numFmt numFmtId="179" formatCode="#,##0.\9\9\ \ ;"/>
    <numFmt numFmtId="180" formatCode="&quot; CALL FOR DELIVERY APPT: (909) 428-8600               &quot;"/>
    <numFmt numFmtId="181" formatCode="&quot;1-56884-&quot;000\-0"/>
    <numFmt numFmtId="182" formatCode="&quot;1-878058-&quot;00\-0"/>
    <numFmt numFmtId="183" formatCode="m/d"/>
    <numFmt numFmtId="184" formatCode="mm/dd"/>
    <numFmt numFmtId="185" formatCode="mm/yy"/>
    <numFmt numFmtId="186" formatCode="mmm\ \'yy"/>
    <numFmt numFmtId="187" formatCode="&quot;0-87779-&quot;000\-0"/>
    <numFmt numFmtId="188" formatCode="&quot;0-07-88&quot;0000\-0"/>
    <numFmt numFmtId="189" formatCode="&quot; CALL FOR DELIVERY APPT: (203) 928-0847                &quot;"/>
    <numFmt numFmtId="190" formatCode="_(* #,##0.000_);_(* \(#,##0.000\);_(* &quot;-&quot;??_);_(@_)"/>
    <numFmt numFmtId="191" formatCode="0.0%_);\(0.0%\);0.0%_);@_)"/>
    <numFmt numFmtId="192" formatCode="0\ %"/>
    <numFmt numFmtId="193" formatCode="0.0\ %"/>
    <numFmt numFmtId="194" formatCode="0.00\ %"/>
    <numFmt numFmtId="195" formatCode="#,##0.0_);\(#,##0.0\)"/>
    <numFmt numFmtId="196" formatCode="[$-409]h:mm:ss\ AM/PM"/>
    <numFmt numFmtId="197" formatCode="&quot;$&quot;\ #,##0.0_);\(&quot;$&quot;\ #,##0.0\)"/>
    <numFmt numFmtId="198" formatCode="&quot;$&quot;\ #,##0.00_);[Red]\(&quot;$&quot;\ #,##0.00\)"/>
    <numFmt numFmtId="199" formatCode="&quot;$&quot;#,##0.000_);[Red]\(&quot;$&quot;#,##0.000\)"/>
    <numFmt numFmtId="200" formatCode="0.0%;\ \(0.0%\)"/>
    <numFmt numFmtId="201" formatCode="&quot;$&quot;#,##0.0_);\(&quot;$&quot;#,##0.0\)"/>
    <numFmt numFmtId="202" formatCode="0_);\(0\)"/>
    <numFmt numFmtId="203" formatCode="#,##0.000_);\(#,##0.000\)"/>
    <numFmt numFmtId="204" formatCode="#,##0.0\x"/>
    <numFmt numFmtId="205" formatCode=";;;"/>
    <numFmt numFmtId="206" formatCode="m/d/yy"/>
    <numFmt numFmtId="207" formatCode="0.0\x"/>
    <numFmt numFmtId="208" formatCode="0.00\ \ "/>
    <numFmt numFmtId="209" formatCode="0.0\ \x"/>
    <numFmt numFmtId="210" formatCode="#,##0.00_);\(#,##0.00\);_(* &quot;-&quot;_)"/>
    <numFmt numFmtId="211" formatCode="#,##0.0_);\(#,##0.0\);_(* &quot;-&quot;_)"/>
    <numFmt numFmtId="212" formatCode="#,##0.00\x"/>
    <numFmt numFmtId="213" formatCode="0.0_%"/>
    <numFmt numFmtId="214" formatCode="#,##0.000;\(#,##0.000\)"/>
    <numFmt numFmtId="215" formatCode="_(&quot;$&quot;* #,##0.00_);_(&quot;$&quot;* \(#,##0.00\);_(* &quot;-&quot;_);_(@_)"/>
    <numFmt numFmtId="216" formatCode="_(&quot;$&quot;* #,##0.000_);_(&quot;$&quot;* \(#,##0.000\);_(* &quot;-&quot;_);_(@_)"/>
    <numFmt numFmtId="217" formatCode="_(&quot;$&quot;* #,##0.0_);_(&quot;$&quot;* \(#,##0.0\);_(* &quot;-&quot;_);_(@_)"/>
    <numFmt numFmtId="218" formatCode="#,##0_);\(#,##0\);_(* &quot;-&quot;_);_(* &quot;-&quot;_)"/>
    <numFmt numFmtId="219" formatCode="_(###.##%_);\(* &quot;-&quot;_);_(@_)"/>
    <numFmt numFmtId="220" formatCode="&quot;$&quot;#,##0.0_);[Red]\(&quot;$&quot;#,##0.0\)"/>
    <numFmt numFmtId="221" formatCode="#,##0.0"/>
    <numFmt numFmtId="222" formatCode="#,##0.00000000_);[Red]\(#,##0.00000000\)"/>
    <numFmt numFmtId="223" formatCode="#,##0.0000"/>
    <numFmt numFmtId="224" formatCode="#,##0.0;[Red]\(#,##0.0\)"/>
    <numFmt numFmtId="225" formatCode="#\ ##0\ "/>
    <numFmt numFmtId="226" formatCode="_(* #,##0.0_);_(* \(#,##0.0\);_(* &quot;-&quot;_);_(@_)"/>
    <numFmt numFmtId="227" formatCode="0.000_)"/>
    <numFmt numFmtId="228" formatCode="#,##0\ ;\(#,##0.0\)"/>
    <numFmt numFmtId="229" formatCode="0.00_);\(0.00\);0.00"/>
    <numFmt numFmtId="230" formatCode="&quot;$&quot;#,##0\ ;\(&quot;$&quot;#,##0\)"/>
    <numFmt numFmtId="231" formatCode="&quot;$&quot;#,##0.0_);\(&quot;$&quot;#,##0.0\)&quot;MM&quot;"/>
    <numFmt numFmtId="232" formatCode="#,##0,"/>
    <numFmt numFmtId="233" formatCode="#,##0,,"/>
    <numFmt numFmtId="234" formatCode="_([$€-2]* #,##0.00_);_([$€-2]* \(#,##0.00\);_([$€-2]* &quot;-&quot;??_)"/>
    <numFmt numFmtId="235" formatCode="\+\ #\ ??/??;[Red]\ \-\ #\ ??/??"/>
    <numFmt numFmtId="236" formatCode="0.00_);\(0.00\);0.00_)"/>
    <numFmt numFmtId="237" formatCode="_-* #,##0_-;\-* #,##0_-;_-* &quot;-&quot;_-;_-@_-"/>
    <numFmt numFmtId="238" formatCode="_-* #,##0.00_-;\-* #,##0.00_-;_-* &quot;-&quot;??_-;_-@_-"/>
    <numFmt numFmtId="239" formatCode="_-&quot;$&quot;* #,##0_-;\-&quot;$&quot;* #,##0_-;_-&quot;$&quot;* &quot;-&quot;_-;_-@_-"/>
    <numFmt numFmtId="240" formatCode="_-&quot;$&quot;* #,##0.00_-;\-&quot;$&quot;* #,##0.00_-;_-&quot;$&quot;* &quot;-&quot;??_-;_-@_-"/>
    <numFmt numFmtId="241" formatCode="0.00_)"/>
    <numFmt numFmtId="242" formatCode="#,##0.00_);\(#,##0.00\);&quot; --- &quot;"/>
    <numFmt numFmtId="243" formatCode="#,"/>
    <numFmt numFmtId="244" formatCode="0.00\%;\-0.00\%;0.00\%"/>
    <numFmt numFmtId="245" formatCode="0.00;\-0.00;0.00"/>
    <numFmt numFmtId="246" formatCode="0.00\x;\-0.00\x;0.00\x"/>
    <numFmt numFmtId="247" formatCode="##0.00000"/>
    <numFmt numFmtId="248" formatCode="General;\-General;General;"/>
    <numFmt numFmtId="249" formatCode="[$€-2]\ #,##0.00_);[Red]\([$€-2]\ #,##0.00\)"/>
    <numFmt numFmtId="250" formatCode="&quot;$&quot;* #,##0.00"/>
    <numFmt numFmtId="251" formatCode="_(&quot;$&quot;* #,##0_);_(&quot;$&quot;* \(#,##0\);_(&quot;$&quot;* &quot;-&quot;??_);_(* @_)"/>
    <numFmt numFmtId="252" formatCode="_(* #,##0.00_);_(* \(#,##0.00\);_(* &quot;-&quot;??_);_(* @_)"/>
    <numFmt numFmtId="253" formatCode="_._.* #,##0.00_)_%;_._.* \(#,##0.00\)_%"/>
    <numFmt numFmtId="254" formatCode="_._.&quot;$&quot;* #,##0.00_)_%;_._.&quot;$&quot;* \(#,##0.00\)_%"/>
    <numFmt numFmtId="255" formatCode="_._._(* 0_)%;_._.* \(0\)%"/>
    <numFmt numFmtId="256" formatCode="_._._(* 0.00_)%;_._.* \(0.00\)%"/>
    <numFmt numFmtId="257" formatCode="_._.* \(#,##0\)_%;_._.* #,##0_)_%;_._.* 0_)_%;_._.@_)_%"/>
    <numFmt numFmtId="258" formatCode="_._.&quot;$&quot;* \(#,##0\)_%;_._.&quot;$&quot;* #,##0_)_%;_._.&quot;$&quot;* 0_)_%;_._.@_)_%"/>
    <numFmt numFmtId="259" formatCode="[$-409]mmmm\ d\,\ yyyy;@"/>
    <numFmt numFmtId="260" formatCode="&quot;$&quot;#,##0"/>
    <numFmt numFmtId="261" formatCode="0.000%"/>
    <numFmt numFmtId="262" formatCode="&quot;FY'&quot;yy&quot;A&quot;"/>
    <numFmt numFmtId="263" formatCode="&quot;FY'&quot;yy&quot;E&quot;"/>
    <numFmt numFmtId="264" formatCode="0.0\x\ "/>
    <numFmt numFmtId="265" formatCode="#,##0.0_);[Red]\(#,##0.0\)"/>
    <numFmt numFmtId="266" formatCode="0%\ "/>
    <numFmt numFmtId="267" formatCode="0.0%\ "/>
    <numFmt numFmtId="268" formatCode="0.0%_);\(0.0%\)"/>
    <numFmt numFmtId="269" formatCode="_(&quot;$&quot;* #,##0.0_);_(&quot;$&quot;* \(#,##0.0\);_(&quot;$&quot;* &quot;-&quot;?_);_(@_)"/>
    <numFmt numFmtId="270" formatCode="_(&quot;$&quot;* #,##0_);_(&quot;$&quot;* \(#,##0\);_(&quot;$&quot;* &quot;-&quot;?_);_(@_)"/>
  </numFmts>
  <fonts count="282">
    <font>
      <sz val="11"/>
      <color theme="1"/>
      <name val="Cambria"/>
      <family val="2"/>
      <scheme val="minor"/>
    </font>
    <font>
      <sz val="11"/>
      <color theme="1"/>
      <name val="Cambria"/>
      <family val="2"/>
      <scheme val="minor"/>
    </font>
    <font>
      <sz val="10"/>
      <name val="Arial"/>
      <family val="2"/>
    </font>
    <font>
      <b/>
      <sz val="10"/>
      <name val="Arial"/>
      <family val="2"/>
    </font>
    <font>
      <b/>
      <sz val="12"/>
      <name val="Arial"/>
      <family val="2"/>
    </font>
    <font>
      <sz val="8"/>
      <name val="Arial"/>
      <family val="2"/>
    </font>
    <font>
      <i/>
      <sz val="8"/>
      <name val="Arial"/>
      <family val="2"/>
    </font>
    <font>
      <sz val="10"/>
      <color indexed="8"/>
      <name val="Arial"/>
      <family val="2"/>
    </font>
    <font>
      <i/>
      <sz val="8"/>
      <color indexed="8"/>
      <name val="Arial"/>
      <family val="2"/>
    </font>
    <font>
      <sz val="12"/>
      <name val="Arial"/>
      <family val="2"/>
    </font>
    <font>
      <sz val="11"/>
      <color indexed="8"/>
      <name val="Calibri"/>
      <family val="2"/>
    </font>
    <font>
      <b/>
      <sz val="9"/>
      <name val="Arial"/>
      <family val="2"/>
    </font>
    <font>
      <sz val="8"/>
      <color indexed="8"/>
      <name val="Arial"/>
      <family val="2"/>
    </font>
    <font>
      <sz val="10"/>
      <name val="Courier"/>
      <family val="3"/>
    </font>
    <font>
      <u/>
      <sz val="10"/>
      <color indexed="12"/>
      <name val="Arial"/>
      <family val="2"/>
    </font>
    <font>
      <b/>
      <sz val="14"/>
      <name val="Arial"/>
      <family val="2"/>
    </font>
    <font>
      <sz val="12"/>
      <name val="Helv"/>
    </font>
    <font>
      <sz val="10"/>
      <name val="MS Sans Serif"/>
      <family val="2"/>
    </font>
    <font>
      <sz val="8"/>
      <name val="Helvetica"/>
      <family val="2"/>
    </font>
    <font>
      <i/>
      <sz val="12"/>
      <name val="Arial"/>
      <family val="2"/>
    </font>
    <font>
      <i/>
      <sz val="11"/>
      <color theme="1"/>
      <name val="Cambria"/>
      <family val="2"/>
      <scheme val="minor"/>
    </font>
    <font>
      <sz val="9"/>
      <color indexed="0"/>
      <name val="Helvetica"/>
      <family val="2"/>
    </font>
    <font>
      <sz val="10"/>
      <color theme="1"/>
      <name val="Times New Roman"/>
      <family val="2"/>
    </font>
    <font>
      <sz val="8"/>
      <name val="Helv"/>
    </font>
    <font>
      <b/>
      <sz val="8"/>
      <color indexed="8"/>
      <name val="Arial"/>
      <family val="2"/>
    </font>
    <font>
      <sz val="10"/>
      <color theme="1"/>
      <name val="Arial"/>
      <family val="2"/>
    </font>
    <font>
      <sz val="10"/>
      <color rgb="FF0070C0"/>
      <name val="Arial"/>
      <family val="2"/>
    </font>
    <font>
      <sz val="9"/>
      <name val="Arial"/>
      <family val="2"/>
    </font>
    <font>
      <sz val="8"/>
      <name val="Calibri"/>
      <family val="2"/>
    </font>
    <font>
      <u/>
      <sz val="16"/>
      <color indexed="12"/>
      <name val="Calibri"/>
      <family val="2"/>
    </font>
    <font>
      <b/>
      <sz val="12"/>
      <color indexed="9"/>
      <name val="Arial"/>
      <family val="2"/>
    </font>
    <font>
      <sz val="10"/>
      <color indexed="18"/>
      <name val="Arial"/>
      <family val="2"/>
    </font>
    <font>
      <sz val="10"/>
      <color indexed="9"/>
      <name val="Arial"/>
      <family val="2"/>
    </font>
    <font>
      <sz val="12"/>
      <color indexed="9"/>
      <name val="Arial"/>
      <family val="2"/>
    </font>
    <font>
      <b/>
      <sz val="14"/>
      <color indexed="9"/>
      <name val="Arial"/>
      <family val="2"/>
    </font>
    <font>
      <sz val="12"/>
      <color indexed="8"/>
      <name val="Arial"/>
      <family val="2"/>
    </font>
    <font>
      <sz val="11"/>
      <color indexed="8"/>
      <name val="Arial"/>
      <family val="2"/>
    </font>
    <font>
      <b/>
      <sz val="12"/>
      <color indexed="10"/>
      <name val="Arial"/>
      <family val="2"/>
    </font>
    <font>
      <b/>
      <sz val="11"/>
      <color theme="1"/>
      <name val="Cambria"/>
      <family val="2"/>
      <scheme val="minor"/>
    </font>
    <font>
      <sz val="11"/>
      <name val="Cambria"/>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Helv"/>
    </font>
    <font>
      <sz val="9"/>
      <name val="Helv"/>
    </font>
    <font>
      <b/>
      <sz val="9"/>
      <color indexed="12"/>
      <name val="Helv"/>
    </font>
    <font>
      <b/>
      <sz val="11"/>
      <color indexed="51"/>
      <name val="Calibri"/>
      <family val="2"/>
    </font>
    <font>
      <b/>
      <sz val="10"/>
      <name val="Helv"/>
    </font>
    <font>
      <b/>
      <sz val="15"/>
      <color indexed="61"/>
      <name val="Calibri"/>
      <family val="2"/>
    </font>
    <font>
      <b/>
      <sz val="13"/>
      <color indexed="61"/>
      <name val="Calibri"/>
      <family val="2"/>
    </font>
    <font>
      <b/>
      <sz val="11"/>
      <color indexed="61"/>
      <name val="Calibri"/>
      <family val="2"/>
    </font>
    <font>
      <sz val="11"/>
      <color indexed="61"/>
      <name val="Calibri"/>
      <family val="2"/>
    </font>
    <font>
      <sz val="11"/>
      <color indexed="51"/>
      <name val="Calibri"/>
      <family val="2"/>
    </font>
    <font>
      <sz val="11"/>
      <color indexed="59"/>
      <name val="Calibri"/>
      <family val="2"/>
    </font>
    <font>
      <b/>
      <sz val="11"/>
      <color indexed="62"/>
      <name val="Calibri"/>
      <family val="2"/>
    </font>
    <font>
      <b/>
      <sz val="10"/>
      <name val="MS Sans Serif"/>
      <family val="2"/>
    </font>
    <font>
      <b/>
      <sz val="9"/>
      <color indexed="10"/>
      <name val="Helv"/>
    </font>
    <font>
      <b/>
      <sz val="18"/>
      <color indexed="61"/>
      <name val="Cambria"/>
      <family val="2"/>
    </font>
    <font>
      <sz val="11"/>
      <color theme="3"/>
      <name val="Cambria"/>
      <family val="2"/>
      <scheme val="minor"/>
    </font>
    <font>
      <sz val="10"/>
      <color theme="1"/>
      <name val="Cambria"/>
      <family val="2"/>
      <scheme val="minor"/>
    </font>
    <font>
      <i/>
      <sz val="9"/>
      <name val="Arial"/>
      <family val="2"/>
    </font>
    <font>
      <sz val="9"/>
      <color theme="1"/>
      <name val="Arial"/>
      <family val="2"/>
    </font>
    <font>
      <i/>
      <sz val="8"/>
      <color theme="1"/>
      <name val="Cambria"/>
      <family val="2"/>
      <scheme val="minor"/>
    </font>
    <font>
      <i/>
      <sz val="8"/>
      <color theme="1"/>
      <name val="Arial"/>
      <family val="2"/>
    </font>
    <font>
      <b/>
      <sz val="10"/>
      <color theme="1"/>
      <name val="Cambria"/>
      <family val="2"/>
      <scheme val="minor"/>
    </font>
    <font>
      <b/>
      <sz val="10"/>
      <color theme="1"/>
      <name val="Arial"/>
      <family val="2"/>
    </font>
    <font>
      <b/>
      <sz val="10"/>
      <color theme="0"/>
      <name val="Arial"/>
      <family val="2"/>
    </font>
    <font>
      <b/>
      <sz val="12"/>
      <color theme="1"/>
      <name val="Arial"/>
      <family val="2"/>
    </font>
    <font>
      <b/>
      <u val="singleAccounting"/>
      <sz val="8"/>
      <color indexed="8"/>
      <name val="Arial"/>
      <family val="2"/>
    </font>
    <font>
      <sz val="8"/>
      <color indexed="12"/>
      <name val="Arial Narrow"/>
      <family val="2"/>
    </font>
    <font>
      <sz val="9"/>
      <color indexed="28"/>
      <name val="Arial"/>
      <family val="2"/>
    </font>
    <font>
      <sz val="1"/>
      <color indexed="9"/>
      <name val="Symbol"/>
      <family val="1"/>
    </font>
    <font>
      <sz val="1"/>
      <color indexed="9"/>
      <name val="Symbol"/>
      <family val="1"/>
      <charset val="2"/>
    </font>
    <font>
      <b/>
      <u val="singleAccounting"/>
      <sz val="8"/>
      <color indexed="8"/>
      <name val="Verdana"/>
      <family val="2"/>
    </font>
    <font>
      <b/>
      <sz val="10"/>
      <color indexed="9"/>
      <name val="Arial"/>
      <family val="2"/>
    </font>
    <font>
      <b/>
      <sz val="12"/>
      <color indexed="8"/>
      <name val="Verdana"/>
      <family val="2"/>
    </font>
    <font>
      <sz val="10"/>
      <color indexed="8"/>
      <name val="Helv"/>
      <family val="2"/>
    </font>
    <font>
      <sz val="10"/>
      <color indexed="8"/>
      <name val="Helvetica"/>
      <family val="2"/>
    </font>
    <font>
      <b/>
      <sz val="8"/>
      <color indexed="9"/>
      <name val="Verdana"/>
      <family val="2"/>
    </font>
    <font>
      <vertAlign val="subscript"/>
      <sz val="8"/>
      <color indexed="8"/>
      <name val="Arial"/>
      <family val="2"/>
    </font>
    <font>
      <vertAlign val="superscript"/>
      <sz val="8"/>
      <color indexed="8"/>
      <name val="Arial"/>
      <family val="2"/>
    </font>
    <font>
      <b/>
      <sz val="13"/>
      <color indexed="8"/>
      <name val="Verdana"/>
      <family val="2"/>
    </font>
    <font>
      <b/>
      <u/>
      <sz val="10"/>
      <color theme="1"/>
      <name val="Arial"/>
      <family val="2"/>
    </font>
    <font>
      <sz val="10"/>
      <color rgb="FFFF0000"/>
      <name val="Arial"/>
      <family val="2"/>
    </font>
    <font>
      <b/>
      <sz val="12"/>
      <name val="Times New Roman"/>
      <family val="1"/>
    </font>
    <font>
      <b/>
      <sz val="9"/>
      <name val="Times New Roman"/>
      <family val="1"/>
    </font>
    <font>
      <sz val="9"/>
      <name val="Times New Roman"/>
      <family val="1"/>
    </font>
    <font>
      <sz val="8"/>
      <name val="Times New Roman"/>
      <family val="1"/>
    </font>
    <font>
      <b/>
      <sz val="8"/>
      <color indexed="8"/>
      <name val="Times New Roman"/>
      <family val="1"/>
    </font>
    <font>
      <i/>
      <sz val="8"/>
      <name val="Times New Roman"/>
      <family val="1"/>
    </font>
    <font>
      <sz val="10"/>
      <color indexed="8"/>
      <name val="Times New Roman"/>
      <family val="1"/>
    </font>
    <font>
      <sz val="10"/>
      <name val="Times New Roman"/>
      <family val="1"/>
    </font>
    <font>
      <b/>
      <sz val="10"/>
      <color indexed="8"/>
      <name val="Times New Roman"/>
      <family val="1"/>
    </font>
    <font>
      <b/>
      <sz val="10"/>
      <name val="Times New Roman"/>
      <family val="1"/>
    </font>
    <font>
      <sz val="10"/>
      <name val="Arial"/>
      <family val="2"/>
    </font>
    <font>
      <sz val="7"/>
      <color indexed="10"/>
      <name val="Arial"/>
      <family val="2"/>
    </font>
    <font>
      <sz val="10"/>
      <color indexed="12"/>
      <name val="Arial"/>
      <family val="2"/>
    </font>
    <font>
      <b/>
      <sz val="8"/>
      <name val="Arial"/>
      <family val="2"/>
    </font>
    <font>
      <sz val="8"/>
      <color indexed="10"/>
      <name val="Arial"/>
      <family val="2"/>
    </font>
    <font>
      <sz val="11"/>
      <color indexed="9"/>
      <name val="Arial"/>
      <family val="2"/>
    </font>
    <font>
      <sz val="11"/>
      <color indexed="20"/>
      <name val="Arial"/>
      <family val="2"/>
    </font>
    <font>
      <b/>
      <sz val="11"/>
      <color indexed="52"/>
      <name val="Arial"/>
      <family val="2"/>
    </font>
    <font>
      <b/>
      <sz val="11"/>
      <color indexed="9"/>
      <name val="Arial"/>
      <family val="2"/>
    </font>
    <font>
      <i/>
      <sz val="11"/>
      <color indexed="23"/>
      <name val="Arial"/>
      <family val="2"/>
    </font>
    <font>
      <sz val="11"/>
      <color indexed="17"/>
      <name val="Arial"/>
      <family val="2"/>
    </font>
    <font>
      <b/>
      <sz val="15"/>
      <color indexed="56"/>
      <name val="Arial"/>
      <family val="2"/>
    </font>
    <font>
      <b/>
      <sz val="13"/>
      <color indexed="56"/>
      <name val="Arial"/>
      <family val="2"/>
    </font>
    <font>
      <b/>
      <sz val="11"/>
      <color indexed="56"/>
      <name val="Arial"/>
      <family val="2"/>
    </font>
    <font>
      <sz val="11"/>
      <color indexed="62"/>
      <name val="Arial"/>
      <family val="2"/>
    </font>
    <font>
      <sz val="11"/>
      <color indexed="52"/>
      <name val="Arial"/>
      <family val="2"/>
    </font>
    <font>
      <sz val="11"/>
      <color indexed="60"/>
      <name val="Arial"/>
      <family val="2"/>
    </font>
    <font>
      <b/>
      <sz val="11"/>
      <color indexed="63"/>
      <name val="Arial"/>
      <family val="2"/>
    </font>
    <font>
      <sz val="8"/>
      <name val="Times"/>
      <family val="1"/>
    </font>
    <font>
      <b/>
      <sz val="11"/>
      <color indexed="8"/>
      <name val="Arial"/>
      <family val="2"/>
    </font>
    <font>
      <sz val="11"/>
      <color indexed="10"/>
      <name val="Arial"/>
      <family val="2"/>
    </font>
    <font>
      <sz val="10"/>
      <name val="Arial Narrow"/>
      <family val="2"/>
    </font>
    <font>
      <sz val="10"/>
      <name val="GillSans"/>
    </font>
    <font>
      <sz val="10"/>
      <name val="Baskerville MT"/>
    </font>
    <font>
      <sz val="10"/>
      <name val="Century Schoolbook"/>
      <family val="1"/>
    </font>
    <font>
      <sz val="10"/>
      <name val="Geneva"/>
    </font>
    <font>
      <sz val="12"/>
      <name val="Times New Roman"/>
      <family val="1"/>
    </font>
    <font>
      <sz val="10"/>
      <color indexed="8"/>
      <name val="Trebuchet MS"/>
      <family val="2"/>
    </font>
    <font>
      <sz val="8"/>
      <color indexed="8"/>
      <name val="Times New Roman"/>
      <family val="1"/>
    </font>
    <font>
      <sz val="8"/>
      <color indexed="14"/>
      <name val="Times New Roman"/>
      <family val="1"/>
    </font>
    <font>
      <sz val="12"/>
      <name val="Weiss"/>
    </font>
    <font>
      <sz val="8"/>
      <color indexed="12"/>
      <name val="Tms Rmn"/>
    </font>
    <font>
      <b/>
      <i/>
      <sz val="12"/>
      <name val="Times New Roman"/>
      <family val="1"/>
    </font>
    <font>
      <sz val="8"/>
      <color indexed="12"/>
      <name val="Times New Roman"/>
      <family val="1"/>
    </font>
    <font>
      <b/>
      <sz val="14"/>
      <name val="Book Antiqua"/>
      <family val="1"/>
    </font>
    <font>
      <sz val="10"/>
      <name val="Book Antiqua"/>
      <family val="1"/>
    </font>
    <font>
      <sz val="10"/>
      <name val="Palatino"/>
      <family val="1"/>
    </font>
    <font>
      <sz val="10"/>
      <name val="Palatino"/>
    </font>
    <font>
      <sz val="10"/>
      <color indexed="12"/>
      <name val="Arial Narrow"/>
      <family val="2"/>
    </font>
    <font>
      <b/>
      <sz val="10"/>
      <color indexed="18"/>
      <name val="Arial"/>
      <family val="2"/>
    </font>
    <font>
      <b/>
      <sz val="8"/>
      <name val="Palatino"/>
      <family val="1"/>
    </font>
    <font>
      <b/>
      <sz val="10"/>
      <name val="Palatino"/>
      <family val="1"/>
    </font>
    <font>
      <sz val="8"/>
      <name val="Book Antiqua"/>
      <family val="1"/>
    </font>
    <font>
      <i/>
      <sz val="7"/>
      <name val="Book Antiqua"/>
      <family val="1"/>
    </font>
    <font>
      <b/>
      <i/>
      <sz val="16"/>
      <name val="Helv"/>
    </font>
    <font>
      <sz val="8"/>
      <color indexed="72"/>
      <name val="Arial"/>
      <family val="2"/>
    </font>
    <font>
      <u/>
      <sz val="8"/>
      <name val="Book Antiqua"/>
      <family val="1"/>
    </font>
    <font>
      <u/>
      <sz val="10"/>
      <name val="GillSans"/>
      <family val="2"/>
    </font>
    <font>
      <sz val="7"/>
      <color indexed="12"/>
      <name val="Arial"/>
      <family val="2"/>
    </font>
    <font>
      <sz val="8"/>
      <color indexed="39"/>
      <name val="Arial"/>
      <family val="2"/>
    </font>
    <font>
      <b/>
      <sz val="12"/>
      <name val="GillSans"/>
      <family val="2"/>
    </font>
    <font>
      <b/>
      <u/>
      <sz val="14"/>
      <name val="Book Antiqua"/>
      <family val="1"/>
    </font>
    <font>
      <b/>
      <sz val="10"/>
      <name val="Book Antiqua"/>
      <family val="1"/>
    </font>
    <font>
      <u/>
      <sz val="11"/>
      <name val="GillSans"/>
      <family val="2"/>
    </font>
    <font>
      <i/>
      <sz val="10"/>
      <name val="Times New Roman"/>
      <family val="1"/>
    </font>
    <font>
      <b/>
      <sz val="7"/>
      <color indexed="12"/>
      <name val="Arial"/>
      <family val="2"/>
    </font>
    <font>
      <b/>
      <sz val="12"/>
      <color indexed="17"/>
      <name val="MS Sans Serif"/>
      <family val="2"/>
    </font>
    <font>
      <b/>
      <u/>
      <sz val="10"/>
      <name val="Book Antiqua"/>
      <family val="1"/>
    </font>
    <font>
      <b/>
      <sz val="18"/>
      <color theme="3"/>
      <name val="Cambria"/>
      <family val="2"/>
      <scheme val="major"/>
    </font>
    <font>
      <b/>
      <sz val="15"/>
      <color theme="3"/>
      <name val="Cambria"/>
      <family val="2"/>
      <scheme val="minor"/>
    </font>
    <font>
      <b/>
      <sz val="13"/>
      <color theme="3"/>
      <name val="Cambria"/>
      <family val="2"/>
      <scheme val="minor"/>
    </font>
    <font>
      <b/>
      <sz val="11"/>
      <color theme="3"/>
      <name val="Cambria"/>
      <family val="2"/>
      <scheme val="minor"/>
    </font>
    <font>
      <sz val="11"/>
      <color rgb="FF006100"/>
      <name val="Cambria"/>
      <family val="2"/>
      <scheme val="minor"/>
    </font>
    <font>
      <sz val="11"/>
      <color rgb="FF9C0006"/>
      <name val="Cambria"/>
      <family val="2"/>
      <scheme val="minor"/>
    </font>
    <font>
      <sz val="11"/>
      <color rgb="FF9C6500"/>
      <name val="Cambria"/>
      <family val="2"/>
      <scheme val="minor"/>
    </font>
    <font>
      <sz val="11"/>
      <color rgb="FF3F3F76"/>
      <name val="Cambria"/>
      <family val="2"/>
      <scheme val="minor"/>
    </font>
    <font>
      <b/>
      <sz val="11"/>
      <color rgb="FF3F3F3F"/>
      <name val="Cambria"/>
      <family val="2"/>
      <scheme val="minor"/>
    </font>
    <font>
      <b/>
      <sz val="11"/>
      <color rgb="FFFA7D00"/>
      <name val="Cambria"/>
      <family val="2"/>
      <scheme val="minor"/>
    </font>
    <font>
      <sz val="11"/>
      <color rgb="FFFA7D00"/>
      <name val="Cambria"/>
      <family val="2"/>
      <scheme val="minor"/>
    </font>
    <font>
      <b/>
      <sz val="11"/>
      <color theme="0"/>
      <name val="Cambria"/>
      <family val="2"/>
      <scheme val="minor"/>
    </font>
    <font>
      <sz val="11"/>
      <color rgb="FFFF0000"/>
      <name val="Cambria"/>
      <family val="2"/>
      <scheme val="minor"/>
    </font>
    <font>
      <i/>
      <sz val="11"/>
      <color rgb="FF7F7F7F"/>
      <name val="Cambria"/>
      <family val="2"/>
      <scheme val="minor"/>
    </font>
    <font>
      <sz val="11"/>
      <color theme="0"/>
      <name val="Cambria"/>
      <family val="2"/>
      <scheme val="minor"/>
    </font>
    <font>
      <sz val="10.5"/>
      <color theme="1"/>
      <name val="Frutiger 45 Light"/>
      <family val="2"/>
    </font>
    <font>
      <sz val="10"/>
      <name val="Frutiger 45 Light"/>
      <family val="2"/>
    </font>
    <font>
      <i/>
      <sz val="11"/>
      <name val="Helvetica-Black"/>
      <family val="2"/>
    </font>
    <font>
      <sz val="10"/>
      <name val="Geneva"/>
      <family val="2"/>
    </font>
    <font>
      <b/>
      <sz val="18"/>
      <color indexed="24"/>
      <name val="Arial"/>
      <family val="2"/>
    </font>
    <font>
      <b/>
      <sz val="9"/>
      <name val="Helvetica 65"/>
      <family val="2"/>
    </font>
    <font>
      <b/>
      <sz val="8"/>
      <name val="Times New Roman"/>
      <family val="1"/>
    </font>
    <font>
      <sz val="8"/>
      <color indexed="12"/>
      <name val="Tms Rmn"/>
      <family val="1"/>
    </font>
    <font>
      <b/>
      <sz val="8"/>
      <color indexed="12"/>
      <name val="Times New Roman"/>
      <family val="1"/>
    </font>
    <font>
      <b/>
      <sz val="10"/>
      <color indexed="12"/>
      <name val="Arial"/>
      <family val="2"/>
    </font>
    <font>
      <sz val="7"/>
      <name val="Times New Roman"/>
      <family val="1"/>
    </font>
    <font>
      <sz val="10"/>
      <color indexed="18"/>
      <name val="Times New Roman"/>
      <family val="1"/>
    </font>
    <font>
      <sz val="11"/>
      <name val="Tms Rmn"/>
    </font>
    <font>
      <sz val="24"/>
      <name val="MS Sans Serif"/>
      <family val="2"/>
    </font>
    <font>
      <b/>
      <sz val="14"/>
      <name val="Tms Rmn"/>
    </font>
    <font>
      <sz val="9"/>
      <name val="Helvetica 45"/>
    </font>
    <font>
      <sz val="11"/>
      <name val="Book Antiqua"/>
      <family val="1"/>
    </font>
    <font>
      <sz val="1"/>
      <color indexed="8"/>
      <name val="Courier"/>
      <family val="3"/>
    </font>
    <font>
      <i/>
      <sz val="8"/>
      <color indexed="12"/>
      <name val="Times New Roman"/>
      <family val="1"/>
    </font>
    <font>
      <sz val="11"/>
      <name val="Times New Roman"/>
      <family val="1"/>
    </font>
    <font>
      <sz val="11"/>
      <color indexed="19"/>
      <name val="Calibri"/>
      <family val="2"/>
    </font>
    <font>
      <sz val="10.5"/>
      <name val="Frutiger 45 Light"/>
      <family val="2"/>
    </font>
    <font>
      <i/>
      <sz val="10"/>
      <name val="Arial"/>
      <family val="2"/>
    </font>
    <font>
      <b/>
      <sz val="1"/>
      <color indexed="8"/>
      <name val="Courier"/>
      <family val="3"/>
    </font>
    <font>
      <b/>
      <sz val="8"/>
      <color indexed="10"/>
      <name val="Times New Roman"/>
      <family val="1"/>
    </font>
    <font>
      <sz val="10"/>
      <color indexed="23"/>
      <name val="MS Sans Serif"/>
      <family val="2"/>
    </font>
    <font>
      <b/>
      <sz val="12"/>
      <name val="MS Sans Serif"/>
      <family val="2"/>
    </font>
    <font>
      <b/>
      <sz val="9"/>
      <color indexed="12"/>
      <name val="Times New Roman"/>
      <family val="1"/>
    </font>
    <font>
      <u/>
      <sz val="8"/>
      <name val="Times New Roman"/>
      <family val="1"/>
    </font>
    <font>
      <b/>
      <sz val="13"/>
      <name val="Arial"/>
      <family val="2"/>
    </font>
    <font>
      <b/>
      <sz val="7"/>
      <name val="Arial"/>
      <family val="2"/>
    </font>
    <font>
      <sz val="12"/>
      <color theme="1"/>
      <name val="Cambria"/>
      <family val="2"/>
      <charset val="134"/>
      <scheme val="minor"/>
    </font>
    <font>
      <sz val="12"/>
      <color theme="1"/>
      <name val="Cambria"/>
      <family val="2"/>
      <scheme val="minor"/>
    </font>
    <font>
      <u/>
      <sz val="11"/>
      <color theme="10"/>
      <name val="Cambria"/>
      <family val="2"/>
      <scheme val="minor"/>
    </font>
    <font>
      <u/>
      <sz val="11"/>
      <color theme="10"/>
      <name val="Calibri"/>
      <family val="2"/>
    </font>
    <font>
      <sz val="11"/>
      <color theme="1"/>
      <name val="Book Antiqua"/>
      <family val="2"/>
    </font>
    <font>
      <sz val="10"/>
      <name val="Verdana"/>
      <family val="2"/>
    </font>
    <font>
      <u val="singleAccounting"/>
      <sz val="11"/>
      <name val="Times New Roman"/>
      <family val="1"/>
    </font>
    <font>
      <b/>
      <sz val="9"/>
      <color indexed="0"/>
      <name val="Arial"/>
      <family val="2"/>
    </font>
    <font>
      <sz val="9"/>
      <color indexed="0"/>
      <name val="Arial"/>
      <family val="2"/>
    </font>
    <font>
      <sz val="11"/>
      <color indexed="12"/>
      <name val="Times New Roman"/>
      <family val="1"/>
    </font>
    <font>
      <sz val="10"/>
      <color theme="1"/>
      <name val="Georgia"/>
      <family val="2"/>
    </font>
    <font>
      <i/>
      <sz val="9"/>
      <color theme="1"/>
      <name val="Cambria"/>
      <family val="1"/>
      <scheme val="minor"/>
    </font>
    <font>
      <b/>
      <sz val="11"/>
      <color theme="1"/>
      <name val="Cambria"/>
      <family val="1"/>
      <scheme val="minor"/>
    </font>
    <font>
      <sz val="9"/>
      <color theme="1"/>
      <name val="Cambria"/>
      <family val="2"/>
      <scheme val="minor"/>
    </font>
    <font>
      <sz val="11"/>
      <color theme="1"/>
      <name val="Cambria"/>
      <family val="1"/>
      <scheme val="minor"/>
    </font>
    <font>
      <sz val="12"/>
      <color rgb="FF162020"/>
      <name val="Segoe UI"/>
      <family val="2"/>
    </font>
    <font>
      <b/>
      <sz val="9"/>
      <color theme="1"/>
      <name val="Arial"/>
      <family val="2"/>
    </font>
    <font>
      <sz val="10"/>
      <color rgb="FF000000"/>
      <name val="Arial"/>
      <family val="2"/>
    </font>
    <font>
      <sz val="11"/>
      <color theme="1"/>
      <name val="Calibri"/>
      <family val="2"/>
    </font>
    <font>
      <sz val="18"/>
      <name val="Arial"/>
      <family val="2"/>
    </font>
    <font>
      <sz val="14"/>
      <name val="Arial"/>
      <family val="2"/>
    </font>
    <font>
      <i/>
      <sz val="8.5"/>
      <color theme="1"/>
      <name val="Arial"/>
      <family val="2"/>
    </font>
    <font>
      <i/>
      <sz val="8.5"/>
      <name val="Arial"/>
      <family val="2"/>
    </font>
    <font>
      <i/>
      <sz val="8.5"/>
      <color theme="1"/>
      <name val="Cambria"/>
      <family val="2"/>
      <scheme val="minor"/>
    </font>
    <font>
      <b/>
      <i/>
      <sz val="8.5"/>
      <color theme="1"/>
      <name val="Arial"/>
      <family val="2"/>
    </font>
    <font>
      <b/>
      <sz val="11"/>
      <color theme="0"/>
      <name val="Calibri"/>
      <family val="2"/>
    </font>
    <font>
      <sz val="11"/>
      <color theme="0"/>
      <name val="Calibri"/>
      <family val="2"/>
    </font>
    <font>
      <sz val="11"/>
      <color rgb="FF0000FF"/>
      <name val="Calibri"/>
      <family val="2"/>
    </font>
    <font>
      <b/>
      <sz val="11"/>
      <color theme="1"/>
      <name val="Calibri"/>
      <family val="2"/>
    </font>
    <font>
      <sz val="11"/>
      <color rgb="FF000000"/>
      <name val="Calibri"/>
      <family val="2"/>
    </font>
    <font>
      <b/>
      <sz val="11"/>
      <color rgb="FF000000"/>
      <name val="Calibri"/>
      <family val="2"/>
    </font>
    <font>
      <sz val="11"/>
      <color rgb="FF00B050"/>
      <name val="Calibri"/>
      <family val="2"/>
    </font>
    <font>
      <b/>
      <i/>
      <sz val="9"/>
      <color indexed="8"/>
      <name val="Arial"/>
      <family val="2"/>
    </font>
    <font>
      <b/>
      <sz val="9"/>
      <color indexed="8"/>
      <name val="Arial"/>
      <family val="2"/>
    </font>
    <font>
      <i/>
      <sz val="9"/>
      <color indexed="8"/>
      <name val="Arial"/>
      <family val="2"/>
    </font>
    <font>
      <sz val="9"/>
      <color indexed="8"/>
      <name val="Arial"/>
      <family val="2"/>
    </font>
    <font>
      <b/>
      <i/>
      <sz val="8"/>
      <color indexed="8"/>
      <name val="Arial"/>
      <family val="2"/>
    </font>
    <font>
      <b/>
      <i/>
      <sz val="8"/>
      <name val="Arial"/>
      <family val="2"/>
    </font>
    <font>
      <sz val="11"/>
      <color theme="1"/>
      <name val="Arial"/>
      <family val="2"/>
    </font>
    <font>
      <b/>
      <i/>
      <sz val="9"/>
      <name val="Arial"/>
      <family val="2"/>
    </font>
    <font>
      <u/>
      <sz val="9"/>
      <name val="Arial"/>
      <family val="2"/>
    </font>
    <font>
      <b/>
      <sz val="9"/>
      <color theme="0"/>
      <name val="Arial"/>
      <family val="2"/>
    </font>
    <font>
      <i/>
      <sz val="9"/>
      <color indexed="10"/>
      <name val="Arial"/>
      <family val="2"/>
    </font>
    <font>
      <i/>
      <sz val="11"/>
      <color theme="1"/>
      <name val="Arial"/>
      <family val="2"/>
    </font>
    <font>
      <i/>
      <sz val="8.5"/>
      <color indexed="8"/>
      <name val="Arial"/>
      <family val="2"/>
    </font>
    <font>
      <sz val="10"/>
      <color rgb="FF0000FF"/>
      <name val="Arial"/>
      <family val="2"/>
    </font>
    <font>
      <sz val="8.5"/>
      <color theme="1"/>
      <name val="Arial"/>
      <family val="2"/>
    </font>
    <font>
      <sz val="8"/>
      <color theme="1"/>
      <name val="Arial"/>
      <family val="2"/>
    </font>
    <font>
      <i/>
      <sz val="8.5"/>
      <color rgb="FF0000FF"/>
      <name val="Arial"/>
      <family val="2"/>
    </font>
    <font>
      <sz val="9"/>
      <color rgb="FF0000FF"/>
      <name val="Arial"/>
      <family val="2"/>
    </font>
    <font>
      <i/>
      <sz val="10"/>
      <color theme="1"/>
      <name val="Arial"/>
      <family val="2"/>
    </font>
    <font>
      <i/>
      <sz val="8.5"/>
      <color rgb="FF000000"/>
      <name val="Arial"/>
      <family val="2"/>
    </font>
    <font>
      <sz val="10"/>
      <color rgb="FF0156FF"/>
      <name val="Arial"/>
      <family val="2"/>
    </font>
    <font>
      <sz val="10"/>
      <name val="Aril"/>
    </font>
    <font>
      <b/>
      <sz val="10"/>
      <name val="Aril"/>
    </font>
    <font>
      <sz val="11"/>
      <color theme="1"/>
      <name val="Aril"/>
    </font>
    <font>
      <i/>
      <sz val="9"/>
      <color theme="1"/>
      <name val="Arial"/>
      <family val="2"/>
    </font>
    <font>
      <sz val="10"/>
      <color theme="0"/>
      <name val="Arial"/>
      <family val="2"/>
    </font>
    <font>
      <i/>
      <sz val="9"/>
      <color theme="1"/>
      <name val="Cambria"/>
      <family val="2"/>
      <scheme val="minor"/>
    </font>
    <font>
      <b/>
      <sz val="9"/>
      <color theme="1"/>
      <name val="Cambria"/>
      <family val="2"/>
      <scheme val="minor"/>
    </font>
    <font>
      <b/>
      <sz val="9"/>
      <color theme="5" tint="0.59999389629810485"/>
      <name val="Arial"/>
      <family val="2"/>
    </font>
    <font>
      <b/>
      <sz val="9"/>
      <color rgb="FF0000FF"/>
      <name val="Arial"/>
      <family val="2"/>
    </font>
    <font>
      <sz val="10"/>
      <color rgb="FF00B050"/>
      <name val="Arial"/>
      <family val="2"/>
    </font>
    <font>
      <i/>
      <sz val="10"/>
      <color rgb="FF000000"/>
      <name val="Arial"/>
      <family val="2"/>
    </font>
    <font>
      <i/>
      <sz val="9"/>
      <color theme="0"/>
      <name val="Arial"/>
      <family val="2"/>
    </font>
    <font>
      <b/>
      <sz val="10"/>
      <color rgb="FF000000"/>
      <name val="Arial"/>
      <family val="2"/>
    </font>
    <font>
      <i/>
      <sz val="8"/>
      <color rgb="FF000000"/>
      <name val="Arial"/>
      <family val="2"/>
    </font>
    <font>
      <sz val="10"/>
      <color theme="1"/>
      <name val="Cambria"/>
      <family val="1"/>
      <scheme val="minor"/>
    </font>
    <font>
      <sz val="9"/>
      <color indexed="81"/>
      <name val="Tahoma"/>
      <family val="2"/>
    </font>
    <font>
      <b/>
      <sz val="9"/>
      <color indexed="81"/>
      <name val="Tahoma"/>
      <family val="2"/>
    </font>
    <font>
      <i/>
      <sz val="10"/>
      <color rgb="FF0000FF"/>
      <name val="Arial"/>
      <family val="2"/>
    </font>
  </fonts>
  <fills count="89">
    <fill>
      <patternFill patternType="none"/>
    </fill>
    <fill>
      <patternFill patternType="gray125"/>
    </fill>
    <fill>
      <patternFill patternType="solid">
        <fgColor indexed="9"/>
        <bgColor indexed="64"/>
      </patternFill>
    </fill>
    <fill>
      <patternFill patternType="solid">
        <fgColor indexed="57"/>
        <bgColor indexed="64"/>
      </patternFill>
    </fill>
    <fill>
      <patternFill patternType="solid">
        <fgColor indexed="47"/>
        <bgColor indexed="8"/>
      </patternFill>
    </fill>
    <fill>
      <patternFill patternType="solid">
        <fgColor indexed="44"/>
        <bgColor indexed="64"/>
      </patternFill>
    </fill>
    <fill>
      <patternFill patternType="solid">
        <fgColor indexed="57"/>
        <bgColor indexed="8"/>
      </patternFill>
    </fill>
    <fill>
      <patternFill patternType="solid">
        <fgColor indexed="22"/>
        <bgColor indexed="64"/>
      </patternFill>
    </fill>
    <fill>
      <patternFill patternType="solid">
        <fgColor indexed="23"/>
        <bgColor indexed="8"/>
      </patternFill>
    </fill>
    <fill>
      <patternFill patternType="solid">
        <fgColor indexed="45"/>
        <bgColor indexed="8"/>
      </patternFill>
    </fill>
    <fill>
      <patternFill patternType="solid">
        <fgColor indexed="17"/>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8"/>
      </patternFill>
    </fill>
    <fill>
      <patternFill patternType="solid">
        <fgColor indexed="56"/>
      </patternFill>
    </fill>
    <fill>
      <patternFill patternType="solid">
        <fgColor indexed="9"/>
      </patternFill>
    </fill>
    <fill>
      <patternFill patternType="solid">
        <fgColor indexed="63"/>
      </patternFill>
    </fill>
    <fill>
      <patternFill patternType="mediumGray">
        <fgColor indexed="22"/>
      </patternFill>
    </fill>
    <fill>
      <patternFill patternType="solid">
        <fgColor theme="6" tint="0.39997558519241921"/>
        <bgColor indexed="64"/>
      </patternFill>
    </fill>
    <fill>
      <patternFill patternType="solid">
        <fgColor theme="9" tint="0.59999389629810485"/>
        <bgColor indexed="64"/>
      </patternFill>
    </fill>
    <fill>
      <patternFill patternType="solid">
        <fgColor indexed="60"/>
        <bgColor indexed="64"/>
      </patternFill>
    </fill>
    <fill>
      <patternFill patternType="solid">
        <fgColor indexed="62"/>
        <bgColor indexed="64"/>
      </patternFill>
    </fill>
    <fill>
      <patternFill patternType="solid">
        <fgColor indexed="63"/>
        <bgColor indexed="64"/>
      </patternFill>
    </fill>
    <fill>
      <patternFill patternType="solid">
        <fgColor indexed="56"/>
        <bgColor indexed="64"/>
      </patternFill>
    </fill>
    <fill>
      <patternFill patternType="solid">
        <fgColor indexed="15"/>
        <bgColor indexed="64"/>
      </patternFill>
    </fill>
    <fill>
      <patternFill patternType="solid">
        <fgColor indexed="42"/>
        <bgColor indexed="64"/>
      </patternFill>
    </fill>
    <fill>
      <patternFill patternType="lightGray">
        <fgColor indexed="13"/>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indexed="13"/>
        <bgColor indexed="64"/>
      </patternFill>
    </fill>
    <fill>
      <patternFill patternType="lightGray">
        <fgColor indexed="12"/>
      </patternFill>
    </fill>
    <fill>
      <patternFill patternType="solid">
        <fgColor indexed="54"/>
      </patternFill>
    </fill>
    <fill>
      <patternFill patternType="gray125">
        <fgColor indexed="22"/>
      </patternFill>
    </fill>
    <fill>
      <patternFill patternType="solid">
        <fgColor indexed="13"/>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
      <patternFill patternType="solid">
        <fgColor rgb="FF002060"/>
        <bgColor indexed="64"/>
      </patternFill>
    </fill>
  </fills>
  <borders count="169">
    <border>
      <left/>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hair">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auto="1"/>
      </right>
      <top style="medium">
        <color auto="1"/>
      </top>
      <bottom style="hair">
        <color auto="1"/>
      </bottom>
      <diagonal/>
    </border>
    <border>
      <left style="thin">
        <color auto="1"/>
      </left>
      <right style="thin">
        <color auto="1"/>
      </right>
      <top style="hair">
        <color auto="1"/>
      </top>
      <bottom/>
      <diagonal/>
    </border>
    <border>
      <left style="double">
        <color indexed="62"/>
      </left>
      <right style="double">
        <color indexed="62"/>
      </right>
      <top style="double">
        <color indexed="62"/>
      </top>
      <bottom style="double">
        <color indexed="62"/>
      </bottom>
      <diagonal/>
    </border>
    <border>
      <left/>
      <right/>
      <top/>
      <bottom style="thick">
        <color indexed="48"/>
      </bottom>
      <diagonal/>
    </border>
    <border>
      <left/>
      <right/>
      <top/>
      <bottom style="medium">
        <color indexed="48"/>
      </bottom>
      <diagonal/>
    </border>
    <border>
      <left style="medium">
        <color auto="1"/>
      </left>
      <right style="medium">
        <color auto="1"/>
      </right>
      <top style="medium">
        <color auto="1"/>
      </top>
      <bottom style="hair">
        <color auto="1"/>
      </bottom>
      <diagonal/>
    </border>
    <border>
      <left/>
      <right/>
      <top/>
      <bottom style="double">
        <color indexed="51"/>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bottom style="medium">
        <color auto="1"/>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style="thin">
        <color auto="1"/>
      </top>
      <bottom style="thin">
        <color auto="1"/>
      </bottom>
      <diagonal/>
    </border>
    <border>
      <left style="medium">
        <color indexed="64"/>
      </left>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dotted">
        <color indexed="64"/>
      </left>
      <right/>
      <top/>
      <bottom style="dotted">
        <color indexed="64"/>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right/>
      <top/>
      <bottom style="thin">
        <color indexed="8"/>
      </bottom>
      <diagonal/>
    </border>
    <border>
      <left style="thin">
        <color indexed="9"/>
      </left>
      <right style="thin">
        <color indexed="9"/>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4"/>
      </bottom>
      <diagonal/>
    </border>
    <border>
      <left style="thick">
        <color indexed="9"/>
      </left>
      <right style="thick">
        <color indexed="9"/>
      </right>
      <top/>
      <bottom style="double">
        <color indexed="64"/>
      </bottom>
      <diagonal/>
    </border>
    <border>
      <left/>
      <right/>
      <top style="thin">
        <color indexed="62"/>
      </top>
      <bottom style="double">
        <color indexed="62"/>
      </bottom>
      <diagonal/>
    </border>
    <border>
      <left style="thick">
        <color indexed="64"/>
      </left>
      <right style="thin">
        <color indexed="64"/>
      </right>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48"/>
      </top>
      <bottom style="double">
        <color indexed="48"/>
      </bottom>
      <diagonal/>
    </border>
    <border>
      <left style="medium">
        <color indexed="64"/>
      </left>
      <right style="medium">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8"/>
      </top>
      <bottom/>
      <diagonal/>
    </border>
    <border>
      <left/>
      <right/>
      <top/>
      <bottom style="double">
        <color indexed="10"/>
      </bottom>
      <diagonal/>
    </border>
    <border>
      <left style="hair">
        <color indexed="64"/>
      </left>
      <right style="hair">
        <color indexed="64"/>
      </right>
      <top style="hair">
        <color indexed="64"/>
      </top>
      <bottom style="hair">
        <color indexed="64"/>
      </bottom>
      <diagonal/>
    </border>
    <border>
      <left style="thin">
        <color indexed="8"/>
      </left>
      <right style="thin">
        <color indexed="8"/>
      </right>
      <top style="thin">
        <color indexed="8"/>
      </top>
      <bottom style="thin">
        <color indexed="8"/>
      </bottom>
      <diagonal/>
    </border>
    <border diagonalDown="1">
      <left/>
      <right/>
      <top/>
      <bottom/>
      <diagonal/>
    </border>
    <border>
      <left/>
      <right style="medium">
        <color auto="1"/>
      </right>
      <top style="medium">
        <color auto="1"/>
      </top>
      <bottom style="hair">
        <color auto="1"/>
      </bottom>
      <diagonal/>
    </border>
    <border>
      <left/>
      <right/>
      <top style="medium">
        <color auto="1"/>
      </top>
      <bottom style="medium">
        <color auto="1"/>
      </bottom>
      <diagonal/>
    </border>
    <border>
      <left style="medium">
        <color auto="1"/>
      </left>
      <right style="medium">
        <color auto="1"/>
      </right>
      <top style="medium">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medium">
        <color auto="1"/>
      </right>
      <top style="medium">
        <color auto="1"/>
      </top>
      <bottom style="hair">
        <color auto="1"/>
      </bottom>
      <diagonal/>
    </border>
    <border>
      <left/>
      <right/>
      <top style="medium">
        <color auto="1"/>
      </top>
      <bottom style="medium">
        <color auto="1"/>
      </bottom>
      <diagonal/>
    </border>
    <border>
      <left style="medium">
        <color auto="1"/>
      </left>
      <right style="medium">
        <color auto="1"/>
      </right>
      <top style="medium">
        <color auto="1"/>
      </top>
      <bottom style="hair">
        <color auto="1"/>
      </bottom>
      <diagonal/>
    </border>
    <border>
      <left style="thin">
        <color indexed="62"/>
      </left>
      <right style="thin">
        <color indexed="62"/>
      </right>
      <top style="thin">
        <color indexed="62"/>
      </top>
      <bottom style="thin">
        <color indexed="62"/>
      </bottom>
      <diagonal/>
    </border>
    <border>
      <left style="medium">
        <color auto="1"/>
      </left>
      <right style="medium">
        <color auto="1"/>
      </right>
      <top style="thin">
        <color auto="1"/>
      </top>
      <bottom style="thin">
        <color auto="1"/>
      </bottom>
      <diagonal/>
    </border>
    <border>
      <left/>
      <right/>
      <top style="thin">
        <color indexed="62"/>
      </top>
      <bottom style="double">
        <color indexed="62"/>
      </bottom>
      <diagonal/>
    </border>
    <border>
      <left/>
      <right/>
      <top style="thin">
        <color indexed="48"/>
      </top>
      <bottom style="double">
        <color indexed="48"/>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auto="1"/>
      </top>
      <bottom/>
      <diagonal/>
    </border>
    <border>
      <left style="thin">
        <color indexed="64"/>
      </left>
      <right/>
      <top style="thin">
        <color auto="1"/>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auto="1"/>
      </left>
      <right style="thin">
        <color auto="1"/>
      </right>
      <top/>
      <bottom/>
      <diagonal/>
    </border>
  </borders>
  <cellStyleXfs count="1112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70" fontId="13" fillId="0" borderId="0"/>
    <xf numFmtId="0" fontId="2" fillId="0" borderId="0"/>
    <xf numFmtId="0" fontId="14" fillId="0" borderId="0" applyNumberFormat="0" applyFill="0" applyBorder="0" applyAlignment="0" applyProtection="0">
      <alignment vertical="top"/>
      <protection locked="0"/>
    </xf>
    <xf numFmtId="43" fontId="2" fillId="0" borderId="0" applyFont="0" applyFill="0" applyBorder="0" applyAlignment="0" applyProtection="0"/>
    <xf numFmtId="171" fontId="16" fillId="0" borderId="0"/>
    <xf numFmtId="8" fontId="17" fillId="0" borderId="0" applyFont="0" applyFill="0" applyBorder="0" applyAlignment="0" applyProtection="0"/>
    <xf numFmtId="0" fontId="18" fillId="0" borderId="0"/>
    <xf numFmtId="0" fontId="1" fillId="0" borderId="0"/>
    <xf numFmtId="0" fontId="2"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75" fontId="21" fillId="0" borderId="0"/>
    <xf numFmtId="175" fontId="22" fillId="0" borderId="0"/>
    <xf numFmtId="44" fontId="21" fillId="0" borderId="0" applyFont="0" applyFill="0" applyBorder="0" applyAlignment="0" applyProtection="0"/>
    <xf numFmtId="175" fontId="21" fillId="0" borderId="0"/>
    <xf numFmtId="175" fontId="22" fillId="0" borderId="0"/>
    <xf numFmtId="176" fontId="23" fillId="0" borderId="0"/>
    <xf numFmtId="0" fontId="2" fillId="0" borderId="0"/>
    <xf numFmtId="43" fontId="2" fillId="0" borderId="0" applyFont="0" applyFill="0" applyBorder="0" applyAlignment="0" applyProtection="0"/>
    <xf numFmtId="0" fontId="9" fillId="0" borderId="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1" fillId="0" borderId="0"/>
    <xf numFmtId="0" fontId="2" fillId="0" borderId="0"/>
    <xf numFmtId="0" fontId="10"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3" borderId="0" applyNumberFormat="0" applyBorder="0" applyAlignment="0" applyProtection="0"/>
    <xf numFmtId="0" fontId="40" fillId="34"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7"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41" borderId="0" applyNumberFormat="0" applyBorder="0" applyAlignment="0" applyProtection="0"/>
    <xf numFmtId="0" fontId="41" fillId="25" borderId="0" applyNumberFormat="0" applyBorder="0" applyAlignment="0" applyProtection="0"/>
    <xf numFmtId="0" fontId="42" fillId="42" borderId="28" applyNumberFormat="0" applyAlignment="0" applyProtection="0"/>
    <xf numFmtId="0" fontId="43" fillId="43" borderId="29" applyNumberFormat="0" applyAlignment="0" applyProtection="0"/>
    <xf numFmtId="0" fontId="44" fillId="0" borderId="0" applyNumberFormat="0" applyFill="0" applyBorder="0" applyAlignment="0" applyProtection="0"/>
    <xf numFmtId="0" fontId="45" fillId="26" borderId="0" applyNumberFormat="0" applyBorder="0" applyAlignment="0" applyProtection="0"/>
    <xf numFmtId="0" fontId="46" fillId="0" borderId="30" applyNumberFormat="0" applyFill="0" applyAlignment="0" applyProtection="0"/>
    <xf numFmtId="0" fontId="47" fillId="0" borderId="31" applyNumberFormat="0" applyFill="0" applyAlignment="0" applyProtection="0"/>
    <xf numFmtId="0" fontId="48" fillId="0" borderId="32" applyNumberFormat="0" applyFill="0" applyAlignment="0" applyProtection="0"/>
    <xf numFmtId="0" fontId="48" fillId="0" borderId="0" applyNumberFormat="0" applyFill="0" applyBorder="0" applyAlignment="0" applyProtection="0"/>
    <xf numFmtId="0" fontId="49" fillId="29" borderId="28" applyNumberFormat="0" applyAlignment="0" applyProtection="0"/>
    <xf numFmtId="0" fontId="50" fillId="0" borderId="33" applyNumberFormat="0" applyFill="0" applyAlignment="0" applyProtection="0"/>
    <xf numFmtId="0" fontId="51" fillId="44" borderId="0" applyNumberFormat="0" applyBorder="0" applyAlignment="0" applyProtection="0"/>
    <xf numFmtId="0" fontId="2" fillId="45" borderId="34" applyNumberFormat="0" applyFont="0" applyAlignment="0" applyProtection="0"/>
    <xf numFmtId="0" fontId="52" fillId="42" borderId="35" applyNumberFormat="0" applyAlignment="0" applyProtection="0"/>
    <xf numFmtId="0" fontId="53" fillId="0" borderId="0" applyNumberFormat="0" applyFill="0" applyBorder="0" applyAlignment="0" applyProtection="0"/>
    <xf numFmtId="0" fontId="54" fillId="0" borderId="36" applyNumberFormat="0" applyFill="0" applyAlignment="0" applyProtection="0"/>
    <xf numFmtId="0" fontId="55" fillId="0" borderId="0" applyNumberFormat="0" applyFill="0" applyBorder="0" applyAlignment="0" applyProtection="0"/>
    <xf numFmtId="0" fontId="1" fillId="0" borderId="0"/>
    <xf numFmtId="9"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177" fontId="56" fillId="0" borderId="37" applyFill="0" applyBorder="0" applyProtection="0">
      <alignment horizontal="right"/>
      <protection locked="0"/>
    </xf>
    <xf numFmtId="178" fontId="56" fillId="0" borderId="37" applyFill="0" applyBorder="0" applyProtection="0">
      <alignment horizontal="right"/>
      <protection locked="0"/>
    </xf>
    <xf numFmtId="179" fontId="56" fillId="0" borderId="37" applyFill="0" applyBorder="0" applyProtection="0">
      <alignment horizontal="right"/>
      <protection locked="0"/>
    </xf>
    <xf numFmtId="0" fontId="10" fillId="29"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0" fillId="3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0" fillId="45"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0" fillId="29"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0" fillId="45"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0" fillId="4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0" fillId="44"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0" fillId="42"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0" fillId="44"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40" fillId="46" borderId="0" applyNumberFormat="0" applyBorder="0" applyAlignment="0" applyProtection="0"/>
    <xf numFmtId="0" fontId="40" fillId="44" borderId="0" applyNumberFormat="0" applyBorder="0" applyAlignment="0" applyProtection="0"/>
    <xf numFmtId="0" fontId="40" fillId="42" borderId="0" applyNumberFormat="0" applyBorder="0" applyAlignment="0" applyProtection="0"/>
    <xf numFmtId="0" fontId="40" fillId="46" borderId="0" applyNumberFormat="0" applyBorder="0" applyAlignment="0" applyProtection="0"/>
    <xf numFmtId="0" fontId="40" fillId="31"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1" borderId="0" applyNumberFormat="0" applyBorder="0" applyAlignment="0" applyProtection="0"/>
    <xf numFmtId="0" fontId="40" fillId="46" borderId="0" applyNumberFormat="0" applyBorder="0" applyAlignment="0" applyProtection="0"/>
    <xf numFmtId="0" fontId="40" fillId="37" borderId="0" applyNumberFormat="0" applyBorder="0" applyAlignment="0" applyProtection="0"/>
    <xf numFmtId="0" fontId="57" fillId="0" borderId="38" applyNumberFormat="0" applyBorder="0" applyAlignment="0" applyProtection="0">
      <alignment horizontal="center" vertical="top"/>
      <protection locked="0"/>
    </xf>
    <xf numFmtId="0" fontId="58" fillId="7" borderId="38" applyNumberFormat="0" applyBorder="0" applyAlignment="0" applyProtection="0">
      <alignment horizontal="center" vertical="top"/>
      <protection locked="0"/>
    </xf>
    <xf numFmtId="0" fontId="59" fillId="48" borderId="28" applyNumberFormat="0" applyAlignment="0" applyProtection="0"/>
    <xf numFmtId="0" fontId="43" fillId="49" borderId="39"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80" fontId="60" fillId="0" borderId="0" applyFill="0" applyBorder="0" applyProtection="0">
      <alignment horizontal="centerContinuous"/>
      <protection locked="0"/>
    </xf>
    <xf numFmtId="0" fontId="4" fillId="0" borderId="18" applyNumberFormat="0" applyAlignment="0" applyProtection="0">
      <alignment horizontal="left" vertical="center"/>
    </xf>
    <xf numFmtId="0" fontId="4" fillId="0" borderId="1">
      <alignment horizontal="left" vertical="center"/>
    </xf>
    <xf numFmtId="0" fontId="61" fillId="0" borderId="40" applyNumberFormat="0" applyFill="0" applyAlignment="0" applyProtection="0"/>
    <xf numFmtId="0" fontId="62" fillId="0" borderId="31" applyNumberFormat="0" applyFill="0" applyAlignment="0" applyProtection="0"/>
    <xf numFmtId="0" fontId="63" fillId="0" borderId="41" applyNumberFormat="0" applyFill="0" applyAlignment="0" applyProtection="0"/>
    <xf numFmtId="0" fontId="63" fillId="0" borderId="0" applyNumberFormat="0" applyFill="0" applyBorder="0" applyAlignment="0" applyProtection="0"/>
    <xf numFmtId="181" fontId="56" fillId="0" borderId="42" applyFill="0" applyBorder="0" applyProtection="0">
      <alignment horizontal="center"/>
      <protection locked="0"/>
    </xf>
    <xf numFmtId="182" fontId="56" fillId="0" borderId="42" applyFill="0" applyBorder="0" applyProtection="0">
      <alignment horizontal="center"/>
      <protection locked="0"/>
    </xf>
    <xf numFmtId="0" fontId="64" fillId="44" borderId="28" applyNumberFormat="0" applyAlignment="0" applyProtection="0"/>
    <xf numFmtId="0" fontId="65" fillId="0" borderId="43" applyNumberFormat="0" applyFill="0" applyAlignment="0" applyProtection="0"/>
    <xf numFmtId="183" fontId="2" fillId="0" borderId="0" applyFont="0" applyFill="0" applyBorder="0" applyAlignment="0" applyProtection="0"/>
    <xf numFmtId="183" fontId="2" fillId="0" borderId="0" applyFont="0" applyFill="0" applyBorder="0" applyAlignment="0" applyProtection="0"/>
    <xf numFmtId="183" fontId="2" fillId="0" borderId="0" applyFont="0" applyFill="0" applyBorder="0" applyAlignment="0" applyProtection="0"/>
    <xf numFmtId="183" fontId="2" fillId="0" borderId="0" applyFont="0" applyFill="0" applyBorder="0" applyAlignment="0" applyProtection="0"/>
    <xf numFmtId="184" fontId="2" fillId="0" borderId="0" applyFont="0" applyFill="0" applyBorder="0" applyAlignment="0" applyProtection="0"/>
    <xf numFmtId="184" fontId="2" fillId="0" borderId="0" applyFont="0" applyFill="0" applyBorder="0" applyAlignment="0" applyProtection="0"/>
    <xf numFmtId="184" fontId="2" fillId="0" borderId="0" applyFont="0" applyFill="0" applyBorder="0" applyAlignment="0" applyProtection="0"/>
    <xf numFmtId="184"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7" fontId="56" fillId="0" borderId="42" applyFill="0" applyBorder="0" applyProtection="0">
      <alignment horizontal="center"/>
      <protection locked="0"/>
    </xf>
    <xf numFmtId="0" fontId="66" fillId="44" borderId="0" applyNumberFormat="0" applyBorder="0" applyAlignment="0" applyProtection="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45" borderId="34"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188" fontId="56" fillId="0" borderId="42" applyFill="0" applyBorder="0" applyProtection="0">
      <alignment horizontal="center"/>
      <protection locked="0"/>
    </xf>
    <xf numFmtId="0" fontId="67" fillId="48" borderId="44"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 fontId="57" fillId="0" borderId="45" applyNumberFormat="0" applyFont="0" applyFill="0" applyAlignment="0" applyProtection="0">
      <alignment horizontal="center"/>
    </xf>
    <xf numFmtId="0" fontId="17" fillId="0" borderId="0" applyNumberFormat="0" applyFont="0" applyFill="0" applyBorder="0" applyAlignment="0" applyProtection="0">
      <alignment horizontal="left"/>
    </xf>
    <xf numFmtId="0" fontId="17" fillId="0" borderId="0" applyNumberFormat="0" applyFont="0" applyFill="0" applyBorder="0" applyAlignment="0" applyProtection="0">
      <alignment horizontal="left"/>
    </xf>
    <xf numFmtId="15" fontId="17" fillId="0" borderId="0" applyFont="0" applyFill="0" applyBorder="0" applyAlignment="0" applyProtection="0"/>
    <xf numFmtId="15" fontId="17" fillId="0" borderId="0" applyFont="0" applyFill="0" applyBorder="0" applyAlignment="0" applyProtection="0"/>
    <xf numFmtId="4" fontId="17" fillId="0" borderId="0" applyFont="0" applyFill="0" applyBorder="0" applyAlignment="0" applyProtection="0"/>
    <xf numFmtId="4" fontId="17" fillId="0" borderId="0" applyFont="0" applyFill="0" applyBorder="0" applyAlignment="0" applyProtection="0"/>
    <xf numFmtId="0" fontId="68" fillId="0" borderId="23">
      <alignment horizontal="center"/>
    </xf>
    <xf numFmtId="3" fontId="17" fillId="0" borderId="0" applyFont="0" applyFill="0" applyBorder="0" applyAlignment="0" applyProtection="0"/>
    <xf numFmtId="3" fontId="17" fillId="0" borderId="0" applyFont="0" applyFill="0" applyBorder="0" applyAlignment="0" applyProtection="0"/>
    <xf numFmtId="0" fontId="17" fillId="50" borderId="0" applyNumberFormat="0" applyFont="0" applyBorder="0" applyAlignment="0" applyProtection="0"/>
    <xf numFmtId="0" fontId="17" fillId="50" borderId="0" applyNumberFormat="0" applyFont="0" applyBorder="0" applyAlignment="0" applyProtection="0"/>
    <xf numFmtId="189" fontId="60" fillId="0" borderId="0" applyFill="0" applyBorder="0" applyProtection="0">
      <alignment horizontal="centerContinuous"/>
      <protection locked="0"/>
    </xf>
    <xf numFmtId="0" fontId="69" fillId="0" borderId="38" applyNumberFormat="0" applyBorder="0" applyAlignment="0" applyProtection="0">
      <alignment horizontal="center" vertical="top"/>
      <protection locked="0"/>
    </xf>
    <xf numFmtId="0" fontId="70" fillId="0" borderId="0" applyNumberFormat="0" applyFill="0" applyBorder="0" applyAlignment="0" applyProtection="0"/>
    <xf numFmtId="0" fontId="54" fillId="0" borderId="46" applyNumberFormat="0" applyFill="0" applyAlignment="0" applyProtection="0"/>
    <xf numFmtId="0" fontId="9" fillId="0" borderId="0"/>
    <xf numFmtId="0" fontId="68" fillId="0" borderId="47">
      <alignment horizontal="center"/>
    </xf>
    <xf numFmtId="192" fontId="17" fillId="0" borderId="0" applyFont="0" applyFill="0" applyBorder="0" applyAlignment="0" applyProtection="0"/>
    <xf numFmtId="193" fontId="17" fillId="0" borderId="0" applyFont="0" applyFill="0" applyBorder="0" applyAlignment="0" applyProtection="0"/>
    <xf numFmtId="194" fontId="17" fillId="0" borderId="0" applyFont="0" applyFill="0" applyBorder="0" applyAlignment="0" applyProtection="0"/>
    <xf numFmtId="0" fontId="7" fillId="0" borderId="0"/>
    <xf numFmtId="0" fontId="7" fillId="0" borderId="0"/>
    <xf numFmtId="0" fontId="81" fillId="53"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ill="0" applyBorder="0" applyAlignment="0" applyProtection="0"/>
    <xf numFmtId="37" fontId="17" fillId="0" borderId="0" applyFont="0" applyFill="0" applyBorder="0" applyAlignment="0" applyProtection="0"/>
    <xf numFmtId="195" fontId="17" fillId="0" borderId="0" applyFont="0" applyFill="0" applyBorder="0" applyAlignment="0" applyProtection="0"/>
    <xf numFmtId="196" fontId="17" fillId="0" borderId="0" applyFont="0" applyFill="0" applyBorder="0" applyAlignment="0" applyProtection="0"/>
    <xf numFmtId="196" fontId="17" fillId="0" borderId="0" applyFont="0" applyFill="0" applyBorder="0" applyAlignment="0" applyProtection="0"/>
    <xf numFmtId="195" fontId="17" fillId="0" borderId="0" applyFont="0" applyFill="0" applyBorder="0" applyAlignment="0" applyProtection="0"/>
    <xf numFmtId="195" fontId="17" fillId="0" borderId="0" applyFont="0" applyFill="0" applyBorder="0" applyAlignment="0" applyProtection="0"/>
    <xf numFmtId="39" fontId="17" fillId="0" borderId="0" applyFont="0" applyFill="0" applyBorder="0" applyAlignment="0" applyProtection="0"/>
    <xf numFmtId="197" fontId="17" fillId="0" borderId="10" applyFont="0" applyFill="0" applyBorder="0" applyAlignment="0" applyProtection="0"/>
    <xf numFmtId="198" fontId="17" fillId="0" borderId="0"/>
    <xf numFmtId="199" fontId="17" fillId="0" borderId="0"/>
    <xf numFmtId="199" fontId="17" fillId="0" borderId="0"/>
    <xf numFmtId="198" fontId="17" fillId="0" borderId="0"/>
    <xf numFmtId="198" fontId="17" fillId="0" borderId="0"/>
    <xf numFmtId="198" fontId="17" fillId="0" borderId="0"/>
    <xf numFmtId="44" fontId="2" fillId="0" borderId="0" applyFont="0" applyFill="0" applyBorder="0" applyAlignment="0" applyProtection="0"/>
    <xf numFmtId="195" fontId="82" fillId="0" borderId="0" applyFill="0" applyBorder="0" applyAlignment="0" applyProtection="0">
      <alignment horizontal="left" vertical="center" wrapText="1"/>
    </xf>
    <xf numFmtId="168" fontId="82" fillId="0" borderId="0"/>
    <xf numFmtId="0" fontId="14" fillId="0" borderId="0" applyNumberFormat="0" applyFill="0" applyBorder="0" applyAlignment="0" applyProtection="0">
      <alignment vertical="top"/>
      <protection locked="0"/>
    </xf>
    <xf numFmtId="200" fontId="83" fillId="0" borderId="61" applyBorder="0">
      <alignment horizontal="right"/>
    </xf>
    <xf numFmtId="0" fontId="84" fillId="0" borderId="0"/>
    <xf numFmtId="0" fontId="85" fillId="0" borderId="0"/>
    <xf numFmtId="0" fontId="86" fillId="54" borderId="0"/>
    <xf numFmtId="0" fontId="87" fillId="55" borderId="0"/>
    <xf numFmtId="0" fontId="87" fillId="55" borderId="0"/>
    <xf numFmtId="0" fontId="88"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175" fontId="22" fillId="0" borderId="0"/>
    <xf numFmtId="175" fontId="22" fillId="0" borderId="0"/>
    <xf numFmtId="0" fontId="2" fillId="0" borderId="0"/>
    <xf numFmtId="0" fontId="1" fillId="0" borderId="0"/>
    <xf numFmtId="0" fontId="1" fillId="0" borderId="0"/>
    <xf numFmtId="0" fontId="1" fillId="0" borderId="0"/>
    <xf numFmtId="175" fontId="21" fillId="0" borderId="0"/>
    <xf numFmtId="0" fontId="1" fillId="0" borderId="0"/>
    <xf numFmtId="0" fontId="9" fillId="0" borderId="0"/>
    <xf numFmtId="168" fontId="89" fillId="0" borderId="0" applyBorder="0"/>
    <xf numFmtId="168" fontId="90"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ill="0" applyBorder="0" applyAlignment="0" applyProtection="0"/>
    <xf numFmtId="0" fontId="68" fillId="0" borderId="47">
      <alignment horizontal="center"/>
    </xf>
    <xf numFmtId="0" fontId="91" fillId="56" borderId="0"/>
    <xf numFmtId="0" fontId="68" fillId="0" borderId="0" applyNumberFormat="0" applyFill="0" applyBorder="0" applyAlignment="0" applyProtection="0"/>
    <xf numFmtId="0" fontId="92" fillId="0" borderId="0"/>
    <xf numFmtId="0" fontId="93" fillId="0" borderId="0"/>
    <xf numFmtId="0" fontId="24" fillId="0" borderId="0">
      <alignment vertical="top"/>
    </xf>
    <xf numFmtId="0" fontId="8" fillId="0" borderId="0"/>
    <xf numFmtId="0" fontId="8" fillId="0" borderId="0"/>
    <xf numFmtId="0" fontId="12" fillId="0" borderId="0">
      <alignment vertical="top"/>
    </xf>
    <xf numFmtId="0" fontId="94" fillId="0" borderId="0">
      <alignment vertical="top"/>
    </xf>
    <xf numFmtId="0" fontId="107" fillId="0" borderId="0"/>
    <xf numFmtId="0" fontId="128" fillId="0" borderId="0" applyFont="0" applyFill="0" applyBorder="0" applyAlignment="0" applyProtection="0"/>
    <xf numFmtId="0" fontId="128" fillId="0" borderId="0" applyFont="0" applyFill="0" applyBorder="0" applyAlignment="0" applyProtection="0"/>
    <xf numFmtId="0" fontId="129" fillId="0" borderId="0"/>
    <xf numFmtId="0" fontId="128" fillId="0" borderId="0" applyFont="0" applyFill="0" applyBorder="0" applyAlignment="0" applyProtection="0"/>
    <xf numFmtId="0" fontId="129" fillId="0" borderId="0"/>
    <xf numFmtId="0" fontId="128" fillId="0" borderId="0" applyFont="0" applyFill="0" applyBorder="0" applyAlignment="0" applyProtection="0"/>
    <xf numFmtId="0" fontId="130" fillId="0" borderId="0">
      <alignment horizontal="right"/>
    </xf>
    <xf numFmtId="0" fontId="130" fillId="7" borderId="0"/>
    <xf numFmtId="0" fontId="131" fillId="7" borderId="0"/>
    <xf numFmtId="0" fontId="131" fillId="7" borderId="0"/>
    <xf numFmtId="0" fontId="131" fillId="7" borderId="0"/>
    <xf numFmtId="0" fontId="131" fillId="7" borderId="0">
      <alignment horizontal="right"/>
    </xf>
    <xf numFmtId="0" fontId="128" fillId="0" borderId="0" applyFont="0" applyFill="0" applyBorder="0" applyAlignment="0" applyProtection="0"/>
    <xf numFmtId="0" fontId="128" fillId="0" borderId="0" applyFont="0" applyFill="0" applyBorder="0" applyAlignment="0" applyProtection="0"/>
    <xf numFmtId="10" fontId="132" fillId="0" borderId="0" applyFont="0" applyFill="0" applyBorder="0" applyAlignment="0" applyProtection="0"/>
    <xf numFmtId="9" fontId="133" fillId="0" borderId="0"/>
    <xf numFmtId="168" fontId="133" fillId="0" borderId="0"/>
    <xf numFmtId="10" fontId="133" fillId="0" borderId="0"/>
    <xf numFmtId="0" fontId="134" fillId="0" borderId="0" applyNumberFormat="0" applyFill="0" applyBorder="0" applyAlignment="0" applyProtection="0"/>
    <xf numFmtId="0" fontId="104" fillId="0" borderId="0" applyFont="0" applyFill="0" applyBorder="0" applyAlignment="0"/>
    <xf numFmtId="0" fontId="133" fillId="0" borderId="0" applyFont="0" applyFill="0" applyBorder="0" applyAlignment="0" applyProtection="0"/>
    <xf numFmtId="0" fontId="135" fillId="0" borderId="0" applyFont="0" applyFill="0" applyBorder="0" applyAlignment="0" applyProtection="0"/>
    <xf numFmtId="0" fontId="135" fillId="0" borderId="0" applyFont="0" applyFill="0" applyBorder="0" applyAlignment="0" applyProtection="0"/>
    <xf numFmtId="0" fontId="135" fillId="0" borderId="0" applyFont="0" applyFill="0" applyBorder="0" applyAlignment="0" applyProtection="0"/>
    <xf numFmtId="0" fontId="135" fillId="0" borderId="0" applyFont="0" applyFill="0" applyBorder="0" applyAlignment="0" applyProtection="0"/>
    <xf numFmtId="0" fontId="135" fillId="0" borderId="0" applyFont="0" applyFill="0" applyBorder="0" applyAlignment="0" applyProtection="0"/>
    <xf numFmtId="0" fontId="136" fillId="0" borderId="0" applyFont="0" applyFill="0" applyBorder="0" applyAlignment="0" applyProtection="0"/>
    <xf numFmtId="0" fontId="133" fillId="0" borderId="0" applyFont="0" applyFill="0" applyBorder="0" applyAlignment="0" applyProtection="0"/>
    <xf numFmtId="172" fontId="17" fillId="0" borderId="0"/>
    <xf numFmtId="168" fontId="17" fillId="0" borderId="0"/>
    <xf numFmtId="2" fontId="17" fillId="0" borderId="0"/>
    <xf numFmtId="202" fontId="137" fillId="0" borderId="0" applyFont="0" applyFill="0" applyBorder="0" applyAlignment="0" applyProtection="0"/>
    <xf numFmtId="0" fontId="36" fillId="24" borderId="0" applyNumberFormat="0" applyBorder="0" applyAlignment="0" applyProtection="0"/>
    <xf numFmtId="0" fontId="36" fillId="25" borderId="0" applyNumberFormat="0" applyBorder="0" applyAlignment="0" applyProtection="0"/>
    <xf numFmtId="0" fontId="36" fillId="26" borderId="0" applyNumberFormat="0" applyBorder="0" applyAlignment="0" applyProtection="0"/>
    <xf numFmtId="0" fontId="36" fillId="27" borderId="0" applyNumberFormat="0" applyBorder="0" applyAlignment="0" applyProtection="0"/>
    <xf numFmtId="0" fontId="36" fillId="28" borderId="0" applyNumberFormat="0" applyBorder="0" applyAlignment="0" applyProtection="0"/>
    <xf numFmtId="0" fontId="36" fillId="29" borderId="0" applyNumberFormat="0" applyBorder="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27" borderId="0" applyNumberFormat="0" applyBorder="0" applyAlignment="0" applyProtection="0"/>
    <xf numFmtId="0" fontId="36" fillId="30" borderId="0" applyNumberFormat="0" applyBorder="0" applyAlignment="0" applyProtection="0"/>
    <xf numFmtId="0" fontId="36" fillId="33" borderId="0" applyNumberFormat="0" applyBorder="0" applyAlignment="0" applyProtection="0"/>
    <xf numFmtId="0" fontId="112" fillId="34" borderId="0" applyNumberFormat="0" applyBorder="0" applyAlignment="0" applyProtection="0"/>
    <xf numFmtId="0" fontId="112" fillId="31" borderId="0" applyNumberFormat="0" applyBorder="0" applyAlignment="0" applyProtection="0"/>
    <xf numFmtId="0" fontId="112" fillId="32" borderId="0" applyNumberFormat="0" applyBorder="0" applyAlignment="0" applyProtection="0"/>
    <xf numFmtId="0" fontId="112" fillId="35" borderId="0" applyNumberFormat="0" applyBorder="0" applyAlignment="0" applyProtection="0"/>
    <xf numFmtId="0" fontId="112" fillId="36" borderId="0" applyNumberFormat="0" applyBorder="0" applyAlignment="0" applyProtection="0"/>
    <xf numFmtId="0" fontId="112" fillId="37" borderId="0" applyNumberFormat="0" applyBorder="0" applyAlignment="0" applyProtection="0"/>
    <xf numFmtId="0" fontId="112" fillId="38" borderId="0" applyNumberFormat="0" applyBorder="0" applyAlignment="0" applyProtection="0"/>
    <xf numFmtId="0" fontId="112" fillId="39" borderId="0" applyNumberFormat="0" applyBorder="0" applyAlignment="0" applyProtection="0"/>
    <xf numFmtId="0" fontId="112" fillId="40" borderId="0" applyNumberFormat="0" applyBorder="0" applyAlignment="0" applyProtection="0"/>
    <xf numFmtId="0" fontId="112" fillId="35" borderId="0" applyNumberFormat="0" applyBorder="0" applyAlignment="0" applyProtection="0"/>
    <xf numFmtId="0" fontId="112" fillId="36" borderId="0" applyNumberFormat="0" applyBorder="0" applyAlignment="0" applyProtection="0"/>
    <xf numFmtId="0" fontId="112" fillId="41" borderId="0" applyNumberFormat="0" applyBorder="0" applyAlignment="0" applyProtection="0"/>
    <xf numFmtId="42" fontId="2" fillId="0" borderId="0" applyFont="0" applyFill="0" applyBorder="0" applyAlignment="0" applyProtection="0"/>
    <xf numFmtId="0" fontId="2" fillId="0" borderId="0"/>
    <xf numFmtId="0" fontId="2" fillId="0" borderId="0"/>
    <xf numFmtId="0" fontId="2" fillId="0" borderId="0"/>
    <xf numFmtId="0" fontId="113" fillId="25" borderId="0" applyNumberFormat="0" applyBorder="0" applyAlignment="0" applyProtection="0"/>
    <xf numFmtId="0" fontId="138" fillId="0" borderId="0" applyNumberFormat="0" applyFill="0" applyBorder="0" applyAlignment="0" applyProtection="0"/>
    <xf numFmtId="0" fontId="104" fillId="0" borderId="0"/>
    <xf numFmtId="0" fontId="97" fillId="0" borderId="15" applyNumberFormat="0" applyFill="0" applyAlignment="0" applyProtection="0"/>
    <xf numFmtId="0" fontId="139" fillId="0" borderId="62" applyFill="0" applyProtection="0">
      <alignment horizontal="right"/>
    </xf>
    <xf numFmtId="0" fontId="133" fillId="0" borderId="0" applyFont="0" applyFill="0" applyBorder="0" applyAlignment="0" applyProtection="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14" fillId="42" borderId="63" applyNumberFormat="0" applyAlignment="0" applyProtection="0"/>
    <xf numFmtId="8" fontId="2" fillId="0" borderId="64" applyFont="0" applyFill="0" applyBorder="0" applyProtection="0">
      <alignment horizontal="right"/>
    </xf>
    <xf numFmtId="0" fontId="7" fillId="0" borderId="0" applyAlignment="0"/>
    <xf numFmtId="0" fontId="115" fillId="43" borderId="29" applyNumberFormat="0" applyAlignment="0" applyProtection="0"/>
    <xf numFmtId="0" fontId="81" fillId="53" borderId="0" applyAlignment="0"/>
    <xf numFmtId="0" fontId="140" fillId="0" borderId="0" applyFont="0" applyFill="0" applyBorder="0" applyAlignment="0" applyProtection="0"/>
    <xf numFmtId="40" fontId="2" fillId="0" borderId="0" applyFont="0" applyFill="0" applyBorder="0" applyProtection="0">
      <alignment horizontal="right"/>
    </xf>
    <xf numFmtId="38" fontId="133" fillId="0" borderId="0" applyFill="0" applyBorder="0" applyProtection="0">
      <alignment horizontal="center"/>
    </xf>
    <xf numFmtId="38" fontId="141" fillId="0" borderId="0" applyNumberFormat="0" applyFill="0" applyBorder="0">
      <alignment vertical="center"/>
    </xf>
    <xf numFmtId="7" fontId="2" fillId="0" borderId="0" applyFont="0" applyFill="0" applyBorder="0" applyAlignment="0" applyProtection="0"/>
    <xf numFmtId="0" fontId="104" fillId="0" borderId="0" applyFont="0" applyFill="0" applyBorder="0" applyAlignment="0" applyProtection="0"/>
    <xf numFmtId="8" fontId="142" fillId="0" borderId="0" applyBorder="0"/>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44"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44"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31"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43" fillId="7" borderId="8">
      <alignment horizontal="right"/>
    </xf>
    <xf numFmtId="173" fontId="143" fillId="7" borderId="8">
      <alignment horizontal="right"/>
    </xf>
    <xf numFmtId="0" fontId="143" fillId="7" borderId="8">
      <alignment horizontal="right"/>
    </xf>
    <xf numFmtId="0" fontId="143" fillId="7" borderId="8">
      <alignment horizontal="right"/>
    </xf>
    <xf numFmtId="173" fontId="144" fillId="7" borderId="8">
      <alignment horizontal="right"/>
    </xf>
    <xf numFmtId="0" fontId="143" fillId="7" borderId="8">
      <alignment horizontal="right"/>
    </xf>
    <xf numFmtId="173" fontId="143" fillId="7" borderId="8">
      <alignment horizontal="right"/>
    </xf>
    <xf numFmtId="0" fontId="143" fillId="7" borderId="8">
      <alignment horizontal="right"/>
    </xf>
    <xf numFmtId="0" fontId="143" fillId="7" borderId="8">
      <alignment horizontal="right"/>
    </xf>
    <xf numFmtId="173" fontId="144" fillId="7" borderId="8">
      <alignment horizontal="right"/>
    </xf>
    <xf numFmtId="0" fontId="144" fillId="7" borderId="8">
      <alignment horizontal="right"/>
    </xf>
    <xf numFmtId="0" fontId="144"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44"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31"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43" fillId="7" borderId="8">
      <alignment horizontal="right"/>
    </xf>
    <xf numFmtId="173" fontId="143" fillId="7" borderId="8">
      <alignment horizontal="right"/>
    </xf>
    <xf numFmtId="0" fontId="143" fillId="7" borderId="8">
      <alignment horizontal="right"/>
    </xf>
    <xf numFmtId="0" fontId="143" fillId="7" borderId="8">
      <alignment horizontal="right"/>
    </xf>
    <xf numFmtId="173" fontId="144" fillId="7" borderId="8">
      <alignment horizontal="right"/>
    </xf>
    <xf numFmtId="0" fontId="143" fillId="7" borderId="8">
      <alignment horizontal="right"/>
    </xf>
    <xf numFmtId="173" fontId="143" fillId="7" borderId="8">
      <alignment horizontal="right"/>
    </xf>
    <xf numFmtId="0" fontId="143" fillId="7" borderId="8">
      <alignment horizontal="right"/>
    </xf>
    <xf numFmtId="0" fontId="143" fillId="7" borderId="8">
      <alignment horizontal="right"/>
    </xf>
    <xf numFmtId="173" fontId="144" fillId="7" borderId="8">
      <alignment horizontal="right"/>
    </xf>
    <xf numFmtId="0" fontId="144" fillId="7" borderId="8">
      <alignment horizontal="right"/>
    </xf>
    <xf numFmtId="0" fontId="144"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44" fillId="7" borderId="8">
      <alignment horizontal="right"/>
    </xf>
    <xf numFmtId="0" fontId="133" fillId="0" borderId="0" applyFont="0" applyFill="0" applyBorder="0" applyAlignment="0" applyProtection="0"/>
    <xf numFmtId="0" fontId="2" fillId="0" borderId="0" applyNumberFormat="0">
      <alignment horizontal="right"/>
    </xf>
    <xf numFmtId="15" fontId="2" fillId="0" borderId="0" applyFont="0" applyFill="0" applyBorder="0" applyProtection="0">
      <alignment horizontal="right"/>
    </xf>
    <xf numFmtId="8" fontId="133" fillId="0" borderId="0" applyFill="0" applyBorder="0" applyProtection="0">
      <alignment horizontal="center"/>
    </xf>
    <xf numFmtId="6" fontId="133" fillId="0" borderId="0">
      <alignment horizontal="center"/>
    </xf>
    <xf numFmtId="8" fontId="133" fillId="0" borderId="0" applyFill="0" applyBorder="0" applyProtection="0">
      <alignment horizontal="center"/>
    </xf>
    <xf numFmtId="0" fontId="136" fillId="0" borderId="0" applyFont="0" applyFill="0" applyBorder="0" applyAlignment="0" applyProtection="0"/>
    <xf numFmtId="4" fontId="133" fillId="0" borderId="0" applyFont="0" applyFill="0" applyBorder="0" applyAlignment="0" applyProtection="0"/>
    <xf numFmtId="173" fontId="136" fillId="0" borderId="0" applyFont="0" applyFill="0" applyBorder="0" applyAlignment="0" applyProtection="0"/>
    <xf numFmtId="0" fontId="131" fillId="57" borderId="0"/>
    <xf numFmtId="0" fontId="131" fillId="57" borderId="0"/>
    <xf numFmtId="0" fontId="132" fillId="57" borderId="0"/>
    <xf numFmtId="0" fontId="132" fillId="0" borderId="0"/>
    <xf numFmtId="0" fontId="131" fillId="57" borderId="0"/>
    <xf numFmtId="0" fontId="143" fillId="0" borderId="0"/>
    <xf numFmtId="0" fontId="143" fillId="0" borderId="0"/>
    <xf numFmtId="0" fontId="128" fillId="0" borderId="0" applyFont="0" applyFill="0" applyBorder="0" applyAlignment="0" applyProtection="0"/>
    <xf numFmtId="0" fontId="145" fillId="0" borderId="0" applyFont="0" applyFill="0" applyBorder="0" applyAlignment="0" applyProtection="0"/>
    <xf numFmtId="0" fontId="116" fillId="0" borderId="0" applyNumberFormat="0" applyFill="0" applyBorder="0" applyAlignment="0" applyProtection="0"/>
    <xf numFmtId="0" fontId="146" fillId="0" borderId="0"/>
    <xf numFmtId="0" fontId="142" fillId="0" borderId="0" applyNumberFormat="0" applyFont="0" applyAlignment="0">
      <alignment vertical="center"/>
    </xf>
    <xf numFmtId="0" fontId="131" fillId="0" borderId="65"/>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3" fontId="143" fillId="7" borderId="8">
      <alignment horizontal="right"/>
    </xf>
    <xf numFmtId="0" fontId="143" fillId="7" borderId="8">
      <alignment horizontal="right"/>
    </xf>
    <xf numFmtId="0" fontId="143" fillId="7" borderId="8">
      <alignment horizontal="right"/>
    </xf>
    <xf numFmtId="203" fontId="144" fillId="7" borderId="8">
      <alignment horizontal="right"/>
    </xf>
    <xf numFmtId="0" fontId="144"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3" fontId="143" fillId="7" borderId="8">
      <alignment horizontal="right"/>
    </xf>
    <xf numFmtId="0" fontId="143" fillId="7" borderId="8">
      <alignment horizontal="right"/>
    </xf>
    <xf numFmtId="0" fontId="143" fillId="7" borderId="8">
      <alignment horizontal="right"/>
    </xf>
    <xf numFmtId="203" fontId="144" fillId="7" borderId="8">
      <alignment horizontal="right"/>
    </xf>
    <xf numFmtId="0" fontId="144"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3" fontId="143" fillId="7" borderId="8">
      <alignment horizontal="right"/>
    </xf>
    <xf numFmtId="0" fontId="143" fillId="7" borderId="8">
      <alignment horizontal="right"/>
    </xf>
    <xf numFmtId="0" fontId="143" fillId="7" borderId="8">
      <alignment horizontal="right"/>
    </xf>
    <xf numFmtId="203" fontId="144" fillId="7" borderId="8">
      <alignment horizontal="right"/>
    </xf>
    <xf numFmtId="0" fontId="144" fillId="7" borderId="8">
      <alignment horizontal="right"/>
    </xf>
    <xf numFmtId="0" fontId="143" fillId="7" borderId="8">
      <alignment horizontal="right"/>
    </xf>
    <xf numFmtId="203" fontId="143" fillId="7" borderId="8">
      <alignment horizontal="right"/>
    </xf>
    <xf numFmtId="0" fontId="143" fillId="7" borderId="8">
      <alignment horizontal="right"/>
    </xf>
    <xf numFmtId="0" fontId="143" fillId="7" borderId="8">
      <alignment horizontal="right"/>
    </xf>
    <xf numFmtId="203" fontId="144" fillId="7" borderId="8">
      <alignment horizontal="right"/>
    </xf>
    <xf numFmtId="0" fontId="144"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3" fontId="143" fillId="7" borderId="8">
      <alignment horizontal="right"/>
    </xf>
    <xf numFmtId="0" fontId="143" fillId="7" borderId="8">
      <alignment horizontal="right"/>
    </xf>
    <xf numFmtId="0" fontId="143" fillId="7" borderId="8">
      <alignment horizontal="right"/>
    </xf>
    <xf numFmtId="203" fontId="144" fillId="7" borderId="8">
      <alignment horizontal="right"/>
    </xf>
    <xf numFmtId="0" fontId="144"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3" fontId="143" fillId="7" borderId="8">
      <alignment horizontal="right"/>
    </xf>
    <xf numFmtId="0" fontId="143" fillId="7" borderId="8">
      <alignment horizontal="right"/>
    </xf>
    <xf numFmtId="0" fontId="143" fillId="7" borderId="8">
      <alignment horizontal="right"/>
    </xf>
    <xf numFmtId="203" fontId="144" fillId="7" borderId="8">
      <alignment horizontal="right"/>
    </xf>
    <xf numFmtId="0" fontId="144"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3" fontId="143" fillId="7" borderId="8">
      <alignment horizontal="right"/>
    </xf>
    <xf numFmtId="0" fontId="143" fillId="7" borderId="8">
      <alignment horizontal="right"/>
    </xf>
    <xf numFmtId="0" fontId="143" fillId="7" borderId="8">
      <alignment horizontal="right"/>
    </xf>
    <xf numFmtId="203" fontId="144" fillId="7" borderId="8">
      <alignment horizontal="right"/>
    </xf>
    <xf numFmtId="0" fontId="144" fillId="7" borderId="8">
      <alignment horizontal="right"/>
    </xf>
    <xf numFmtId="0" fontId="143" fillId="7" borderId="8">
      <alignment horizontal="right"/>
    </xf>
    <xf numFmtId="203" fontId="143" fillId="7" borderId="8">
      <alignment horizontal="right"/>
    </xf>
    <xf numFmtId="0" fontId="143" fillId="7" borderId="8">
      <alignment horizontal="right"/>
    </xf>
    <xf numFmtId="0" fontId="143" fillId="7" borderId="8">
      <alignment horizontal="right"/>
    </xf>
    <xf numFmtId="203" fontId="144" fillId="7" borderId="8">
      <alignment horizontal="right"/>
    </xf>
    <xf numFmtId="0" fontId="144"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3" fontId="143" fillId="7" borderId="8">
      <alignment horizontal="right"/>
    </xf>
    <xf numFmtId="0" fontId="143" fillId="7" borderId="8">
      <alignment horizontal="right"/>
    </xf>
    <xf numFmtId="0" fontId="143" fillId="7" borderId="8">
      <alignment horizontal="right"/>
    </xf>
    <xf numFmtId="203" fontId="144" fillId="7" borderId="8">
      <alignment horizontal="right"/>
    </xf>
    <xf numFmtId="0" fontId="144" fillId="7" borderId="8">
      <alignment horizontal="right"/>
    </xf>
    <xf numFmtId="0" fontId="131" fillId="7" borderId="8">
      <alignment horizontal="right"/>
    </xf>
    <xf numFmtId="0" fontId="143" fillId="7" borderId="8">
      <alignment horizontal="right"/>
    </xf>
    <xf numFmtId="203" fontId="143" fillId="7" borderId="8">
      <alignment horizontal="right"/>
    </xf>
    <xf numFmtId="0" fontId="143" fillId="7" borderId="8">
      <alignment horizontal="right"/>
    </xf>
    <xf numFmtId="0" fontId="143" fillId="7" borderId="8">
      <alignment horizontal="right"/>
    </xf>
    <xf numFmtId="203" fontId="144" fillId="7" borderId="8">
      <alignment horizontal="right"/>
    </xf>
    <xf numFmtId="0" fontId="144"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44"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31" fillId="7" borderId="8">
      <alignment horizontal="right"/>
    </xf>
    <xf numFmtId="0" fontId="143" fillId="7" borderId="8">
      <alignment horizontal="right"/>
    </xf>
    <xf numFmtId="203" fontId="143" fillId="7" borderId="8">
      <alignment horizontal="right"/>
    </xf>
    <xf numFmtId="0" fontId="143" fillId="7" borderId="8">
      <alignment horizontal="right"/>
    </xf>
    <xf numFmtId="0" fontId="143" fillId="7" borderId="8">
      <alignment horizontal="right"/>
    </xf>
    <xf numFmtId="203" fontId="144" fillId="7" borderId="8">
      <alignment horizontal="right"/>
    </xf>
    <xf numFmtId="0" fontId="144" fillId="7" borderId="8">
      <alignment horizontal="right"/>
    </xf>
    <xf numFmtId="0" fontId="131" fillId="7" borderId="8">
      <alignment horizontal="right"/>
    </xf>
    <xf numFmtId="0" fontId="143" fillId="7" borderId="8">
      <alignment horizontal="right"/>
    </xf>
    <xf numFmtId="203" fontId="143" fillId="7" borderId="8">
      <alignment horizontal="right"/>
    </xf>
    <xf numFmtId="0" fontId="143" fillId="7" borderId="8">
      <alignment horizontal="right"/>
    </xf>
    <xf numFmtId="0" fontId="143" fillId="7" borderId="8">
      <alignment horizontal="right"/>
    </xf>
    <xf numFmtId="203" fontId="144" fillId="7" borderId="8">
      <alignment horizontal="right"/>
    </xf>
    <xf numFmtId="0" fontId="144"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3" fillId="7" borderId="8">
      <alignment horizontal="right"/>
    </xf>
    <xf numFmtId="205" fontId="143"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44" fillId="7" borderId="8">
      <alignment horizontal="right"/>
    </xf>
    <xf numFmtId="0" fontId="143" fillId="7" borderId="8">
      <alignment horizontal="right"/>
    </xf>
    <xf numFmtId="0" fontId="143" fillId="7" borderId="8">
      <alignment horizontal="right"/>
    </xf>
    <xf numFmtId="0" fontId="144" fillId="7" borderId="8">
      <alignment horizontal="right"/>
    </xf>
    <xf numFmtId="0" fontId="144" fillId="7" borderId="8">
      <alignment horizontal="right"/>
    </xf>
    <xf numFmtId="0" fontId="117" fillId="26" borderId="0" applyNumberFormat="0" applyBorder="0" applyAlignment="0" applyProtection="0"/>
    <xf numFmtId="0" fontId="147" fillId="0" borderId="0">
      <alignment horizontal="center"/>
    </xf>
    <xf numFmtId="0" fontId="11" fillId="0" borderId="0" applyFill="0" applyBorder="0" applyProtection="0">
      <alignment horizontal="right"/>
    </xf>
    <xf numFmtId="0" fontId="118" fillId="0" borderId="30" applyNumberFormat="0" applyFill="0" applyAlignment="0" applyProtection="0"/>
    <xf numFmtId="0" fontId="119" fillId="0" borderId="31" applyNumberFormat="0" applyFill="0" applyAlignment="0" applyProtection="0"/>
    <xf numFmtId="0" fontId="120" fillId="0" borderId="32" applyNumberFormat="0" applyFill="0" applyAlignment="0" applyProtection="0"/>
    <xf numFmtId="0" fontId="120" fillId="0" borderId="0" applyNumberFormat="0" applyFill="0" applyBorder="0" applyAlignment="0" applyProtection="0"/>
    <xf numFmtId="10" fontId="138" fillId="0" borderId="0" applyNumberFormat="0" applyFill="0" applyBorder="0" applyAlignment="0" applyProtection="0">
      <alignment horizontal="right"/>
    </xf>
    <xf numFmtId="0" fontId="121" fillId="29" borderId="63" applyNumberFormat="0" applyAlignment="0" applyProtection="0"/>
    <xf numFmtId="0" fontId="109" fillId="0" borderId="0" applyNumberFormat="0" applyFill="0" applyBorder="0" applyAlignment="0">
      <protection locked="0"/>
    </xf>
    <xf numFmtId="0" fontId="85" fillId="0" borderId="0" applyAlignment="0"/>
    <xf numFmtId="0" fontId="148" fillId="0" borderId="0"/>
    <xf numFmtId="0" fontId="122" fillId="0" borderId="33" applyNumberFormat="0" applyFill="0" applyAlignment="0" applyProtection="0"/>
    <xf numFmtId="195" fontId="2" fillId="0" borderId="0" applyNumberFormat="0" applyFont="0" applyFill="0" applyBorder="0" applyAlignment="0"/>
    <xf numFmtId="0" fontId="130" fillId="0" borderId="0">
      <alignment horizontal="right"/>
    </xf>
    <xf numFmtId="0" fontId="132" fillId="57" borderId="0">
      <alignment horizontal="right"/>
    </xf>
    <xf numFmtId="17" fontId="104" fillId="0" borderId="0"/>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167" fontId="130" fillId="0" borderId="0">
      <alignment horizontal="right"/>
    </xf>
    <xf numFmtId="0" fontId="130" fillId="0" borderId="0">
      <alignment horizontal="right"/>
    </xf>
    <xf numFmtId="0" fontId="130" fillId="0" borderId="0">
      <alignment horizontal="right"/>
    </xf>
    <xf numFmtId="0" fontId="130" fillId="0" borderId="0">
      <alignment horizontal="right"/>
    </xf>
    <xf numFmtId="0" fontId="130" fillId="0" borderId="0">
      <alignment horizontal="right"/>
    </xf>
    <xf numFmtId="167" fontId="130" fillId="0" borderId="0">
      <alignment horizontal="right"/>
    </xf>
    <xf numFmtId="0" fontId="130" fillId="0" borderId="0">
      <alignment horizontal="right"/>
    </xf>
    <xf numFmtId="0" fontId="130" fillId="0" borderId="0">
      <alignment horizontal="right"/>
    </xf>
    <xf numFmtId="0" fontId="130"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130"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167" fontId="130" fillId="0" borderId="0">
      <alignment horizontal="right"/>
    </xf>
    <xf numFmtId="0" fontId="130" fillId="0" borderId="0">
      <alignment horizontal="right"/>
    </xf>
    <xf numFmtId="0" fontId="130" fillId="0" borderId="0">
      <alignment horizontal="right"/>
    </xf>
    <xf numFmtId="0" fontId="130" fillId="0" borderId="0">
      <alignment horizontal="right"/>
    </xf>
    <xf numFmtId="0" fontId="130" fillId="0" borderId="0">
      <alignment horizontal="right"/>
    </xf>
    <xf numFmtId="167" fontId="130" fillId="0" borderId="0">
      <alignment horizontal="right"/>
    </xf>
    <xf numFmtId="0" fontId="130" fillId="0" borderId="0">
      <alignment horizontal="right"/>
    </xf>
    <xf numFmtId="0" fontId="130" fillId="0" borderId="0">
      <alignment horizontal="right"/>
    </xf>
    <xf numFmtId="0" fontId="130"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130" fillId="0" borderId="0">
      <alignment horizontal="right"/>
    </xf>
    <xf numFmtId="202" fontId="130" fillId="0" borderId="0">
      <alignment horizontal="right"/>
    </xf>
    <xf numFmtId="0" fontId="130" fillId="0" borderId="0">
      <alignment horizontal="right"/>
    </xf>
    <xf numFmtId="0" fontId="130" fillId="0" borderId="0">
      <alignment horizontal="right"/>
    </xf>
    <xf numFmtId="0" fontId="130" fillId="0" borderId="0">
      <alignment horizontal="right"/>
    </xf>
    <xf numFmtId="167" fontId="130" fillId="0" borderId="0">
      <alignment horizontal="right"/>
    </xf>
    <xf numFmtId="0" fontId="130" fillId="0" borderId="0">
      <alignment horizontal="right"/>
    </xf>
    <xf numFmtId="0" fontId="130" fillId="0" borderId="0">
      <alignment horizontal="right"/>
    </xf>
    <xf numFmtId="0" fontId="130"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2" fillId="0" borderId="0">
      <alignment horizontal="right"/>
    </xf>
    <xf numFmtId="208" fontId="2" fillId="0" borderId="0">
      <alignment horizontal="right"/>
    </xf>
    <xf numFmtId="0" fontId="2" fillId="0" borderId="0">
      <alignment horizontal="right"/>
    </xf>
    <xf numFmtId="0" fontId="2" fillId="0" borderId="0">
      <alignment horizontal="right"/>
    </xf>
    <xf numFmtId="0" fontId="2" fillId="0" borderId="0">
      <alignment horizontal="right"/>
    </xf>
    <xf numFmtId="0" fontId="130" fillId="0" borderId="0">
      <alignment horizontal="right"/>
    </xf>
    <xf numFmtId="202" fontId="130" fillId="0" borderId="0">
      <alignment horizontal="right"/>
    </xf>
    <xf numFmtId="0" fontId="130" fillId="0" borderId="0">
      <alignment horizontal="right"/>
    </xf>
    <xf numFmtId="0" fontId="130" fillId="0" borderId="0">
      <alignment horizontal="right"/>
    </xf>
    <xf numFmtId="0" fontId="130" fillId="0" borderId="0">
      <alignment horizontal="right"/>
    </xf>
    <xf numFmtId="167" fontId="130" fillId="0" borderId="0">
      <alignment horizontal="right"/>
    </xf>
    <xf numFmtId="0" fontId="130" fillId="0" borderId="0">
      <alignment horizontal="right"/>
    </xf>
    <xf numFmtId="0" fontId="130" fillId="0" borderId="0">
      <alignment horizontal="right"/>
    </xf>
    <xf numFmtId="0" fontId="130" fillId="0" borderId="0">
      <alignment horizontal="right"/>
    </xf>
    <xf numFmtId="0" fontId="100" fillId="0" borderId="0" applyNumberFormat="0" applyFill="0" applyBorder="0" applyProtection="0"/>
    <xf numFmtId="0" fontId="104" fillId="0" borderId="0" applyNumberFormat="0" applyFill="0" applyBorder="0" applyProtection="0"/>
    <xf numFmtId="38" fontId="149" fillId="0" borderId="0" applyNumberFormat="0" applyFill="0" applyBorder="0">
      <alignment horizontal="left" vertical="center"/>
    </xf>
    <xf numFmtId="0" fontId="150" fillId="0" borderId="0" applyFill="0" applyBorder="0">
      <alignment vertical="center"/>
    </xf>
    <xf numFmtId="0" fontId="131" fillId="57" borderId="8">
      <alignment horizontal="right"/>
    </xf>
    <xf numFmtId="207" fontId="133" fillId="0" borderId="0" applyFill="0" applyBorder="0" applyProtection="0">
      <alignment horizontal="center"/>
    </xf>
    <xf numFmtId="209" fontId="133" fillId="0" borderId="0" applyFont="0" applyFill="0" applyBorder="0" applyAlignment="0" applyProtection="0">
      <alignment horizontal="centerContinuous"/>
      <protection locked="0"/>
    </xf>
    <xf numFmtId="0" fontId="133" fillId="0" borderId="0" applyFont="0" applyFill="0" applyBorder="0" applyAlignment="0" applyProtection="0"/>
    <xf numFmtId="0" fontId="104" fillId="0" borderId="0" applyFont="0" applyFill="0" applyBorder="0" applyAlignment="0" applyProtection="0"/>
    <xf numFmtId="0" fontId="133" fillId="0" borderId="0" applyFont="0" applyFill="0" applyBorder="0" applyAlignment="0" applyProtection="0"/>
    <xf numFmtId="0" fontId="104" fillId="0" borderId="0" applyFont="0" applyFill="0" applyBorder="0" applyAlignment="0" applyProtection="0"/>
    <xf numFmtId="0" fontId="104" fillId="0" borderId="0" applyFont="0" applyFill="0" applyBorder="0" applyAlignment="0" applyProtection="0"/>
    <xf numFmtId="0" fontId="133" fillId="0" borderId="0" applyFont="0" applyFill="0" applyBorder="0" applyAlignment="0" applyProtection="0"/>
    <xf numFmtId="0" fontId="104" fillId="0" borderId="0" applyFont="0" applyFill="0" applyBorder="0" applyAlignment="0" applyProtection="0"/>
    <xf numFmtId="0" fontId="104" fillId="0" borderId="0" applyFont="0" applyFill="0" applyBorder="0" applyAlignment="0" applyProtection="0"/>
    <xf numFmtId="0" fontId="123" fillId="44" borderId="0" applyNumberFormat="0" applyBorder="0" applyAlignment="0" applyProtection="0"/>
    <xf numFmtId="0" fontId="86" fillId="54" borderId="0" applyAlignment="0"/>
    <xf numFmtId="0" fontId="87" fillId="55" borderId="0" applyAlignment="0"/>
    <xf numFmtId="0" fontId="88" fillId="0" borderId="0" applyAlignment="0"/>
    <xf numFmtId="0" fontId="151" fillId="0" borderId="0"/>
    <xf numFmtId="0" fontId="2" fillId="45" borderId="66" applyNumberFormat="0" applyFont="0" applyAlignment="0" applyProtection="0"/>
    <xf numFmtId="0" fontId="152" fillId="0" borderId="0">
      <alignment horizontal="left" vertical="top"/>
      <protection locked="0"/>
    </xf>
    <xf numFmtId="0" fontId="124" fillId="42" borderId="67" applyNumberFormat="0" applyAlignment="0" applyProtection="0"/>
    <xf numFmtId="0" fontId="153" fillId="0" borderId="0" applyFill="0">
      <alignment horizontal="center" vertical="center"/>
    </xf>
    <xf numFmtId="0" fontId="143" fillId="0" borderId="0" applyNumberFormat="0" applyFill="0" applyBorder="0" applyAlignment="0" applyProtection="0"/>
    <xf numFmtId="0" fontId="132" fillId="57" borderId="0"/>
    <xf numFmtId="0" fontId="143" fillId="0" borderId="0"/>
    <xf numFmtId="9" fontId="133" fillId="0" borderId="0" applyFont="0" applyFill="0" applyBorder="0" applyAlignment="0" applyProtection="0"/>
    <xf numFmtId="0" fontId="133" fillId="0" borderId="0" applyFont="0" applyFill="0" applyBorder="0" applyAlignment="0" applyProtection="0"/>
    <xf numFmtId="0" fontId="133" fillId="0" borderId="0" applyFont="0" applyFill="0" applyBorder="0" applyAlignment="0" applyProtection="0"/>
    <xf numFmtId="168" fontId="133" fillId="0" borderId="0" applyFont="0" applyFill="0" applyBorder="0" applyAlignment="0" applyProtection="0"/>
    <xf numFmtId="0" fontId="6" fillId="7" borderId="0" applyFill="0" applyBorder="0" applyAlignment="0" applyProtection="0">
      <protection hidden="1"/>
    </xf>
    <xf numFmtId="213" fontId="2" fillId="0" borderId="0" applyFont="0" applyFill="0" applyBorder="0" applyProtection="0">
      <alignment horizontal="right"/>
    </xf>
    <xf numFmtId="0" fontId="131" fillId="57" borderId="0">
      <alignment horizontal="right"/>
    </xf>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43" fillId="7" borderId="0"/>
    <xf numFmtId="0" fontId="144"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43" fillId="7" borderId="0"/>
    <xf numFmtId="0" fontId="144"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43" fillId="7" borderId="0"/>
    <xf numFmtId="0" fontId="144" fillId="7" borderId="0"/>
    <xf numFmtId="0" fontId="143" fillId="7" borderId="0"/>
    <xf numFmtId="0" fontId="144"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43" fillId="7" borderId="0"/>
    <xf numFmtId="0" fontId="144"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43" fillId="7" borderId="0"/>
    <xf numFmtId="0" fontId="144"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43" fillId="7" borderId="0"/>
    <xf numFmtId="0" fontId="144" fillId="7" borderId="0"/>
    <xf numFmtId="0" fontId="143" fillId="7" borderId="0"/>
    <xf numFmtId="0" fontId="144"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43" fillId="7" borderId="0"/>
    <xf numFmtId="0" fontId="144" fillId="7" borderId="0"/>
    <xf numFmtId="0" fontId="131" fillId="7" borderId="0"/>
    <xf numFmtId="0" fontId="143" fillId="7" borderId="0"/>
    <xf numFmtId="0" fontId="144" fillId="7" borderId="0"/>
    <xf numFmtId="0" fontId="143" fillId="7" borderId="0"/>
    <xf numFmtId="0" fontId="143" fillId="7" borderId="0"/>
    <xf numFmtId="199" fontId="143" fillId="7" borderId="0"/>
    <xf numFmtId="199" fontId="143" fillId="7" borderId="0"/>
    <xf numFmtId="0" fontId="143" fillId="7" borderId="0"/>
    <xf numFmtId="0" fontId="144" fillId="7" borderId="0"/>
    <xf numFmtId="0" fontId="143" fillId="7" borderId="0"/>
    <xf numFmtId="0" fontId="143" fillId="7" borderId="0"/>
    <xf numFmtId="199" fontId="143" fillId="7" borderId="0"/>
    <xf numFmtId="199" fontId="143" fillId="7" borderId="0"/>
    <xf numFmtId="0" fontId="143" fillId="7" borderId="0"/>
    <xf numFmtId="0" fontId="144" fillId="7" borderId="0"/>
    <xf numFmtId="0" fontId="144" fillId="7" borderId="0"/>
    <xf numFmtId="0" fontId="144"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31" fillId="7" borderId="0"/>
    <xf numFmtId="0" fontId="143" fillId="7" borderId="0"/>
    <xf numFmtId="0" fontId="144" fillId="7" borderId="0"/>
    <xf numFmtId="0" fontId="131" fillId="7" borderId="0"/>
    <xf numFmtId="0" fontId="143" fillId="7" borderId="0"/>
    <xf numFmtId="0" fontId="144" fillId="7" borderId="0"/>
    <xf numFmtId="0" fontId="143" fillId="7" borderId="0"/>
    <xf numFmtId="0" fontId="143" fillId="7" borderId="0"/>
    <xf numFmtId="199" fontId="143" fillId="7" borderId="0"/>
    <xf numFmtId="199" fontId="143" fillId="7" borderId="0"/>
    <xf numFmtId="0" fontId="143" fillId="7" borderId="0"/>
    <xf numFmtId="0" fontId="144" fillId="7" borderId="0"/>
    <xf numFmtId="0" fontId="143" fillId="7" borderId="0"/>
    <xf numFmtId="0" fontId="143" fillId="7" borderId="0"/>
    <xf numFmtId="199" fontId="143" fillId="7" borderId="0"/>
    <xf numFmtId="199" fontId="143" fillId="7" borderId="0"/>
    <xf numFmtId="0" fontId="143" fillId="7" borderId="0"/>
    <xf numFmtId="0" fontId="144" fillId="7" borderId="0"/>
    <xf numFmtId="0" fontId="144" fillId="7" borderId="0"/>
    <xf numFmtId="0" fontId="144" fillId="7" borderId="0"/>
    <xf numFmtId="0" fontId="154" fillId="0" borderId="0">
      <alignment horizontal="center"/>
    </xf>
    <xf numFmtId="0" fontId="129" fillId="0" borderId="15">
      <alignment horizontal="centerContinuous"/>
    </xf>
    <xf numFmtId="0" fontId="143" fillId="7" borderId="0">
      <alignment horizontal="right"/>
    </xf>
    <xf numFmtId="0" fontId="130" fillId="0" borderId="0">
      <alignment horizontal="center"/>
    </xf>
    <xf numFmtId="0" fontId="143" fillId="7" borderId="8">
      <alignment horizontal="right"/>
    </xf>
    <xf numFmtId="201" fontId="155" fillId="0" borderId="0"/>
    <xf numFmtId="0"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Protection="0">
      <alignment horizontal="right"/>
    </xf>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64">
      <alignment horizontal="centerContinuous"/>
    </xf>
    <xf numFmtId="0" fontId="103" fillId="0" borderId="64">
      <alignment horizontal="centerContinuous"/>
    </xf>
    <xf numFmtId="0" fontId="103" fillId="0" borderId="64">
      <alignment horizontal="centerContinuous"/>
    </xf>
    <xf numFmtId="0" fontId="103" fillId="0" borderId="64">
      <alignment horizontal="centerContinuous"/>
    </xf>
    <xf numFmtId="0" fontId="103" fillId="0" borderId="64">
      <alignment horizontal="centerContinuous"/>
    </xf>
    <xf numFmtId="0" fontId="103" fillId="0" borderId="64">
      <alignment horizontal="centerContinuous"/>
    </xf>
    <xf numFmtId="0" fontId="103" fillId="0" borderId="64">
      <alignment horizontal="centerContinuous"/>
    </xf>
    <xf numFmtId="0" fontId="103" fillId="0" borderId="64">
      <alignment horizontal="centerContinuous"/>
    </xf>
    <xf numFmtId="0" fontId="4" fillId="0" borderId="0" applyFill="0" applyBorder="0" applyProtection="0">
      <alignment horizontal="left"/>
    </xf>
    <xf numFmtId="0" fontId="91" fillId="56" borderId="0" applyAlignment="0"/>
    <xf numFmtId="0" fontId="102" fillId="0" borderId="64"/>
    <xf numFmtId="12" fontId="2" fillId="0" borderId="0" applyFont="0" applyFill="0" applyBorder="0" applyProtection="0">
      <alignment horizontal="right"/>
    </xf>
    <xf numFmtId="0" fontId="2" fillId="57" borderId="0" applyFont="0" applyFill="0" applyBorder="0" applyProtection="0">
      <alignment horizontal="right"/>
    </xf>
    <xf numFmtId="0" fontId="125" fillId="0" borderId="0"/>
    <xf numFmtId="0" fontId="3" fillId="0" borderId="0" applyNumberFormat="0" applyFill="0" applyBorder="0" applyProtection="0">
      <alignment horizontal="left"/>
    </xf>
    <xf numFmtId="214" fontId="5" fillId="0" borderId="0" applyFill="0" applyBorder="0" applyProtection="0">
      <alignment horizontal="right" vertical="top"/>
    </xf>
    <xf numFmtId="211" fontId="5" fillId="0" borderId="0" applyFill="0" applyBorder="0" applyProtection="0">
      <alignment horizontal="right" wrapText="1"/>
    </xf>
    <xf numFmtId="206" fontId="5" fillId="0" borderId="0" applyFill="0" applyBorder="0" applyProtection="0">
      <alignment horizontal="right"/>
    </xf>
    <xf numFmtId="215" fontId="5" fillId="0" borderId="0" applyFill="0" applyBorder="0" applyProtection="0">
      <alignment horizontal="right"/>
    </xf>
    <xf numFmtId="216" fontId="5" fillId="0" borderId="0" applyFill="0" applyBorder="0" applyProtection="0">
      <alignment horizontal="right"/>
    </xf>
    <xf numFmtId="217" fontId="5" fillId="0" borderId="0" applyFill="0" applyBorder="0" applyProtection="0">
      <alignment horizontal="right"/>
    </xf>
    <xf numFmtId="204" fontId="5" fillId="0" borderId="0" applyFill="0" applyBorder="0" applyProtection="0">
      <alignment horizontal="right" wrapText="1"/>
    </xf>
    <xf numFmtId="173" fontId="5" fillId="0" borderId="0" applyFill="0" applyBorder="0" applyProtection="0">
      <alignment horizontal="right" wrapText="1"/>
    </xf>
    <xf numFmtId="4" fontId="5" fillId="0" borderId="0" applyFill="0" applyBorder="0" applyProtection="0">
      <alignment wrapText="1"/>
    </xf>
    <xf numFmtId="0" fontId="5" fillId="0" borderId="0" applyNumberFormat="0" applyFill="0" applyBorder="0" applyProtection="0">
      <alignment horizontal="left" vertical="top" wrapText="1"/>
    </xf>
    <xf numFmtId="0" fontId="110" fillId="0" borderId="0" applyNumberFormat="0" applyFill="0" applyBorder="0" applyProtection="0">
      <alignment horizontal="left" vertical="top" wrapText="1"/>
    </xf>
    <xf numFmtId="210" fontId="156" fillId="0" borderId="0" applyFill="0" applyBorder="0" applyProtection="0">
      <alignment horizontal="center" wrapText="1"/>
    </xf>
    <xf numFmtId="204" fontId="156" fillId="0" borderId="0" applyFill="0" applyBorder="0" applyProtection="0">
      <alignment horizontal="right" wrapText="1"/>
    </xf>
    <xf numFmtId="211" fontId="156" fillId="0" borderId="0" applyFill="0" applyBorder="0" applyProtection="0">
      <alignment horizontal="right" wrapText="1"/>
    </xf>
    <xf numFmtId="218" fontId="156" fillId="0" borderId="0" applyFill="0" applyBorder="0" applyProtection="0">
      <alignment horizontal="right" wrapText="1"/>
    </xf>
    <xf numFmtId="37" fontId="156" fillId="0" borderId="0" applyFill="0" applyBorder="0" applyProtection="0">
      <alignment horizontal="center" wrapText="1"/>
    </xf>
    <xf numFmtId="215" fontId="156" fillId="0" borderId="0" applyFill="0" applyBorder="0" applyProtection="0">
      <alignment horizontal="right"/>
    </xf>
    <xf numFmtId="219" fontId="156" fillId="0" borderId="0" applyFill="0" applyBorder="0" applyProtection="0">
      <alignment horizontal="right"/>
    </xf>
    <xf numFmtId="206" fontId="156" fillId="0" borderId="0" applyFill="0" applyBorder="0" applyProtection="0">
      <alignment horizontal="right"/>
    </xf>
    <xf numFmtId="4" fontId="156" fillId="0" borderId="0" applyFill="0" applyBorder="0" applyProtection="0">
      <alignment wrapText="1"/>
    </xf>
    <xf numFmtId="0" fontId="110" fillId="0" borderId="68" applyNumberFormat="0" applyFill="0" applyProtection="0">
      <alignment wrapText="1"/>
    </xf>
    <xf numFmtId="0" fontId="3" fillId="0" borderId="0" applyNumberFormat="0" applyFill="0" applyBorder="0" applyProtection="0"/>
    <xf numFmtId="0" fontId="110" fillId="0" borderId="68" applyNumberFormat="0" applyFill="0" applyProtection="0">
      <alignment horizontal="center" wrapText="1"/>
    </xf>
    <xf numFmtId="212" fontId="110" fillId="0" borderId="0" applyFill="0" applyBorder="0" applyProtection="0">
      <alignment horizontal="center" wrapText="1"/>
    </xf>
    <xf numFmtId="0" fontId="4" fillId="0" borderId="0" applyNumberFormat="0" applyFill="0" applyBorder="0" applyProtection="0">
      <alignment horizontal="justify" wrapText="1"/>
    </xf>
    <xf numFmtId="0" fontId="110" fillId="0" borderId="0" applyNumberFormat="0" applyFill="0" applyBorder="0" applyProtection="0">
      <alignment horizontal="centerContinuous" wrapText="1"/>
    </xf>
    <xf numFmtId="0" fontId="5" fillId="0" borderId="0" applyNumberFormat="0" applyFill="0" applyBorder="0" applyProtection="0">
      <alignment horizontal="left"/>
    </xf>
    <xf numFmtId="0" fontId="110" fillId="0" borderId="0" applyNumberFormat="0" applyFill="0" applyBorder="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92" fillId="0" borderId="0" applyAlignment="0"/>
    <xf numFmtId="6" fontId="149" fillId="0" borderId="69" applyFill="0">
      <alignment vertical="center"/>
    </xf>
    <xf numFmtId="0" fontId="93" fillId="0" borderId="0" applyAlignment="0"/>
    <xf numFmtId="0" fontId="106" fillId="0" borderId="0">
      <alignment horizontal="centerContinuous"/>
    </xf>
    <xf numFmtId="49" fontId="157" fillId="0" borderId="0"/>
    <xf numFmtId="0" fontId="5" fillId="0" borderId="0"/>
    <xf numFmtId="0" fontId="24" fillId="0" borderId="0" applyAlignment="0"/>
    <xf numFmtId="0" fontId="8" fillId="0" borderId="0" applyAlignment="0"/>
    <xf numFmtId="0" fontId="12" fillId="0" borderId="0" applyAlignment="0"/>
    <xf numFmtId="0" fontId="149" fillId="0" borderId="0" applyFill="0" applyBorder="0">
      <alignment vertical="center"/>
    </xf>
    <xf numFmtId="0" fontId="104" fillId="0" borderId="0">
      <alignment horizontal="center"/>
    </xf>
    <xf numFmtId="0" fontId="107" fillId="0" borderId="0"/>
    <xf numFmtId="38" fontId="158" fillId="0" borderId="0" applyNumberFormat="0" applyFill="0" applyBorder="0">
      <alignment horizontal="left" vertical="center"/>
    </xf>
    <xf numFmtId="38" fontId="159" fillId="0" borderId="0" applyNumberFormat="0" applyFill="0" applyBorder="0">
      <alignment horizontal="centerContinuous" vertical="center"/>
    </xf>
    <xf numFmtId="0" fontId="94" fillId="0" borderId="0" applyAlignment="0"/>
    <xf numFmtId="0" fontId="160" fillId="0" borderId="0"/>
    <xf numFmtId="0" fontId="161" fillId="0" borderId="0" applyFill="0" applyBorder="0" applyAlignment="0" applyProtection="0"/>
    <xf numFmtId="0" fontId="126" fillId="0" borderId="70" applyNumberFormat="0" applyFill="0" applyAlignment="0" applyProtection="0"/>
    <xf numFmtId="0" fontId="108" fillId="0" borderId="0"/>
    <xf numFmtId="0" fontId="108" fillId="7" borderId="0" applyFill="0"/>
    <xf numFmtId="0" fontId="108" fillId="7" borderId="0" applyFill="0"/>
    <xf numFmtId="0" fontId="111" fillId="0" borderId="0" applyNumberFormat="0"/>
    <xf numFmtId="171" fontId="162" fillId="0" borderId="0">
      <alignment horizontal="left"/>
      <protection locked="0"/>
    </xf>
    <xf numFmtId="0" fontId="109" fillId="0" borderId="0"/>
    <xf numFmtId="0" fontId="127" fillId="0" borderId="0" applyNumberFormat="0" applyFill="0" applyBorder="0" applyAlignment="0" applyProtection="0"/>
    <xf numFmtId="5" fontId="99" fillId="0" borderId="0">
      <alignment vertical="center"/>
    </xf>
    <xf numFmtId="0" fontId="163" fillId="58" borderId="0"/>
    <xf numFmtId="0" fontId="164" fillId="0" borderId="0" applyFill="0" applyBorder="0">
      <alignment vertical="center"/>
    </xf>
    <xf numFmtId="0" fontId="149" fillId="59" borderId="71" applyNumberFormat="0" applyFont="0" applyBorder="0" applyAlignment="0" applyProtection="0">
      <alignment horizontal="right"/>
    </xf>
    <xf numFmtId="0" fontId="107" fillId="0" borderId="0"/>
    <xf numFmtId="0" fontId="1" fillId="0" borderId="0"/>
    <xf numFmtId="0" fontId="107" fillId="0" borderId="0"/>
    <xf numFmtId="9"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42" fillId="42" borderId="63" applyNumberFormat="0" applyAlignment="0" applyProtection="0"/>
    <xf numFmtId="0" fontId="49" fillId="29" borderId="63" applyNumberFormat="0" applyAlignment="0" applyProtection="0"/>
    <xf numFmtId="0" fontId="2" fillId="45" borderId="66" applyNumberFormat="0" applyFont="0" applyAlignment="0" applyProtection="0"/>
    <xf numFmtId="0" fontId="52" fillId="42" borderId="67" applyNumberFormat="0" applyAlignment="0" applyProtection="0"/>
    <xf numFmtId="0" fontId="54" fillId="0" borderId="70" applyNumberFormat="0" applyFill="0" applyAlignment="0" applyProtection="0"/>
    <xf numFmtId="0" fontId="59" fillId="48" borderId="63" applyNumberFormat="0" applyAlignment="0" applyProtection="0"/>
    <xf numFmtId="0" fontId="4" fillId="0" borderId="72">
      <alignment horizontal="left" vertical="center"/>
    </xf>
    <xf numFmtId="0" fontId="64" fillId="44" borderId="63" applyNumberFormat="0" applyAlignment="0" applyProtection="0"/>
    <xf numFmtId="0" fontId="2" fillId="45" borderId="66" applyNumberFormat="0" applyFont="0" applyAlignment="0" applyProtection="0"/>
    <xf numFmtId="0" fontId="67" fillId="48" borderId="75" applyNumberFormat="0" applyAlignment="0" applyProtection="0"/>
    <xf numFmtId="1" fontId="57" fillId="0" borderId="76" applyNumberFormat="0" applyFont="0" applyFill="0" applyAlignment="0" applyProtection="0">
      <alignment horizontal="center"/>
    </xf>
    <xf numFmtId="0" fontId="54" fillId="0" borderId="77" applyNumberFormat="0" applyFill="0" applyAlignment="0" applyProtection="0"/>
    <xf numFmtId="197" fontId="17" fillId="0" borderId="74" applyFont="0" applyFill="0" applyBorder="0" applyAlignment="0" applyProtection="0"/>
    <xf numFmtId="0" fontId="2" fillId="0" borderId="0"/>
    <xf numFmtId="0" fontId="121" fillId="29" borderId="79" applyNumberFormat="0" applyAlignment="0" applyProtection="0"/>
    <xf numFmtId="0" fontId="2" fillId="45" borderId="80" applyNumberFormat="0" applyFont="0" applyAlignment="0" applyProtection="0"/>
    <xf numFmtId="0" fontId="124" fillId="42" borderId="81" applyNumberFormat="0" applyAlignment="0" applyProtection="0"/>
    <xf numFmtId="0" fontId="139" fillId="0" borderId="78" applyFill="0" applyProtection="0">
      <alignment horizontal="right"/>
    </xf>
    <xf numFmtId="0" fontId="114" fillId="42" borderId="79" applyNumberFormat="0" applyAlignment="0" applyProtection="0"/>
    <xf numFmtId="0" fontId="126" fillId="0" borderId="82" applyNumberFormat="0" applyFill="0" applyAlignment="0" applyProtection="0"/>
    <xf numFmtId="0" fontId="2" fillId="0" borderId="0"/>
    <xf numFmtId="0" fontId="2" fillId="0" borderId="0"/>
    <xf numFmtId="0" fontId="2" fillId="0" borderId="0"/>
    <xf numFmtId="0" fontId="42" fillId="42" borderId="79" applyNumberFormat="0" applyAlignment="0" applyProtection="0"/>
    <xf numFmtId="0" fontId="49" fillId="29" borderId="79" applyNumberFormat="0" applyAlignment="0" applyProtection="0"/>
    <xf numFmtId="0" fontId="2" fillId="45" borderId="80" applyNumberFormat="0" applyFont="0" applyAlignment="0" applyProtection="0"/>
    <xf numFmtId="0" fontId="52" fillId="42" borderId="81" applyNumberFormat="0" applyAlignment="0" applyProtection="0"/>
    <xf numFmtId="0" fontId="54" fillId="0" borderId="82" applyNumberFormat="0" applyFill="0" applyAlignment="0" applyProtection="0"/>
    <xf numFmtId="0" fontId="59" fillId="48" borderId="79" applyNumberFormat="0" applyAlignment="0" applyProtection="0"/>
    <xf numFmtId="0" fontId="64" fillId="44" borderId="79" applyNumberFormat="0" applyAlignment="0" applyProtection="0"/>
    <xf numFmtId="0" fontId="114" fillId="42" borderId="94" applyNumberFormat="0" applyAlignment="0" applyProtection="0"/>
    <xf numFmtId="0" fontId="2" fillId="45" borderId="80" applyNumberFormat="0" applyFont="0" applyAlignment="0" applyProtection="0"/>
    <xf numFmtId="0" fontId="139" fillId="0" borderId="93" applyFill="0" applyProtection="0">
      <alignment horizontal="right"/>
    </xf>
    <xf numFmtId="0" fontId="126" fillId="0" borderId="97" applyNumberFormat="0" applyFill="0" applyAlignment="0" applyProtection="0"/>
    <xf numFmtId="0" fontId="139" fillId="0" borderId="83" applyFill="0" applyProtection="0">
      <alignment horizontal="right"/>
    </xf>
    <xf numFmtId="0" fontId="114" fillId="42" borderId="84" applyNumberFormat="0" applyAlignment="0" applyProtection="0"/>
    <xf numFmtId="0" fontId="124" fillId="42" borderId="96" applyNumberFormat="0" applyAlignment="0" applyProtection="0"/>
    <xf numFmtId="0" fontId="2" fillId="45" borderId="95" applyNumberFormat="0" applyFont="0" applyAlignment="0" applyProtection="0"/>
    <xf numFmtId="0" fontId="121" fillId="29" borderId="94" applyNumberFormat="0" applyAlignment="0" applyProtection="0"/>
    <xf numFmtId="0" fontId="121" fillId="29" borderId="84" applyNumberFormat="0" applyAlignment="0" applyProtection="0"/>
    <xf numFmtId="0" fontId="2" fillId="45" borderId="85" applyNumberFormat="0" applyFont="0" applyAlignment="0" applyProtection="0"/>
    <xf numFmtId="0" fontId="124" fillId="42" borderId="86" applyNumberFormat="0" applyAlignment="0" applyProtection="0"/>
    <xf numFmtId="0" fontId="126" fillId="0" borderId="87" applyNumberFormat="0" applyFill="0" applyAlignment="0" applyProtection="0"/>
    <xf numFmtId="0" fontId="42" fillId="42" borderId="84" applyNumberFormat="0" applyAlignment="0" applyProtection="0"/>
    <xf numFmtId="0" fontId="49" fillId="29" borderId="84" applyNumberFormat="0" applyAlignment="0" applyProtection="0"/>
    <xf numFmtId="0" fontId="2" fillId="45" borderId="85" applyNumberFormat="0" applyFont="0" applyAlignment="0" applyProtection="0"/>
    <xf numFmtId="0" fontId="52" fillId="42" borderId="86" applyNumberFormat="0" applyAlignment="0" applyProtection="0"/>
    <xf numFmtId="0" fontId="54" fillId="0" borderId="87" applyNumberFormat="0" applyFill="0" applyAlignment="0" applyProtection="0"/>
    <xf numFmtId="0" fontId="59" fillId="48" borderId="84" applyNumberFormat="0" applyAlignment="0" applyProtection="0"/>
    <xf numFmtId="0" fontId="4" fillId="0" borderId="88">
      <alignment horizontal="left" vertical="center"/>
    </xf>
    <xf numFmtId="0" fontId="64" fillId="44" borderId="84" applyNumberFormat="0" applyAlignment="0" applyProtection="0"/>
    <xf numFmtId="0" fontId="2" fillId="45" borderId="85" applyNumberFormat="0" applyFont="0" applyAlignment="0" applyProtection="0"/>
    <xf numFmtId="0" fontId="67" fillId="48" borderId="90" applyNumberFormat="0" applyAlignment="0" applyProtection="0"/>
    <xf numFmtId="1" fontId="57" fillId="0" borderId="91" applyNumberFormat="0" applyFont="0" applyFill="0" applyAlignment="0" applyProtection="0">
      <alignment horizontal="center"/>
    </xf>
    <xf numFmtId="0" fontId="54" fillId="0" borderId="92" applyNumberFormat="0" applyFill="0" applyAlignment="0" applyProtection="0"/>
    <xf numFmtId="197" fontId="17" fillId="0" borderId="89" applyFont="0" applyFill="0" applyBorder="0" applyAlignment="0" applyProtection="0"/>
    <xf numFmtId="0" fontId="121" fillId="29" borderId="84" applyNumberFormat="0" applyAlignment="0" applyProtection="0"/>
    <xf numFmtId="0" fontId="2" fillId="45" borderId="85" applyNumberFormat="0" applyFont="0" applyAlignment="0" applyProtection="0"/>
    <xf numFmtId="0" fontId="124" fillId="42" borderId="86" applyNumberFormat="0" applyAlignment="0" applyProtection="0"/>
    <xf numFmtId="0" fontId="139" fillId="0" borderId="83" applyFill="0" applyProtection="0">
      <alignment horizontal="right"/>
    </xf>
    <xf numFmtId="0" fontId="114" fillId="42" borderId="84" applyNumberFormat="0" applyAlignment="0" applyProtection="0"/>
    <xf numFmtId="0" fontId="126" fillId="0" borderId="87" applyNumberFormat="0" applyFill="0" applyAlignment="0" applyProtection="0"/>
    <xf numFmtId="0" fontId="42" fillId="42" borderId="94" applyNumberFormat="0" applyAlignment="0" applyProtection="0"/>
    <xf numFmtId="0" fontId="49" fillId="29" borderId="94" applyNumberFormat="0" applyAlignment="0" applyProtection="0"/>
    <xf numFmtId="0" fontId="2" fillId="45" borderId="95" applyNumberFormat="0" applyFont="0" applyAlignment="0" applyProtection="0"/>
    <xf numFmtId="0" fontId="52" fillId="42" borderId="96" applyNumberFormat="0" applyAlignment="0" applyProtection="0"/>
    <xf numFmtId="0" fontId="54" fillId="0" borderId="97" applyNumberFormat="0" applyFill="0" applyAlignment="0" applyProtection="0"/>
    <xf numFmtId="0" fontId="59" fillId="48" borderId="94" applyNumberFormat="0" applyAlignment="0" applyProtection="0"/>
    <xf numFmtId="0" fontId="4" fillId="0" borderId="98">
      <alignment horizontal="left" vertical="center"/>
    </xf>
    <xf numFmtId="0" fontId="64" fillId="44" borderId="94" applyNumberFormat="0" applyAlignment="0" applyProtection="0"/>
    <xf numFmtId="0" fontId="2" fillId="45" borderId="95" applyNumberFormat="0" applyFont="0" applyAlignment="0" applyProtection="0"/>
    <xf numFmtId="0" fontId="67" fillId="48" borderId="100" applyNumberFormat="0" applyAlignment="0" applyProtection="0"/>
    <xf numFmtId="1" fontId="57" fillId="0" borderId="101" applyNumberFormat="0" applyFont="0" applyFill="0" applyAlignment="0" applyProtection="0">
      <alignment horizontal="center"/>
    </xf>
    <xf numFmtId="0" fontId="54" fillId="0" borderId="102" applyNumberFormat="0" applyFill="0" applyAlignment="0" applyProtection="0"/>
    <xf numFmtId="197" fontId="17" fillId="0" borderId="99" applyFont="0" applyFill="0" applyBorder="0" applyAlignment="0" applyProtection="0"/>
    <xf numFmtId="0" fontId="121" fillId="29" borderId="94" applyNumberFormat="0" applyAlignment="0" applyProtection="0"/>
    <xf numFmtId="0" fontId="2" fillId="45" borderId="95" applyNumberFormat="0" applyFont="0" applyAlignment="0" applyProtection="0"/>
    <xf numFmtId="0" fontId="124" fillId="42" borderId="96" applyNumberFormat="0" applyAlignment="0" applyProtection="0"/>
    <xf numFmtId="0" fontId="139" fillId="0" borderId="93" applyFill="0" applyProtection="0">
      <alignment horizontal="right"/>
    </xf>
    <xf numFmtId="0" fontId="114" fillId="42" borderId="94" applyNumberFormat="0" applyAlignment="0" applyProtection="0"/>
    <xf numFmtId="0" fontId="126" fillId="0" borderId="97" applyNumberFormat="0" applyFill="0" applyAlignment="0" applyProtection="0"/>
    <xf numFmtId="0" fontId="2" fillId="0" borderId="0"/>
    <xf numFmtId="43" fontId="2" fillId="0" borderId="0" applyFont="0" applyFill="0" applyBorder="0" applyAlignment="0" applyProtection="0"/>
    <xf numFmtId="43" fontId="10" fillId="0" borderId="0" applyFont="0" applyFill="0" applyBorder="0" applyAlignment="0" applyProtection="0"/>
    <xf numFmtId="4" fontId="56"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8" fontId="56" fillId="0" borderId="0" applyFont="0" applyFill="0" applyBorder="0" applyAlignment="0" applyProtection="0"/>
    <xf numFmtId="0" fontId="2" fillId="0" borderId="0"/>
    <xf numFmtId="0" fontId="10" fillId="0" borderId="0"/>
    <xf numFmtId="0" fontId="5" fillId="0" borderId="0"/>
    <xf numFmtId="0" fontId="13"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10" fillId="0" borderId="0" applyFont="0" applyFill="0" applyBorder="0" applyAlignment="0" applyProtection="0"/>
    <xf numFmtId="44" fontId="1" fillId="0" borderId="0" applyFont="0" applyFill="0" applyBorder="0" applyAlignment="0" applyProtection="0"/>
    <xf numFmtId="0" fontId="2" fillId="0" borderId="0"/>
    <xf numFmtId="9" fontId="1" fillId="0" borderId="0" applyFont="0" applyFill="0" applyBorder="0" applyAlignment="0" applyProtection="0"/>
    <xf numFmtId="9" fontId="10" fillId="0" borderId="0" applyFont="0" applyFill="0" applyBorder="0" applyAlignment="0" applyProtection="0"/>
    <xf numFmtId="0" fontId="1" fillId="0" borderId="0"/>
    <xf numFmtId="0" fontId="68" fillId="0" borderId="23">
      <alignment horizontal="center"/>
    </xf>
    <xf numFmtId="0" fontId="68" fillId="0" borderId="23">
      <alignment horizontal="center"/>
    </xf>
    <xf numFmtId="9"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ill="0" applyBorder="0" applyAlignment="0" applyProtection="0"/>
    <xf numFmtId="196" fontId="17" fillId="0" borderId="0" applyFont="0" applyFill="0" applyBorder="0" applyAlignment="0" applyProtection="0"/>
    <xf numFmtId="196" fontId="17" fillId="0" borderId="0" applyFont="0" applyFill="0" applyBorder="0" applyAlignment="0" applyProtection="0"/>
    <xf numFmtId="195" fontId="17" fillId="0" borderId="0" applyFont="0" applyFill="0" applyBorder="0" applyAlignment="0" applyProtection="0"/>
    <xf numFmtId="195" fontId="17" fillId="0" borderId="0" applyFont="0" applyFill="0" applyBorder="0" applyAlignment="0" applyProtection="0"/>
    <xf numFmtId="44" fontId="2" fillId="0" borderId="0" applyFont="0" applyFill="0" applyBorder="0" applyAlignment="0" applyProtection="0"/>
    <xf numFmtId="199" fontId="17" fillId="0" borderId="0"/>
    <xf numFmtId="199" fontId="17" fillId="0" borderId="0"/>
    <xf numFmtId="198" fontId="17" fillId="0" borderId="0"/>
    <xf numFmtId="198" fontId="17"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5" fillId="0" borderId="0"/>
    <xf numFmtId="0" fontId="10"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1" fontId="57" fillId="0" borderId="103" applyNumberFormat="0" applyFont="0" applyFill="0" applyAlignment="0" applyProtection="0">
      <alignment horizontal="center"/>
    </xf>
    <xf numFmtId="0" fontId="166" fillId="0" borderId="104" applyNumberFormat="0" applyFill="0" applyAlignment="0" applyProtection="0"/>
    <xf numFmtId="0" fontId="167" fillId="0" borderId="105" applyNumberFormat="0" applyFill="0" applyAlignment="0" applyProtection="0"/>
    <xf numFmtId="0" fontId="168" fillId="0" borderId="106" applyNumberFormat="0" applyFill="0" applyAlignment="0" applyProtection="0"/>
    <xf numFmtId="0" fontId="168" fillId="0" borderId="0" applyNumberFormat="0" applyFill="0" applyBorder="0" applyAlignment="0" applyProtection="0"/>
    <xf numFmtId="0" fontId="169" fillId="62" borderId="0" applyNumberFormat="0" applyBorder="0" applyAlignment="0" applyProtection="0"/>
    <xf numFmtId="0" fontId="170" fillId="63" borderId="0" applyNumberFormat="0" applyBorder="0" applyAlignment="0" applyProtection="0"/>
    <xf numFmtId="0" fontId="171" fillId="64" borderId="0" applyNumberFormat="0" applyBorder="0" applyAlignment="0" applyProtection="0"/>
    <xf numFmtId="0" fontId="172" fillId="65" borderId="107" applyNumberFormat="0" applyAlignment="0" applyProtection="0"/>
    <xf numFmtId="0" fontId="173" fillId="66" borderId="108" applyNumberFormat="0" applyAlignment="0" applyProtection="0"/>
    <xf numFmtId="0" fontId="174" fillId="66" borderId="107" applyNumberFormat="0" applyAlignment="0" applyProtection="0"/>
    <xf numFmtId="0" fontId="175" fillId="0" borderId="109" applyNumberFormat="0" applyFill="0" applyAlignment="0" applyProtection="0"/>
    <xf numFmtId="0" fontId="176" fillId="67" borderId="110" applyNumberFormat="0" applyAlignment="0" applyProtection="0"/>
    <xf numFmtId="0" fontId="177" fillId="0" borderId="0" applyNumberFormat="0" applyFill="0" applyBorder="0" applyAlignment="0" applyProtection="0"/>
    <xf numFmtId="0" fontId="1" fillId="11" borderId="27" applyNumberFormat="0" applyFont="0" applyAlignment="0" applyProtection="0"/>
    <xf numFmtId="0" fontId="178" fillId="0" borderId="0" applyNumberFormat="0" applyFill="0" applyBorder="0" applyAlignment="0" applyProtection="0"/>
    <xf numFmtId="0" fontId="38" fillId="0" borderId="111" applyNumberFormat="0" applyFill="0" applyAlignment="0" applyProtection="0"/>
    <xf numFmtId="0" fontId="179" fillId="68"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79" fillId="69" borderId="0" applyNumberFormat="0" applyBorder="0" applyAlignment="0" applyProtection="0"/>
    <xf numFmtId="0" fontId="179" fillId="70"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9" fillId="71" borderId="0" applyNumberFormat="0" applyBorder="0" applyAlignment="0" applyProtection="0"/>
    <xf numFmtId="0" fontId="179" fillId="72"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79" fillId="73" borderId="0" applyNumberFormat="0" applyBorder="0" applyAlignment="0" applyProtection="0"/>
    <xf numFmtId="0" fontId="179" fillId="74"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9" fillId="75" borderId="0" applyNumberFormat="0" applyBorder="0" applyAlignment="0" applyProtection="0"/>
    <xf numFmtId="0" fontId="179" fillId="76"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79" fillId="77" borderId="0" applyNumberFormat="0" applyBorder="0" applyAlignment="0" applyProtection="0"/>
    <xf numFmtId="0" fontId="179" fillId="78"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9" fillId="79" borderId="0" applyNumberFormat="0" applyBorder="0" applyAlignment="0" applyProtection="0"/>
    <xf numFmtId="0" fontId="180" fillId="0" borderId="0"/>
    <xf numFmtId="44" fontId="180" fillId="0" borderId="0" applyFont="0" applyFill="0" applyBorder="0" applyAlignment="0" applyProtection="0"/>
    <xf numFmtId="9" fontId="180" fillId="0" borderId="0" applyFont="0" applyFill="0" applyBorder="0" applyAlignment="0" applyProtection="0"/>
    <xf numFmtId="43" fontId="180" fillId="0" borderId="0" applyFont="0" applyFill="0" applyBorder="0" applyAlignment="0" applyProtection="0"/>
    <xf numFmtId="9" fontId="181" fillId="0" borderId="0" applyFont="0" applyFill="0" applyBorder="0" applyAlignment="0" applyProtection="0"/>
    <xf numFmtId="0" fontId="182" fillId="0" borderId="114"/>
    <xf numFmtId="5" fontId="183" fillId="0" borderId="0" applyFont="0" applyFill="0" applyBorder="0" applyAlignment="0" applyProtection="0"/>
    <xf numFmtId="8" fontId="183" fillId="0" borderId="0" applyFont="0" applyFill="0" applyBorder="0" applyAlignment="0" applyProtection="0"/>
    <xf numFmtId="9" fontId="183" fillId="0" borderId="0" applyFont="0" applyFill="0" applyBorder="0" applyAlignment="0" applyProtection="0"/>
    <xf numFmtId="10" fontId="183" fillId="0" borderId="0" applyFont="0" applyFill="0" applyBorder="0" applyAlignment="0" applyProtection="0"/>
    <xf numFmtId="44" fontId="104" fillId="0" borderId="0" applyFont="0" applyFill="0" applyBorder="0" applyAlignment="0" applyProtection="0"/>
    <xf numFmtId="42" fontId="104" fillId="0" borderId="0" applyFont="0" applyFill="0" applyBorder="0" applyAlignment="0" applyProtection="0"/>
    <xf numFmtId="222" fontId="2" fillId="0" borderId="0" applyFont="0" applyFill="0" applyBorder="0" applyAlignment="0" applyProtection="0"/>
    <xf numFmtId="223" fontId="2" fillId="0" borderId="0" applyFont="0" applyFill="0" applyBorder="0" applyAlignment="0" applyProtection="0"/>
    <xf numFmtId="0" fontId="184" fillId="0" borderId="0" applyNumberFormat="0" applyFill="0" applyBorder="0" applyAlignment="0" applyProtection="0"/>
    <xf numFmtId="0" fontId="104" fillId="0" borderId="0"/>
    <xf numFmtId="0" fontId="10" fillId="30"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44"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25" borderId="0" applyNumberFormat="0" applyBorder="0" applyAlignment="0" applyProtection="0"/>
    <xf numFmtId="0" fontId="10" fillId="30" borderId="0" applyNumberFormat="0" applyBorder="0" applyAlignment="0" applyProtection="0"/>
    <xf numFmtId="0" fontId="10" fillId="44"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3" borderId="0" applyNumberFormat="0" applyBorder="0" applyAlignment="0" applyProtection="0"/>
    <xf numFmtId="0" fontId="40" fillId="30" borderId="0" applyNumberFormat="0" applyBorder="0" applyAlignment="0" applyProtection="0"/>
    <xf numFmtId="0" fontId="40" fillId="41" borderId="0" applyNumberFormat="0" applyBorder="0" applyAlignment="0" applyProtection="0"/>
    <xf numFmtId="0" fontId="40" fillId="33" borderId="0" applyNumberFormat="0" applyBorder="0" applyAlignment="0" applyProtection="0"/>
    <xf numFmtId="0" fontId="40" fillId="25" borderId="0" applyNumberFormat="0" applyBorder="0" applyAlignment="0" applyProtection="0"/>
    <xf numFmtId="0" fontId="40" fillId="30" borderId="0" applyNumberFormat="0" applyBorder="0" applyAlignment="0" applyProtection="0"/>
    <xf numFmtId="0" fontId="40" fillId="44" borderId="0" applyNumberFormat="0" applyBorder="0" applyAlignment="0" applyProtection="0"/>
    <xf numFmtId="0" fontId="40" fillId="34"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7" borderId="0" applyNumberFormat="0" applyBorder="0" applyAlignment="0" applyProtection="0"/>
    <xf numFmtId="0" fontId="99" fillId="0" borderId="0"/>
    <xf numFmtId="1" fontId="185" fillId="0" borderId="0">
      <alignment horizontal="center"/>
    </xf>
    <xf numFmtId="1" fontId="186" fillId="0" borderId="0" applyFill="0" applyBorder="0" applyProtection="0">
      <alignment horizontal="right" wrapText="1"/>
      <protection locked="0"/>
    </xf>
    <xf numFmtId="224" fontId="101" fillId="0" borderId="0" applyFill="0" applyBorder="0" applyProtection="0">
      <alignment horizontal="right"/>
      <protection locked="0"/>
    </xf>
    <xf numFmtId="1" fontId="186" fillId="0" borderId="0" applyFill="0" applyBorder="0" applyProtection="0">
      <alignment horizontal="right" wrapText="1"/>
      <protection locked="0"/>
    </xf>
    <xf numFmtId="0" fontId="187" fillId="0" borderId="0" applyNumberFormat="0" applyFill="0" applyBorder="0" applyAlignment="0" applyProtection="0"/>
    <xf numFmtId="0" fontId="188" fillId="0" borderId="0" applyNumberFormat="0" applyFill="0" applyBorder="0" applyProtection="0">
      <protection locked="0"/>
    </xf>
    <xf numFmtId="224" fontId="189" fillId="0" borderId="0">
      <protection locked="0"/>
    </xf>
    <xf numFmtId="0" fontId="188" fillId="0" borderId="0" applyNumberFormat="0" applyFill="0" applyBorder="0" applyProtection="0">
      <protection locked="0"/>
    </xf>
    <xf numFmtId="171" fontId="104" fillId="0" borderId="0">
      <alignment vertical="top"/>
    </xf>
    <xf numFmtId="225" fontId="190" fillId="0" borderId="0" applyFill="0" applyBorder="0" applyProtection="0"/>
    <xf numFmtId="171" fontId="190" fillId="0" borderId="0">
      <alignment horizontal="left"/>
    </xf>
    <xf numFmtId="0" fontId="45" fillId="26" borderId="0" applyNumberFormat="0" applyBorder="0" applyAlignment="0" applyProtection="0"/>
    <xf numFmtId="0" fontId="183" fillId="0" borderId="15" applyNumberFormat="0" applyFont="0" applyFill="0" applyAlignment="0" applyProtection="0"/>
    <xf numFmtId="0" fontId="183" fillId="0" borderId="7" applyNumberFormat="0" applyFont="0" applyFill="0" applyAlignment="0" applyProtection="0"/>
    <xf numFmtId="0" fontId="183" fillId="0" borderId="8" applyNumberFormat="0" applyFont="0" applyFill="0" applyAlignment="0" applyProtection="0"/>
    <xf numFmtId="0" fontId="183" fillId="0" borderId="73" applyNumberFormat="0" applyFont="0" applyFill="0" applyAlignment="0" applyProtection="0"/>
    <xf numFmtId="0" fontId="45" fillId="26" borderId="0" applyNumberFormat="0" applyBorder="0" applyAlignment="0" applyProtection="0"/>
    <xf numFmtId="226" fontId="2" fillId="0" borderId="0" applyFont="0" applyFill="0" applyBorder="0" applyAlignment="0" applyProtection="0"/>
    <xf numFmtId="0" fontId="42" fillId="42" borderId="94" applyNumberFormat="0" applyAlignment="0" applyProtection="0"/>
    <xf numFmtId="0" fontId="43" fillId="43" borderId="29" applyNumberFormat="0" applyAlignment="0" applyProtection="0"/>
    <xf numFmtId="0" fontId="50" fillId="0" borderId="33" applyNumberFormat="0" applyFill="0" applyAlignment="0" applyProtection="0"/>
    <xf numFmtId="0" fontId="43" fillId="43" borderId="29" applyNumberFormat="0" applyAlignment="0" applyProtection="0"/>
    <xf numFmtId="0" fontId="55" fillId="0" borderId="115" applyNumberFormat="0" applyFill="0" applyAlignment="0" applyProtection="0"/>
    <xf numFmtId="1" fontId="191" fillId="0" borderId="0"/>
    <xf numFmtId="1" fontId="135" fillId="0" borderId="0">
      <protection locked="0"/>
    </xf>
    <xf numFmtId="0" fontId="17" fillId="0" borderId="0">
      <alignment horizontal="center" wrapText="1"/>
      <protection hidden="1"/>
    </xf>
    <xf numFmtId="227" fontId="192" fillId="0" borderId="0"/>
    <xf numFmtId="227" fontId="192" fillId="0" borderId="0"/>
    <xf numFmtId="227" fontId="192" fillId="0" borderId="0"/>
    <xf numFmtId="227" fontId="192" fillId="0" borderId="0"/>
    <xf numFmtId="227" fontId="192" fillId="0" borderId="0"/>
    <xf numFmtId="227" fontId="192" fillId="0" borderId="0"/>
    <xf numFmtId="227" fontId="192" fillId="0" borderId="0"/>
    <xf numFmtId="227" fontId="192" fillId="0" borderId="0"/>
    <xf numFmtId="228" fontId="56" fillId="0" borderId="15"/>
    <xf numFmtId="3" fontId="2" fillId="0" borderId="0" applyFont="0" applyFill="0" applyBorder="0" applyAlignment="0" applyProtection="0"/>
    <xf numFmtId="0" fontId="193" fillId="81" borderId="0">
      <alignment horizontal="center" vertical="center" wrapText="1"/>
    </xf>
    <xf numFmtId="38" fontId="97" fillId="0" borderId="0" applyNumberFormat="0" applyFill="0" applyBorder="0">
      <alignment horizontal="left"/>
    </xf>
    <xf numFmtId="229" fontId="2" fillId="0" borderId="0" applyFill="0" applyBorder="0">
      <alignment horizontal="right"/>
      <protection locked="0"/>
    </xf>
    <xf numFmtId="8" fontId="100" fillId="0" borderId="0" applyFont="0" applyFill="0" applyBorder="0" applyAlignment="0" applyProtection="0">
      <alignment horizontal="left"/>
    </xf>
    <xf numFmtId="220" fontId="194" fillId="0" borderId="0" applyFont="0" applyFill="0" applyBorder="0" applyAlignment="0" applyProtection="0"/>
    <xf numFmtId="230" fontId="2" fillId="0" borderId="0" applyFont="0" applyFill="0" applyBorder="0" applyAlignment="0" applyProtection="0"/>
    <xf numFmtId="0" fontId="17" fillId="0" borderId="0" applyFont="0" applyFill="0" applyBorder="0" applyAlignment="0">
      <protection locked="0"/>
    </xf>
    <xf numFmtId="231" fontId="2" fillId="0" borderId="0" applyFont="0" applyFill="0" applyBorder="0" applyAlignment="0" applyProtection="0"/>
    <xf numFmtId="0" fontId="2" fillId="0" borderId="0" applyFont="0" applyFill="0" applyBorder="0" applyAlignment="0" applyProtection="0"/>
    <xf numFmtId="17" fontId="98" fillId="0" borderId="73" applyFont="0" applyFill="0" applyBorder="0" applyAlignment="0" applyProtection="0"/>
    <xf numFmtId="37" fontId="195" fillId="0" borderId="0"/>
    <xf numFmtId="232" fontId="196" fillId="0" borderId="0"/>
    <xf numFmtId="233" fontId="196" fillId="0" borderId="0"/>
    <xf numFmtId="0" fontId="48" fillId="0" borderId="0" applyNumberFormat="0" applyFill="0" applyBorder="0" applyAlignment="0" applyProtection="0"/>
    <xf numFmtId="0" fontId="40" fillId="47" borderId="0" applyNumberFormat="0" applyBorder="0" applyAlignment="0" applyProtection="0"/>
    <xf numFmtId="0" fontId="40" fillId="41" borderId="0" applyNumberFormat="0" applyBorder="0" applyAlignment="0" applyProtection="0"/>
    <xf numFmtId="0" fontId="40" fillId="33" borderId="0" applyNumberFormat="0" applyBorder="0" applyAlignment="0" applyProtection="0"/>
    <xf numFmtId="0" fontId="40" fillId="82" borderId="0" applyNumberFormat="0" applyBorder="0" applyAlignment="0" applyProtection="0"/>
    <xf numFmtId="0" fontId="40" fillId="36" borderId="0" applyNumberFormat="0" applyBorder="0" applyAlignment="0" applyProtection="0"/>
    <xf numFmtId="0" fontId="40" fillId="39"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41" borderId="0" applyNumberFormat="0" applyBorder="0" applyAlignment="0" applyProtection="0"/>
    <xf numFmtId="0" fontId="49" fillId="29" borderId="94" applyNumberFormat="0" applyAlignment="0" applyProtection="0"/>
    <xf numFmtId="234" fontId="2" fillId="0" borderId="0" applyFont="0" applyFill="0" applyBorder="0" applyAlignment="0" applyProtection="0"/>
    <xf numFmtId="0" fontId="197" fillId="0" borderId="0">
      <protection locked="0"/>
    </xf>
    <xf numFmtId="0" fontId="197" fillId="0" borderId="0">
      <protection locked="0"/>
    </xf>
    <xf numFmtId="0" fontId="197" fillId="0" borderId="0">
      <protection locked="0"/>
    </xf>
    <xf numFmtId="0" fontId="197" fillId="0" borderId="0">
      <protection locked="0"/>
    </xf>
    <xf numFmtId="0" fontId="197" fillId="0" borderId="0">
      <protection locked="0"/>
    </xf>
    <xf numFmtId="0" fontId="197" fillId="0" borderId="0">
      <protection locked="0"/>
    </xf>
    <xf numFmtId="0" fontId="197" fillId="0" borderId="0">
      <protection locked="0"/>
    </xf>
    <xf numFmtId="0" fontId="17" fillId="0" borderId="0"/>
    <xf numFmtId="2" fontId="2" fillId="0" borderId="0" applyFont="0" applyFill="0" applyBorder="0" applyAlignment="0" applyProtection="0"/>
    <xf numFmtId="235" fontId="99" fillId="0" borderId="0" applyFont="0" applyFill="0" applyBorder="0" applyAlignment="0" applyProtection="0">
      <protection locked="0"/>
    </xf>
    <xf numFmtId="13" fontId="99" fillId="0" borderId="0" applyFont="0" applyFill="0" applyBorder="0" applyAlignment="0" applyProtection="0">
      <protection locked="0"/>
    </xf>
    <xf numFmtId="38" fontId="5" fillId="7" borderId="0" applyNumberFormat="0" applyBorder="0" applyAlignment="0" applyProtection="0"/>
    <xf numFmtId="168" fontId="198" fillId="0" borderId="0" applyFill="0" applyBorder="0" applyProtection="0">
      <alignment horizontal="right"/>
      <protection locked="0"/>
    </xf>
    <xf numFmtId="0" fontId="14" fillId="0" borderId="0" applyNumberFormat="0" applyFill="0" applyBorder="0" applyAlignment="0" applyProtection="0">
      <alignment vertical="top"/>
      <protection locked="0"/>
    </xf>
    <xf numFmtId="0" fontId="128"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41" fillId="25" borderId="0" applyNumberFormat="0" applyBorder="0" applyAlignment="0" applyProtection="0"/>
    <xf numFmtId="0" fontId="41" fillId="27" borderId="0" applyNumberFormat="0" applyBorder="0" applyAlignment="0" applyProtection="0"/>
    <xf numFmtId="10" fontId="5" fillId="2" borderId="113" applyNumberFormat="0" applyBorder="0" applyAlignment="0" applyProtection="0"/>
    <xf numFmtId="13" fontId="186" fillId="0" borderId="116" applyNumberFormat="0" applyFont="0" applyFill="0" applyAlignment="0" applyProtection="0">
      <alignment horizontal="right" wrapText="1"/>
      <protection locked="0"/>
    </xf>
    <xf numFmtId="0" fontId="2" fillId="0" borderId="0" applyFill="0" applyBorder="0">
      <alignment horizontal="right"/>
      <protection locked="0"/>
    </xf>
    <xf numFmtId="38" fontId="102" fillId="0" borderId="0" applyNumberFormat="0" applyBorder="0" applyProtection="0">
      <alignment horizontal="left"/>
    </xf>
    <xf numFmtId="236" fontId="2" fillId="0" borderId="0" applyFill="0" applyBorder="0">
      <alignment horizontal="right"/>
      <protection locked="0"/>
    </xf>
    <xf numFmtId="0" fontId="3" fillId="80" borderId="117">
      <alignment horizontal="left" vertical="center" wrapText="1"/>
    </xf>
    <xf numFmtId="15" fontId="2" fillId="0" borderId="0"/>
    <xf numFmtId="237" fontId="2" fillId="0" borderId="0" applyFont="0" applyFill="0" applyBorder="0" applyAlignment="0" applyProtection="0"/>
    <xf numFmtId="4" fontId="199" fillId="0" borderId="0" applyFont="0" applyFill="0" applyBorder="0" applyAlignment="0" applyProtection="0"/>
    <xf numFmtId="238" fontId="2" fillId="0" borderId="0" applyFont="0" applyFill="0" applyBorder="0" applyAlignment="0" applyProtection="0"/>
    <xf numFmtId="14" fontId="183"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239" fontId="2" fillId="0" borderId="0" applyFont="0" applyFill="0" applyBorder="0" applyAlignment="0" applyProtection="0"/>
    <xf numFmtId="240" fontId="2" fillId="0" borderId="0" applyFont="0" applyFill="0" applyBorder="0" applyAlignment="0" applyProtection="0"/>
    <xf numFmtId="0" fontId="200" fillId="44" borderId="0" applyNumberFormat="0" applyBorder="0" applyAlignment="0" applyProtection="0"/>
    <xf numFmtId="0" fontId="13" fillId="0" borderId="0"/>
    <xf numFmtId="241" fontId="151" fillId="0" borderId="0"/>
    <xf numFmtId="0" fontId="1" fillId="0" borderId="0"/>
    <xf numFmtId="0" fontId="201" fillId="0" borderId="0"/>
    <xf numFmtId="171" fontId="102" fillId="0" borderId="0" applyBorder="0">
      <alignment horizontal="left"/>
    </xf>
    <xf numFmtId="0" fontId="181" fillId="44" borderId="95" applyNumberFormat="0" applyFont="0" applyAlignment="0" applyProtection="0"/>
    <xf numFmtId="0" fontId="10" fillId="45" borderId="95" applyNumberFormat="0" applyFont="0" applyAlignment="0" applyProtection="0"/>
    <xf numFmtId="242" fontId="202" fillId="0" borderId="0" applyFont="0" applyFill="0" applyBorder="0" applyAlignment="0" applyProtection="0"/>
    <xf numFmtId="43" fontId="104" fillId="0" borderId="0" applyFont="0" applyFill="0" applyBorder="0" applyAlignment="0" applyProtection="0"/>
    <xf numFmtId="41" fontId="104" fillId="0" borderId="0" applyFont="0" applyFill="0" applyBorder="0" applyAlignment="0" applyProtection="0"/>
    <xf numFmtId="243" fontId="203" fillId="0" borderId="0">
      <protection locked="0"/>
    </xf>
    <xf numFmtId="10" fontId="2" fillId="0" borderId="0" applyFont="0" applyFill="0" applyBorder="0" applyAlignment="0" applyProtection="0"/>
    <xf numFmtId="168" fontId="194" fillId="0" borderId="0" applyFont="0" applyFill="0" applyBorder="0" applyAlignment="0" applyProtection="0"/>
    <xf numFmtId="10" fontId="194" fillId="0" borderId="0" applyFont="0" applyFill="0" applyBorder="0" applyAlignment="0" applyProtection="0"/>
    <xf numFmtId="9" fontId="2" fillId="0" borderId="0"/>
    <xf numFmtId="244" fontId="2" fillId="0" borderId="0" applyFill="0" applyBorder="0">
      <alignment horizontal="right"/>
      <protection locked="0"/>
    </xf>
    <xf numFmtId="2" fontId="2" fillId="0" borderId="0" applyFont="0" applyFill="0" applyAlignment="0" applyProtection="0"/>
    <xf numFmtId="9" fontId="2" fillId="0" borderId="0" applyNumberFormat="0" applyFill="0" applyBorder="0" applyAlignment="0" applyProtection="0"/>
    <xf numFmtId="245" fontId="17" fillId="0" borderId="0" applyFill="0" applyBorder="0">
      <alignment horizontal="right"/>
      <protection locked="0"/>
    </xf>
    <xf numFmtId="246" fontId="2" fillId="0" borderId="0">
      <alignment horizontal="right"/>
      <protection locked="0"/>
    </xf>
    <xf numFmtId="0" fontId="204" fillId="0" borderId="0" applyNumberFormat="0" applyFill="0" applyBorder="0" applyProtection="0">
      <protection locked="0"/>
    </xf>
    <xf numFmtId="0" fontId="52" fillId="48" borderId="96" applyNumberFormat="0" applyAlignment="0" applyProtection="0"/>
    <xf numFmtId="0" fontId="52" fillId="42" borderId="96" applyNumberFormat="0" applyAlignment="0" applyProtection="0"/>
    <xf numFmtId="247" fontId="205" fillId="0" borderId="0" applyFill="0" applyBorder="0">
      <alignment horizontal="right"/>
      <protection hidden="1"/>
    </xf>
    <xf numFmtId="0" fontId="206" fillId="81" borderId="113">
      <alignment horizontal="center" vertical="center" wrapText="1"/>
      <protection hidden="1"/>
    </xf>
    <xf numFmtId="38" fontId="17"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224" fontId="207" fillId="83" borderId="0" applyNumberFormat="0" applyFont="0" applyBorder="0" applyAlignment="0" applyProtection="0">
      <protection locked="0"/>
    </xf>
    <xf numFmtId="248" fontId="17" fillId="0" borderId="0">
      <protection locked="0"/>
    </xf>
    <xf numFmtId="38" fontId="208" fillId="0" borderId="0" applyNumberFormat="0" applyBorder="0">
      <alignment horizontal="left"/>
    </xf>
    <xf numFmtId="0" fontId="183" fillId="0" borderId="0" applyNumberFormat="0" applyFont="0" applyFill="0" applyBorder="0" applyProtection="0">
      <alignment horizontal="left" vertical="top" wrapText="1"/>
    </xf>
    <xf numFmtId="0" fontId="55" fillId="0" borderId="0" applyNumberFormat="0" applyFill="0" applyBorder="0" applyAlignment="0" applyProtection="0"/>
    <xf numFmtId="0" fontId="55" fillId="0" borderId="0" applyNumberFormat="0" applyFill="0" applyBorder="0" applyAlignment="0" applyProtection="0"/>
    <xf numFmtId="0" fontId="44" fillId="0" borderId="0" applyNumberFormat="0" applyFill="0" applyBorder="0" applyAlignment="0" applyProtection="0"/>
    <xf numFmtId="0" fontId="17" fillId="0" borderId="0" applyBorder="0"/>
    <xf numFmtId="0" fontId="53" fillId="0" borderId="0" applyNumberFormat="0" applyFill="0" applyBorder="0" applyAlignment="0" applyProtection="0"/>
    <xf numFmtId="0" fontId="46" fillId="0" borderId="30" applyNumberFormat="0" applyFill="0" applyAlignment="0" applyProtection="0"/>
    <xf numFmtId="0" fontId="47" fillId="0" borderId="31" applyNumberFormat="0" applyFill="0" applyAlignment="0" applyProtection="0"/>
    <xf numFmtId="0" fontId="48" fillId="0" borderId="32" applyNumberFormat="0" applyFill="0" applyAlignment="0" applyProtection="0"/>
    <xf numFmtId="0" fontId="67" fillId="0" borderId="0" applyNumberFormat="0" applyFill="0" applyBorder="0" applyAlignment="0" applyProtection="0"/>
    <xf numFmtId="1" fontId="100" fillId="0" borderId="15" applyNumberFormat="0">
      <alignment horizontal="right"/>
    </xf>
    <xf numFmtId="0" fontId="17" fillId="0" borderId="0"/>
    <xf numFmtId="0" fontId="99" fillId="84" borderId="0" applyNumberFormat="0" applyFont="0" applyBorder="0" applyAlignment="0" applyProtection="0"/>
    <xf numFmtId="5" fontId="183" fillId="0" borderId="0" applyFont="0" applyFill="0" applyBorder="0" applyAlignment="0" applyProtection="0"/>
    <xf numFmtId="8" fontId="183" fillId="0" borderId="0" applyFont="0" applyFill="0" applyBorder="0" applyAlignment="0" applyProtection="0"/>
    <xf numFmtId="9" fontId="183" fillId="0" borderId="0" applyFont="0" applyFill="0" applyBorder="0" applyAlignment="0" applyProtection="0"/>
    <xf numFmtId="10" fontId="183" fillId="0" borderId="0" applyFont="0" applyFill="0" applyBorder="0" applyAlignment="0" applyProtection="0"/>
    <xf numFmtId="0" fontId="183" fillId="0" borderId="15" applyNumberFormat="0" applyFont="0" applyFill="0" applyAlignment="0" applyProtection="0"/>
    <xf numFmtId="0" fontId="183" fillId="0" borderId="7" applyNumberFormat="0" applyFont="0" applyFill="0" applyAlignment="0" applyProtection="0"/>
    <xf numFmtId="0" fontId="183" fillId="0" borderId="8" applyNumberFormat="0" applyFont="0" applyFill="0" applyAlignment="0" applyProtection="0"/>
    <xf numFmtId="0" fontId="183" fillId="0" borderId="73" applyNumberFormat="0" applyFont="0" applyFill="0" applyAlignment="0" applyProtection="0"/>
    <xf numFmtId="14" fontId="183" fillId="0" borderId="0" applyFont="0" applyFill="0" applyBorder="0" applyAlignment="0" applyProtection="0"/>
    <xf numFmtId="0" fontId="1" fillId="0" borderId="0"/>
    <xf numFmtId="5" fontId="183" fillId="0" borderId="0" applyFont="0" applyFill="0" applyBorder="0" applyAlignment="0" applyProtection="0"/>
    <xf numFmtId="0" fontId="183" fillId="0" borderId="0" applyNumberFormat="0" applyFont="0" applyFill="0" applyBorder="0" applyProtection="0">
      <alignment horizontal="left" vertical="top" wrapText="1"/>
    </xf>
    <xf numFmtId="5" fontId="183" fillId="0" borderId="0" applyFont="0" applyFill="0" applyBorder="0" applyAlignment="0" applyProtection="0"/>
    <xf numFmtId="5" fontId="183" fillId="0" borderId="0" applyFont="0" applyFill="0" applyBorder="0" applyAlignment="0" applyProtection="0"/>
    <xf numFmtId="5" fontId="183" fillId="0" borderId="0" applyFont="0" applyFill="0" applyBorder="0" applyAlignment="0" applyProtection="0"/>
    <xf numFmtId="5" fontId="183" fillId="0" borderId="0" applyFont="0" applyFill="0" applyBorder="0" applyAlignment="0" applyProtection="0"/>
    <xf numFmtId="5" fontId="183" fillId="0" borderId="0" applyFont="0" applyFill="0" applyBorder="0" applyAlignment="0" applyProtection="0"/>
    <xf numFmtId="5" fontId="183" fillId="0" borderId="0" applyFont="0" applyFill="0" applyBorder="0" applyAlignment="0" applyProtection="0"/>
    <xf numFmtId="0" fontId="1" fillId="15" borderId="0" applyNumberFormat="0" applyBorder="0" applyAlignment="0" applyProtection="0"/>
    <xf numFmtId="5" fontId="183" fillId="0" borderId="0" applyFont="0" applyFill="0" applyBorder="0" applyAlignment="0" applyProtection="0"/>
    <xf numFmtId="8" fontId="183" fillId="0" borderId="0" applyFont="0" applyFill="0" applyBorder="0" applyAlignment="0" applyProtection="0"/>
    <xf numFmtId="9" fontId="183" fillId="0" borderId="0" applyFont="0" applyFill="0" applyBorder="0" applyAlignment="0" applyProtection="0"/>
    <xf numFmtId="10" fontId="183" fillId="0" borderId="0" applyFont="0" applyFill="0" applyBorder="0" applyAlignment="0" applyProtection="0"/>
    <xf numFmtId="0" fontId="1" fillId="13" borderId="0" applyNumberFormat="0" applyBorder="0" applyAlignment="0" applyProtection="0"/>
    <xf numFmtId="5" fontId="183" fillId="0" borderId="0" applyFont="0" applyFill="0" applyBorder="0" applyAlignment="0" applyProtection="0"/>
    <xf numFmtId="0" fontId="1" fillId="15" borderId="0" applyNumberFormat="0" applyBorder="0" applyAlignment="0" applyProtection="0"/>
    <xf numFmtId="0" fontId="1" fillId="0" borderId="0"/>
    <xf numFmtId="5" fontId="183" fillId="0" borderId="0" applyFont="0" applyFill="0" applyBorder="0" applyAlignment="0" applyProtection="0"/>
    <xf numFmtId="0" fontId="1" fillId="15" borderId="0" applyNumberFormat="0" applyBorder="0" applyAlignment="0" applyProtection="0"/>
    <xf numFmtId="0" fontId="209" fillId="0" borderId="0" applyFill="0" applyBorder="0" applyAlignment="0" applyProtection="0"/>
    <xf numFmtId="44" fontId="1" fillId="0" borderId="0" applyFont="0" applyFill="0" applyBorder="0" applyAlignment="0" applyProtection="0"/>
    <xf numFmtId="0" fontId="110" fillId="0" borderId="0" applyFill="0" applyAlignment="0" applyProtection="0"/>
    <xf numFmtId="44" fontId="5" fillId="0" borderId="0" applyFont="0" applyFill="0" applyBorder="0" applyAlignment="0" applyProtection="0"/>
    <xf numFmtId="0" fontId="183" fillId="0" borderId="15" applyNumberFormat="0" applyFont="0" applyFill="0" applyAlignment="0" applyProtection="0"/>
    <xf numFmtId="0" fontId="183" fillId="0" borderId="7" applyNumberFormat="0" applyFont="0" applyFill="0" applyAlignment="0" applyProtection="0"/>
    <xf numFmtId="0" fontId="183" fillId="0" borderId="8" applyNumberFormat="0" applyFont="0" applyFill="0" applyAlignment="0" applyProtection="0"/>
    <xf numFmtId="0" fontId="183" fillId="0" borderId="73" applyNumberFormat="0" applyFont="0" applyFill="0" applyAlignment="0" applyProtection="0"/>
    <xf numFmtId="43" fontId="2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166" fontId="2" fillId="0" borderId="0" applyFont="0" applyFill="0" applyBorder="0" applyAlignment="0" applyProtection="0"/>
    <xf numFmtId="43" fontId="1" fillId="0" borderId="0" applyFont="0" applyFill="0" applyBorder="0" applyAlignment="0" applyProtection="0"/>
    <xf numFmtId="249" fontId="2" fillId="0" borderId="0" applyFont="0" applyFill="0" applyBorder="0" applyAlignment="0" applyProtection="0"/>
    <xf numFmtId="249" fontId="2" fillId="0" borderId="0" applyFont="0" applyFill="0" applyBorder="0" applyAlignment="0" applyProtection="0"/>
    <xf numFmtId="250" fontId="2" fillId="0" borderId="0" applyFont="0" applyFill="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14" fontId="183" fillId="0" borderId="0" applyFont="0" applyFill="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0" borderId="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5" fontId="183" fillId="0" borderId="0" applyFont="0" applyFill="0" applyBorder="0" applyAlignment="0" applyProtection="0"/>
    <xf numFmtId="0" fontId="183" fillId="0" borderId="0" applyNumberFormat="0" applyFont="0" applyFill="0" applyBorder="0" applyProtection="0">
      <alignment horizontal="left" vertical="top" wrapText="1"/>
    </xf>
    <xf numFmtId="0" fontId="1" fillId="15" borderId="0" applyNumberFormat="0" applyBorder="0" applyAlignment="0" applyProtection="0"/>
    <xf numFmtId="0" fontId="211" fillId="0" borderId="0"/>
    <xf numFmtId="5" fontId="183" fillId="0" borderId="0" applyFont="0" applyFill="0" applyBorder="0" applyAlignment="0" applyProtection="0"/>
    <xf numFmtId="0" fontId="1" fillId="21" borderId="0" applyNumberFormat="0" applyBorder="0" applyAlignment="0" applyProtection="0"/>
    <xf numFmtId="43" fontId="1" fillId="0" borderId="0" applyFont="0" applyFill="0" applyBorder="0" applyAlignment="0" applyProtection="0"/>
    <xf numFmtId="5" fontId="183" fillId="0" borderId="0" applyFont="0" applyFill="0" applyBorder="0" applyAlignment="0" applyProtection="0"/>
    <xf numFmtId="43" fontId="1" fillId="0" borderId="0" applyFont="0" applyFill="0" applyBorder="0" applyAlignment="0" applyProtection="0"/>
    <xf numFmtId="0" fontId="104" fillId="0" borderId="0" applyFill="0" applyBorder="0" applyAlignment="0" applyProtection="0"/>
    <xf numFmtId="0" fontId="1" fillId="19" borderId="0" applyNumberFormat="0" applyBorder="0" applyAlignment="0" applyProtection="0"/>
    <xf numFmtId="5" fontId="183" fillId="0" borderId="0" applyFont="0" applyFill="0" applyBorder="0" applyAlignment="0" applyProtection="0"/>
    <xf numFmtId="0" fontId="1" fillId="23" borderId="0" applyNumberFormat="0" applyBorder="0" applyAlignment="0" applyProtection="0"/>
    <xf numFmtId="44" fontId="212" fillId="0" borderId="0" applyFont="0" applyFill="0" applyBorder="0" applyAlignment="0" applyProtection="0"/>
    <xf numFmtId="5" fontId="183" fillId="0" borderId="0" applyFont="0" applyFill="0" applyBorder="0" applyAlignment="0" applyProtection="0"/>
    <xf numFmtId="0" fontId="1" fillId="21" borderId="0" applyNumberFormat="0" applyBorder="0" applyAlignment="0" applyProtection="0"/>
    <xf numFmtId="0" fontId="1" fillId="19" borderId="0" applyNumberFormat="0" applyBorder="0" applyAlignment="0" applyProtection="0"/>
    <xf numFmtId="5" fontId="183" fillId="0" borderId="0" applyFont="0" applyFill="0" applyBorder="0" applyAlignment="0" applyProtection="0"/>
    <xf numFmtId="0" fontId="1" fillId="23" borderId="0" applyNumberFormat="0" applyBorder="0" applyAlignment="0" applyProtection="0"/>
    <xf numFmtId="43" fontId="1" fillId="0" borderId="0" applyFont="0" applyFill="0" applyBorder="0" applyAlignment="0" applyProtection="0"/>
    <xf numFmtId="5" fontId="183" fillId="0" borderId="0" applyFont="0" applyFill="0" applyBorder="0" applyAlignment="0" applyProtection="0"/>
    <xf numFmtId="0" fontId="1" fillId="21" borderId="0" applyNumberFormat="0" applyBorder="0" applyAlignment="0" applyProtection="0"/>
    <xf numFmtId="0" fontId="1" fillId="19" borderId="0" applyNumberFormat="0" applyBorder="0" applyAlignment="0" applyProtection="0"/>
    <xf numFmtId="5" fontId="183" fillId="0" borderId="0" applyFont="0" applyFill="0" applyBorder="0" applyAlignment="0" applyProtection="0"/>
    <xf numFmtId="0" fontId="1" fillId="23" borderId="0" applyNumberFormat="0" applyBorder="0" applyAlignment="0" applyProtection="0"/>
    <xf numFmtId="0" fontId="1" fillId="13" borderId="0" applyNumberFormat="0" applyBorder="0" applyAlignment="0" applyProtection="0"/>
    <xf numFmtId="43" fontId="1" fillId="0" borderId="0" applyFont="0" applyFill="0" applyBorder="0" applyAlignment="0" applyProtection="0"/>
    <xf numFmtId="5" fontId="183" fillId="0" borderId="0" applyFont="0" applyFill="0" applyBorder="0" applyAlignment="0" applyProtection="0"/>
    <xf numFmtId="0" fontId="1" fillId="21" borderId="0" applyNumberFormat="0" applyBorder="0" applyAlignment="0" applyProtection="0"/>
    <xf numFmtId="0" fontId="3" fillId="0" borderId="0" applyFill="0" applyAlignment="0" applyProtection="0"/>
    <xf numFmtId="0" fontId="1" fillId="21" borderId="0" applyNumberFormat="0" applyBorder="0" applyAlignment="0" applyProtection="0"/>
    <xf numFmtId="5" fontId="183"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250" fontId="2" fillId="0" borderId="0" applyFont="0" applyFill="0" applyBorder="0" applyAlignment="0" applyProtection="0"/>
    <xf numFmtId="5" fontId="183" fillId="0" borderId="0" applyFont="0" applyFill="0" applyBorder="0" applyAlignment="0" applyProtection="0"/>
    <xf numFmtId="0" fontId="1" fillId="21" borderId="0" applyNumberFormat="0" applyBorder="0" applyAlignment="0" applyProtection="0"/>
    <xf numFmtId="43" fontId="5" fillId="0" borderId="0" applyFont="0" applyFill="0" applyBorder="0" applyAlignment="0" applyProtection="0"/>
    <xf numFmtId="0" fontId="1" fillId="21" borderId="0" applyNumberFormat="0" applyBorder="0" applyAlignment="0" applyProtection="0"/>
    <xf numFmtId="5" fontId="183" fillId="0" borderId="0" applyFont="0" applyFill="0" applyBorder="0" applyAlignment="0" applyProtection="0"/>
    <xf numFmtId="0" fontId="1" fillId="15" borderId="0" applyNumberFormat="0" applyBorder="0" applyAlignment="0" applyProtection="0"/>
    <xf numFmtId="251" fontId="2" fillId="0" borderId="0" applyFont="0" applyFill="0" applyBorder="0" applyAlignment="0" applyProtection="0"/>
    <xf numFmtId="5" fontId="183" fillId="0" borderId="0" applyFont="0" applyFill="0" applyBorder="0" applyAlignment="0" applyProtection="0"/>
    <xf numFmtId="0" fontId="1" fillId="21" borderId="0" applyNumberFormat="0" applyBorder="0" applyAlignment="0" applyProtection="0"/>
    <xf numFmtId="0" fontId="1" fillId="21" borderId="0" applyNumberFormat="0" applyBorder="0" applyAlignment="0" applyProtection="0"/>
    <xf numFmtId="5" fontId="183" fillId="0" borderId="0" applyFont="0" applyFill="0" applyBorder="0" applyAlignment="0" applyProtection="0"/>
    <xf numFmtId="0" fontId="1" fillId="23" borderId="0" applyNumberFormat="0" applyBorder="0" applyAlignment="0" applyProtection="0"/>
    <xf numFmtId="251" fontId="2" fillId="0" borderId="0" applyFont="0" applyFill="0" applyBorder="0" applyAlignment="0" applyProtection="0"/>
    <xf numFmtId="5" fontId="183"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234" fontId="2" fillId="0" borderId="0" applyFont="0" applyFill="0" applyBorder="0" applyAlignment="0" applyProtection="0"/>
    <xf numFmtId="0" fontId="1" fillId="21" borderId="0" applyNumberFormat="0" applyBorder="0" applyAlignment="0" applyProtection="0"/>
    <xf numFmtId="5" fontId="183" fillId="0" borderId="0" applyFont="0" applyFill="0" applyBorder="0" applyAlignment="0" applyProtection="0"/>
    <xf numFmtId="0" fontId="1" fillId="23" borderId="0" applyNumberFormat="0" applyBorder="0" applyAlignment="0" applyProtection="0"/>
    <xf numFmtId="0" fontId="210" fillId="0" borderId="0" applyFill="0" applyBorder="0" applyProtection="0">
      <alignment horizontal="center" vertical="center"/>
    </xf>
    <xf numFmtId="250" fontId="2" fillId="0" borderId="0" applyFont="0" applyFill="0" applyBorder="0" applyAlignment="0" applyProtection="0"/>
    <xf numFmtId="0" fontId="1" fillId="13" borderId="0" applyNumberFormat="0" applyBorder="0" applyAlignment="0" applyProtection="0"/>
    <xf numFmtId="5" fontId="183" fillId="0" borderId="0" applyFont="0" applyFill="0" applyBorder="0" applyAlignment="0" applyProtection="0"/>
    <xf numFmtId="0" fontId="1" fillId="23" borderId="0" applyNumberFormat="0" applyBorder="0" applyAlignment="0" applyProtection="0"/>
    <xf numFmtId="0" fontId="3" fillId="0" borderId="15" applyFill="0" applyAlignment="0" applyProtection="0"/>
    <xf numFmtId="5" fontId="183"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15" borderId="0" applyNumberFormat="0" applyBorder="0" applyAlignment="0" applyProtection="0"/>
    <xf numFmtId="5" fontId="183"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9" fontId="1" fillId="0" borderId="0" applyFont="0" applyFill="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5" fillId="0" borderId="0"/>
    <xf numFmtId="0" fontId="1" fillId="2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22" borderId="0" applyNumberFormat="0" applyBorder="0" applyAlignment="0" applyProtection="0"/>
    <xf numFmtId="9" fontId="212" fillId="0" borderId="0" applyFont="0" applyFill="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65" fillId="0" borderId="0" applyNumberFormat="0" applyFill="0" applyBorder="0" applyAlignment="0" applyProtection="0"/>
    <xf numFmtId="0" fontId="5" fillId="0" borderId="0"/>
    <xf numFmtId="250"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249"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49"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49" fontId="2" fillId="0" borderId="0" applyFont="0" applyFill="0" applyBorder="0" applyAlignment="0" applyProtection="0"/>
    <xf numFmtId="43" fontId="1"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2" fontId="2"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1" fillId="0" borderId="0" applyFont="0" applyFill="0" applyBorder="0" applyAlignment="0" applyProtection="0"/>
    <xf numFmtId="249" fontId="2" fillId="0" borderId="0" applyFont="0" applyFill="0" applyBorder="0" applyAlignment="0" applyProtection="0"/>
    <xf numFmtId="249" fontId="2" fillId="0" borderId="0" applyFont="0" applyFill="0" applyBorder="0" applyAlignment="0" applyProtection="0"/>
    <xf numFmtId="43" fontId="1" fillId="0" borderId="0" applyFont="0" applyFill="0" applyBorder="0" applyAlignment="0" applyProtection="0"/>
    <xf numFmtId="43" fontId="104"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250" fontId="2" fillId="0" borderId="0" applyFont="0" applyFill="0" applyBorder="0" applyAlignment="0" applyProtection="0"/>
    <xf numFmtId="249" fontId="2" fillId="0" borderId="0" applyFont="0" applyFill="0" applyBorder="0" applyAlignment="0" applyProtection="0"/>
    <xf numFmtId="250"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49" fontId="2" fillId="0" borderId="0" applyFont="0" applyFill="0" applyBorder="0" applyAlignment="0" applyProtection="0"/>
    <xf numFmtId="43" fontId="10"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43" fontId="10" fillId="0" borderId="0" applyFont="0" applyFill="0" applyBorder="0" applyAlignment="0" applyProtection="0"/>
    <xf numFmtId="249" fontId="2" fillId="0" borderId="0" applyFont="0" applyFill="0" applyBorder="0" applyAlignment="0" applyProtection="0"/>
    <xf numFmtId="43" fontId="10"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250" fontId="2" fillId="0" borderId="0" applyFont="0" applyFill="0" applyBorder="0" applyAlignment="0" applyProtection="0"/>
    <xf numFmtId="43" fontId="10" fillId="0" borderId="0" applyFont="0" applyFill="0" applyBorder="0" applyAlignment="0" applyProtection="0"/>
    <xf numFmtId="250"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9"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49" fontId="2"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249" fontId="2" fillId="0" borderId="0" applyFont="0" applyFill="0" applyBorder="0" applyAlignment="0" applyProtection="0"/>
    <xf numFmtId="43" fontId="10" fillId="0" borderId="0" applyFont="0" applyFill="0" applyBorder="0" applyAlignment="0" applyProtection="0"/>
    <xf numFmtId="249" fontId="2" fillId="0" borderId="0" applyFont="0" applyFill="0" applyBorder="0" applyAlignment="0" applyProtection="0"/>
    <xf numFmtId="250" fontId="2" fillId="0" borderId="0" applyFont="0" applyFill="0" applyBorder="0" applyAlignment="0" applyProtection="0"/>
    <xf numFmtId="250"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49" fontId="2" fillId="0" borderId="0" applyFont="0" applyFill="0" applyBorder="0" applyAlignment="0" applyProtection="0"/>
    <xf numFmtId="250" fontId="2" fillId="0" borderId="0" applyFont="0" applyFill="0" applyBorder="0" applyAlignment="0" applyProtection="0"/>
    <xf numFmtId="249" fontId="2" fillId="0" borderId="0" applyFont="0" applyFill="0" applyBorder="0" applyAlignment="0" applyProtection="0"/>
    <xf numFmtId="250"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04" fillId="0" borderId="0" applyFont="0" applyFill="0" applyBorder="0" applyAlignment="0" applyProtection="0"/>
    <xf numFmtId="250" fontId="2" fillId="0" borderId="0" applyFont="0" applyFill="0" applyBorder="0" applyAlignment="0" applyProtection="0"/>
    <xf numFmtId="249" fontId="2" fillId="0" borderId="0" applyFont="0" applyFill="0" applyBorder="0" applyAlignment="0" applyProtection="0"/>
    <xf numFmtId="250" fontId="2" fillId="0" borderId="0" applyFont="0" applyFill="0" applyBorder="0" applyAlignment="0" applyProtection="0"/>
    <xf numFmtId="24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14" fillId="0" borderId="0" applyNumberFormat="0" applyFill="0" applyBorder="0" applyAlignment="0" applyProtection="0">
      <alignment vertical="top"/>
      <protection locked="0"/>
    </xf>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alignment vertical="center"/>
    </xf>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0" fillId="0" borderId="0"/>
    <xf numFmtId="0" fontId="1" fillId="0" borderId="0"/>
    <xf numFmtId="0" fontId="10" fillId="0" borderId="0"/>
    <xf numFmtId="0" fontId="2" fillId="0" borderId="0"/>
    <xf numFmtId="0" fontId="2" fillId="0" borderId="0"/>
    <xf numFmtId="0" fontId="10" fillId="0" borderId="0"/>
    <xf numFmtId="0" fontId="2" fillId="0" borderId="0"/>
    <xf numFmtId="0" fontId="2" fillId="0" borderId="0"/>
    <xf numFmtId="0" fontId="10" fillId="0" borderId="0"/>
    <xf numFmtId="0" fontId="2" fillId="0" borderId="0"/>
    <xf numFmtId="0" fontId="2" fillId="0" borderId="0">
      <alignment vertical="center"/>
    </xf>
    <xf numFmtId="0" fontId="2" fillId="0" borderId="0"/>
    <xf numFmtId="0" fontId="5"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5" fillId="0" borderId="0"/>
    <xf numFmtId="0" fontId="2" fillId="0" borderId="0">
      <alignment vertical="center"/>
    </xf>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7" fillId="0" borderId="0"/>
    <xf numFmtId="0" fontId="7" fillId="0" borderId="0"/>
    <xf numFmtId="0" fontId="2"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9" fontId="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9" fontId="10" fillId="0" borderId="0" applyFont="0" applyFill="0" applyBorder="0" applyAlignment="0" applyProtection="0"/>
    <xf numFmtId="9" fontId="104" fillId="0" borderId="0" applyFont="0" applyFill="0" applyBorder="0" applyAlignment="0" applyProtection="0"/>
    <xf numFmtId="9" fontId="10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214" fillId="0" borderId="0" applyNumberFormat="0" applyFill="0" applyBorder="0" applyAlignment="0" applyProtection="0">
      <alignment vertical="top"/>
      <protection locked="0"/>
    </xf>
    <xf numFmtId="0" fontId="213" fillId="0" borderId="0" applyNumberFormat="0" applyFill="0" applyBorder="0" applyAlignment="0" applyProtection="0"/>
    <xf numFmtId="0" fontId="1" fillId="0" borderId="0"/>
    <xf numFmtId="0" fontId="5" fillId="0" borderId="0"/>
    <xf numFmtId="0" fontId="5" fillId="0" borderId="0"/>
    <xf numFmtId="0" fontId="211" fillId="0" borderId="0"/>
    <xf numFmtId="43" fontId="212" fillId="0" borderId="0" applyFont="0" applyFill="0" applyBorder="0" applyAlignment="0" applyProtection="0"/>
    <xf numFmtId="0" fontId="25" fillId="0" borderId="0"/>
    <xf numFmtId="43" fontId="25" fillId="0" borderId="0" applyFont="0" applyFill="0" applyBorder="0" applyAlignment="0" applyProtection="0"/>
    <xf numFmtId="44" fontId="25" fillId="0" borderId="0" applyFont="0" applyFill="0" applyBorder="0" applyAlignment="0" applyProtection="0"/>
    <xf numFmtId="9" fontId="25"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16" fillId="0" borderId="0" applyFont="0" applyFill="0" applyBorder="0" applyAlignment="0" applyProtection="0"/>
    <xf numFmtId="44" fontId="216" fillId="0" borderId="0" applyFont="0" applyFill="0" applyBorder="0" applyAlignment="0" applyProtection="0"/>
    <xf numFmtId="43" fontId="1" fillId="0" borderId="0" applyFont="0" applyFill="0" applyBorder="0" applyAlignment="0" applyProtection="0"/>
    <xf numFmtId="253" fontId="217" fillId="0" borderId="0" applyFont="0" applyFill="0" applyBorder="0" applyAlignment="0" applyProtection="0"/>
    <xf numFmtId="254" fontId="217" fillId="0" borderId="0" applyFont="0" applyFill="0" applyBorder="0" applyAlignment="0" applyProtection="0"/>
    <xf numFmtId="255" fontId="217" fillId="0" borderId="0" applyFont="0" applyFill="0" applyBorder="0" applyAlignment="0" applyProtection="0"/>
    <xf numFmtId="256" fontId="217" fillId="0" borderId="0" applyFont="0" applyFill="0" applyBorder="0" applyAlignment="0" applyProtection="0"/>
    <xf numFmtId="0" fontId="1" fillId="0" borderId="0"/>
    <xf numFmtId="44" fontId="1" fillId="0" borderId="0" applyFont="0" applyFill="0" applyBorder="0" applyAlignment="0" applyProtection="0"/>
    <xf numFmtId="0" fontId="218" fillId="0" borderId="118">
      <alignment horizontal="left"/>
    </xf>
    <xf numFmtId="0" fontId="219" fillId="0" borderId="118">
      <alignment horizontal="left" wrapText="1"/>
    </xf>
    <xf numFmtId="0" fontId="219" fillId="0" borderId="0">
      <alignment horizontal="right" vertical="center"/>
    </xf>
    <xf numFmtId="0" fontId="11" fillId="0" borderId="0" applyFill="0" applyBorder="0" applyProtection="0">
      <alignment horizontal="center" vertical="center"/>
    </xf>
    <xf numFmtId="0" fontId="218" fillId="0" borderId="0">
      <alignment horizontal="center" vertical="center" wrapText="1"/>
    </xf>
    <xf numFmtId="0" fontId="110" fillId="0" borderId="112">
      <alignment horizontal="center"/>
    </xf>
    <xf numFmtId="249" fontId="2" fillId="0" borderId="0" applyFont="0" applyFill="0" applyBorder="0" applyAlignment="0" applyProtection="0"/>
    <xf numFmtId="249" fontId="2" fillId="0" borderId="0" applyFont="0" applyFill="0" applyBorder="0" applyAlignment="0" applyProtection="0"/>
    <xf numFmtId="251"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9"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9" fontId="2" fillId="0" borderId="0" applyFont="0" applyFill="0" applyBorder="0" applyAlignment="0" applyProtection="0"/>
    <xf numFmtId="43" fontId="10" fillId="0" borderId="0" applyFont="0" applyFill="0" applyBorder="0" applyAlignment="0" applyProtection="0"/>
    <xf numFmtId="249" fontId="2" fillId="0" borderId="0" applyFont="0" applyFill="0" applyBorder="0" applyAlignment="0" applyProtection="0"/>
    <xf numFmtId="24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57" fontId="220" fillId="0" borderId="0" applyFill="0" applyBorder="0" applyProtection="0"/>
    <xf numFmtId="258" fontId="199"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0" fontId="1" fillId="11" borderId="27"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219" fillId="0" borderId="0">
      <alignment horizontal="left" vertical="center" wrapText="1"/>
    </xf>
    <xf numFmtId="0" fontId="218" fillId="0" borderId="0">
      <alignment horizontal="left" vertical="center" wrapText="1"/>
    </xf>
    <xf numFmtId="43" fontId="2" fillId="0" borderId="0" applyFont="0" applyFill="0" applyBorder="0" applyAlignment="0" applyProtection="0"/>
    <xf numFmtId="0" fontId="1" fillId="0" borderId="0"/>
    <xf numFmtId="0" fontId="2" fillId="0" borderId="0"/>
    <xf numFmtId="0" fontId="1" fillId="0" borderId="0"/>
    <xf numFmtId="177" fontId="56" fillId="0" borderId="119" applyFill="0" applyBorder="0" applyProtection="0">
      <alignment horizontal="right"/>
      <protection locked="0"/>
    </xf>
    <xf numFmtId="178" fontId="56" fillId="0" borderId="119" applyFill="0" applyBorder="0" applyProtection="0">
      <alignment horizontal="right"/>
      <protection locked="0"/>
    </xf>
    <xf numFmtId="179" fontId="56" fillId="0" borderId="119" applyFill="0" applyBorder="0" applyProtection="0">
      <alignment horizontal="right"/>
      <protection locked="0"/>
    </xf>
    <xf numFmtId="0" fontId="4" fillId="0" borderId="120" applyNumberFormat="0" applyAlignment="0" applyProtection="0">
      <alignment horizontal="left" vertical="center"/>
    </xf>
    <xf numFmtId="0" fontId="4" fillId="0" borderId="51">
      <alignment horizontal="left" vertical="center"/>
    </xf>
    <xf numFmtId="181" fontId="56" fillId="0" borderId="121" applyFill="0" applyBorder="0" applyProtection="0">
      <alignment horizontal="center"/>
      <protection locked="0"/>
    </xf>
    <xf numFmtId="182" fontId="56" fillId="0" borderId="121" applyFill="0" applyBorder="0" applyProtection="0">
      <alignment horizontal="center"/>
      <protection locked="0"/>
    </xf>
    <xf numFmtId="187" fontId="56" fillId="0" borderId="121" applyFill="0" applyBorder="0" applyProtection="0">
      <alignment horizontal="center"/>
      <protection locked="0"/>
    </xf>
    <xf numFmtId="188" fontId="56" fillId="0" borderId="121" applyFill="0" applyBorder="0" applyProtection="0">
      <alignment horizontal="center"/>
      <protection locked="0"/>
    </xf>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12"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9"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43" fontId="1" fillId="0" borderId="0" applyFont="0" applyFill="0" applyBorder="0" applyAlignment="0" applyProtection="0"/>
    <xf numFmtId="0" fontId="213" fillId="0" borderId="0" applyNumberFormat="0" applyFill="0" applyBorder="0" applyAlignment="0" applyProtection="0"/>
    <xf numFmtId="43" fontId="5" fillId="0" borderId="0" applyFont="0" applyFill="0" applyBorder="0" applyAlignment="0" applyProtection="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13" fillId="0" borderId="0" applyNumberFormat="0" applyFill="0" applyBorder="0" applyAlignment="0" applyProtection="0"/>
    <xf numFmtId="259" fontId="2" fillId="0" borderId="0"/>
    <xf numFmtId="0" fontId="5" fillId="0" borderId="0"/>
    <xf numFmtId="0" fontId="1" fillId="0" borderId="0"/>
    <xf numFmtId="0" fontId="1" fillId="0" borderId="0"/>
    <xf numFmtId="0" fontId="1" fillId="0" borderId="0"/>
    <xf numFmtId="0" fontId="1" fillId="11" borderId="27" applyNumberFormat="0" applyFont="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1" fillId="0" borderId="0"/>
    <xf numFmtId="0" fontId="213" fillId="0" borderId="0" applyNumberFormat="0" applyFill="0" applyBorder="0" applyAlignment="0" applyProtection="0"/>
    <xf numFmtId="0" fontId="1" fillId="0" borderId="0"/>
    <xf numFmtId="0" fontId="21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9" fontId="183" fillId="0" borderId="0" applyFon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5" fontId="183" fillId="0" borderId="0" applyFon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43" fontId="180" fillId="0" borderId="0" applyFont="0" applyFill="0" applyBorder="0" applyAlignment="0" applyProtection="0"/>
    <xf numFmtId="9" fontId="180" fillId="0" borderId="0" applyFont="0" applyFill="0" applyBorder="0" applyAlignment="0" applyProtection="0"/>
    <xf numFmtId="44" fontId="180" fillId="0" borderId="0" applyFont="0" applyFill="0" applyBorder="0" applyAlignment="0" applyProtection="0"/>
    <xf numFmtId="0" fontId="213" fillId="0" borderId="0" applyNumberFormat="0" applyFill="0" applyBorder="0" applyAlignment="0" applyProtection="0"/>
    <xf numFmtId="0" fontId="180"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180" fillId="0" borderId="0"/>
    <xf numFmtId="44" fontId="180" fillId="0" borderId="0" applyFont="0" applyFill="0" applyBorder="0" applyAlignment="0" applyProtection="0"/>
    <xf numFmtId="9" fontId="180" fillId="0" borderId="0" applyFont="0" applyFill="0" applyBorder="0" applyAlignment="0" applyProtection="0"/>
    <xf numFmtId="43" fontId="180" fillId="0" borderId="0" applyFont="0" applyFill="0" applyBorder="0" applyAlignment="0" applyProtection="0"/>
    <xf numFmtId="0" fontId="182" fillId="0" borderId="132"/>
    <xf numFmtId="5" fontId="183" fillId="0" borderId="0" applyFont="0" applyFill="0" applyBorder="0" applyAlignment="0" applyProtection="0"/>
    <xf numFmtId="9" fontId="183" fillId="0" borderId="0" applyFont="0" applyFill="0" applyBorder="0" applyAlignment="0" applyProtection="0"/>
    <xf numFmtId="0" fontId="183" fillId="0" borderId="50" applyNumberFormat="0" applyFont="0" applyFill="0" applyAlignment="0" applyProtection="0"/>
    <xf numFmtId="0" fontId="42" fillId="42" borderId="133" applyNumberFormat="0" applyAlignment="0" applyProtection="0"/>
    <xf numFmtId="17" fontId="98" fillId="0" borderId="50" applyFont="0" applyFill="0" applyBorder="0" applyAlignment="0" applyProtection="0"/>
    <xf numFmtId="0" fontId="49" fillId="29" borderId="133" applyNumberFormat="0" applyAlignment="0" applyProtection="0"/>
    <xf numFmtId="234" fontId="2" fillId="0" borderId="0" applyFont="0" applyFill="0" applyBorder="0" applyAlignment="0" applyProtection="0"/>
    <xf numFmtId="0" fontId="181" fillId="44" borderId="134" applyNumberFormat="0" applyFont="0" applyAlignment="0" applyProtection="0"/>
    <xf numFmtId="0" fontId="10" fillId="45" borderId="134" applyNumberFormat="0" applyFont="0" applyAlignment="0" applyProtection="0"/>
    <xf numFmtId="0" fontId="52" fillId="48" borderId="135" applyNumberFormat="0" applyAlignment="0" applyProtection="0"/>
    <xf numFmtId="0" fontId="52" fillId="42" borderId="135" applyNumberFormat="0" applyAlignment="0" applyProtection="0"/>
    <xf numFmtId="0" fontId="183" fillId="0" borderId="50" applyNumberFormat="0" applyFont="0" applyFill="0" applyAlignment="0" applyProtection="0"/>
    <xf numFmtId="0" fontId="183" fillId="0" borderId="50" applyNumberFormat="0" applyFont="0" applyFill="0" applyAlignment="0" applyProtection="0"/>
    <xf numFmtId="177" fontId="56" fillId="0" borderId="136" applyFill="0" applyBorder="0" applyProtection="0">
      <alignment horizontal="right"/>
      <protection locked="0"/>
    </xf>
    <xf numFmtId="178" fontId="56" fillId="0" borderId="136" applyFill="0" applyBorder="0" applyProtection="0">
      <alignment horizontal="right"/>
      <protection locked="0"/>
    </xf>
    <xf numFmtId="179" fontId="56" fillId="0" borderId="136" applyFill="0" applyBorder="0" applyProtection="0">
      <alignment horizontal="right"/>
      <protection locked="0"/>
    </xf>
    <xf numFmtId="0" fontId="42" fillId="42" borderId="133" applyNumberFormat="0" applyAlignment="0" applyProtection="0"/>
    <xf numFmtId="0" fontId="59" fillId="48" borderId="133" applyNumberFormat="0" applyAlignment="0" applyProtection="0"/>
    <xf numFmtId="0" fontId="4" fillId="0" borderId="137" applyNumberFormat="0" applyAlignment="0" applyProtection="0">
      <alignment horizontal="left" vertical="center"/>
    </xf>
    <xf numFmtId="181" fontId="56" fillId="0" borderId="138" applyFill="0" applyBorder="0" applyProtection="0">
      <alignment horizontal="center"/>
      <protection locked="0"/>
    </xf>
    <xf numFmtId="182" fontId="56" fillId="0" borderId="138" applyFill="0" applyBorder="0" applyProtection="0">
      <alignment horizontal="center"/>
      <protection locked="0"/>
    </xf>
    <xf numFmtId="0" fontId="49" fillId="29" borderId="133" applyNumberFormat="0" applyAlignment="0" applyProtection="0"/>
    <xf numFmtId="0" fontId="64" fillId="44" borderId="133" applyNumberFormat="0" applyAlignment="0" applyProtection="0"/>
    <xf numFmtId="187" fontId="56" fillId="0" borderId="138" applyFill="0" applyBorder="0" applyProtection="0">
      <alignment horizontal="center"/>
      <protection locked="0"/>
    </xf>
    <xf numFmtId="188" fontId="56" fillId="0" borderId="138" applyFill="0" applyBorder="0" applyProtection="0">
      <alignment horizontal="center"/>
      <protection locked="0"/>
    </xf>
    <xf numFmtId="0" fontId="52" fillId="42" borderId="135" applyNumberFormat="0" applyAlignment="0" applyProtection="0"/>
    <xf numFmtId="0" fontId="67" fillId="48" borderId="139" applyNumberFormat="0" applyAlignment="0" applyProtection="0"/>
    <xf numFmtId="1" fontId="57" fillId="0" borderId="140" applyNumberFormat="0" applyFont="0" applyFill="0" applyAlignment="0" applyProtection="0">
      <alignment horizontal="center"/>
    </xf>
    <xf numFmtId="0" fontId="54" fillId="0" borderId="141" applyNumberFormat="0" applyFill="0" applyAlignment="0" applyProtection="0"/>
    <xf numFmtId="0" fontId="54" fillId="0" borderId="142" applyNumberFormat="0" applyFill="0" applyAlignment="0" applyProtection="0"/>
    <xf numFmtId="0" fontId="221" fillId="0" borderId="0"/>
    <xf numFmtId="9" fontId="221" fillId="0" borderId="0" applyFont="0" applyFill="0" applyBorder="0" applyAlignment="0" applyProtection="0"/>
    <xf numFmtId="0" fontId="1" fillId="0" borderId="0"/>
  </cellStyleXfs>
  <cellXfs count="951">
    <xf numFmtId="0" fontId="0" fillId="0" borderId="0" xfId="0"/>
    <xf numFmtId="170" fontId="4" fillId="0" borderId="0" xfId="4" applyFont="1" applyAlignment="1" applyProtection="1">
      <alignment horizontal="left"/>
      <protection locked="0"/>
    </xf>
    <xf numFmtId="170" fontId="3" fillId="0" borderId="0" xfId="4" applyFont="1" applyProtection="1">
      <protection locked="0"/>
    </xf>
    <xf numFmtId="170" fontId="2" fillId="0" borderId="0" xfId="4" applyFont="1" applyProtection="1">
      <protection locked="0"/>
    </xf>
    <xf numFmtId="170" fontId="2" fillId="0" borderId="0" xfId="4" applyFont="1" applyAlignment="1" applyProtection="1">
      <alignment horizontal="right"/>
      <protection locked="0"/>
    </xf>
    <xf numFmtId="170" fontId="13" fillId="0" borderId="0" xfId="4"/>
    <xf numFmtId="170" fontId="15" fillId="0" borderId="0" xfId="4" applyFont="1" applyProtection="1">
      <protection locked="0"/>
    </xf>
    <xf numFmtId="170" fontId="3" fillId="0" borderId="3" xfId="4" applyFont="1" applyBorder="1"/>
    <xf numFmtId="171" fontId="4" fillId="0" borderId="0" xfId="8" applyFont="1"/>
    <xf numFmtId="171" fontId="9" fillId="0" borderId="0" xfId="8" applyFont="1"/>
    <xf numFmtId="170" fontId="2" fillId="0" borderId="3" xfId="4" applyFont="1" applyBorder="1"/>
    <xf numFmtId="0" fontId="4" fillId="0" borderId="0" xfId="8" applyNumberFormat="1" applyFont="1"/>
    <xf numFmtId="0" fontId="9" fillId="0" borderId="0" xfId="8" applyNumberFormat="1" applyFont="1" applyAlignment="1">
      <alignment horizontal="right"/>
    </xf>
    <xf numFmtId="171" fontId="9" fillId="0" borderId="0" xfId="8" applyFont="1" applyAlignment="1">
      <alignment horizontal="right"/>
    </xf>
    <xf numFmtId="171" fontId="4" fillId="0" borderId="0" xfId="8" quotePrefix="1" applyFont="1" applyAlignment="1">
      <alignment horizontal="left" wrapText="1"/>
    </xf>
    <xf numFmtId="17" fontId="9" fillId="0" borderId="0" xfId="8" applyNumberFormat="1" applyFont="1"/>
    <xf numFmtId="17" fontId="4" fillId="0" borderId="0" xfId="8" applyNumberFormat="1" applyFont="1" applyAlignment="1">
      <alignment horizontal="left" wrapText="1"/>
    </xf>
    <xf numFmtId="17" fontId="9" fillId="0" borderId="0" xfId="7" applyNumberFormat="1" applyFont="1" applyFill="1" applyBorder="1" applyAlignment="1" applyProtection="1">
      <alignment horizontal="right"/>
    </xf>
    <xf numFmtId="170" fontId="9" fillId="0" borderId="2" xfId="4" applyFont="1" applyBorder="1"/>
    <xf numFmtId="169" fontId="9" fillId="0" borderId="15" xfId="7" applyNumberFormat="1" applyFont="1" applyFill="1" applyBorder="1" applyAlignment="1" applyProtection="1">
      <alignment horizontal="right"/>
    </xf>
    <xf numFmtId="171" fontId="9" fillId="0" borderId="13" xfId="8" applyFont="1" applyBorder="1" applyAlignment="1">
      <alignment horizontal="left" indent="2"/>
    </xf>
    <xf numFmtId="174" fontId="9" fillId="0" borderId="0" xfId="8" applyNumberFormat="1" applyFont="1" applyAlignment="1">
      <alignment horizontal="right"/>
    </xf>
    <xf numFmtId="0" fontId="25" fillId="0" borderId="0" xfId="0" applyFont="1"/>
    <xf numFmtId="0" fontId="28" fillId="0" borderId="0" xfId="5" applyFont="1" applyAlignment="1">
      <alignment horizontal="left" vertical="center"/>
    </xf>
    <xf numFmtId="170" fontId="29" fillId="0" borderId="0" xfId="6" applyNumberFormat="1" applyFont="1" applyFill="1" applyBorder="1" applyAlignment="1" applyProtection="1">
      <protection locked="0"/>
    </xf>
    <xf numFmtId="170" fontId="30" fillId="0" borderId="2" xfId="4" applyFont="1" applyBorder="1"/>
    <xf numFmtId="38" fontId="31" fillId="4" borderId="0" xfId="4" applyNumberFormat="1" applyFont="1" applyFill="1" applyAlignment="1" applyProtection="1">
      <alignment horizontal="left"/>
      <protection locked="0"/>
    </xf>
    <xf numFmtId="169" fontId="9" fillId="5" borderId="8" xfId="7" applyNumberFormat="1" applyFont="1" applyFill="1" applyBorder="1" applyProtection="1"/>
    <xf numFmtId="170" fontId="31" fillId="0" borderId="0" xfId="4" applyFont="1" applyAlignment="1" applyProtection="1">
      <alignment horizontal="right"/>
      <protection locked="0"/>
    </xf>
    <xf numFmtId="8" fontId="31" fillId="4" borderId="0" xfId="9" applyFont="1" applyFill="1" applyBorder="1" applyAlignment="1" applyProtection="1">
      <alignment horizontal="right"/>
      <protection locked="0"/>
    </xf>
    <xf numFmtId="38" fontId="31" fillId="4" borderId="0" xfId="4" applyNumberFormat="1" applyFont="1" applyFill="1" applyAlignment="1" applyProtection="1">
      <alignment horizontal="right"/>
      <protection locked="0"/>
    </xf>
    <xf numFmtId="0" fontId="28" fillId="0" borderId="0" xfId="10" applyFont="1" applyAlignment="1">
      <alignment horizontal="center"/>
    </xf>
    <xf numFmtId="0" fontId="32" fillId="0" borderId="3" xfId="4" applyNumberFormat="1" applyFont="1" applyBorder="1"/>
    <xf numFmtId="170" fontId="32" fillId="0" borderId="3" xfId="4" applyFont="1" applyBorder="1"/>
    <xf numFmtId="170" fontId="28" fillId="0" borderId="3" xfId="11" applyNumberFormat="1" applyFont="1" applyBorder="1" applyAlignment="1">
      <alignment horizontal="center"/>
    </xf>
    <xf numFmtId="170" fontId="28" fillId="0" borderId="8" xfId="11" applyNumberFormat="1" applyFont="1" applyBorder="1" applyAlignment="1">
      <alignment horizontal="center"/>
    </xf>
    <xf numFmtId="170" fontId="32" fillId="6" borderId="26" xfId="4" applyFont="1" applyFill="1" applyBorder="1" applyAlignment="1">
      <alignment horizontal="center"/>
    </xf>
    <xf numFmtId="0" fontId="28" fillId="0" borderId="3" xfId="11" applyFont="1" applyBorder="1" applyAlignment="1">
      <alignment horizontal="center"/>
    </xf>
    <xf numFmtId="170" fontId="32" fillId="6" borderId="3" xfId="4" applyFont="1" applyFill="1" applyBorder="1" applyAlignment="1">
      <alignment horizontal="center"/>
    </xf>
    <xf numFmtId="171" fontId="4" fillId="7" borderId="3" xfId="8" applyFont="1" applyFill="1" applyBorder="1" applyAlignment="1">
      <alignment horizontal="center"/>
    </xf>
    <xf numFmtId="171" fontId="4" fillId="7" borderId="8" xfId="8" applyFont="1" applyFill="1" applyBorder="1" applyAlignment="1">
      <alignment horizontal="center"/>
    </xf>
    <xf numFmtId="17" fontId="32" fillId="0" borderId="3" xfId="4" applyNumberFormat="1" applyFont="1" applyBorder="1"/>
    <xf numFmtId="1" fontId="28" fillId="0" borderId="12" xfId="11" applyNumberFormat="1" applyFont="1" applyBorder="1" applyAlignment="1">
      <alignment horizontal="center"/>
    </xf>
    <xf numFmtId="1" fontId="28" fillId="0" borderId="14" xfId="11" applyNumberFormat="1" applyFont="1" applyBorder="1" applyAlignment="1">
      <alignment horizontal="center"/>
    </xf>
    <xf numFmtId="171" fontId="33" fillId="0" borderId="0" xfId="8" applyFont="1"/>
    <xf numFmtId="170" fontId="30" fillId="8" borderId="0" xfId="4" applyFont="1" applyFill="1" applyAlignment="1">
      <alignment horizontal="left"/>
    </xf>
    <xf numFmtId="170" fontId="32" fillId="8" borderId="3" xfId="4" applyFont="1" applyFill="1" applyBorder="1"/>
    <xf numFmtId="172" fontId="33" fillId="8" borderId="0" xfId="8" applyNumberFormat="1" applyFont="1" applyFill="1" applyAlignment="1">
      <alignment horizontal="right"/>
    </xf>
    <xf numFmtId="166" fontId="9" fillId="9" borderId="5" xfId="7" applyNumberFormat="1" applyFont="1" applyFill="1" applyBorder="1" applyProtection="1"/>
    <xf numFmtId="166" fontId="9" fillId="9" borderId="2" xfId="7" applyNumberFormat="1" applyFont="1" applyFill="1" applyBorder="1" applyAlignment="1" applyProtection="1">
      <alignment horizontal="center"/>
    </xf>
    <xf numFmtId="166" fontId="9" fillId="4" borderId="2" xfId="7" applyNumberFormat="1" applyFont="1" applyFill="1" applyBorder="1" applyProtection="1"/>
    <xf numFmtId="0" fontId="34" fillId="10" borderId="4" xfId="0" applyFont="1" applyFill="1" applyBorder="1" applyAlignment="1">
      <alignment horizontal="left" indent="1"/>
    </xf>
    <xf numFmtId="0" fontId="35" fillId="0" borderId="6" xfId="0" applyFont="1" applyBorder="1"/>
    <xf numFmtId="171" fontId="34" fillId="10" borderId="13" xfId="8" applyFont="1" applyFill="1" applyBorder="1" applyAlignment="1">
      <alignment horizontal="left" indent="2"/>
    </xf>
    <xf numFmtId="170" fontId="33" fillId="3" borderId="12" xfId="4" applyFont="1" applyFill="1" applyBorder="1"/>
    <xf numFmtId="169" fontId="9" fillId="5" borderId="15" xfId="7" applyNumberFormat="1" applyFont="1" applyFill="1" applyBorder="1" applyProtection="1"/>
    <xf numFmtId="169" fontId="9" fillId="5" borderId="14" xfId="7" applyNumberFormat="1" applyFont="1" applyFill="1" applyBorder="1" applyProtection="1"/>
    <xf numFmtId="0" fontId="36" fillId="0" borderId="0" xfId="0" applyFont="1"/>
    <xf numFmtId="0" fontId="34" fillId="10" borderId="0" xfId="0" applyFont="1" applyFill="1" applyAlignment="1">
      <alignment horizontal="left" indent="1"/>
    </xf>
    <xf numFmtId="170" fontId="9" fillId="7" borderId="3" xfId="4" applyFont="1" applyFill="1" applyBorder="1"/>
    <xf numFmtId="0" fontId="35" fillId="7" borderId="0" xfId="0" applyFont="1" applyFill="1"/>
    <xf numFmtId="173" fontId="36" fillId="0" borderId="7" xfId="0" applyNumberFormat="1" applyFont="1" applyBorder="1"/>
    <xf numFmtId="171" fontId="34" fillId="10" borderId="0" xfId="8" applyFont="1" applyFill="1" applyAlignment="1">
      <alignment horizontal="left" indent="2"/>
    </xf>
    <xf numFmtId="170" fontId="33" fillId="3" borderId="3" xfId="4" applyFont="1" applyFill="1" applyBorder="1"/>
    <xf numFmtId="169" fontId="9" fillId="7" borderId="0" xfId="7" applyNumberFormat="1" applyFont="1" applyFill="1" applyBorder="1" applyAlignment="1" applyProtection="1">
      <alignment horizontal="right"/>
    </xf>
    <xf numFmtId="169" fontId="9" fillId="5" borderId="7" xfId="7" applyNumberFormat="1" applyFont="1" applyFill="1" applyBorder="1" applyProtection="1"/>
    <xf numFmtId="169" fontId="9" fillId="5" borderId="0" xfId="7" applyNumberFormat="1" applyFont="1" applyFill="1" applyBorder="1" applyProtection="1"/>
    <xf numFmtId="0" fontId="35" fillId="0" borderId="4" xfId="0" applyFont="1" applyBorder="1" applyAlignment="1">
      <alignment horizontal="left" indent="1"/>
    </xf>
    <xf numFmtId="0" fontId="36" fillId="0" borderId="4" xfId="0" applyFont="1" applyBorder="1"/>
    <xf numFmtId="0" fontId="36" fillId="0" borderId="6" xfId="0" applyFont="1" applyBorder="1"/>
    <xf numFmtId="0" fontId="36" fillId="0" borderId="5" xfId="0" applyFont="1" applyBorder="1"/>
    <xf numFmtId="169" fontId="9" fillId="5" borderId="13" xfId="7" applyNumberFormat="1" applyFont="1" applyFill="1" applyBorder="1" applyProtection="1"/>
    <xf numFmtId="0" fontId="35" fillId="7" borderId="0" xfId="0" applyFont="1" applyFill="1" applyAlignment="1">
      <alignment horizontal="left" indent="1"/>
    </xf>
    <xf numFmtId="0" fontId="36" fillId="0" borderId="7" xfId="0" applyFont="1" applyBorder="1"/>
    <xf numFmtId="0" fontId="36" fillId="0" borderId="8" xfId="0" applyFont="1" applyBorder="1"/>
    <xf numFmtId="171" fontId="9" fillId="7" borderId="0" xfId="8" applyFont="1" applyFill="1" applyAlignment="1">
      <alignment horizontal="left" indent="2"/>
    </xf>
    <xf numFmtId="0" fontId="35" fillId="7" borderId="4" xfId="0" applyFont="1" applyFill="1" applyBorder="1" applyAlignment="1">
      <alignment horizontal="left" indent="1"/>
    </xf>
    <xf numFmtId="170" fontId="9" fillId="7" borderId="2" xfId="4" applyFont="1" applyFill="1" applyBorder="1"/>
    <xf numFmtId="0" fontId="35" fillId="7" borderId="6" xfId="0" applyFont="1" applyFill="1" applyBorder="1"/>
    <xf numFmtId="171" fontId="9" fillId="7" borderId="13" xfId="8" applyFont="1" applyFill="1" applyBorder="1" applyAlignment="1">
      <alignment horizontal="left" indent="1"/>
    </xf>
    <xf numFmtId="169" fontId="9" fillId="7" borderId="15" xfId="7" applyNumberFormat="1" applyFont="1" applyFill="1" applyBorder="1" applyAlignment="1" applyProtection="1">
      <alignment horizontal="right"/>
    </xf>
    <xf numFmtId="171" fontId="37" fillId="0" borderId="0" xfId="8" applyFont="1"/>
    <xf numFmtId="167" fontId="0" fillId="0" borderId="0" xfId="1" applyNumberFormat="1" applyFont="1" applyBorder="1"/>
    <xf numFmtId="9" fontId="39" fillId="0" borderId="0" xfId="3" applyFont="1" applyFill="1" applyBorder="1"/>
    <xf numFmtId="0" fontId="0" fillId="0" borderId="49" xfId="0" applyBorder="1"/>
    <xf numFmtId="0" fontId="0" fillId="0" borderId="50" xfId="0" applyBorder="1"/>
    <xf numFmtId="0" fontId="0" fillId="0" borderId="7" xfId="0" applyBorder="1"/>
    <xf numFmtId="167" fontId="0" fillId="0" borderId="8" xfId="0" applyNumberFormat="1" applyBorder="1"/>
    <xf numFmtId="14" fontId="0" fillId="0" borderId="50" xfId="0" applyNumberFormat="1" applyBorder="1" applyAlignment="1">
      <alignment horizontal="center"/>
    </xf>
    <xf numFmtId="0" fontId="0" fillId="0" borderId="50" xfId="0" applyBorder="1" applyAlignment="1">
      <alignment horizontal="center"/>
    </xf>
    <xf numFmtId="0" fontId="0" fillId="0" borderId="48" xfId="0" applyBorder="1" applyAlignment="1">
      <alignment horizontal="center"/>
    </xf>
    <xf numFmtId="0" fontId="38" fillId="0" borderId="49" xfId="0" applyFont="1" applyBorder="1" applyAlignment="1">
      <alignment horizontal="left"/>
    </xf>
    <xf numFmtId="0" fontId="0" fillId="0" borderId="48" xfId="0" applyBorder="1" applyAlignment="1">
      <alignment horizontal="right"/>
    </xf>
    <xf numFmtId="167" fontId="0" fillId="0" borderId="0" xfId="1" applyNumberFormat="1" applyFont="1" applyBorder="1" applyAlignment="1">
      <alignment horizontal="center"/>
    </xf>
    <xf numFmtId="167" fontId="0" fillId="0" borderId="8" xfId="1" applyNumberFormat="1" applyFont="1" applyBorder="1" applyAlignment="1">
      <alignment horizontal="center"/>
    </xf>
    <xf numFmtId="168" fontId="20" fillId="0" borderId="0" xfId="3" applyNumberFormat="1" applyFont="1" applyBorder="1"/>
    <xf numFmtId="168" fontId="20" fillId="0" borderId="8" xfId="3" applyNumberFormat="1" applyFont="1" applyBorder="1"/>
    <xf numFmtId="0" fontId="20" fillId="0" borderId="7" xfId="0" applyFont="1" applyBorder="1"/>
    <xf numFmtId="9" fontId="71" fillId="0" borderId="0" xfId="3" applyFont="1" applyFill="1" applyBorder="1"/>
    <xf numFmtId="9" fontId="71" fillId="0" borderId="8" xfId="3" applyFont="1" applyFill="1" applyBorder="1"/>
    <xf numFmtId="0" fontId="0" fillId="0" borderId="13" xfId="0" applyBorder="1"/>
    <xf numFmtId="43" fontId="20" fillId="0" borderId="15" xfId="0" applyNumberFormat="1" applyFont="1" applyBorder="1"/>
    <xf numFmtId="167" fontId="0" fillId="0" borderId="8" xfId="1" applyNumberFormat="1" applyFont="1" applyBorder="1"/>
    <xf numFmtId="0" fontId="0" fillId="0" borderId="8" xfId="0" applyBorder="1"/>
    <xf numFmtId="0" fontId="38" fillId="0" borderId="9" xfId="0" applyFont="1" applyBorder="1"/>
    <xf numFmtId="0" fontId="0" fillId="0" borderId="51" xfId="0" applyBorder="1"/>
    <xf numFmtId="0" fontId="0" fillId="0" borderId="10" xfId="0" applyBorder="1" applyAlignment="1">
      <alignment horizontal="right"/>
    </xf>
    <xf numFmtId="167" fontId="20" fillId="0" borderId="0" xfId="1" applyNumberFormat="1" applyFont="1" applyBorder="1"/>
    <xf numFmtId="167" fontId="20" fillId="0" borderId="8" xfId="0" applyNumberFormat="1" applyFont="1" applyBorder="1"/>
    <xf numFmtId="37" fontId="20" fillId="0" borderId="0" xfId="0" applyNumberFormat="1" applyFont="1"/>
    <xf numFmtId="167" fontId="20" fillId="0" borderId="15" xfId="1" applyNumberFormat="1" applyFont="1" applyBorder="1"/>
    <xf numFmtId="167" fontId="20" fillId="0" borderId="14" xfId="1" applyNumberFormat="1" applyFont="1" applyBorder="1"/>
    <xf numFmtId="43" fontId="0" fillId="0" borderId="0" xfId="1" applyFont="1" applyBorder="1"/>
    <xf numFmtId="43" fontId="0" fillId="0" borderId="8" xfId="1" applyFont="1" applyBorder="1"/>
    <xf numFmtId="167" fontId="0" fillId="0" borderId="15" xfId="1" applyNumberFormat="1" applyFont="1" applyBorder="1"/>
    <xf numFmtId="167" fontId="0" fillId="0" borderId="14" xfId="1" applyNumberFormat="1" applyFont="1" applyBorder="1"/>
    <xf numFmtId="167" fontId="0" fillId="0" borderId="0" xfId="1" applyNumberFormat="1" applyFont="1"/>
    <xf numFmtId="0" fontId="38" fillId="0" borderId="9" xfId="0" applyFont="1" applyBorder="1" applyAlignment="1">
      <alignment wrapText="1"/>
    </xf>
    <xf numFmtId="0" fontId="38" fillId="0" borderId="11" xfId="0" applyFont="1" applyBorder="1" applyAlignment="1">
      <alignment horizontal="center"/>
    </xf>
    <xf numFmtId="0" fontId="38" fillId="0" borderId="10" xfId="0" applyFont="1" applyBorder="1" applyAlignment="1">
      <alignment horizontal="center"/>
    </xf>
    <xf numFmtId="167" fontId="0" fillId="0" borderId="3" xfId="0" applyNumberFormat="1" applyBorder="1"/>
    <xf numFmtId="173" fontId="38" fillId="51" borderId="3" xfId="0" applyNumberFormat="1" applyFont="1" applyFill="1" applyBorder="1"/>
    <xf numFmtId="0" fontId="20" fillId="0" borderId="13" xfId="0" applyFont="1" applyBorder="1"/>
    <xf numFmtId="2" fontId="71" fillId="52" borderId="12" xfId="0" applyNumberFormat="1" applyFont="1" applyFill="1" applyBorder="1"/>
    <xf numFmtId="2" fontId="71" fillId="52" borderId="14" xfId="0" applyNumberFormat="1" applyFont="1" applyFill="1" applyBorder="1"/>
    <xf numFmtId="167" fontId="0" fillId="0" borderId="3" xfId="0" applyNumberFormat="1" applyBorder="1" applyAlignment="1">
      <alignment horizontal="center"/>
    </xf>
    <xf numFmtId="167" fontId="0" fillId="0" borderId="8" xfId="0" applyNumberFormat="1" applyBorder="1" applyAlignment="1">
      <alignment horizontal="center"/>
    </xf>
    <xf numFmtId="0" fontId="20" fillId="0" borderId="11" xfId="0" applyFont="1" applyBorder="1"/>
    <xf numFmtId="9" fontId="71" fillId="52" borderId="11" xfId="0" applyNumberFormat="1" applyFont="1" applyFill="1" applyBorder="1"/>
    <xf numFmtId="43" fontId="0" fillId="0" borderId="0" xfId="1" applyFont="1"/>
    <xf numFmtId="43" fontId="0" fillId="0" borderId="0" xfId="0" applyNumberFormat="1"/>
    <xf numFmtId="173" fontId="0" fillId="0" borderId="0" xfId="1" applyNumberFormat="1" applyFont="1"/>
    <xf numFmtId="2" fontId="0" fillId="0" borderId="0" xfId="0" applyNumberFormat="1"/>
    <xf numFmtId="173" fontId="0" fillId="0" borderId="0" xfId="0" applyNumberFormat="1"/>
    <xf numFmtId="0" fontId="72" fillId="0" borderId="0" xfId="0" applyFont="1"/>
    <xf numFmtId="167" fontId="73" fillId="0" borderId="25" xfId="86" applyNumberFormat="1" applyFont="1" applyBorder="1"/>
    <xf numFmtId="168" fontId="6" fillId="0" borderId="47" xfId="86" applyNumberFormat="1" applyFont="1" applyBorder="1"/>
    <xf numFmtId="168" fontId="6" fillId="0" borderId="47" xfId="32" applyNumberFormat="1" applyFont="1" applyBorder="1"/>
    <xf numFmtId="0" fontId="73" fillId="2" borderId="25" xfId="0" applyFont="1" applyFill="1" applyBorder="1" applyAlignment="1">
      <alignment horizontal="right"/>
    </xf>
    <xf numFmtId="168" fontId="6" fillId="0" borderId="0" xfId="86" applyNumberFormat="1" applyFont="1" applyBorder="1"/>
    <xf numFmtId="0" fontId="73" fillId="2" borderId="16" xfId="0" applyFont="1" applyFill="1" applyBorder="1" applyAlignment="1">
      <alignment horizontal="right"/>
    </xf>
    <xf numFmtId="167" fontId="74" fillId="0" borderId="53" xfId="86" applyNumberFormat="1" applyFont="1" applyBorder="1"/>
    <xf numFmtId="167" fontId="74" fillId="0" borderId="15" xfId="86" applyNumberFormat="1" applyFont="1" applyBorder="1"/>
    <xf numFmtId="0" fontId="11" fillId="2" borderId="16" xfId="0" applyFont="1" applyFill="1" applyBorder="1" applyAlignment="1">
      <alignment horizontal="right"/>
    </xf>
    <xf numFmtId="0" fontId="27" fillId="2" borderId="16" xfId="0" applyFont="1" applyFill="1" applyBorder="1" applyAlignment="1">
      <alignment horizontal="right"/>
    </xf>
    <xf numFmtId="167" fontId="74" fillId="0" borderId="0" xfId="86" applyNumberFormat="1" applyFont="1" applyBorder="1"/>
    <xf numFmtId="0" fontId="27" fillId="2" borderId="57" xfId="0" applyFont="1" applyFill="1" applyBorder="1" applyAlignment="1">
      <alignment horizontal="right"/>
    </xf>
    <xf numFmtId="43" fontId="74" fillId="0" borderId="0" xfId="1" applyFont="1" applyBorder="1"/>
    <xf numFmtId="165" fontId="5" fillId="0" borderId="0" xfId="31" applyNumberFormat="1" applyFont="1" applyFill="1" applyBorder="1"/>
    <xf numFmtId="43" fontId="25" fillId="0" borderId="0" xfId="1" applyFont="1"/>
    <xf numFmtId="0" fontId="74" fillId="2" borderId="0" xfId="0" applyFont="1" applyFill="1"/>
    <xf numFmtId="37" fontId="5" fillId="2" borderId="0" xfId="0" applyNumberFormat="1" applyFont="1" applyFill="1" applyAlignment="1">
      <alignment horizontal="right"/>
    </xf>
    <xf numFmtId="43" fontId="25" fillId="0" borderId="0" xfId="1" applyFont="1" applyBorder="1"/>
    <xf numFmtId="165" fontId="6" fillId="0" borderId="0" xfId="31" applyNumberFormat="1" applyFont="1" applyFill="1" applyBorder="1" applyAlignment="1">
      <alignment horizontal="right"/>
    </xf>
    <xf numFmtId="43" fontId="25" fillId="0" borderId="25" xfId="1" applyFont="1" applyBorder="1"/>
    <xf numFmtId="167" fontId="25" fillId="0" borderId="16" xfId="1" applyNumberFormat="1" applyFont="1" applyBorder="1"/>
    <xf numFmtId="190" fontId="25" fillId="0" borderId="16" xfId="1" applyNumberFormat="1" applyFont="1" applyBorder="1"/>
    <xf numFmtId="167" fontId="25" fillId="0" borderId="52" xfId="1" applyNumberFormat="1" applyFont="1" applyBorder="1"/>
    <xf numFmtId="167" fontId="25" fillId="0" borderId="0" xfId="1" applyNumberFormat="1" applyFont="1"/>
    <xf numFmtId="167" fontId="25" fillId="0" borderId="25" xfId="1" applyNumberFormat="1" applyFont="1" applyBorder="1"/>
    <xf numFmtId="167" fontId="25" fillId="0" borderId="21" xfId="1" applyNumberFormat="1" applyFont="1" applyBorder="1"/>
    <xf numFmtId="0" fontId="25" fillId="0" borderId="58" xfId="0" applyFont="1" applyBorder="1"/>
    <xf numFmtId="0" fontId="25" fillId="0" borderId="59" xfId="0" applyFont="1" applyBorder="1"/>
    <xf numFmtId="190" fontId="25" fillId="0" borderId="58" xfId="0" applyNumberFormat="1" applyFont="1" applyBorder="1"/>
    <xf numFmtId="0" fontId="25" fillId="0" borderId="60" xfId="0" applyFont="1" applyBorder="1"/>
    <xf numFmtId="0" fontId="75" fillId="0" borderId="0" xfId="0" applyFont="1"/>
    <xf numFmtId="0" fontId="25" fillId="0" borderId="22" xfId="0" applyFont="1" applyBorder="1"/>
    <xf numFmtId="190" fontId="25" fillId="0" borderId="57" xfId="0" applyNumberFormat="1" applyFont="1" applyBorder="1"/>
    <xf numFmtId="168" fontId="76" fillId="0" borderId="0" xfId="3" applyNumberFormat="1" applyFont="1"/>
    <xf numFmtId="43" fontId="25" fillId="0" borderId="16" xfId="1" applyFont="1" applyBorder="1"/>
    <xf numFmtId="0" fontId="25" fillId="0" borderId="52" xfId="0" applyFont="1" applyBorder="1"/>
    <xf numFmtId="168" fontId="76" fillId="0" borderId="16" xfId="3" applyNumberFormat="1" applyFont="1" applyBorder="1"/>
    <xf numFmtId="168" fontId="76" fillId="0" borderId="0" xfId="3" applyNumberFormat="1" applyFont="1" applyBorder="1"/>
    <xf numFmtId="168" fontId="76" fillId="0" borderId="52" xfId="3" applyNumberFormat="1" applyFont="1" applyBorder="1"/>
    <xf numFmtId="0" fontId="77" fillId="0" borderId="0" xfId="0" applyFont="1"/>
    <xf numFmtId="43" fontId="78" fillId="0" borderId="57" xfId="1" applyFont="1" applyBorder="1"/>
    <xf numFmtId="43" fontId="78" fillId="0" borderId="58" xfId="1" applyFont="1" applyBorder="1"/>
    <xf numFmtId="0" fontId="78" fillId="0" borderId="60" xfId="0" applyFont="1" applyBorder="1"/>
    <xf numFmtId="43" fontId="78" fillId="0" borderId="0" xfId="1" applyFont="1"/>
    <xf numFmtId="190" fontId="25" fillId="0" borderId="16" xfId="0" applyNumberFormat="1" applyFont="1" applyBorder="1"/>
    <xf numFmtId="190" fontId="25" fillId="0" borderId="0" xfId="0" applyNumberFormat="1" applyFont="1"/>
    <xf numFmtId="167" fontId="25" fillId="0" borderId="16" xfId="0" applyNumberFormat="1" applyFont="1" applyBorder="1"/>
    <xf numFmtId="190" fontId="76" fillId="0" borderId="16" xfId="3" applyNumberFormat="1" applyFont="1" applyBorder="1"/>
    <xf numFmtId="190" fontId="76" fillId="0" borderId="0" xfId="3" applyNumberFormat="1" applyFont="1" applyBorder="1"/>
    <xf numFmtId="167" fontId="25" fillId="0" borderId="54" xfId="0" applyNumberFormat="1" applyFont="1" applyBorder="1"/>
    <xf numFmtId="167" fontId="25" fillId="0" borderId="1" xfId="0" applyNumberFormat="1" applyFont="1" applyBorder="1"/>
    <xf numFmtId="0" fontId="25" fillId="0" borderId="56" xfId="0" applyFont="1" applyBorder="1"/>
    <xf numFmtId="167" fontId="25" fillId="0" borderId="20" xfId="0" applyNumberFormat="1" applyFont="1" applyBorder="1"/>
    <xf numFmtId="167" fontId="25" fillId="0" borderId="18" xfId="0" applyNumberFormat="1" applyFont="1" applyBorder="1"/>
    <xf numFmtId="0" fontId="25" fillId="0" borderId="17" xfId="0" applyFont="1" applyBorder="1"/>
    <xf numFmtId="190" fontId="25" fillId="0" borderId="0" xfId="1" applyNumberFormat="1" applyFont="1" applyBorder="1"/>
    <xf numFmtId="167" fontId="78" fillId="0" borderId="16" xfId="1" applyNumberFormat="1" applyFont="1" applyBorder="1"/>
    <xf numFmtId="167" fontId="78" fillId="0" borderId="0" xfId="1" applyNumberFormat="1" applyFont="1" applyBorder="1"/>
    <xf numFmtId="0" fontId="78" fillId="0" borderId="52" xfId="0" applyFont="1" applyBorder="1"/>
    <xf numFmtId="167" fontId="78" fillId="0" borderId="0" xfId="1" applyNumberFormat="1" applyFont="1"/>
    <xf numFmtId="43" fontId="2" fillId="0" borderId="0" xfId="1" applyFont="1" applyBorder="1"/>
    <xf numFmtId="167" fontId="78" fillId="0" borderId="20" xfId="0" applyNumberFormat="1" applyFont="1" applyBorder="1"/>
    <xf numFmtId="0" fontId="78" fillId="0" borderId="0" xfId="0" applyFont="1"/>
    <xf numFmtId="167" fontId="25" fillId="0" borderId="25" xfId="0" applyNumberFormat="1" applyFont="1" applyBorder="1"/>
    <xf numFmtId="167" fontId="72" fillId="0" borderId="0" xfId="0" applyNumberFormat="1" applyFont="1"/>
    <xf numFmtId="167" fontId="25" fillId="0" borderId="21" xfId="0" applyNumberFormat="1" applyFont="1" applyBorder="1"/>
    <xf numFmtId="168" fontId="76" fillId="0" borderId="21" xfId="3" applyNumberFormat="1" applyFont="1" applyBorder="1"/>
    <xf numFmtId="167" fontId="78" fillId="0" borderId="18" xfId="1" applyNumberFormat="1" applyFont="1" applyBorder="1"/>
    <xf numFmtId="0" fontId="25" fillId="0" borderId="16" xfId="0" applyFont="1" applyBorder="1"/>
    <xf numFmtId="0" fontId="80" fillId="0" borderId="0" xfId="0" applyFont="1"/>
    <xf numFmtId="0" fontId="2" fillId="0" borderId="0" xfId="0" applyFont="1"/>
    <xf numFmtId="168" fontId="72" fillId="0" borderId="0" xfId="3" applyNumberFormat="1" applyFont="1"/>
    <xf numFmtId="167" fontId="25" fillId="0" borderId="47" xfId="0" applyNumberFormat="1" applyFont="1" applyBorder="1"/>
    <xf numFmtId="0" fontId="25" fillId="0" borderId="24" xfId="0" applyFont="1" applyBorder="1"/>
    <xf numFmtId="0" fontId="25" fillId="0" borderId="21" xfId="0" applyFont="1" applyBorder="1"/>
    <xf numFmtId="0" fontId="25" fillId="0" borderId="25" xfId="0" applyFont="1" applyBorder="1"/>
    <xf numFmtId="0" fontId="78" fillId="0" borderId="21" xfId="0" applyFont="1" applyBorder="1"/>
    <xf numFmtId="169" fontId="25" fillId="0" borderId="16" xfId="1" applyNumberFormat="1" applyFont="1" applyBorder="1"/>
    <xf numFmtId="41" fontId="25" fillId="0" borderId="0" xfId="0" applyNumberFormat="1" applyFont="1"/>
    <xf numFmtId="0" fontId="95" fillId="0" borderId="52" xfId="0" applyFont="1" applyBorder="1"/>
    <xf numFmtId="168" fontId="76" fillId="0" borderId="16" xfId="0" applyNumberFormat="1" applyFont="1" applyBorder="1"/>
    <xf numFmtId="168" fontId="76" fillId="0" borderId="0" xfId="0" applyNumberFormat="1" applyFont="1"/>
    <xf numFmtId="0" fontId="76" fillId="0" borderId="21" xfId="0" applyFont="1" applyBorder="1"/>
    <xf numFmtId="0" fontId="76" fillId="0" borderId="52" xfId="0" applyFont="1" applyBorder="1"/>
    <xf numFmtId="167" fontId="25" fillId="0" borderId="0" xfId="0" applyNumberFormat="1" applyFont="1"/>
    <xf numFmtId="0" fontId="78" fillId="0" borderId="22" xfId="0" applyFont="1" applyBorder="1"/>
    <xf numFmtId="0" fontId="78" fillId="0" borderId="47" xfId="0" applyFont="1" applyBorder="1"/>
    <xf numFmtId="167" fontId="78" fillId="0" borderId="25" xfId="1" applyNumberFormat="1" applyFont="1" applyBorder="1"/>
    <xf numFmtId="167" fontId="78" fillId="0" borderId="47" xfId="1" applyNumberFormat="1" applyFont="1" applyBorder="1"/>
    <xf numFmtId="2" fontId="25" fillId="0" borderId="0" xfId="0" applyNumberFormat="1" applyFont="1"/>
    <xf numFmtId="168" fontId="25" fillId="0" borderId="0" xfId="3" applyNumberFormat="1" applyFont="1"/>
    <xf numFmtId="168" fontId="26" fillId="0" borderId="0" xfId="3" applyNumberFormat="1" applyFont="1"/>
    <xf numFmtId="167" fontId="0" fillId="0" borderId="0" xfId="0" applyNumberFormat="1"/>
    <xf numFmtId="167" fontId="74" fillId="0" borderId="16" xfId="86" applyNumberFormat="1" applyFont="1" applyBorder="1"/>
    <xf numFmtId="168" fontId="6" fillId="0" borderId="0" xfId="3" applyNumberFormat="1" applyFont="1" applyBorder="1"/>
    <xf numFmtId="167" fontId="25" fillId="0" borderId="0" xfId="1" applyNumberFormat="1" applyFont="1" applyBorder="1"/>
    <xf numFmtId="167" fontId="2" fillId="0" borderId="0" xfId="1" applyNumberFormat="1" applyFont="1" applyBorder="1"/>
    <xf numFmtId="167" fontId="2" fillId="0" borderId="0" xfId="0" applyNumberFormat="1" applyFont="1"/>
    <xf numFmtId="191" fontId="6" fillId="0" borderId="16" xfId="32" applyNumberFormat="1" applyFont="1" applyBorder="1"/>
    <xf numFmtId="221" fontId="9" fillId="4" borderId="2" xfId="7" applyNumberFormat="1" applyFont="1" applyFill="1" applyBorder="1" applyProtection="1"/>
    <xf numFmtId="221" fontId="36" fillId="0" borderId="4" xfId="0" applyNumberFormat="1" applyFont="1" applyBorder="1" applyAlignment="1">
      <alignment horizontal="center"/>
    </xf>
    <xf numFmtId="221" fontId="9" fillId="9" borderId="5" xfId="7" applyNumberFormat="1" applyFont="1" applyFill="1" applyBorder="1" applyProtection="1"/>
    <xf numFmtId="221" fontId="9" fillId="9" borderId="2" xfId="7" applyNumberFormat="1" applyFont="1" applyFill="1" applyBorder="1" applyAlignment="1" applyProtection="1">
      <alignment horizontal="center"/>
    </xf>
    <xf numFmtId="167" fontId="3" fillId="0" borderId="18" xfId="1" applyNumberFormat="1" applyFont="1" applyBorder="1"/>
    <xf numFmtId="190" fontId="2" fillId="0" borderId="0" xfId="0" applyNumberFormat="1" applyFont="1"/>
    <xf numFmtId="167" fontId="3" fillId="0" borderId="18" xfId="0" applyNumberFormat="1" applyFont="1" applyBorder="1"/>
    <xf numFmtId="190" fontId="6" fillId="0" borderId="0" xfId="3" applyNumberFormat="1" applyFont="1" applyBorder="1"/>
    <xf numFmtId="190" fontId="2" fillId="0" borderId="0" xfId="1" applyNumberFormat="1" applyFont="1" applyBorder="1"/>
    <xf numFmtId="190" fontId="6" fillId="0" borderId="0" xfId="1" applyNumberFormat="1" applyFont="1" applyBorder="1"/>
    <xf numFmtId="167" fontId="2" fillId="0" borderId="18" xfId="0" applyNumberFormat="1" applyFont="1" applyBorder="1"/>
    <xf numFmtId="167" fontId="2" fillId="0" borderId="1" xfId="0" applyNumberFormat="1" applyFont="1" applyBorder="1"/>
    <xf numFmtId="43" fontId="3" fillId="0" borderId="58" xfId="1" applyFont="1" applyBorder="1"/>
    <xf numFmtId="190" fontId="2" fillId="0" borderId="58" xfId="0" applyNumberFormat="1" applyFont="1" applyBorder="1"/>
    <xf numFmtId="167" fontId="25" fillId="0" borderId="21" xfId="1" applyNumberFormat="1" applyFont="1" applyFill="1" applyBorder="1"/>
    <xf numFmtId="167" fontId="78" fillId="0" borderId="21" xfId="1" applyNumberFormat="1" applyFont="1" applyBorder="1"/>
    <xf numFmtId="0" fontId="25" fillId="0" borderId="55" xfId="0" applyFont="1" applyBorder="1"/>
    <xf numFmtId="43" fontId="78" fillId="0" borderId="59" xfId="1" applyFont="1" applyBorder="1"/>
    <xf numFmtId="43" fontId="25" fillId="0" borderId="21" xfId="1" applyFont="1" applyBorder="1"/>
    <xf numFmtId="43" fontId="25" fillId="0" borderId="24" xfId="1" applyFont="1" applyBorder="1"/>
    <xf numFmtId="167" fontId="78" fillId="0" borderId="57" xfId="0" applyNumberFormat="1" applyFont="1" applyBorder="1"/>
    <xf numFmtId="0" fontId="25" fillId="0" borderId="125" xfId="0" applyFont="1" applyBorder="1"/>
    <xf numFmtId="0" fontId="25" fillId="0" borderId="124" xfId="0" applyFont="1" applyBorder="1"/>
    <xf numFmtId="41" fontId="78" fillId="0" borderId="0" xfId="0" applyNumberFormat="1" applyFont="1"/>
    <xf numFmtId="43" fontId="25" fillId="0" borderId="23" xfId="1" applyFont="1" applyBorder="1"/>
    <xf numFmtId="169" fontId="25" fillId="0" borderId="23" xfId="1" applyNumberFormat="1" applyFont="1" applyBorder="1"/>
    <xf numFmtId="0" fontId="25" fillId="0" borderId="122" xfId="0" applyFont="1" applyBorder="1"/>
    <xf numFmtId="0" fontId="2" fillId="0" borderId="0" xfId="1720"/>
    <xf numFmtId="0" fontId="3" fillId="61" borderId="113" xfId="1720" applyFont="1" applyFill="1" applyBorder="1"/>
    <xf numFmtId="0" fontId="3" fillId="61" borderId="51" xfId="1720" applyFont="1" applyFill="1" applyBorder="1" applyAlignment="1">
      <alignment horizontal="center"/>
    </xf>
    <xf numFmtId="0" fontId="3" fillId="60" borderId="3" xfId="1720" applyFont="1" applyFill="1" applyBorder="1"/>
    <xf numFmtId="260" fontId="2" fillId="60" borderId="50" xfId="1720" applyNumberFormat="1" applyFill="1" applyBorder="1" applyAlignment="1">
      <alignment horizontal="center"/>
    </xf>
    <xf numFmtId="0" fontId="202" fillId="61" borderId="3" xfId="1720" applyFont="1" applyFill="1" applyBorder="1"/>
    <xf numFmtId="168" fontId="2" fillId="61" borderId="0" xfId="394" applyNumberFormat="1" applyFont="1" applyFill="1" applyBorder="1" applyAlignment="1">
      <alignment horizontal="center"/>
    </xf>
    <xf numFmtId="260" fontId="2" fillId="60" borderId="0" xfId="1720" applyNumberFormat="1" applyFill="1" applyAlignment="1">
      <alignment horizontal="center"/>
    </xf>
    <xf numFmtId="0" fontId="202" fillId="61" borderId="12" xfId="1720" applyFont="1" applyFill="1" applyBorder="1"/>
    <xf numFmtId="168" fontId="2" fillId="61" borderId="15" xfId="394" applyNumberFormat="1" applyFont="1" applyFill="1" applyBorder="1" applyAlignment="1">
      <alignment horizontal="center"/>
    </xf>
    <xf numFmtId="0" fontId="3" fillId="61" borderId="126" xfId="1720" applyFont="1" applyFill="1" applyBorder="1" applyAlignment="1">
      <alignment horizontal="center"/>
    </xf>
    <xf numFmtId="260" fontId="2" fillId="60" borderId="127" xfId="1720" applyNumberFormat="1" applyFill="1" applyBorder="1" applyAlignment="1">
      <alignment horizontal="center"/>
    </xf>
    <xf numFmtId="168" fontId="2" fillId="61" borderId="21" xfId="394" applyNumberFormat="1" applyFont="1" applyFill="1" applyBorder="1" applyAlignment="1">
      <alignment horizontal="center"/>
    </xf>
    <xf numFmtId="260" fontId="2" fillId="60" borderId="21" xfId="1720" applyNumberFormat="1" applyFill="1" applyBorder="1" applyAlignment="1">
      <alignment horizontal="center"/>
    </xf>
    <xf numFmtId="168" fontId="2" fillId="61" borderId="24" xfId="394" applyNumberFormat="1" applyFont="1" applyFill="1" applyBorder="1" applyAlignment="1">
      <alignment horizontal="center"/>
    </xf>
    <xf numFmtId="0" fontId="3" fillId="61" borderId="128" xfId="1720" applyFont="1" applyFill="1" applyBorder="1" applyAlignment="1">
      <alignment horizontal="center"/>
    </xf>
    <xf numFmtId="260" fontId="2" fillId="60" borderId="129" xfId="1720" applyNumberFormat="1" applyFill="1" applyBorder="1" applyAlignment="1">
      <alignment horizontal="center"/>
    </xf>
    <xf numFmtId="168" fontId="2" fillId="61" borderId="16" xfId="394" applyNumberFormat="1" applyFont="1" applyFill="1" applyBorder="1" applyAlignment="1">
      <alignment horizontal="center"/>
    </xf>
    <xf numFmtId="260" fontId="2" fillId="60" borderId="16" xfId="1720" applyNumberFormat="1" applyFill="1" applyBorder="1" applyAlignment="1">
      <alignment horizontal="center"/>
    </xf>
    <xf numFmtId="168" fontId="2" fillId="61" borderId="25" xfId="394" applyNumberFormat="1" applyFont="1" applyFill="1" applyBorder="1" applyAlignment="1">
      <alignment horizontal="center"/>
    </xf>
    <xf numFmtId="0" fontId="78" fillId="0" borderId="131" xfId="0" applyFont="1" applyBorder="1"/>
    <xf numFmtId="0" fontId="78" fillId="0" borderId="130" xfId="0" applyFont="1" applyBorder="1"/>
    <xf numFmtId="0" fontId="3" fillId="0" borderId="131" xfId="2" applyNumberFormat="1" applyFont="1" applyFill="1" applyBorder="1" applyAlignment="1">
      <alignment horizontal="left"/>
    </xf>
    <xf numFmtId="167" fontId="25" fillId="0" borderId="24" xfId="0" applyNumberFormat="1" applyFont="1" applyBorder="1"/>
    <xf numFmtId="167" fontId="25" fillId="0" borderId="22" xfId="0" applyNumberFormat="1" applyFont="1" applyBorder="1"/>
    <xf numFmtId="167" fontId="25" fillId="0" borderId="52" xfId="0" applyNumberFormat="1" applyFont="1" applyBorder="1"/>
    <xf numFmtId="0" fontId="25" fillId="0" borderId="120" xfId="0" applyFont="1" applyBorder="1"/>
    <xf numFmtId="0" fontId="95" fillId="0" borderId="123" xfId="0" applyFont="1" applyBorder="1"/>
    <xf numFmtId="167" fontId="25" fillId="0" borderId="148" xfId="1" applyNumberFormat="1" applyFont="1" applyBorder="1"/>
    <xf numFmtId="167" fontId="25" fillId="0" borderId="147" xfId="1" applyNumberFormat="1" applyFont="1" applyBorder="1"/>
    <xf numFmtId="167" fontId="25" fillId="0" borderId="145" xfId="1" applyNumberFormat="1" applyFont="1" applyBorder="1"/>
    <xf numFmtId="167" fontId="25" fillId="0" borderId="146" xfId="1" applyNumberFormat="1" applyFont="1" applyBorder="1"/>
    <xf numFmtId="0" fontId="25" fillId="0" borderId="147" xfId="0" applyFont="1" applyBorder="1"/>
    <xf numFmtId="167" fontId="25" fillId="0" borderId="47" xfId="1" applyNumberFormat="1" applyFont="1" applyBorder="1"/>
    <xf numFmtId="0" fontId="25" fillId="0" borderId="145" xfId="0" applyFont="1" applyBorder="1"/>
    <xf numFmtId="0" fontId="25" fillId="0" borderId="148" xfId="0" applyFont="1" applyBorder="1"/>
    <xf numFmtId="0" fontId="25" fillId="0" borderId="146" xfId="0" applyFont="1" applyBorder="1"/>
    <xf numFmtId="167" fontId="25" fillId="0" borderId="60" xfId="0" applyNumberFormat="1" applyFont="1" applyBorder="1"/>
    <xf numFmtId="167" fontId="25" fillId="0" borderId="58" xfId="0" applyNumberFormat="1" applyFont="1" applyBorder="1"/>
    <xf numFmtId="167" fontId="25" fillId="0" borderId="59" xfId="0" applyNumberFormat="1" applyFont="1" applyBorder="1"/>
    <xf numFmtId="191" fontId="25" fillId="0" borderId="52" xfId="0" applyNumberFormat="1" applyFont="1" applyBorder="1"/>
    <xf numFmtId="191" fontId="25" fillId="0" borderId="0" xfId="0" applyNumberFormat="1" applyFont="1"/>
    <xf numFmtId="191" fontId="25" fillId="0" borderId="21" xfId="0" applyNumberFormat="1" applyFont="1" applyBorder="1"/>
    <xf numFmtId="167" fontId="25" fillId="0" borderId="23" xfId="0" applyNumberFormat="1" applyFont="1" applyBorder="1"/>
    <xf numFmtId="167" fontId="25" fillId="0" borderId="19" xfId="0" applyNumberFormat="1" applyFont="1" applyBorder="1"/>
    <xf numFmtId="167" fontId="25" fillId="0" borderId="17" xfId="0" applyNumberFormat="1" applyFont="1" applyBorder="1"/>
    <xf numFmtId="2" fontId="25" fillId="0" borderId="143" xfId="0" applyNumberFormat="1" applyFont="1" applyBorder="1"/>
    <xf numFmtId="2" fontId="25" fillId="0" borderId="144" xfId="0" applyNumberFormat="1" applyFont="1" applyBorder="1"/>
    <xf numFmtId="2" fontId="25" fillId="0" borderId="137" xfId="0" applyNumberFormat="1" applyFont="1" applyBorder="1"/>
    <xf numFmtId="0" fontId="2" fillId="0" borderId="146" xfId="1670" applyBorder="1" applyAlignment="1">
      <alignment horizontal="right"/>
    </xf>
    <xf numFmtId="0" fontId="2" fillId="0" borderId="52" xfId="1670" applyBorder="1" applyAlignment="1">
      <alignment horizontal="right"/>
    </xf>
    <xf numFmtId="0" fontId="2" fillId="0" borderId="22" xfId="1670" applyBorder="1" applyAlignment="1">
      <alignment horizontal="right"/>
    </xf>
    <xf numFmtId="0" fontId="2" fillId="0" borderId="52" xfId="1698" applyBorder="1" applyAlignment="1">
      <alignment horizontal="right"/>
    </xf>
    <xf numFmtId="0" fontId="2" fillId="0" borderId="144" xfId="1670" applyBorder="1" applyAlignment="1">
      <alignment horizontal="right"/>
    </xf>
    <xf numFmtId="0" fontId="2" fillId="0" borderId="52" xfId="1720" applyBorder="1" applyAlignment="1">
      <alignment horizontal="right"/>
    </xf>
    <xf numFmtId="43" fontId="2" fillId="0" borderId="0" xfId="1720" applyNumberFormat="1"/>
    <xf numFmtId="167" fontId="2" fillId="0" borderId="0" xfId="1720" applyNumberFormat="1" applyAlignment="1">
      <alignment horizontal="center"/>
    </xf>
    <xf numFmtId="0" fontId="3" fillId="0" borderId="0" xfId="1720" applyFont="1"/>
    <xf numFmtId="0" fontId="6" fillId="0" borderId="0" xfId="1720" applyFont="1"/>
    <xf numFmtId="169" fontId="2" fillId="0" borderId="23" xfId="1" applyNumberFormat="1" applyFont="1" applyBorder="1"/>
    <xf numFmtId="168" fontId="26" fillId="0" borderId="0" xfId="0" applyNumberFormat="1" applyFont="1"/>
    <xf numFmtId="0" fontId="79" fillId="85" borderId="18" xfId="2" applyNumberFormat="1" applyFont="1" applyFill="1" applyBorder="1" applyAlignment="1">
      <alignment horizontal="center"/>
    </xf>
    <xf numFmtId="0" fontId="11" fillId="2" borderId="17" xfId="0" applyFont="1" applyFill="1" applyBorder="1" applyAlignment="1">
      <alignment horizontal="center"/>
    </xf>
    <xf numFmtId="0" fontId="11" fillId="2" borderId="18" xfId="0" applyFont="1" applyFill="1" applyBorder="1" applyAlignment="1">
      <alignment horizontal="center"/>
    </xf>
    <xf numFmtId="0" fontId="11" fillId="2" borderId="19" xfId="0" applyFont="1" applyFill="1" applyBorder="1" applyAlignment="1">
      <alignment horizontal="center"/>
    </xf>
    <xf numFmtId="168" fontId="0" fillId="0" borderId="0" xfId="3" applyNumberFormat="1" applyFont="1"/>
    <xf numFmtId="167" fontId="78" fillId="0" borderId="16" xfId="1" applyNumberFormat="1" applyFont="1" applyFill="1" applyBorder="1"/>
    <xf numFmtId="167" fontId="25" fillId="0" borderId="16" xfId="1" applyNumberFormat="1" applyFont="1" applyFill="1" applyBorder="1"/>
    <xf numFmtId="167" fontId="25" fillId="0" borderId="0" xfId="3" applyNumberFormat="1" applyFont="1"/>
    <xf numFmtId="0" fontId="222" fillId="0" borderId="0" xfId="0" applyFont="1"/>
    <xf numFmtId="9" fontId="222" fillId="0" borderId="0" xfId="3" applyFont="1"/>
    <xf numFmtId="168" fontId="222" fillId="0" borderId="0" xfId="3" applyNumberFormat="1" applyFont="1"/>
    <xf numFmtId="168" fontId="224" fillId="0" borderId="0" xfId="3" applyNumberFormat="1" applyFont="1" applyBorder="1"/>
    <xf numFmtId="0" fontId="225" fillId="0" borderId="0" xfId="0" applyFont="1"/>
    <xf numFmtId="168" fontId="0" fillId="0" borderId="0" xfId="3" applyNumberFormat="1" applyFont="1" applyBorder="1"/>
    <xf numFmtId="167" fontId="6" fillId="0" borderId="0" xfId="3" applyNumberFormat="1" applyFont="1" applyBorder="1"/>
    <xf numFmtId="167" fontId="76" fillId="0" borderId="0" xfId="3" applyNumberFormat="1" applyFont="1" applyBorder="1"/>
    <xf numFmtId="167" fontId="76" fillId="0" borderId="16" xfId="3" applyNumberFormat="1" applyFont="1" applyBorder="1"/>
    <xf numFmtId="167" fontId="6" fillId="0" borderId="0" xfId="1" applyNumberFormat="1" applyFont="1" applyBorder="1"/>
    <xf numFmtId="9" fontId="76" fillId="0" borderId="16" xfId="3" applyFont="1" applyBorder="1"/>
    <xf numFmtId="167" fontId="2" fillId="0" borderId="0" xfId="1" applyNumberFormat="1" applyFont="1" applyFill="1" applyBorder="1"/>
    <xf numFmtId="41" fontId="78" fillId="0" borderId="16" xfId="1" applyNumberFormat="1" applyFont="1" applyBorder="1"/>
    <xf numFmtId="3" fontId="0" fillId="0" borderId="0" xfId="0" applyNumberFormat="1"/>
    <xf numFmtId="3" fontId="226" fillId="0" borderId="0" xfId="0" applyNumberFormat="1" applyFont="1"/>
    <xf numFmtId="3" fontId="2" fillId="0" borderId="0" xfId="1720" applyNumberFormat="1"/>
    <xf numFmtId="167" fontId="2" fillId="0" borderId="0" xfId="1" applyNumberFormat="1" applyFont="1"/>
    <xf numFmtId="169" fontId="25" fillId="0" borderId="16" xfId="1" applyNumberFormat="1" applyFont="1" applyFill="1" applyBorder="1"/>
    <xf numFmtId="41" fontId="78" fillId="0" borderId="16" xfId="1" applyNumberFormat="1" applyFont="1" applyFill="1" applyBorder="1"/>
    <xf numFmtId="0" fontId="223" fillId="0" borderId="0" xfId="0" applyFont="1"/>
    <xf numFmtId="0" fontId="223" fillId="0" borderId="15" xfId="0" applyFont="1" applyBorder="1"/>
    <xf numFmtId="0" fontId="231" fillId="0" borderId="149" xfId="0" applyFont="1" applyBorder="1" applyAlignment="1">
      <alignment vertical="top" wrapText="1"/>
    </xf>
    <xf numFmtId="0" fontId="231" fillId="0" borderId="149" xfId="0" applyFont="1" applyBorder="1" applyAlignment="1">
      <alignment horizontal="center" vertical="top" wrapText="1"/>
    </xf>
    <xf numFmtId="0" fontId="230" fillId="0" borderId="150" xfId="0" applyFont="1" applyBorder="1" applyAlignment="1">
      <alignment vertical="top" wrapText="1"/>
    </xf>
    <xf numFmtId="0" fontId="230" fillId="0" borderId="151" xfId="0" applyFont="1" applyBorder="1" applyAlignment="1">
      <alignment vertical="top" wrapText="1"/>
    </xf>
    <xf numFmtId="0" fontId="230" fillId="0" borderId="149" xfId="0" applyFont="1" applyBorder="1" applyAlignment="1">
      <alignment vertical="top" wrapText="1"/>
    </xf>
    <xf numFmtId="0" fontId="79" fillId="0" borderId="0" xfId="2" applyNumberFormat="1" applyFont="1" applyFill="1" applyBorder="1" applyAlignment="1">
      <alignment horizontal="center"/>
    </xf>
    <xf numFmtId="9" fontId="2" fillId="0" borderId="0" xfId="3" applyFont="1" applyFill="1" applyBorder="1"/>
    <xf numFmtId="168" fontId="2" fillId="0" borderId="0" xfId="1720" applyNumberFormat="1"/>
    <xf numFmtId="168" fontId="6" fillId="0" borderId="0" xfId="86" applyNumberFormat="1" applyFont="1" applyFill="1" applyBorder="1"/>
    <xf numFmtId="168" fontId="232" fillId="0" borderId="0" xfId="3" applyNumberFormat="1" applyFont="1"/>
    <xf numFmtId="168" fontId="232" fillId="0" borderId="52" xfId="3" applyNumberFormat="1" applyFont="1" applyBorder="1"/>
    <xf numFmtId="168" fontId="232" fillId="0" borderId="21" xfId="3" applyNumberFormat="1" applyFont="1" applyBorder="1"/>
    <xf numFmtId="168" fontId="232" fillId="0" borderId="0" xfId="3" applyNumberFormat="1" applyFont="1" applyBorder="1"/>
    <xf numFmtId="168" fontId="232" fillId="0" borderId="16" xfId="3" applyNumberFormat="1" applyFont="1" applyBorder="1"/>
    <xf numFmtId="168" fontId="232" fillId="0" borderId="0" xfId="3" applyNumberFormat="1" applyFont="1" applyFill="1" applyBorder="1"/>
    <xf numFmtId="168" fontId="233" fillId="0" borderId="0" xfId="3" applyNumberFormat="1" applyFont="1" applyBorder="1"/>
    <xf numFmtId="168" fontId="234" fillId="0" borderId="0" xfId="3" applyNumberFormat="1" applyFont="1"/>
    <xf numFmtId="168" fontId="233" fillId="0" borderId="0" xfId="3" applyNumberFormat="1" applyFont="1" applyFill="1" applyBorder="1"/>
    <xf numFmtId="168" fontId="232" fillId="0" borderId="0" xfId="3" applyNumberFormat="1" applyFont="1" applyAlignment="1">
      <alignment vertical="top"/>
    </xf>
    <xf numFmtId="168" fontId="233" fillId="0" borderId="0" xfId="3" applyNumberFormat="1" applyFont="1" applyBorder="1" applyAlignment="1">
      <alignment vertical="top"/>
    </xf>
    <xf numFmtId="168" fontId="235" fillId="0" borderId="60" xfId="3" applyNumberFormat="1" applyFont="1" applyBorder="1"/>
    <xf numFmtId="168" fontId="232" fillId="0" borderId="59" xfId="3" applyNumberFormat="1" applyFont="1" applyBorder="1"/>
    <xf numFmtId="168" fontId="232" fillId="0" borderId="57" xfId="3" applyNumberFormat="1" applyFont="1" applyBorder="1"/>
    <xf numFmtId="191" fontId="232" fillId="0" borderId="0" xfId="3" applyNumberFormat="1" applyFont="1" applyBorder="1"/>
    <xf numFmtId="0" fontId="234" fillId="0" borderId="0" xfId="0" applyFont="1"/>
    <xf numFmtId="0" fontId="233" fillId="0" borderId="59" xfId="3" applyNumberFormat="1" applyFont="1" applyFill="1" applyBorder="1" applyAlignment="1">
      <alignment horizontal="left"/>
    </xf>
    <xf numFmtId="0" fontId="3" fillId="0" borderId="130" xfId="2" applyNumberFormat="1" applyFont="1" applyFill="1" applyBorder="1"/>
    <xf numFmtId="0" fontId="233" fillId="0" borderId="60" xfId="3" applyNumberFormat="1" applyFont="1" applyFill="1" applyBorder="1"/>
    <xf numFmtId="191" fontId="233" fillId="0" borderId="0" xfId="3" applyNumberFormat="1" applyFont="1" applyBorder="1"/>
    <xf numFmtId="168" fontId="232" fillId="0" borderId="21" xfId="3" applyNumberFormat="1" applyFont="1" applyFill="1" applyBorder="1"/>
    <xf numFmtId="168" fontId="232" fillId="0" borderId="16" xfId="3" applyNumberFormat="1" applyFont="1" applyFill="1" applyBorder="1"/>
    <xf numFmtId="168" fontId="232" fillId="0" borderId="25" xfId="3" applyNumberFormat="1" applyFont="1" applyBorder="1"/>
    <xf numFmtId="168" fontId="232" fillId="0" borderId="22" xfId="3" applyNumberFormat="1" applyFont="1" applyBorder="1"/>
    <xf numFmtId="168" fontId="232" fillId="0" borderId="24" xfId="3" applyNumberFormat="1" applyFont="1" applyBorder="1"/>
    <xf numFmtId="168" fontId="233" fillId="0" borderId="47" xfId="3" applyNumberFormat="1" applyFont="1" applyBorder="1"/>
    <xf numFmtId="168" fontId="232" fillId="0" borderId="47" xfId="3" applyNumberFormat="1" applyFont="1" applyBorder="1"/>
    <xf numFmtId="0" fontId="232" fillId="0" borderId="52" xfId="0" applyFont="1" applyBorder="1"/>
    <xf numFmtId="0" fontId="235" fillId="0" borderId="21" xfId="0" applyFont="1" applyBorder="1"/>
    <xf numFmtId="168" fontId="232" fillId="0" borderId="16" xfId="0" applyNumberFormat="1" applyFont="1" applyBorder="1"/>
    <xf numFmtId="168" fontId="232" fillId="0" borderId="0" xfId="0" applyNumberFormat="1" applyFont="1"/>
    <xf numFmtId="167" fontId="3" fillId="0" borderId="0" xfId="0" applyNumberFormat="1" applyFont="1"/>
    <xf numFmtId="167" fontId="78" fillId="0" borderId="16" xfId="0" applyNumberFormat="1" applyFont="1" applyBorder="1"/>
    <xf numFmtId="167" fontId="78" fillId="0" borderId="0" xfId="0" applyNumberFormat="1" applyFont="1"/>
    <xf numFmtId="0" fontId="73" fillId="0" borderId="0" xfId="391" applyFont="1"/>
    <xf numFmtId="0" fontId="27" fillId="0" borderId="0" xfId="391" applyFont="1"/>
    <xf numFmtId="0" fontId="2" fillId="0" borderId="0" xfId="210"/>
    <xf numFmtId="0" fontId="246" fillId="0" borderId="0" xfId="391" applyFont="1"/>
    <xf numFmtId="167" fontId="27" fillId="0" borderId="0" xfId="1" applyNumberFormat="1" applyFont="1" applyFill="1" applyBorder="1"/>
    <xf numFmtId="167" fontId="27" fillId="0" borderId="0" xfId="26" applyNumberFormat="1" applyFont="1" applyFill="1" applyBorder="1"/>
    <xf numFmtId="167" fontId="27" fillId="0" borderId="0" xfId="391" applyNumberFormat="1" applyFont="1"/>
    <xf numFmtId="0" fontId="249" fillId="0" borderId="0" xfId="0" applyFont="1"/>
    <xf numFmtId="0" fontId="11" fillId="0" borderId="0" xfId="391" applyFont="1"/>
    <xf numFmtId="44" fontId="11" fillId="0" borderId="0" xfId="13" applyFont="1" applyFill="1" applyBorder="1"/>
    <xf numFmtId="43" fontId="11" fillId="0" borderId="0" xfId="13" applyNumberFormat="1" applyFont="1" applyFill="1" applyBorder="1"/>
    <xf numFmtId="168" fontId="250" fillId="0" borderId="0" xfId="26" applyNumberFormat="1" applyFont="1" applyFill="1" applyBorder="1" applyAlignment="1">
      <alignment horizontal="center"/>
    </xf>
    <xf numFmtId="43" fontId="11" fillId="0" borderId="0" xfId="391" applyNumberFormat="1" applyFont="1"/>
    <xf numFmtId="168" fontId="250" fillId="0" borderId="0" xfId="13" applyNumberFormat="1" applyFont="1" applyFill="1" applyBorder="1" applyAlignment="1">
      <alignment horizontal="center"/>
    </xf>
    <xf numFmtId="164" fontId="27" fillId="0" borderId="0" xfId="13" applyNumberFormat="1" applyFont="1" applyFill="1" applyBorder="1"/>
    <xf numFmtId="168" fontId="27" fillId="0" borderId="0" xfId="26" applyNumberFormat="1" applyFont="1" applyFill="1" applyBorder="1"/>
    <xf numFmtId="44" fontId="27" fillId="0" borderId="0" xfId="391" applyNumberFormat="1" applyFont="1"/>
    <xf numFmtId="0" fontId="251" fillId="0" borderId="0" xfId="391" applyFont="1" applyAlignment="1">
      <alignment horizontal="right"/>
    </xf>
    <xf numFmtId="168" fontId="27" fillId="0" borderId="0" xfId="14" applyNumberFormat="1" applyFont="1" applyFill="1" applyBorder="1"/>
    <xf numFmtId="164" fontId="73" fillId="0" borderId="0" xfId="13" applyNumberFormat="1" applyFont="1" applyFill="1" applyBorder="1"/>
    <xf numFmtId="44" fontId="73" fillId="0" borderId="0" xfId="391" applyNumberFormat="1" applyFont="1"/>
    <xf numFmtId="168" fontId="73" fillId="0" borderId="0" xfId="26" applyNumberFormat="1" applyFont="1" applyFill="1" applyBorder="1"/>
    <xf numFmtId="0" fontId="202" fillId="0" borderId="0" xfId="210" applyFont="1"/>
    <xf numFmtId="0" fontId="25" fillId="0" borderId="52" xfId="0" applyFont="1" applyBorder="1" applyAlignment="1">
      <alignment horizontal="left" indent="1"/>
    </xf>
    <xf numFmtId="0" fontId="25" fillId="0" borderId="52" xfId="0" applyFont="1" applyBorder="1" applyAlignment="1">
      <alignment horizontal="left"/>
    </xf>
    <xf numFmtId="0" fontId="232" fillId="0" borderId="0" xfId="0" applyFont="1"/>
    <xf numFmtId="0" fontId="257" fillId="0" borderId="0" xfId="0" applyFont="1"/>
    <xf numFmtId="0" fontId="76" fillId="0" borderId="0" xfId="0" applyFont="1"/>
    <xf numFmtId="0" fontId="258" fillId="0" borderId="0" xfId="0" applyFont="1"/>
    <xf numFmtId="0" fontId="79" fillId="87" borderId="0" xfId="0" applyFont="1" applyFill="1"/>
    <xf numFmtId="37" fontId="25" fillId="0" borderId="0" xfId="0" applyNumberFormat="1" applyFont="1"/>
    <xf numFmtId="168" fontId="256" fillId="0" borderId="0" xfId="0" applyNumberFormat="1" applyFont="1"/>
    <xf numFmtId="10" fontId="256" fillId="0" borderId="0" xfId="0" applyNumberFormat="1" applyFont="1"/>
    <xf numFmtId="0" fontId="233" fillId="0" borderId="0" xfId="22" applyFont="1"/>
    <xf numFmtId="168" fontId="257" fillId="0" borderId="0" xfId="0" applyNumberFormat="1" applyFont="1"/>
    <xf numFmtId="37" fontId="96" fillId="0" borderId="0" xfId="0" applyNumberFormat="1" applyFont="1"/>
    <xf numFmtId="195" fontId="25" fillId="0" borderId="0" xfId="0" applyNumberFormat="1" applyFont="1"/>
    <xf numFmtId="0" fontId="25" fillId="0" borderId="156" xfId="0" applyFont="1" applyBorder="1" applyAlignment="1">
      <alignment horizontal="left" indent="1"/>
    </xf>
    <xf numFmtId="0" fontId="25" fillId="0" borderId="157" xfId="0" applyFont="1" applyBorder="1"/>
    <xf numFmtId="167" fontId="2" fillId="0" borderId="15" xfId="1" applyNumberFormat="1" applyFont="1" applyBorder="1"/>
    <xf numFmtId="167" fontId="25" fillId="0" borderId="53" xfId="1" applyNumberFormat="1" applyFont="1" applyBorder="1"/>
    <xf numFmtId="168" fontId="232" fillId="0" borderId="52" xfId="3" applyNumberFormat="1" applyFont="1" applyBorder="1" applyAlignment="1">
      <alignment vertical="top"/>
    </xf>
    <xf numFmtId="168" fontId="232" fillId="0" borderId="21" xfId="3" applyNumberFormat="1" applyFont="1" applyBorder="1" applyAlignment="1">
      <alignment vertical="top"/>
    </xf>
    <xf numFmtId="168" fontId="232" fillId="0" borderId="25" xfId="3" applyNumberFormat="1" applyFont="1" applyBorder="1" applyAlignment="1">
      <alignment vertical="top"/>
    </xf>
    <xf numFmtId="0" fontId="232" fillId="0" borderId="0" xfId="0" applyFont="1" applyAlignment="1">
      <alignment vertical="top"/>
    </xf>
    <xf numFmtId="37" fontId="25" fillId="86" borderId="0" xfId="0" applyNumberFormat="1" applyFont="1" applyFill="1"/>
    <xf numFmtId="191" fontId="259" fillId="0" borderId="0" xfId="3" applyNumberFormat="1" applyFont="1" applyBorder="1"/>
    <xf numFmtId="167" fontId="256" fillId="0" borderId="0" xfId="1" applyNumberFormat="1" applyFont="1" applyBorder="1"/>
    <xf numFmtId="0" fontId="74" fillId="0" borderId="0" xfId="0" applyFont="1"/>
    <xf numFmtId="168" fontId="74" fillId="0" borderId="0" xfId="0" applyNumberFormat="1" applyFont="1"/>
    <xf numFmtId="168" fontId="260" fillId="0" borderId="0" xfId="0" applyNumberFormat="1" applyFont="1"/>
    <xf numFmtId="0" fontId="25" fillId="61" borderId="21" xfId="0" applyFont="1" applyFill="1" applyBorder="1"/>
    <xf numFmtId="167" fontId="261" fillId="0" borderId="0" xfId="0" applyNumberFormat="1" applyFont="1"/>
    <xf numFmtId="168" fontId="233" fillId="0" borderId="57" xfId="3" applyNumberFormat="1" applyFont="1" applyBorder="1"/>
    <xf numFmtId="167" fontId="263" fillId="0" borderId="0" xfId="1" applyNumberFormat="1" applyFont="1" applyBorder="1"/>
    <xf numFmtId="167" fontId="25" fillId="0" borderId="16" xfId="1" applyNumberFormat="1" applyFont="1" applyFill="1" applyBorder="1" applyAlignment="1">
      <alignment horizontal="right"/>
    </xf>
    <xf numFmtId="41" fontId="78" fillId="0" borderId="16" xfId="1" applyNumberFormat="1" applyFont="1" applyBorder="1" applyAlignment="1">
      <alignment horizontal="right"/>
    </xf>
    <xf numFmtId="41" fontId="25" fillId="0" borderId="158" xfId="0" applyNumberFormat="1" applyFont="1" applyBorder="1"/>
    <xf numFmtId="41" fontId="25" fillId="0" borderId="47" xfId="0" applyNumberFormat="1" applyFont="1" applyBorder="1"/>
    <xf numFmtId="41" fontId="25" fillId="0" borderId="159" xfId="0" applyNumberFormat="1" applyFont="1" applyBorder="1"/>
    <xf numFmtId="164" fontId="225" fillId="0" borderId="15" xfId="2" applyNumberFormat="1" applyFont="1" applyBorder="1"/>
    <xf numFmtId="168" fontId="222" fillId="0" borderId="0" xfId="3" applyNumberFormat="1" applyFont="1" applyBorder="1"/>
    <xf numFmtId="9" fontId="222" fillId="0" borderId="0" xfId="3" applyFont="1" applyBorder="1"/>
    <xf numFmtId="3" fontId="228" fillId="0" borderId="0" xfId="0" applyNumberFormat="1" applyFont="1" applyAlignment="1">
      <alignment horizontal="right" vertical="center"/>
    </xf>
    <xf numFmtId="9" fontId="225" fillId="0" borderId="15" xfId="3" applyFont="1" applyBorder="1"/>
    <xf numFmtId="9" fontId="0" fillId="0" borderId="0" xfId="3" applyFont="1" applyBorder="1"/>
    <xf numFmtId="0" fontId="2" fillId="0" borderId="0" xfId="1720" applyAlignment="1">
      <alignment horizontal="center"/>
    </xf>
    <xf numFmtId="0" fontId="2" fillId="0" borderId="0" xfId="1720" applyAlignment="1">
      <alignment wrapText="1"/>
    </xf>
    <xf numFmtId="164" fontId="2" fillId="0" borderId="0" xfId="2" applyNumberFormat="1" applyFont="1" applyFill="1" applyBorder="1"/>
    <xf numFmtId="164" fontId="2" fillId="0" borderId="0" xfId="1720" applyNumberFormat="1"/>
    <xf numFmtId="167" fontId="0" fillId="0" borderId="0" xfId="1" applyNumberFormat="1" applyFont="1" applyFill="1" applyBorder="1"/>
    <xf numFmtId="164" fontId="72" fillId="0" borderId="0" xfId="2" applyNumberFormat="1" applyFont="1" applyFill="1" applyBorder="1"/>
    <xf numFmtId="0" fontId="3" fillId="0" borderId="0" xfId="1720" applyFont="1" applyAlignment="1">
      <alignment horizontal="center"/>
    </xf>
    <xf numFmtId="0" fontId="227" fillId="0" borderId="0" xfId="0" applyFont="1"/>
    <xf numFmtId="168" fontId="2" fillId="0" borderId="0" xfId="3" applyNumberFormat="1" applyFont="1" applyFill="1" applyBorder="1"/>
    <xf numFmtId="0" fontId="229" fillId="0" borderId="0" xfId="0" applyFont="1"/>
    <xf numFmtId="6" fontId="2" fillId="0" borderId="0" xfId="1720" applyNumberFormat="1"/>
    <xf numFmtId="220" fontId="2" fillId="0" borderId="0" xfId="1720" applyNumberFormat="1"/>
    <xf numFmtId="0" fontId="229" fillId="0" borderId="0" xfId="0" applyFont="1" applyAlignment="1">
      <alignment horizontal="left" vertical="top"/>
    </xf>
    <xf numFmtId="167" fontId="2" fillId="0" borderId="0" xfId="1720" applyNumberFormat="1"/>
    <xf numFmtId="0" fontId="229" fillId="0" borderId="0" xfId="0" applyFont="1" applyAlignment="1">
      <alignment horizontal="left" vertical="center"/>
    </xf>
    <xf numFmtId="165" fontId="2" fillId="0" borderId="0" xfId="1720" applyNumberFormat="1"/>
    <xf numFmtId="165" fontId="0" fillId="0" borderId="0" xfId="2" applyNumberFormat="1" applyFont="1" applyFill="1" applyBorder="1"/>
    <xf numFmtId="9" fontId="0" fillId="0" borderId="0" xfId="0" applyNumberFormat="1"/>
    <xf numFmtId="44" fontId="2" fillId="0" borderId="0" xfId="1720" applyNumberFormat="1"/>
    <xf numFmtId="0" fontId="3" fillId="0" borderId="0" xfId="1720" applyFont="1" applyAlignment="1">
      <alignment wrapText="1"/>
    </xf>
    <xf numFmtId="0" fontId="2" fillId="0" borderId="161" xfId="1720" applyBorder="1"/>
    <xf numFmtId="0" fontId="223" fillId="0" borderId="160" xfId="0" applyFont="1" applyBorder="1"/>
    <xf numFmtId="167" fontId="2" fillId="0" borderId="160" xfId="1" applyNumberFormat="1" applyFont="1" applyFill="1" applyBorder="1"/>
    <xf numFmtId="0" fontId="2" fillId="0" borderId="7" xfId="1720" applyBorder="1" applyAlignment="1">
      <alignment horizontal="right"/>
    </xf>
    <xf numFmtId="9" fontId="2" fillId="0" borderId="0" xfId="3" applyFont="1" applyFill="1" applyBorder="1" applyAlignment="1">
      <alignment horizontal="right"/>
    </xf>
    <xf numFmtId="0" fontId="2" fillId="0" borderId="0" xfId="1720" applyAlignment="1">
      <alignment horizontal="right"/>
    </xf>
    <xf numFmtId="2" fontId="25" fillId="0" borderId="13" xfId="0" applyNumberFormat="1" applyFont="1" applyBorder="1" applyAlignment="1">
      <alignment horizontal="right"/>
    </xf>
    <xf numFmtId="2" fontId="25" fillId="0" borderId="15" xfId="0" applyNumberFormat="1" applyFont="1" applyBorder="1" applyAlignment="1">
      <alignment horizontal="right"/>
    </xf>
    <xf numFmtId="0" fontId="0" fillId="0" borderId="0" xfId="0" applyAlignment="1">
      <alignment horizontal="center"/>
    </xf>
    <xf numFmtId="0" fontId="2" fillId="0" borderId="163" xfId="1720" applyBorder="1"/>
    <xf numFmtId="0" fontId="3" fillId="0" borderId="163" xfId="1720" applyFont="1" applyBorder="1" applyAlignment="1">
      <alignment horizontal="right"/>
    </xf>
    <xf numFmtId="0" fontId="3" fillId="0" borderId="163" xfId="1720" applyFont="1" applyBorder="1"/>
    <xf numFmtId="168" fontId="233" fillId="0" borderId="163" xfId="3" applyNumberFormat="1" applyFont="1" applyBorder="1" applyAlignment="1">
      <alignment horizontal="right"/>
    </xf>
    <xf numFmtId="168" fontId="25" fillId="0" borderId="0" xfId="3" applyNumberFormat="1" applyFont="1" applyBorder="1"/>
    <xf numFmtId="167" fontId="2" fillId="0" borderId="162" xfId="1" applyNumberFormat="1" applyFont="1" applyFill="1" applyBorder="1"/>
    <xf numFmtId="0" fontId="2" fillId="0" borderId="162" xfId="1720" applyBorder="1" applyAlignment="1">
      <alignment horizontal="right"/>
    </xf>
    <xf numFmtId="2" fontId="25" fillId="0" borderId="162" xfId="0" applyNumberFormat="1" applyFont="1" applyBorder="1" applyAlignment="1">
      <alignment horizontal="right"/>
    </xf>
    <xf numFmtId="0" fontId="25" fillId="0" borderId="0" xfId="0" applyFont="1" applyAlignment="1">
      <alignment vertical="top"/>
    </xf>
    <xf numFmtId="0" fontId="2" fillId="0" borderId="21" xfId="2" applyNumberFormat="1" applyFont="1" applyFill="1" applyBorder="1" applyAlignment="1">
      <alignment vertical="top"/>
    </xf>
    <xf numFmtId="167" fontId="25" fillId="0" borderId="0" xfId="0" applyNumberFormat="1" applyFont="1" applyAlignment="1">
      <alignment vertical="top"/>
    </xf>
    <xf numFmtId="167" fontId="25" fillId="0" borderId="16" xfId="0" applyNumberFormat="1" applyFont="1" applyBorder="1" applyAlignment="1">
      <alignment vertical="top"/>
    </xf>
    <xf numFmtId="167" fontId="2" fillId="0" borderId="0" xfId="0" applyNumberFormat="1" applyFont="1" applyAlignment="1">
      <alignment vertical="top"/>
    </xf>
    <xf numFmtId="168" fontId="235" fillId="0" borderId="52" xfId="3" applyNumberFormat="1" applyFont="1" applyBorder="1" applyAlignment="1">
      <alignment vertical="top"/>
    </xf>
    <xf numFmtId="168" fontId="232" fillId="0" borderId="16" xfId="3" applyNumberFormat="1" applyFont="1" applyBorder="1" applyAlignment="1">
      <alignment vertical="top"/>
    </xf>
    <xf numFmtId="0" fontId="2" fillId="0" borderId="52" xfId="2" applyNumberFormat="1" applyFont="1" applyFill="1" applyBorder="1" applyAlignment="1">
      <alignment horizontal="left" vertical="top"/>
    </xf>
    <xf numFmtId="0" fontId="264" fillId="0" borderId="0" xfId="1720" applyFont="1"/>
    <xf numFmtId="0" fontId="265" fillId="61" borderId="51" xfId="1720" applyFont="1" applyFill="1" applyBorder="1" applyAlignment="1">
      <alignment horizontal="center"/>
    </xf>
    <xf numFmtId="0" fontId="265" fillId="61" borderId="128" xfId="1720" applyFont="1" applyFill="1" applyBorder="1" applyAlignment="1">
      <alignment horizontal="center"/>
    </xf>
    <xf numFmtId="0" fontId="265" fillId="61" borderId="126" xfId="1720" applyFont="1" applyFill="1" applyBorder="1" applyAlignment="1">
      <alignment horizontal="center"/>
    </xf>
    <xf numFmtId="168" fontId="266" fillId="0" borderId="0" xfId="394" applyNumberFormat="1" applyFont="1"/>
    <xf numFmtId="169" fontId="266" fillId="0" borderId="0" xfId="341" applyNumberFormat="1" applyFont="1"/>
    <xf numFmtId="0" fontId="20" fillId="0" borderId="0" xfId="0" applyFont="1" applyAlignment="1">
      <alignment vertical="top"/>
    </xf>
    <xf numFmtId="0" fontId="268" fillId="85" borderId="164" xfId="0" applyFont="1" applyFill="1" applyBorder="1"/>
    <xf numFmtId="0" fontId="79" fillId="85" borderId="165" xfId="2" applyNumberFormat="1" applyFont="1" applyFill="1" applyBorder="1" applyAlignment="1">
      <alignment horizontal="center"/>
    </xf>
    <xf numFmtId="0" fontId="79" fillId="85" borderId="166" xfId="2" applyNumberFormat="1" applyFont="1" applyFill="1" applyBorder="1" applyAlignment="1">
      <alignment horizontal="center"/>
    </xf>
    <xf numFmtId="37" fontId="78" fillId="61" borderId="0" xfId="0" applyNumberFormat="1" applyFont="1" applyFill="1"/>
    <xf numFmtId="168" fontId="261" fillId="61" borderId="0" xfId="3" applyNumberFormat="1" applyFont="1" applyFill="1" applyBorder="1" applyAlignment="1">
      <alignment vertical="top"/>
    </xf>
    <xf numFmtId="168" fontId="261" fillId="61" borderId="0" xfId="3" quotePrefix="1" applyNumberFormat="1" applyFont="1" applyFill="1" applyBorder="1" applyAlignment="1">
      <alignment vertical="top"/>
    </xf>
    <xf numFmtId="0" fontId="78" fillId="61" borderId="162" xfId="0" applyFont="1" applyFill="1" applyBorder="1"/>
    <xf numFmtId="37" fontId="78" fillId="61" borderId="8" xfId="0" applyNumberFormat="1" applyFont="1" applyFill="1" applyBorder="1"/>
    <xf numFmtId="0" fontId="261" fillId="61" borderId="162" xfId="0" applyFont="1" applyFill="1" applyBorder="1" applyAlignment="1">
      <alignment horizontal="left" vertical="top" indent="1"/>
    </xf>
    <xf numFmtId="168" fontId="261" fillId="61" borderId="8" xfId="3" applyNumberFormat="1" applyFont="1" applyFill="1" applyBorder="1" applyAlignment="1">
      <alignment vertical="top"/>
    </xf>
    <xf numFmtId="0" fontId="261" fillId="61" borderId="13" xfId="0" applyFont="1" applyFill="1" applyBorder="1" applyAlignment="1">
      <alignment horizontal="left" vertical="top" indent="1"/>
    </xf>
    <xf numFmtId="168" fontId="261" fillId="61" borderId="15" xfId="3" applyNumberFormat="1" applyFont="1" applyFill="1" applyBorder="1" applyAlignment="1">
      <alignment vertical="top"/>
    </xf>
    <xf numFmtId="168" fontId="261" fillId="61" borderId="14" xfId="3" applyNumberFormat="1" applyFont="1" applyFill="1" applyBorder="1" applyAlignment="1">
      <alignment vertical="top"/>
    </xf>
    <xf numFmtId="9" fontId="25" fillId="0" borderId="0" xfId="3" applyFont="1" applyBorder="1" applyAlignment="1">
      <alignment horizontal="center"/>
    </xf>
    <xf numFmtId="0" fontId="79" fillId="85" borderId="164" xfId="0" applyFont="1" applyFill="1" applyBorder="1" applyAlignment="1">
      <alignment horizontal="center"/>
    </xf>
    <xf numFmtId="0" fontId="79" fillId="85" borderId="165" xfId="0" applyFont="1" applyFill="1" applyBorder="1" applyAlignment="1">
      <alignment horizontal="center"/>
    </xf>
    <xf numFmtId="0" fontId="25" fillId="0" borderId="162" xfId="0" applyFont="1" applyBorder="1"/>
    <xf numFmtId="0" fontId="25" fillId="0" borderId="13" xfId="0" applyFont="1" applyBorder="1"/>
    <xf numFmtId="9" fontId="25" fillId="0" borderId="15" xfId="3" applyFont="1" applyBorder="1" applyAlignment="1">
      <alignment horizontal="center"/>
    </xf>
    <xf numFmtId="0" fontId="79" fillId="85" borderId="163" xfId="0" applyFont="1" applyFill="1" applyBorder="1" applyAlignment="1">
      <alignment horizontal="center"/>
    </xf>
    <xf numFmtId="9" fontId="25" fillId="0" borderId="3" xfId="3" applyFont="1" applyBorder="1" applyAlignment="1">
      <alignment horizontal="center"/>
    </xf>
    <xf numFmtId="9" fontId="25" fillId="0" borderId="12" xfId="3" applyFont="1" applyBorder="1" applyAlignment="1">
      <alignment horizontal="center"/>
    </xf>
    <xf numFmtId="0" fontId="20" fillId="0" borderId="0" xfId="0" applyFont="1"/>
    <xf numFmtId="168" fontId="269" fillId="0" borderId="0" xfId="3" applyNumberFormat="1" applyFont="1" applyBorder="1"/>
    <xf numFmtId="0" fontId="79" fillId="85" borderId="164" xfId="0" applyFont="1" applyFill="1" applyBorder="1"/>
    <xf numFmtId="0" fontId="38" fillId="0" borderId="0" xfId="0" applyFont="1"/>
    <xf numFmtId="167" fontId="38" fillId="0" borderId="0" xfId="1" applyNumberFormat="1" applyFont="1" applyBorder="1"/>
    <xf numFmtId="168" fontId="270" fillId="0" borderId="0" xfId="3" applyNumberFormat="1" applyFont="1" applyBorder="1"/>
    <xf numFmtId="0" fontId="78" fillId="0" borderId="162" xfId="0" applyFont="1" applyBorder="1"/>
    <xf numFmtId="167" fontId="78" fillId="0" borderId="8" xfId="1" applyNumberFormat="1" applyFont="1" applyBorder="1"/>
    <xf numFmtId="0" fontId="95" fillId="0" borderId="162" xfId="0" applyFont="1" applyBorder="1"/>
    <xf numFmtId="168" fontId="25" fillId="0" borderId="8" xfId="3" applyNumberFormat="1" applyFont="1" applyBorder="1"/>
    <xf numFmtId="167" fontId="25" fillId="0" borderId="8" xfId="1" applyNumberFormat="1" applyFont="1" applyBorder="1"/>
    <xf numFmtId="0" fontId="269" fillId="0" borderId="0" xfId="0" applyFont="1"/>
    <xf numFmtId="0" fontId="267" fillId="0" borderId="162" xfId="0" applyFont="1" applyBorder="1" applyAlignment="1">
      <alignment horizontal="left" indent="1"/>
    </xf>
    <xf numFmtId="168" fontId="267" fillId="0" borderId="0" xfId="3" applyNumberFormat="1" applyFont="1" applyBorder="1" applyAlignment="1">
      <alignment horizontal="right"/>
    </xf>
    <xf numFmtId="168" fontId="267" fillId="0" borderId="0" xfId="3" applyNumberFormat="1" applyFont="1" applyBorder="1"/>
    <xf numFmtId="168" fontId="267" fillId="0" borderId="8" xfId="3" applyNumberFormat="1" applyFont="1" applyBorder="1"/>
    <xf numFmtId="167" fontId="269" fillId="0" borderId="0" xfId="1" applyNumberFormat="1" applyFont="1" applyBorder="1"/>
    <xf numFmtId="0" fontId="267" fillId="0" borderId="13" xfId="0" applyFont="1" applyBorder="1" applyAlignment="1">
      <alignment horizontal="left" indent="1"/>
    </xf>
    <xf numFmtId="168" fontId="267" fillId="0" borderId="15" xfId="3" applyNumberFormat="1" applyFont="1" applyBorder="1"/>
    <xf numFmtId="168" fontId="267" fillId="0" borderId="14" xfId="3" applyNumberFormat="1" applyFont="1" applyBorder="1"/>
    <xf numFmtId="168" fontId="269" fillId="0" borderId="0" xfId="3" applyNumberFormat="1" applyFont="1"/>
    <xf numFmtId="7" fontId="78" fillId="0" borderId="0" xfId="1" applyNumberFormat="1" applyFont="1" applyBorder="1"/>
    <xf numFmtId="7" fontId="78" fillId="0" borderId="8" xfId="1" applyNumberFormat="1" applyFont="1" applyBorder="1"/>
    <xf numFmtId="264" fontId="229" fillId="61" borderId="0" xfId="0" applyNumberFormat="1" applyFont="1" applyFill="1"/>
    <xf numFmtId="0" fontId="25" fillId="61" borderId="0" xfId="0" applyFont="1" applyFill="1"/>
    <xf numFmtId="0" fontId="25" fillId="85" borderId="0" xfId="0" applyFont="1" applyFill="1"/>
    <xf numFmtId="0" fontId="79" fillId="85" borderId="0" xfId="0" applyFont="1" applyFill="1"/>
    <xf numFmtId="0" fontId="25" fillId="61" borderId="0" xfId="0" applyFont="1" applyFill="1" applyAlignment="1">
      <alignment horizontal="center"/>
    </xf>
    <xf numFmtId="0" fontId="25" fillId="85" borderId="161" xfId="0" applyFont="1" applyFill="1" applyBorder="1" applyAlignment="1">
      <alignment vertical="center" textRotation="90"/>
    </xf>
    <xf numFmtId="8" fontId="271" fillId="86" borderId="161" xfId="0" applyNumberFormat="1" applyFont="1" applyFill="1" applyBorder="1"/>
    <xf numFmtId="168" fontId="272" fillId="86" borderId="160" xfId="0" applyNumberFormat="1" applyFont="1" applyFill="1" applyBorder="1" applyAlignment="1">
      <alignment horizontal="center"/>
    </xf>
    <xf numFmtId="168" fontId="11" fillId="86" borderId="160" xfId="0" applyNumberFormat="1" applyFont="1" applyFill="1" applyBorder="1" applyAlignment="1">
      <alignment horizontal="center"/>
    </xf>
    <xf numFmtId="168" fontId="11" fillId="86" borderId="167" xfId="0" applyNumberFormat="1" applyFont="1" applyFill="1" applyBorder="1" applyAlignment="1">
      <alignment horizontal="center"/>
    </xf>
    <xf numFmtId="264" fontId="272" fillId="86" borderId="162" xfId="0" applyNumberFormat="1" applyFont="1" applyFill="1" applyBorder="1" applyAlignment="1">
      <alignment horizontal="center"/>
    </xf>
    <xf numFmtId="260" fontId="25" fillId="61" borderId="161" xfId="0" applyNumberFormat="1" applyFont="1" applyFill="1" applyBorder="1" applyAlignment="1">
      <alignment horizontal="center"/>
    </xf>
    <xf numFmtId="260" fontId="25" fillId="61" borderId="160" xfId="0" applyNumberFormat="1" applyFont="1" applyFill="1" applyBorder="1" applyAlignment="1">
      <alignment horizontal="center"/>
    </xf>
    <xf numFmtId="260" fontId="25" fillId="61" borderId="167" xfId="0" applyNumberFormat="1" applyFont="1" applyFill="1" applyBorder="1" applyAlignment="1">
      <alignment horizontal="center"/>
    </xf>
    <xf numFmtId="264" fontId="11" fillId="86" borderId="162" xfId="0" applyNumberFormat="1" applyFont="1" applyFill="1" applyBorder="1" applyAlignment="1">
      <alignment horizontal="center"/>
    </xf>
    <xf numFmtId="260" fontId="25" fillId="61" borderId="162" xfId="0" applyNumberFormat="1" applyFont="1" applyFill="1" applyBorder="1" applyAlignment="1">
      <alignment horizontal="center"/>
    </xf>
    <xf numFmtId="260" fontId="25" fillId="61" borderId="0" xfId="0" applyNumberFormat="1" applyFont="1" applyFill="1" applyAlignment="1">
      <alignment horizontal="center"/>
    </xf>
    <xf numFmtId="260" fontId="25" fillId="61" borderId="8" xfId="0" applyNumberFormat="1" applyFont="1" applyFill="1" applyBorder="1" applyAlignment="1">
      <alignment horizontal="center"/>
    </xf>
    <xf numFmtId="0" fontId="79" fillId="61" borderId="0" xfId="0" applyFont="1" applyFill="1"/>
    <xf numFmtId="265" fontId="25" fillId="61" borderId="0" xfId="0" applyNumberFormat="1" applyFont="1" applyFill="1"/>
    <xf numFmtId="264" fontId="256" fillId="61" borderId="0" xfId="0" applyNumberFormat="1" applyFont="1" applyFill="1" applyAlignment="1">
      <alignment horizontal="right"/>
    </xf>
    <xf numFmtId="168" fontId="25" fillId="61" borderId="0" xfId="0" applyNumberFormat="1" applyFont="1" applyFill="1" applyAlignment="1">
      <alignment horizontal="center"/>
    </xf>
    <xf numFmtId="264" fontId="11" fillId="86" borderId="13" xfId="0" applyNumberFormat="1" applyFont="1" applyFill="1" applyBorder="1" applyAlignment="1">
      <alignment horizontal="center"/>
    </xf>
    <xf numFmtId="260" fontId="25" fillId="61" borderId="13" xfId="0" applyNumberFormat="1" applyFont="1" applyFill="1" applyBorder="1" applyAlignment="1">
      <alignment horizontal="center"/>
    </xf>
    <xf numFmtId="260" fontId="25" fillId="61" borderId="15" xfId="0" applyNumberFormat="1" applyFont="1" applyFill="1" applyBorder="1" applyAlignment="1">
      <alignment horizontal="center"/>
    </xf>
    <xf numFmtId="260" fontId="25" fillId="61" borderId="14" xfId="0" applyNumberFormat="1" applyFont="1" applyFill="1" applyBorder="1" applyAlignment="1">
      <alignment horizontal="center"/>
    </xf>
    <xf numFmtId="265" fontId="256" fillId="61" borderId="0" xfId="0" applyNumberFormat="1" applyFont="1" applyFill="1"/>
    <xf numFmtId="0" fontId="25" fillId="85" borderId="161" xfId="0" applyFont="1" applyFill="1" applyBorder="1"/>
    <xf numFmtId="0" fontId="3" fillId="86" borderId="161" xfId="0" applyFont="1" applyFill="1" applyBorder="1"/>
    <xf numFmtId="168" fontId="11" fillId="86" borderId="165" xfId="0" applyNumberFormat="1" applyFont="1" applyFill="1" applyBorder="1" applyAlignment="1">
      <alignment horizontal="center"/>
    </xf>
    <xf numFmtId="168" fontId="11" fillId="86" borderId="166" xfId="0" applyNumberFormat="1" applyFont="1" applyFill="1" applyBorder="1" applyAlignment="1">
      <alignment horizontal="center"/>
    </xf>
    <xf numFmtId="264" fontId="11" fillId="86" borderId="168" xfId="0" applyNumberFormat="1" applyFont="1" applyFill="1" applyBorder="1" applyAlignment="1">
      <alignment horizontal="center"/>
    </xf>
    <xf numFmtId="9" fontId="25" fillId="61" borderId="0" xfId="0" applyNumberFormat="1" applyFont="1" applyFill="1" applyAlignment="1">
      <alignment horizontal="center"/>
    </xf>
    <xf numFmtId="9" fontId="25" fillId="61" borderId="8" xfId="0" applyNumberFormat="1" applyFont="1" applyFill="1" applyBorder="1" applyAlignment="1">
      <alignment horizontal="center"/>
    </xf>
    <xf numFmtId="8" fontId="78" fillId="61" borderId="0" xfId="0" applyNumberFormat="1" applyFont="1" applyFill="1"/>
    <xf numFmtId="207" fontId="25" fillId="61" borderId="0" xfId="0" applyNumberFormat="1" applyFont="1" applyFill="1" applyAlignment="1">
      <alignment horizontal="right" vertical="center"/>
    </xf>
    <xf numFmtId="264" fontId="25" fillId="61" borderId="0" xfId="0" applyNumberFormat="1" applyFont="1" applyFill="1" applyAlignment="1">
      <alignment horizontal="right"/>
    </xf>
    <xf numFmtId="264" fontId="11" fillId="86" borderId="12" xfId="0" applyNumberFormat="1" applyFont="1" applyFill="1" applyBorder="1" applyAlignment="1">
      <alignment horizontal="center"/>
    </xf>
    <xf numFmtId="9" fontId="25" fillId="61" borderId="15" xfId="0" applyNumberFormat="1" applyFont="1" applyFill="1" applyBorder="1" applyAlignment="1">
      <alignment horizontal="center"/>
    </xf>
    <xf numFmtId="9" fontId="25" fillId="61" borderId="14" xfId="0" applyNumberFormat="1" applyFont="1" applyFill="1" applyBorder="1" applyAlignment="1">
      <alignment horizontal="center"/>
    </xf>
    <xf numFmtId="0" fontId="25" fillId="61" borderId="0" xfId="0" applyFont="1" applyFill="1" applyAlignment="1">
      <alignment horizontal="right"/>
    </xf>
    <xf numFmtId="0" fontId="79" fillId="85" borderId="0" xfId="0" applyFont="1" applyFill="1" applyAlignment="1">
      <alignment horizontal="right"/>
    </xf>
    <xf numFmtId="9" fontId="25" fillId="61" borderId="0" xfId="0" applyNumberFormat="1" applyFont="1" applyFill="1"/>
    <xf numFmtId="38" fontId="273" fillId="61" borderId="0" xfId="0" applyNumberFormat="1" applyFont="1" applyFill="1"/>
    <xf numFmtId="38" fontId="228" fillId="61" borderId="0" xfId="0" applyNumberFormat="1" applyFont="1" applyFill="1"/>
    <xf numFmtId="38" fontId="25" fillId="61" borderId="0" xfId="0" applyNumberFormat="1" applyFont="1" applyFill="1"/>
    <xf numFmtId="8" fontId="273" fillId="61" borderId="0" xfId="0" applyNumberFormat="1" applyFont="1" applyFill="1"/>
    <xf numFmtId="0" fontId="261" fillId="61" borderId="0" xfId="0" applyFont="1" applyFill="1" applyAlignment="1">
      <alignment horizontal="left" indent="1"/>
    </xf>
    <xf numFmtId="0" fontId="261" fillId="61" borderId="0" xfId="0" applyFont="1" applyFill="1"/>
    <xf numFmtId="9" fontId="274" fillId="61" borderId="0" xfId="0" applyNumberFormat="1" applyFont="1" applyFill="1"/>
    <xf numFmtId="168" fontId="256" fillId="61" borderId="0" xfId="0" applyNumberFormat="1" applyFont="1" applyFill="1"/>
    <xf numFmtId="6" fontId="78" fillId="61" borderId="0" xfId="0" applyNumberFormat="1" applyFont="1" applyFill="1"/>
    <xf numFmtId="168" fontId="232" fillId="0" borderId="0" xfId="3" applyNumberFormat="1" applyFont="1" applyBorder="1" applyAlignment="1">
      <alignment vertical="top"/>
    </xf>
    <xf numFmtId="167" fontId="78" fillId="0" borderId="18" xfId="0" applyNumberFormat="1" applyFont="1" applyBorder="1"/>
    <xf numFmtId="190" fontId="76" fillId="0" borderId="0" xfId="1" applyNumberFormat="1" applyFont="1" applyBorder="1"/>
    <xf numFmtId="167" fontId="25" fillId="0" borderId="15" xfId="1" applyNumberFormat="1" applyFont="1" applyBorder="1"/>
    <xf numFmtId="43" fontId="25" fillId="0" borderId="0" xfId="0" applyNumberFormat="1" applyFont="1"/>
    <xf numFmtId="167" fontId="25" fillId="61" borderId="0" xfId="1" applyNumberFormat="1" applyFont="1" applyFill="1"/>
    <xf numFmtId="168" fontId="232" fillId="61" borderId="0" xfId="3" applyNumberFormat="1" applyFont="1" applyFill="1"/>
    <xf numFmtId="168" fontId="261" fillId="61" borderId="0" xfId="3" applyNumberFormat="1" applyFont="1" applyFill="1"/>
    <xf numFmtId="0" fontId="78" fillId="61" borderId="0" xfId="0" applyFont="1" applyFill="1"/>
    <xf numFmtId="43" fontId="25" fillId="61" borderId="0" xfId="1" applyFont="1" applyFill="1"/>
    <xf numFmtId="190" fontId="25" fillId="61" borderId="0" xfId="1" applyNumberFormat="1" applyFont="1" applyFill="1"/>
    <xf numFmtId="168" fontId="25" fillId="61" borderId="0" xfId="3" applyNumberFormat="1" applyFont="1" applyFill="1"/>
    <xf numFmtId="0" fontId="80" fillId="61" borderId="0" xfId="0" applyFont="1" applyFill="1"/>
    <xf numFmtId="167" fontId="25" fillId="61" borderId="0" xfId="0" applyNumberFormat="1" applyFont="1" applyFill="1"/>
    <xf numFmtId="167" fontId="25" fillId="61" borderId="0" xfId="3" applyNumberFormat="1" applyFont="1" applyFill="1"/>
    <xf numFmtId="167" fontId="2" fillId="61" borderId="0" xfId="1" applyNumberFormat="1" applyFont="1" applyFill="1" applyBorder="1"/>
    <xf numFmtId="167" fontId="25" fillId="61" borderId="16" xfId="1" applyNumberFormat="1" applyFont="1" applyFill="1" applyBorder="1"/>
    <xf numFmtId="168" fontId="232" fillId="61" borderId="52" xfId="3" applyNumberFormat="1" applyFont="1" applyFill="1" applyBorder="1"/>
    <xf numFmtId="168" fontId="232" fillId="61" borderId="0" xfId="3" applyNumberFormat="1" applyFont="1" applyFill="1" applyBorder="1"/>
    <xf numFmtId="168" fontId="232" fillId="61" borderId="16" xfId="3" applyNumberFormat="1" applyFont="1" applyFill="1" applyBorder="1"/>
    <xf numFmtId="168" fontId="233" fillId="61" borderId="0" xfId="3" applyNumberFormat="1" applyFont="1" applyFill="1" applyBorder="1"/>
    <xf numFmtId="167" fontId="25" fillId="61" borderId="0" xfId="1" applyNumberFormat="1" applyFont="1" applyFill="1" applyBorder="1"/>
    <xf numFmtId="195" fontId="2" fillId="61" borderId="0" xfId="1" applyNumberFormat="1" applyFont="1" applyFill="1" applyBorder="1"/>
    <xf numFmtId="195" fontId="25" fillId="61" borderId="16" xfId="1" applyNumberFormat="1" applyFont="1" applyFill="1" applyBorder="1"/>
    <xf numFmtId="9" fontId="2" fillId="61" borderId="0" xfId="3" applyFont="1" applyFill="1" applyBorder="1"/>
    <xf numFmtId="9" fontId="25" fillId="61" borderId="16" xfId="3" applyFont="1" applyFill="1" applyBorder="1"/>
    <xf numFmtId="168" fontId="262" fillId="61" borderId="0" xfId="3" applyNumberFormat="1" applyFont="1" applyFill="1" applyBorder="1"/>
    <xf numFmtId="168" fontId="262" fillId="61" borderId="16" xfId="3" applyNumberFormat="1" applyFont="1" applyFill="1" applyBorder="1"/>
    <xf numFmtId="167" fontId="3" fillId="61" borderId="0" xfId="1" applyNumberFormat="1" applyFont="1" applyFill="1" applyBorder="1"/>
    <xf numFmtId="167" fontId="78" fillId="61" borderId="16" xfId="1" applyNumberFormat="1" applyFont="1" applyFill="1" applyBorder="1"/>
    <xf numFmtId="168" fontId="233" fillId="61" borderId="15" xfId="3" applyNumberFormat="1" applyFont="1" applyFill="1" applyBorder="1"/>
    <xf numFmtId="168" fontId="232" fillId="61" borderId="53" xfId="3" applyNumberFormat="1" applyFont="1" applyFill="1" applyBorder="1"/>
    <xf numFmtId="168" fontId="232" fillId="61" borderId="15" xfId="3" applyNumberFormat="1" applyFont="1" applyFill="1" applyBorder="1"/>
    <xf numFmtId="168" fontId="25" fillId="61" borderId="0" xfId="3" applyNumberFormat="1" applyFont="1" applyFill="1" applyBorder="1"/>
    <xf numFmtId="168" fontId="2" fillId="61" borderId="0" xfId="3" applyNumberFormat="1" applyFont="1" applyFill="1" applyBorder="1"/>
    <xf numFmtId="43" fontId="25" fillId="61" borderId="0" xfId="1" applyFont="1" applyFill="1" applyBorder="1"/>
    <xf numFmtId="43" fontId="2" fillId="61" borderId="0" xfId="1" applyFont="1" applyFill="1" applyBorder="1"/>
    <xf numFmtId="43" fontId="79" fillId="61" borderId="18" xfId="1" applyFont="1" applyFill="1" applyBorder="1" applyAlignment="1">
      <alignment horizontal="center"/>
    </xf>
    <xf numFmtId="0" fontId="78" fillId="61" borderId="0" xfId="0" applyFont="1" applyFill="1" applyAlignment="1">
      <alignment horizontal="right"/>
    </xf>
    <xf numFmtId="164" fontId="25" fillId="61" borderId="0" xfId="2" applyNumberFormat="1" applyFont="1" applyFill="1"/>
    <xf numFmtId="9" fontId="25" fillId="61" borderId="0" xfId="3" applyFont="1" applyFill="1"/>
    <xf numFmtId="167" fontId="228" fillId="0" borderId="0" xfId="1" applyNumberFormat="1" applyFont="1" applyBorder="1"/>
    <xf numFmtId="167" fontId="228" fillId="0" borderId="15" xfId="1" applyNumberFormat="1" applyFont="1" applyBorder="1"/>
    <xf numFmtId="167" fontId="276" fillId="0" borderId="0" xfId="1" applyNumberFormat="1" applyFont="1" applyBorder="1"/>
    <xf numFmtId="168" fontId="262" fillId="0" borderId="0" xfId="0" applyNumberFormat="1" applyFont="1"/>
    <xf numFmtId="168" fontId="277" fillId="0" borderId="0" xfId="0" applyNumberFormat="1" applyFont="1"/>
    <xf numFmtId="41" fontId="228" fillId="0" borderId="0" xfId="0" applyNumberFormat="1" applyFont="1"/>
    <xf numFmtId="41" fontId="276" fillId="0" borderId="0" xfId="0" applyNumberFormat="1" applyFont="1"/>
    <xf numFmtId="167" fontId="228" fillId="0" borderId="0" xfId="0" applyNumberFormat="1" applyFont="1"/>
    <xf numFmtId="164" fontId="278" fillId="0" borderId="15" xfId="2" applyNumberFormat="1" applyFont="1" applyBorder="1"/>
    <xf numFmtId="0" fontId="78" fillId="0" borderId="17" xfId="0" applyFont="1" applyBorder="1"/>
    <xf numFmtId="0" fontId="78" fillId="0" borderId="19" xfId="0" applyFont="1" applyBorder="1"/>
    <xf numFmtId="167" fontId="78" fillId="0" borderId="25" xfId="0" applyNumberFormat="1" applyFont="1" applyBorder="1"/>
    <xf numFmtId="169" fontId="27" fillId="0" borderId="0" xfId="391" applyNumberFormat="1" applyFont="1"/>
    <xf numFmtId="0" fontId="4" fillId="0" borderId="0" xfId="210" applyFont="1" applyAlignment="1">
      <alignment horizontal="left"/>
    </xf>
    <xf numFmtId="167" fontId="73" fillId="0" borderId="0" xfId="391" applyNumberFormat="1" applyFont="1"/>
    <xf numFmtId="0" fontId="243" fillId="0" borderId="0" xfId="391" applyFont="1"/>
    <xf numFmtId="0" fontId="73" fillId="0" borderId="0" xfId="391" applyFont="1" applyAlignment="1">
      <alignment horizontal="center"/>
    </xf>
    <xf numFmtId="0" fontId="27" fillId="0" borderId="0" xfId="391" applyFont="1" applyAlignment="1">
      <alignment horizontal="right"/>
    </xf>
    <xf numFmtId="0" fontId="244" fillId="0" borderId="161" xfId="391" applyFont="1" applyBorder="1" applyAlignment="1">
      <alignment horizontal="left"/>
    </xf>
    <xf numFmtId="0" fontId="244" fillId="0" borderId="160" xfId="391" applyFont="1" applyBorder="1" applyAlignment="1">
      <alignment horizontal="left"/>
    </xf>
    <xf numFmtId="169" fontId="244" fillId="0" borderId="0" xfId="14" quotePrefix="1" applyNumberFormat="1" applyFont="1" applyFill="1" applyBorder="1" applyAlignment="1" applyProtection="1">
      <alignment horizontal="right"/>
    </xf>
    <xf numFmtId="0" fontId="246" fillId="0" borderId="7" xfId="391" applyFont="1" applyBorder="1" applyAlignment="1">
      <alignment horizontal="left" indent="1"/>
    </xf>
    <xf numFmtId="0" fontId="246" fillId="0" borderId="0" xfId="391" applyFont="1" applyAlignment="1">
      <alignment horizontal="left"/>
    </xf>
    <xf numFmtId="167" fontId="246" fillId="0" borderId="0" xfId="14" quotePrefix="1" applyNumberFormat="1" applyFont="1" applyFill="1" applyBorder="1" applyAlignment="1" applyProtection="1">
      <alignment horizontal="right"/>
    </xf>
    <xf numFmtId="169" fontId="246" fillId="0" borderId="0" xfId="14" quotePrefix="1" applyNumberFormat="1" applyFont="1" applyFill="1" applyBorder="1" applyAlignment="1" applyProtection="1">
      <alignment horizontal="right"/>
    </xf>
    <xf numFmtId="0" fontId="3" fillId="0" borderId="0" xfId="210" applyFont="1"/>
    <xf numFmtId="167" fontId="11" fillId="0" borderId="160" xfId="14" applyNumberFormat="1" applyFont="1" applyFill="1" applyBorder="1" applyAlignment="1">
      <alignment horizontal="right"/>
    </xf>
    <xf numFmtId="169" fontId="11" fillId="0" borderId="0" xfId="14" applyNumberFormat="1" applyFont="1" applyFill="1" applyBorder="1" applyAlignment="1">
      <alignment horizontal="right"/>
    </xf>
    <xf numFmtId="0" fontId="233" fillId="0" borderId="0" xfId="210" applyFont="1"/>
    <xf numFmtId="0" fontId="255" fillId="0" borderId="162" xfId="391" applyFont="1" applyBorder="1" applyAlignment="1">
      <alignment horizontal="left" indent="1"/>
    </xf>
    <xf numFmtId="0" fontId="255" fillId="0" borderId="0" xfId="391" applyFont="1" applyAlignment="1">
      <alignment horizontal="left"/>
    </xf>
    <xf numFmtId="168" fontId="233" fillId="0" borderId="0" xfId="26" applyNumberFormat="1" applyFont="1" applyFill="1" applyBorder="1" applyAlignment="1">
      <alignment horizontal="right"/>
    </xf>
    <xf numFmtId="0" fontId="246" fillId="0" borderId="7" xfId="391" applyFont="1" applyBorder="1" applyAlignment="1">
      <alignment horizontal="left"/>
    </xf>
    <xf numFmtId="167" fontId="246" fillId="0" borderId="0" xfId="1" applyNumberFormat="1" applyFont="1" applyFill="1" applyBorder="1" applyAlignment="1" applyProtection="1">
      <alignment horizontal="right"/>
    </xf>
    <xf numFmtId="10" fontId="246" fillId="0" borderId="0" xfId="26" applyNumberFormat="1" applyFont="1" applyFill="1" applyBorder="1" applyAlignment="1" applyProtection="1">
      <alignment horizontal="right"/>
    </xf>
    <xf numFmtId="168" fontId="246" fillId="0" borderId="0" xfId="26" applyNumberFormat="1" applyFont="1" applyFill="1" applyBorder="1" applyAlignment="1" applyProtection="1">
      <alignment horizontal="right"/>
    </xf>
    <xf numFmtId="169" fontId="246" fillId="0" borderId="0" xfId="1" applyNumberFormat="1" applyFont="1" applyFill="1" applyBorder="1" applyAlignment="1" applyProtection="1">
      <alignment horizontal="right"/>
    </xf>
    <xf numFmtId="0" fontId="244" fillId="0" borderId="7" xfId="391" applyFont="1" applyBorder="1" applyAlignment="1">
      <alignment horizontal="left"/>
    </xf>
    <xf numFmtId="0" fontId="244" fillId="0" borderId="0" xfId="391" applyFont="1" applyAlignment="1">
      <alignment horizontal="left"/>
    </xf>
    <xf numFmtId="169" fontId="246" fillId="0" borderId="0" xfId="26" applyNumberFormat="1" applyFont="1" applyFill="1" applyBorder="1" applyAlignment="1" applyProtection="1">
      <alignment horizontal="right"/>
    </xf>
    <xf numFmtId="167" fontId="27" fillId="0" borderId="0" xfId="14" applyNumberFormat="1" applyFont="1" applyFill="1" applyBorder="1" applyAlignment="1" applyProtection="1">
      <alignment horizontal="right"/>
    </xf>
    <xf numFmtId="169" fontId="27" fillId="0" borderId="0" xfId="14" applyNumberFormat="1" applyFont="1" applyFill="1" applyBorder="1" applyAlignment="1" applyProtection="1">
      <alignment horizontal="right"/>
    </xf>
    <xf numFmtId="0" fontId="27" fillId="0" borderId="7" xfId="391" applyFont="1" applyBorder="1" applyAlignment="1">
      <alignment horizontal="left" indent="1"/>
    </xf>
    <xf numFmtId="0" fontId="246" fillId="0" borderId="49" xfId="391" applyFont="1" applyBorder="1" applyAlignment="1">
      <alignment horizontal="left"/>
    </xf>
    <xf numFmtId="0" fontId="246" fillId="0" borderId="50" xfId="391" applyFont="1" applyBorder="1" applyAlignment="1">
      <alignment horizontal="left"/>
    </xf>
    <xf numFmtId="167" fontId="27" fillId="0" borderId="50" xfId="14" applyNumberFormat="1" applyFont="1" applyFill="1" applyBorder="1" applyAlignment="1" applyProtection="1">
      <alignment horizontal="right"/>
    </xf>
    <xf numFmtId="167" fontId="11" fillId="0" borderId="0" xfId="14" applyNumberFormat="1" applyFont="1" applyFill="1" applyBorder="1" applyAlignment="1" applyProtection="1">
      <alignment horizontal="right"/>
    </xf>
    <xf numFmtId="169" fontId="11" fillId="0" borderId="0" xfId="14" applyNumberFormat="1" applyFont="1" applyFill="1" applyBorder="1" applyAlignment="1" applyProtection="1">
      <alignment horizontal="right"/>
    </xf>
    <xf numFmtId="0" fontId="255" fillId="0" borderId="7" xfId="391" applyFont="1" applyBorder="1" applyAlignment="1">
      <alignment horizontal="left" indent="1"/>
    </xf>
    <xf numFmtId="168" fontId="233" fillId="0" borderId="0" xfId="26" applyNumberFormat="1" applyFont="1" applyFill="1" applyBorder="1" applyAlignment="1" applyProtection="1">
      <alignment horizontal="right"/>
    </xf>
    <xf numFmtId="0" fontId="247" fillId="0" borderId="7" xfId="391" applyFont="1" applyBorder="1" applyAlignment="1">
      <alignment horizontal="left"/>
    </xf>
    <xf numFmtId="0" fontId="8" fillId="0" borderId="0" xfId="391" applyFont="1" applyAlignment="1">
      <alignment horizontal="left"/>
    </xf>
    <xf numFmtId="168" fontId="248" fillId="0" borderId="0" xfId="26" applyNumberFormat="1" applyFont="1" applyFill="1" applyBorder="1" applyAlignment="1" applyProtection="1">
      <alignment horizontal="right"/>
    </xf>
    <xf numFmtId="261" fontId="248" fillId="0" borderId="0" xfId="26" applyNumberFormat="1" applyFont="1" applyFill="1" applyBorder="1" applyAlignment="1" applyProtection="1">
      <alignment horizontal="right"/>
    </xf>
    <xf numFmtId="10" fontId="248" fillId="0" borderId="0" xfId="26" applyNumberFormat="1" applyFont="1" applyFill="1" applyBorder="1" applyAlignment="1" applyProtection="1">
      <alignment horizontal="right"/>
    </xf>
    <xf numFmtId="169" fontId="248" fillId="0" borderId="0" xfId="26" applyNumberFormat="1" applyFont="1" applyFill="1" applyBorder="1" applyAlignment="1" applyProtection="1">
      <alignment horizontal="right"/>
    </xf>
    <xf numFmtId="0" fontId="6" fillId="0" borderId="0" xfId="210" applyFont="1"/>
    <xf numFmtId="167" fontId="27" fillId="0" borderId="0" xfId="1" applyNumberFormat="1" applyFont="1" applyFill="1" applyBorder="1" applyAlignment="1" applyProtection="1">
      <alignment horizontal="right"/>
    </xf>
    <xf numFmtId="169" fontId="2" fillId="0" borderId="0" xfId="1" applyNumberFormat="1" applyFont="1" applyFill="1" applyBorder="1" applyAlignment="1" applyProtection="1">
      <alignment horizontal="right"/>
    </xf>
    <xf numFmtId="0" fontId="7" fillId="0" borderId="7" xfId="391" applyFont="1" applyBorder="1" applyAlignment="1">
      <alignment horizontal="left"/>
    </xf>
    <xf numFmtId="0" fontId="7" fillId="0" borderId="0" xfId="391" applyFont="1" applyAlignment="1">
      <alignment horizontal="left"/>
    </xf>
    <xf numFmtId="167" fontId="2" fillId="0" borderId="0" xfId="1" applyNumberFormat="1" applyFont="1" applyFill="1" applyBorder="1" applyAlignment="1" applyProtection="1">
      <alignment horizontal="right"/>
    </xf>
    <xf numFmtId="168" fontId="3" fillId="0" borderId="0" xfId="26" applyNumberFormat="1" applyFont="1" applyFill="1" applyBorder="1" applyAlignment="1" applyProtection="1">
      <alignment horizontal="right"/>
    </xf>
    <xf numFmtId="167" fontId="11" fillId="0" borderId="0" xfId="1" applyNumberFormat="1" applyFont="1" applyFill="1" applyBorder="1" applyAlignment="1" applyProtection="1">
      <alignment horizontal="right"/>
    </xf>
    <xf numFmtId="169" fontId="11" fillId="0" borderId="0" xfId="1" applyNumberFormat="1" applyFont="1" applyFill="1" applyBorder="1" applyAlignment="1" applyProtection="1">
      <alignment horizontal="right"/>
    </xf>
    <xf numFmtId="169" fontId="233" fillId="0" borderId="0" xfId="26" applyNumberFormat="1" applyFont="1" applyFill="1" applyBorder="1" applyAlignment="1" applyProtection="1">
      <alignment horizontal="right"/>
    </xf>
    <xf numFmtId="41" fontId="27" fillId="0" borderId="0" xfId="210" applyNumberFormat="1" applyFont="1" applyAlignment="1">
      <alignment horizontal="right"/>
    </xf>
    <xf numFmtId="169" fontId="27" fillId="0" borderId="0" xfId="210" applyNumberFormat="1" applyFont="1" applyAlignment="1">
      <alignment horizontal="right"/>
    </xf>
    <xf numFmtId="0" fontId="27" fillId="0" borderId="7" xfId="210" applyFont="1" applyBorder="1"/>
    <xf numFmtId="0" fontId="27" fillId="0" borderId="0" xfId="210" applyFont="1"/>
    <xf numFmtId="167" fontId="27" fillId="0" borderId="0" xfId="391" applyNumberFormat="1" applyFont="1" applyAlignment="1">
      <alignment horizontal="right"/>
    </xf>
    <xf numFmtId="169" fontId="27" fillId="0" borderId="0" xfId="391" applyNumberFormat="1" applyFont="1" applyAlignment="1">
      <alignment horizontal="right"/>
    </xf>
    <xf numFmtId="0" fontId="27" fillId="0" borderId="13" xfId="210" applyFont="1" applyBorder="1" applyAlignment="1">
      <alignment horizontal="left" indent="1"/>
    </xf>
    <xf numFmtId="0" fontId="27" fillId="0" borderId="15" xfId="210" applyFont="1" applyBorder="1" applyAlignment="1">
      <alignment horizontal="left" indent="1"/>
    </xf>
    <xf numFmtId="41" fontId="27" fillId="0" borderId="15" xfId="391" applyNumberFormat="1" applyFont="1" applyBorder="1" applyAlignment="1">
      <alignment horizontal="right"/>
    </xf>
    <xf numFmtId="0" fontId="11" fillId="0" borderId="49" xfId="210" applyFont="1" applyBorder="1"/>
    <xf numFmtId="0" fontId="11" fillId="0" borderId="50" xfId="210" applyFont="1" applyBorder="1"/>
    <xf numFmtId="167" fontId="11" fillId="0" borderId="50" xfId="210" applyNumberFormat="1" applyFont="1" applyBorder="1" applyAlignment="1">
      <alignment horizontal="right"/>
    </xf>
    <xf numFmtId="169" fontId="11" fillId="0" borderId="0" xfId="210" applyNumberFormat="1" applyFont="1" applyAlignment="1">
      <alignment horizontal="right"/>
    </xf>
    <xf numFmtId="0" fontId="246" fillId="0" borderId="7" xfId="391" applyFont="1" applyBorder="1"/>
    <xf numFmtId="168" fontId="246" fillId="0" borderId="0" xfId="391" applyNumberFormat="1" applyFont="1" applyAlignment="1">
      <alignment horizontal="right"/>
    </xf>
    <xf numFmtId="169" fontId="246" fillId="0" borderId="0" xfId="391" applyNumberFormat="1" applyFont="1" applyAlignment="1">
      <alignment horizontal="right"/>
    </xf>
    <xf numFmtId="0" fontId="11" fillId="0" borderId="7" xfId="210" applyFont="1" applyBorder="1"/>
    <xf numFmtId="0" fontId="11" fillId="0" borderId="0" xfId="210" applyFont="1"/>
    <xf numFmtId="167" fontId="11" fillId="0" borderId="0" xfId="210" applyNumberFormat="1" applyFont="1" applyAlignment="1">
      <alignment horizontal="right"/>
    </xf>
    <xf numFmtId="0" fontId="11" fillId="0" borderId="152" xfId="210" applyFont="1" applyBorder="1"/>
    <xf numFmtId="0" fontId="11" fillId="0" borderId="147" xfId="210" applyFont="1" applyBorder="1"/>
    <xf numFmtId="44" fontId="11" fillId="0" borderId="147" xfId="13" applyFont="1" applyFill="1" applyBorder="1" applyAlignment="1">
      <alignment horizontal="right"/>
    </xf>
    <xf numFmtId="7" fontId="11" fillId="0" borderId="0" xfId="13" applyNumberFormat="1" applyFont="1" applyFill="1" applyBorder="1" applyAlignment="1">
      <alignment horizontal="right"/>
    </xf>
    <xf numFmtId="0" fontId="27" fillId="0" borderId="154" xfId="210" applyFont="1" applyBorder="1"/>
    <xf numFmtId="0" fontId="27" fillId="0" borderId="47" xfId="210" applyFont="1" applyBorder="1"/>
    <xf numFmtId="44" fontId="27" fillId="0" borderId="47" xfId="13" applyFont="1" applyFill="1" applyBorder="1" applyAlignment="1">
      <alignment horizontal="right"/>
    </xf>
    <xf numFmtId="0" fontId="27" fillId="0" borderId="0" xfId="210" applyFont="1" applyAlignment="1">
      <alignment horizontal="right"/>
    </xf>
    <xf numFmtId="167" fontId="27" fillId="0" borderId="0" xfId="210" applyNumberFormat="1" applyFont="1" applyAlignment="1">
      <alignment horizontal="right"/>
    </xf>
    <xf numFmtId="167" fontId="27" fillId="0" borderId="0" xfId="14" applyNumberFormat="1" applyFont="1" applyFill="1" applyBorder="1" applyAlignment="1">
      <alignment horizontal="right"/>
    </xf>
    <xf numFmtId="0" fontId="27" fillId="0" borderId="13" xfId="210" applyFont="1" applyBorder="1"/>
    <xf numFmtId="0" fontId="27" fillId="0" borderId="15" xfId="210" applyFont="1" applyBorder="1"/>
    <xf numFmtId="167" fontId="27" fillId="0" borderId="15" xfId="14" applyNumberFormat="1" applyFont="1" applyFill="1" applyBorder="1" applyAlignment="1">
      <alignment horizontal="right"/>
    </xf>
    <xf numFmtId="167" fontId="27" fillId="0" borderId="0" xfId="14" applyNumberFormat="1" applyFont="1" applyFill="1" applyBorder="1"/>
    <xf numFmtId="167" fontId="73" fillId="0" borderId="0" xfId="26" applyNumberFormat="1" applyFont="1" applyFill="1" applyBorder="1"/>
    <xf numFmtId="167" fontId="73" fillId="0" borderId="0" xfId="14" applyNumberFormat="1" applyFont="1" applyFill="1" applyBorder="1" applyAlignment="1">
      <alignment horizontal="center"/>
    </xf>
    <xf numFmtId="169" fontId="27" fillId="0" borderId="0" xfId="14" applyNumberFormat="1" applyFont="1" applyFill="1" applyBorder="1"/>
    <xf numFmtId="169" fontId="27" fillId="0" borderId="0" xfId="14" applyNumberFormat="1" applyFont="1" applyFill="1"/>
    <xf numFmtId="169" fontId="253" fillId="0" borderId="0" xfId="14" applyNumberFormat="1" applyFont="1" applyFill="1" applyBorder="1"/>
    <xf numFmtId="168" fontId="27" fillId="0" borderId="0" xfId="26" applyNumberFormat="1" applyFont="1" applyFill="1"/>
    <xf numFmtId="168" fontId="73" fillId="0" borderId="0" xfId="26" applyNumberFormat="1" applyFont="1" applyFill="1" applyBorder="1" applyAlignment="1" applyProtection="1">
      <alignment horizontal="center"/>
    </xf>
    <xf numFmtId="167" fontId="249" fillId="0" borderId="0" xfId="0" applyNumberFormat="1" applyFont="1"/>
    <xf numFmtId="0" fontId="254" fillId="0" borderId="0" xfId="0" applyFont="1"/>
    <xf numFmtId="44" fontId="11" fillId="0" borderId="0" xfId="391" applyNumberFormat="1" applyFont="1"/>
    <xf numFmtId="267" fontId="246" fillId="86" borderId="8" xfId="14" quotePrefix="1" applyNumberFormat="1" applyFont="1" applyFill="1" applyBorder="1" applyAlignment="1" applyProtection="1">
      <alignment horizontal="center"/>
    </xf>
    <xf numFmtId="267" fontId="250" fillId="86" borderId="167" xfId="26" applyNumberFormat="1" applyFont="1" applyFill="1" applyBorder="1" applyAlignment="1">
      <alignment horizontal="center"/>
    </xf>
    <xf numFmtId="267" fontId="233" fillId="86" borderId="8" xfId="26" applyNumberFormat="1" applyFont="1" applyFill="1" applyBorder="1" applyAlignment="1">
      <alignment horizontal="center"/>
    </xf>
    <xf numFmtId="267" fontId="245" fillId="86" borderId="8" xfId="26" applyNumberFormat="1" applyFont="1" applyFill="1" applyBorder="1" applyAlignment="1" applyProtection="1">
      <alignment horizontal="center"/>
    </xf>
    <xf numFmtId="267" fontId="73" fillId="86" borderId="8" xfId="26" applyNumberFormat="1" applyFont="1" applyFill="1" applyBorder="1" applyAlignment="1" applyProtection="1">
      <alignment horizontal="center"/>
    </xf>
    <xf numFmtId="267" fontId="73" fillId="86" borderId="167" xfId="26" applyNumberFormat="1" applyFont="1" applyFill="1" applyBorder="1" applyAlignment="1" applyProtection="1">
      <alignment horizontal="center"/>
    </xf>
    <xf numFmtId="267" fontId="250" fillId="86" borderId="8" xfId="26" applyNumberFormat="1" applyFont="1" applyFill="1" applyBorder="1" applyAlignment="1" applyProtection="1">
      <alignment horizontal="center"/>
    </xf>
    <xf numFmtId="267" fontId="233" fillId="86" borderId="8" xfId="26" applyNumberFormat="1" applyFont="1" applyFill="1" applyBorder="1" applyAlignment="1" applyProtection="1">
      <alignment horizontal="center"/>
    </xf>
    <xf numFmtId="267" fontId="6" fillId="86" borderId="8" xfId="26" applyNumberFormat="1" applyFont="1" applyFill="1" applyBorder="1" applyAlignment="1" applyProtection="1">
      <alignment horizontal="center"/>
    </xf>
    <xf numFmtId="267" fontId="202" fillId="86" borderId="8" xfId="26" applyNumberFormat="1" applyFont="1" applyFill="1" applyBorder="1" applyAlignment="1" applyProtection="1">
      <alignment horizontal="center"/>
    </xf>
    <xf numFmtId="267" fontId="73" fillId="86" borderId="8" xfId="26" applyNumberFormat="1" applyFont="1" applyFill="1" applyBorder="1" applyAlignment="1">
      <alignment horizontal="center"/>
    </xf>
    <xf numFmtId="267" fontId="73" fillId="86" borderId="14" xfId="26" applyNumberFormat="1" applyFont="1" applyFill="1" applyBorder="1" applyAlignment="1">
      <alignment horizontal="center"/>
    </xf>
    <xf numFmtId="267" fontId="73" fillId="86" borderId="167" xfId="26" applyNumberFormat="1" applyFont="1" applyFill="1" applyBorder="1" applyAlignment="1">
      <alignment horizontal="center"/>
    </xf>
    <xf numFmtId="267" fontId="73" fillId="86" borderId="153" xfId="26" applyNumberFormat="1" applyFont="1" applyFill="1" applyBorder="1" applyAlignment="1">
      <alignment horizontal="center"/>
    </xf>
    <xf numFmtId="267" fontId="73" fillId="86" borderId="155" xfId="26" applyNumberFormat="1" applyFont="1" applyFill="1" applyBorder="1" applyAlignment="1">
      <alignment horizontal="center"/>
    </xf>
    <xf numFmtId="167" fontId="256" fillId="0" borderId="15" xfId="1" applyNumberFormat="1" applyFont="1" applyBorder="1"/>
    <xf numFmtId="167" fontId="3" fillId="0" borderId="0" xfId="1" applyNumberFormat="1" applyFont="1" applyBorder="1"/>
    <xf numFmtId="41" fontId="72" fillId="0" borderId="0" xfId="0" applyNumberFormat="1" applyFont="1"/>
    <xf numFmtId="10" fontId="25" fillId="0" borderId="0" xfId="3" applyNumberFormat="1" applyFont="1"/>
    <xf numFmtId="0" fontId="252" fillId="88" borderId="164" xfId="11119" applyFont="1" applyFill="1" applyBorder="1" applyAlignment="1">
      <alignment wrapText="1"/>
    </xf>
    <xf numFmtId="0" fontId="252" fillId="88" borderId="165" xfId="11119" applyFont="1" applyFill="1" applyBorder="1" applyAlignment="1">
      <alignment horizontal="center" wrapText="1"/>
    </xf>
    <xf numFmtId="0" fontId="252" fillId="88" borderId="166" xfId="11119" applyFont="1" applyFill="1" applyBorder="1" applyAlignment="1">
      <alignment horizontal="center" wrapText="1"/>
    </xf>
    <xf numFmtId="0" fontId="252" fillId="88" borderId="163" xfId="11119" applyFont="1" applyFill="1" applyBorder="1" applyAlignment="1">
      <alignment horizontal="center" wrapText="1"/>
    </xf>
    <xf numFmtId="0" fontId="262" fillId="61" borderId="0" xfId="3" applyNumberFormat="1" applyFont="1" applyFill="1" applyBorder="1"/>
    <xf numFmtId="167" fontId="78" fillId="0" borderId="146" xfId="1" applyNumberFormat="1" applyFont="1" applyBorder="1" applyAlignment="1"/>
    <xf numFmtId="167" fontId="25" fillId="0" borderId="148" xfId="1" applyNumberFormat="1" applyFont="1" applyBorder="1" applyAlignment="1"/>
    <xf numFmtId="168" fontId="232" fillId="0" borderId="52" xfId="3" applyNumberFormat="1" applyFont="1" applyBorder="1" applyAlignment="1"/>
    <xf numFmtId="167" fontId="78" fillId="0" borderId="52" xfId="1" applyNumberFormat="1" applyFont="1" applyBorder="1" applyAlignment="1"/>
    <xf numFmtId="167" fontId="2" fillId="0" borderId="0" xfId="0" applyNumberFormat="1" applyFont="1" applyAlignment="1">
      <alignment horizontal="center"/>
    </xf>
    <xf numFmtId="0" fontId="25" fillId="0" borderId="0" xfId="0" applyFont="1" applyAlignment="1">
      <alignment horizontal="right"/>
    </xf>
    <xf numFmtId="168" fontId="232" fillId="0" borderId="52" xfId="3" applyNumberFormat="1" applyFont="1" applyBorder="1" applyAlignment="1">
      <alignment horizontal="right"/>
    </xf>
    <xf numFmtId="167" fontId="25" fillId="0" borderId="0" xfId="0" applyNumberFormat="1" applyFont="1" applyAlignment="1">
      <alignment horizontal="right"/>
    </xf>
    <xf numFmtId="167" fontId="25" fillId="0" borderId="16" xfId="0" applyNumberFormat="1" applyFont="1" applyBorder="1" applyAlignment="1">
      <alignment horizontal="right"/>
    </xf>
    <xf numFmtId="167" fontId="2" fillId="0" borderId="0" xfId="0" applyNumberFormat="1" applyFont="1" applyAlignment="1">
      <alignment horizontal="right"/>
    </xf>
    <xf numFmtId="168" fontId="232" fillId="0" borderId="0" xfId="3" applyNumberFormat="1" applyFont="1" applyFill="1" applyBorder="1" applyAlignment="1">
      <alignment horizontal="right"/>
    </xf>
    <xf numFmtId="191" fontId="259" fillId="0" borderId="0" xfId="3" applyNumberFormat="1" applyFont="1" applyBorder="1" applyAlignment="1">
      <alignment horizontal="right"/>
    </xf>
    <xf numFmtId="168" fontId="232" fillId="0" borderId="16" xfId="3" applyNumberFormat="1" applyFont="1" applyBorder="1" applyAlignment="1">
      <alignment horizontal="right"/>
    </xf>
    <xf numFmtId="168" fontId="233" fillId="0" borderId="0" xfId="3" applyNumberFormat="1" applyFont="1" applyBorder="1" applyAlignment="1">
      <alignment horizontal="right" vertical="top"/>
    </xf>
    <xf numFmtId="168" fontId="232" fillId="0" borderId="158" xfId="3" applyNumberFormat="1" applyFont="1" applyBorder="1" applyAlignment="1">
      <alignment horizontal="right"/>
    </xf>
    <xf numFmtId="168" fontId="232" fillId="0" borderId="21" xfId="3" applyNumberFormat="1" applyFont="1" applyBorder="1" applyAlignment="1">
      <alignment horizontal="left"/>
    </xf>
    <xf numFmtId="0" fontId="25" fillId="0" borderId="21" xfId="0" applyFont="1" applyBorder="1" applyAlignment="1">
      <alignment horizontal="left"/>
    </xf>
    <xf numFmtId="168" fontId="232" fillId="0" borderId="159" xfId="3" applyNumberFormat="1" applyFont="1" applyBorder="1" applyAlignment="1">
      <alignment horizontal="left"/>
    </xf>
    <xf numFmtId="0" fontId="252" fillId="88" borderId="161" xfId="0" applyFont="1" applyFill="1" applyBorder="1"/>
    <xf numFmtId="0" fontId="252" fillId="88" borderId="160" xfId="0" applyFont="1" applyFill="1" applyBorder="1"/>
    <xf numFmtId="0" fontId="252" fillId="88" borderId="51" xfId="0" applyFont="1" applyFill="1" applyBorder="1" applyAlignment="1">
      <alignment horizontal="center"/>
    </xf>
    <xf numFmtId="266" fontId="275" fillId="88" borderId="166" xfId="0" applyNumberFormat="1" applyFont="1" applyFill="1" applyBorder="1" applyAlignment="1">
      <alignment horizontal="center"/>
    </xf>
    <xf numFmtId="0" fontId="79" fillId="88" borderId="17" xfId="0" applyFont="1" applyFill="1" applyBorder="1"/>
    <xf numFmtId="0" fontId="79" fillId="88" borderId="18" xfId="2" applyNumberFormat="1" applyFont="1" applyFill="1" applyBorder="1" applyAlignment="1">
      <alignment horizontal="center"/>
    </xf>
    <xf numFmtId="0" fontId="79" fillId="88" borderId="20" xfId="2" applyNumberFormat="1" applyFont="1" applyFill="1" applyBorder="1" applyAlignment="1">
      <alignment horizontal="center"/>
    </xf>
    <xf numFmtId="0" fontId="25" fillId="88" borderId="17" xfId="0" applyFont="1" applyFill="1" applyBorder="1"/>
    <xf numFmtId="43" fontId="79" fillId="61" borderId="0" xfId="1" applyFont="1" applyFill="1" applyBorder="1" applyAlignment="1">
      <alignment horizontal="center"/>
    </xf>
    <xf numFmtId="41" fontId="78" fillId="0" borderId="16" xfId="1" applyNumberFormat="1" applyFont="1" applyBorder="1" applyAlignment="1">
      <alignment horizontal="left"/>
    </xf>
    <xf numFmtId="3" fontId="25" fillId="0" borderId="0" xfId="0" applyNumberFormat="1" applyFont="1"/>
    <xf numFmtId="168" fontId="25" fillId="0" borderId="0" xfId="0" applyNumberFormat="1" applyFont="1"/>
    <xf numFmtId="0" fontId="227" fillId="0" borderId="162" xfId="11119" applyFont="1" applyBorder="1" applyAlignment="1">
      <alignment wrapText="1"/>
    </xf>
    <xf numFmtId="169" fontId="11" fillId="0" borderId="0" xfId="347" applyNumberFormat="1" applyFont="1" applyFill="1" applyBorder="1" applyAlignment="1" applyProtection="1">
      <alignment horizontal="center" wrapText="1"/>
    </xf>
    <xf numFmtId="169" fontId="11" fillId="0" borderId="8" xfId="347" applyNumberFormat="1" applyFont="1" applyFill="1" applyBorder="1" applyAlignment="1" applyProtection="1">
      <alignment wrapText="1"/>
    </xf>
    <xf numFmtId="169" fontId="11" fillId="0" borderId="162" xfId="347" applyNumberFormat="1" applyFont="1" applyFill="1" applyBorder="1" applyAlignment="1" applyProtection="1">
      <alignment horizontal="center" wrapText="1"/>
    </xf>
    <xf numFmtId="0" fontId="267" fillId="0" borderId="162" xfId="11119" applyFont="1" applyBorder="1" applyAlignment="1">
      <alignment horizontal="left" wrapText="1"/>
    </xf>
    <xf numFmtId="168" fontId="267" fillId="0" borderId="0" xfId="11119" applyNumberFormat="1" applyFont="1" applyAlignment="1">
      <alignment wrapText="1"/>
    </xf>
    <xf numFmtId="169" fontId="267" fillId="0" borderId="8" xfId="11119" applyNumberFormat="1" applyFont="1" applyBorder="1" applyAlignment="1">
      <alignment wrapText="1"/>
    </xf>
    <xf numFmtId="168" fontId="267" fillId="0" borderId="162" xfId="11119" applyNumberFormat="1" applyFont="1" applyBorder="1" applyAlignment="1">
      <alignment wrapText="1"/>
    </xf>
    <xf numFmtId="168" fontId="267" fillId="0" borderId="8" xfId="11119" applyNumberFormat="1" applyFont="1" applyBorder="1" applyAlignment="1">
      <alignment wrapText="1"/>
    </xf>
    <xf numFmtId="0" fontId="267" fillId="0" borderId="13" xfId="11119" applyFont="1" applyBorder="1" applyAlignment="1">
      <alignment horizontal="left" wrapText="1"/>
    </xf>
    <xf numFmtId="168" fontId="267" fillId="0" borderId="15" xfId="11119" applyNumberFormat="1" applyFont="1" applyBorder="1" applyAlignment="1">
      <alignment wrapText="1"/>
    </xf>
    <xf numFmtId="169" fontId="267" fillId="0" borderId="14" xfId="11119" applyNumberFormat="1" applyFont="1" applyBorder="1" applyAlignment="1">
      <alignment wrapText="1"/>
    </xf>
    <xf numFmtId="168" fontId="267" fillId="0" borderId="13" xfId="11119" applyNumberFormat="1" applyFont="1" applyBorder="1" applyAlignment="1">
      <alignment wrapText="1"/>
    </xf>
    <xf numFmtId="168" fontId="267" fillId="0" borderId="14" xfId="11119" applyNumberFormat="1" applyFont="1" applyBorder="1" applyAlignment="1">
      <alignment wrapText="1"/>
    </xf>
    <xf numFmtId="0" fontId="261" fillId="0" borderId="0" xfId="0" applyFont="1"/>
    <xf numFmtId="268" fontId="25" fillId="0" borderId="21" xfId="3" applyNumberFormat="1" applyFont="1" applyFill="1" applyBorder="1" applyAlignment="1">
      <alignment horizontal="right"/>
    </xf>
    <xf numFmtId="0" fontId="261" fillId="0" borderId="52" xfId="0" applyFont="1" applyBorder="1"/>
    <xf numFmtId="268" fontId="261" fillId="0" borderId="21" xfId="3" applyNumberFormat="1" applyFont="1" applyFill="1" applyBorder="1" applyAlignment="1">
      <alignment horizontal="right"/>
    </xf>
    <xf numFmtId="0" fontId="261" fillId="0" borderId="158" xfId="0" applyFont="1" applyBorder="1"/>
    <xf numFmtId="268" fontId="261" fillId="0" borderId="159" xfId="3" applyNumberFormat="1" applyFont="1" applyFill="1" applyBorder="1" applyAlignment="1">
      <alignment horizontal="right"/>
    </xf>
    <xf numFmtId="0" fontId="79" fillId="88" borderId="146" xfId="0" applyFont="1" applyFill="1" applyBorder="1"/>
    <xf numFmtId="268" fontId="25" fillId="0" borderId="0" xfId="3" applyNumberFormat="1" applyFont="1" applyFill="1" applyBorder="1" applyAlignment="1">
      <alignment horizontal="right"/>
    </xf>
    <xf numFmtId="268" fontId="261" fillId="0" borderId="0" xfId="3" applyNumberFormat="1" applyFont="1" applyFill="1" applyBorder="1" applyAlignment="1">
      <alignment horizontal="right"/>
    </xf>
    <xf numFmtId="268" fontId="261" fillId="0" borderId="47" xfId="3" applyNumberFormat="1" applyFont="1" applyFill="1" applyBorder="1" applyAlignment="1">
      <alignment horizontal="right"/>
    </xf>
    <xf numFmtId="0" fontId="79" fillId="88" borderId="147" xfId="0" applyFont="1" applyFill="1" applyBorder="1" applyAlignment="1">
      <alignment horizontal="center"/>
    </xf>
    <xf numFmtId="0" fontId="79" fillId="88" borderId="148" xfId="0" applyFont="1" applyFill="1" applyBorder="1" applyAlignment="1">
      <alignment horizontal="center"/>
    </xf>
    <xf numFmtId="167" fontId="78" fillId="61" borderId="0" xfId="1" applyNumberFormat="1" applyFont="1" applyFill="1"/>
    <xf numFmtId="167" fontId="78" fillId="61" borderId="145" xfId="1" applyNumberFormat="1" applyFont="1" applyFill="1" applyBorder="1"/>
    <xf numFmtId="168" fontId="202" fillId="61" borderId="0" xfId="3" applyNumberFormat="1" applyFont="1" applyFill="1" applyBorder="1"/>
    <xf numFmtId="168" fontId="261" fillId="61" borderId="16" xfId="3" applyNumberFormat="1" applyFont="1" applyFill="1" applyBorder="1"/>
    <xf numFmtId="168" fontId="261" fillId="61" borderId="0" xfId="3" applyNumberFormat="1" applyFont="1" applyFill="1" applyBorder="1"/>
    <xf numFmtId="168" fontId="235" fillId="61" borderId="0" xfId="3" applyNumberFormat="1" applyFont="1" applyFill="1"/>
    <xf numFmtId="167" fontId="78" fillId="61" borderId="0" xfId="1" applyNumberFormat="1" applyFont="1" applyFill="1" applyBorder="1"/>
    <xf numFmtId="167" fontId="3" fillId="61" borderId="52" xfId="1" applyNumberFormat="1" applyFont="1" applyFill="1" applyBorder="1"/>
    <xf numFmtId="167" fontId="3" fillId="61" borderId="0" xfId="1" applyNumberFormat="1" applyFont="1" applyFill="1" applyBorder="1" applyAlignment="1">
      <alignment horizontal="left"/>
    </xf>
    <xf numFmtId="0" fontId="232" fillId="61" borderId="52" xfId="3" applyNumberFormat="1" applyFont="1" applyFill="1" applyBorder="1"/>
    <xf numFmtId="0" fontId="232" fillId="61" borderId="21" xfId="3" applyNumberFormat="1" applyFont="1" applyFill="1" applyBorder="1"/>
    <xf numFmtId="0" fontId="25" fillId="61" borderId="52" xfId="1" applyNumberFormat="1" applyFont="1" applyFill="1" applyBorder="1"/>
    <xf numFmtId="0" fontId="25" fillId="61" borderId="52" xfId="3" applyNumberFormat="1" applyFont="1" applyFill="1" applyBorder="1"/>
    <xf numFmtId="0" fontId="261" fillId="61" borderId="21" xfId="3" applyNumberFormat="1" applyFont="1" applyFill="1" applyBorder="1"/>
    <xf numFmtId="0" fontId="78" fillId="61" borderId="52" xfId="1" applyNumberFormat="1" applyFont="1" applyFill="1" applyBorder="1"/>
    <xf numFmtId="0" fontId="78" fillId="61" borderId="21" xfId="1" applyNumberFormat="1" applyFont="1" applyFill="1" applyBorder="1"/>
    <xf numFmtId="0" fontId="78" fillId="61" borderId="0" xfId="1" applyNumberFormat="1" applyFont="1" applyFill="1" applyBorder="1"/>
    <xf numFmtId="0" fontId="25" fillId="61" borderId="156" xfId="1" applyNumberFormat="1" applyFont="1" applyFill="1" applyBorder="1"/>
    <xf numFmtId="0" fontId="232" fillId="61" borderId="157" xfId="3" applyNumberFormat="1" applyFont="1" applyFill="1" applyBorder="1"/>
    <xf numFmtId="0" fontId="78" fillId="61" borderId="146" xfId="1" applyNumberFormat="1" applyFont="1" applyFill="1" applyBorder="1"/>
    <xf numFmtId="0" fontId="78" fillId="61" borderId="148" xfId="1" applyNumberFormat="1" applyFont="1" applyFill="1" applyBorder="1"/>
    <xf numFmtId="167" fontId="3" fillId="61" borderId="147" xfId="1" applyNumberFormat="1" applyFont="1" applyFill="1" applyBorder="1"/>
    <xf numFmtId="0" fontId="25" fillId="61" borderId="15" xfId="1" applyNumberFormat="1" applyFont="1" applyFill="1" applyBorder="1"/>
    <xf numFmtId="167" fontId="2" fillId="61" borderId="15" xfId="1" applyNumberFormat="1" applyFont="1" applyFill="1" applyBorder="1"/>
    <xf numFmtId="167" fontId="25" fillId="61" borderId="53" xfId="1" applyNumberFormat="1" applyFont="1" applyFill="1" applyBorder="1"/>
    <xf numFmtId="167" fontId="2" fillId="61" borderId="156" xfId="1" applyNumberFormat="1" applyFont="1" applyFill="1" applyBorder="1"/>
    <xf numFmtId="167" fontId="2" fillId="61" borderId="15" xfId="1" applyNumberFormat="1" applyFont="1" applyFill="1" applyBorder="1" applyAlignment="1">
      <alignment horizontal="left"/>
    </xf>
    <xf numFmtId="0" fontId="261" fillId="61" borderId="52" xfId="3" applyNumberFormat="1" applyFont="1" applyFill="1" applyBorder="1"/>
    <xf numFmtId="168" fontId="261" fillId="61" borderId="52" xfId="3" applyNumberFormat="1" applyFont="1" applyFill="1" applyBorder="1"/>
    <xf numFmtId="168" fontId="274" fillId="61" borderId="0" xfId="3" applyNumberFormat="1" applyFont="1" applyFill="1" applyBorder="1"/>
    <xf numFmtId="168" fontId="281" fillId="61" borderId="0" xfId="3" applyNumberFormat="1" applyFont="1" applyFill="1" applyBorder="1"/>
    <xf numFmtId="0" fontId="261" fillId="61" borderId="156" xfId="3" applyNumberFormat="1" applyFont="1" applyFill="1" applyBorder="1"/>
    <xf numFmtId="0" fontId="261" fillId="61" borderId="157" xfId="3" applyNumberFormat="1" applyFont="1" applyFill="1" applyBorder="1"/>
    <xf numFmtId="168" fontId="261" fillId="61" borderId="156" xfId="3" applyNumberFormat="1" applyFont="1" applyFill="1" applyBorder="1"/>
    <xf numFmtId="168" fontId="261" fillId="61" borderId="15" xfId="3" applyNumberFormat="1" applyFont="1" applyFill="1" applyBorder="1"/>
    <xf numFmtId="168" fontId="261" fillId="61" borderId="53" xfId="3" applyNumberFormat="1" applyFont="1" applyFill="1" applyBorder="1"/>
    <xf numFmtId="168" fontId="202" fillId="61" borderId="15" xfId="3" applyNumberFormat="1" applyFont="1" applyFill="1" applyBorder="1"/>
    <xf numFmtId="9" fontId="261" fillId="61" borderId="0" xfId="3" applyFont="1" applyFill="1"/>
    <xf numFmtId="9" fontId="261" fillId="61" borderId="52" xfId="3" applyFont="1" applyFill="1" applyBorder="1"/>
    <xf numFmtId="9" fontId="261" fillId="61" borderId="0" xfId="3" applyFont="1" applyFill="1" applyBorder="1"/>
    <xf numFmtId="9" fontId="261" fillId="61" borderId="16" xfId="3" applyFont="1" applyFill="1" applyBorder="1"/>
    <xf numFmtId="9" fontId="202" fillId="61" borderId="0" xfId="3" applyFont="1" applyFill="1" applyBorder="1"/>
    <xf numFmtId="9" fontId="274" fillId="61" borderId="0" xfId="3" applyFont="1" applyFill="1" applyBorder="1"/>
    <xf numFmtId="9" fontId="281" fillId="61" borderId="0" xfId="3" applyFont="1" applyFill="1" applyBorder="1"/>
    <xf numFmtId="0" fontId="74" fillId="0" borderId="162" xfId="11119" applyFont="1" applyBorder="1" applyAlignment="1">
      <alignment wrapText="1"/>
    </xf>
    <xf numFmtId="169" fontId="27" fillId="0" borderId="0" xfId="347" applyNumberFormat="1" applyFont="1" applyFill="1" applyBorder="1" applyAlignment="1" applyProtection="1">
      <alignment horizontal="center" wrapText="1"/>
    </xf>
    <xf numFmtId="169" fontId="27" fillId="0" borderId="8" xfId="347" applyNumberFormat="1" applyFont="1" applyFill="1" applyBorder="1" applyAlignment="1" applyProtection="1">
      <alignment wrapText="1"/>
    </xf>
    <xf numFmtId="169" fontId="27" fillId="0" borderId="162" xfId="347" applyNumberFormat="1" applyFont="1" applyFill="1" applyBorder="1" applyAlignment="1" applyProtection="1">
      <alignment horizontal="center" wrapText="1"/>
    </xf>
    <xf numFmtId="167" fontId="78" fillId="0" borderId="52" xfId="1" applyNumberFormat="1" applyFont="1" applyBorder="1"/>
    <xf numFmtId="43" fontId="78" fillId="0" borderId="0" xfId="0" applyNumberFormat="1" applyFont="1"/>
    <xf numFmtId="42" fontId="0" fillId="0" borderId="0" xfId="0" applyNumberFormat="1"/>
    <xf numFmtId="0" fontId="0" fillId="0" borderId="0" xfId="0" applyAlignment="1">
      <alignment vertical="top" wrapText="1"/>
    </xf>
    <xf numFmtId="269" fontId="0" fillId="0" borderId="0" xfId="0" applyNumberFormat="1"/>
    <xf numFmtId="270" fontId="0" fillId="0" borderId="0" xfId="0" applyNumberFormat="1"/>
    <xf numFmtId="0" fontId="246" fillId="0" borderId="162" xfId="391" applyFont="1" applyBorder="1" applyAlignment="1">
      <alignment horizontal="left" indent="1"/>
    </xf>
    <xf numFmtId="167" fontId="244" fillId="0" borderId="160" xfId="14" applyNumberFormat="1" applyFont="1" applyFill="1" applyBorder="1" applyAlignment="1" applyProtection="1">
      <alignment horizontal="right"/>
    </xf>
    <xf numFmtId="167" fontId="244" fillId="0" borderId="160" xfId="391" applyNumberFormat="1" applyFont="1" applyBorder="1" applyAlignment="1">
      <alignment horizontal="right"/>
    </xf>
    <xf numFmtId="267" fontId="243" fillId="86" borderId="167" xfId="26" applyNumberFormat="1" applyFont="1" applyFill="1" applyBorder="1" applyAlignment="1" applyProtection="1">
      <alignment horizontal="center"/>
    </xf>
    <xf numFmtId="167" fontId="11" fillId="0" borderId="160" xfId="391" applyNumberFormat="1" applyFont="1" applyBorder="1" applyAlignment="1">
      <alignment horizontal="right"/>
    </xf>
    <xf numFmtId="167" fontId="2" fillId="0" borderId="147" xfId="1" applyNumberFormat="1" applyFont="1" applyBorder="1"/>
    <xf numFmtId="167" fontId="25" fillId="0" borderId="158" xfId="1" applyNumberFormat="1" applyFont="1" applyBorder="1"/>
    <xf numFmtId="0" fontId="236" fillId="0" borderId="0" xfId="0" applyFont="1"/>
    <xf numFmtId="0" fontId="237" fillId="0" borderId="0" xfId="0" applyFont="1" applyAlignment="1">
      <alignment horizontal="right"/>
    </xf>
    <xf numFmtId="7" fontId="240" fillId="0" borderId="0" xfId="0" applyNumberFormat="1" applyFont="1"/>
    <xf numFmtId="0" fontId="239" fillId="0" borderId="0" xfId="0" applyFont="1"/>
    <xf numFmtId="262" fontId="239" fillId="0" borderId="0" xfId="0" applyNumberFormat="1" applyFont="1" applyAlignment="1">
      <alignment horizontal="center"/>
    </xf>
    <xf numFmtId="263" fontId="239" fillId="0" borderId="0" xfId="0" applyNumberFormat="1" applyFont="1" applyAlignment="1">
      <alignment horizontal="center"/>
    </xf>
    <xf numFmtId="0" fontId="239" fillId="0" borderId="0" xfId="0" applyFont="1" applyAlignment="1">
      <alignment horizontal="center"/>
    </xf>
    <xf numFmtId="37" fontId="238" fillId="0" borderId="0" xfId="0" applyNumberFormat="1" applyFont="1"/>
    <xf numFmtId="201" fontId="229" fillId="0" borderId="0" xfId="0" applyNumberFormat="1" applyFont="1"/>
    <xf numFmtId="0" fontId="238" fillId="0" borderId="0" xfId="0" applyFont="1"/>
    <xf numFmtId="264" fontId="240" fillId="0" borderId="0" xfId="0" applyNumberFormat="1" applyFont="1" applyAlignment="1">
      <alignment horizontal="right"/>
    </xf>
    <xf numFmtId="7" fontId="229" fillId="0" borderId="0" xfId="0" applyNumberFormat="1" applyFont="1"/>
    <xf numFmtId="168" fontId="229" fillId="0" borderId="0" xfId="0" applyNumberFormat="1" applyFont="1"/>
    <xf numFmtId="0" fontId="229" fillId="0" borderId="0" xfId="0" applyFont="1" applyAlignment="1">
      <alignment vertical="top"/>
    </xf>
    <xf numFmtId="7" fontId="229" fillId="0" borderId="0" xfId="0" applyNumberFormat="1" applyFont="1" applyAlignment="1">
      <alignment vertical="top"/>
    </xf>
    <xf numFmtId="43" fontId="229" fillId="0" borderId="0" xfId="0" applyNumberFormat="1" applyFont="1" applyAlignment="1">
      <alignment vertical="top"/>
    </xf>
    <xf numFmtId="201" fontId="229" fillId="0" borderId="0" xfId="0" applyNumberFormat="1" applyFont="1" applyAlignment="1">
      <alignment vertical="top"/>
    </xf>
    <xf numFmtId="264" fontId="238" fillId="0" borderId="0" xfId="0" applyNumberFormat="1" applyFont="1"/>
    <xf numFmtId="264" fontId="229" fillId="0" borderId="0" xfId="0" applyNumberFormat="1" applyFont="1" applyAlignment="1">
      <alignment horizontal="right"/>
    </xf>
    <xf numFmtId="264" fontId="241" fillId="0" borderId="0" xfId="0" applyNumberFormat="1" applyFont="1" applyAlignment="1">
      <alignment horizontal="right"/>
    </xf>
    <xf numFmtId="264" fontId="229" fillId="0" borderId="0" xfId="0" applyNumberFormat="1" applyFont="1" applyAlignment="1">
      <alignment horizontal="right" vertical="top"/>
    </xf>
    <xf numFmtId="5" fontId="229" fillId="0" borderId="0" xfId="0" applyNumberFormat="1" applyFont="1"/>
    <xf numFmtId="5" fontId="242" fillId="0" borderId="0" xfId="0" applyNumberFormat="1" applyFont="1"/>
    <xf numFmtId="5" fontId="240" fillId="0" borderId="0" xfId="0" applyNumberFormat="1" applyFont="1"/>
    <xf numFmtId="201" fontId="240" fillId="0" borderId="0" xfId="0" applyNumberFormat="1" applyFont="1"/>
    <xf numFmtId="0" fontId="240" fillId="0" borderId="0" xfId="0" applyFont="1"/>
    <xf numFmtId="37" fontId="229" fillId="0" borderId="0" xfId="0" applyNumberFormat="1" applyFont="1"/>
    <xf numFmtId="195" fontId="229" fillId="0" borderId="0" xfId="0" applyNumberFormat="1" applyFont="1"/>
    <xf numFmtId="37" fontId="242" fillId="0" borderId="0" xfId="0" applyNumberFormat="1" applyFont="1"/>
    <xf numFmtId="5" fontId="229" fillId="0" borderId="0" xfId="0" applyNumberFormat="1" applyFont="1" applyAlignment="1">
      <alignment vertical="top"/>
    </xf>
    <xf numFmtId="5" fontId="239" fillId="0" borderId="0" xfId="0" applyNumberFormat="1" applyFont="1"/>
    <xf numFmtId="264" fontId="229" fillId="0" borderId="0" xfId="0" applyNumberFormat="1" applyFont="1"/>
    <xf numFmtId="169" fontId="11" fillId="0" borderId="0" xfId="347" applyNumberFormat="1" applyFont="1" applyFill="1" applyBorder="1" applyAlignment="1" applyProtection="1">
      <alignment horizontal="right" wrapText="1" indent="2"/>
    </xf>
    <xf numFmtId="168" fontId="267" fillId="0" borderId="0" xfId="11119" applyNumberFormat="1" applyFont="1" applyAlignment="1">
      <alignment horizontal="right" wrapText="1" indent="2"/>
    </xf>
    <xf numFmtId="169" fontId="27" fillId="0" borderId="0" xfId="347" applyNumberFormat="1" applyFont="1" applyFill="1" applyBorder="1" applyAlignment="1" applyProtection="1">
      <alignment horizontal="right" wrapText="1" indent="2"/>
    </xf>
    <xf numFmtId="168" fontId="267" fillId="0" borderId="15" xfId="11119" applyNumberFormat="1" applyFont="1" applyBorder="1" applyAlignment="1">
      <alignment horizontal="right" wrapText="1" indent="2"/>
    </xf>
    <xf numFmtId="9" fontId="25" fillId="61" borderId="0" xfId="3" applyFont="1" applyFill="1" applyBorder="1"/>
    <xf numFmtId="0" fontId="25" fillId="61" borderId="21" xfId="3" applyNumberFormat="1" applyFont="1" applyFill="1" applyBorder="1"/>
    <xf numFmtId="167" fontId="256" fillId="0" borderId="0" xfId="0" applyNumberFormat="1" applyFont="1"/>
    <xf numFmtId="0" fontId="11" fillId="2" borderId="60" xfId="0" applyFont="1" applyFill="1" applyBorder="1" applyAlignment="1">
      <alignment horizontal="center"/>
    </xf>
    <xf numFmtId="0" fontId="11" fillId="2" borderId="58" xfId="0" applyFont="1" applyFill="1" applyBorder="1" applyAlignment="1">
      <alignment horizontal="center"/>
    </xf>
    <xf numFmtId="0" fontId="11" fillId="2" borderId="59" xfId="0" applyFont="1" applyFill="1" applyBorder="1" applyAlignment="1">
      <alignment horizontal="center"/>
    </xf>
    <xf numFmtId="0" fontId="79" fillId="61" borderId="0" xfId="0" applyFont="1" applyFill="1" applyAlignment="1">
      <alignment horizontal="center"/>
    </xf>
    <xf numFmtId="0" fontId="79" fillId="85" borderId="160" xfId="0" applyFont="1" applyFill="1" applyBorder="1" applyAlignment="1">
      <alignment horizontal="center" vertical="center"/>
    </xf>
    <xf numFmtId="0" fontId="79" fillId="85" borderId="167" xfId="0" applyFont="1" applyFill="1" applyBorder="1" applyAlignment="1">
      <alignment horizontal="center" vertical="center"/>
    </xf>
    <xf numFmtId="0" fontId="79" fillId="85" borderId="168" xfId="0" applyFont="1" applyFill="1" applyBorder="1" applyAlignment="1">
      <alignment horizontal="center" vertical="center" textRotation="90"/>
    </xf>
    <xf numFmtId="0" fontId="79" fillId="85" borderId="12" xfId="0" applyFont="1" applyFill="1" applyBorder="1" applyAlignment="1">
      <alignment horizontal="center" vertical="center" textRotation="90"/>
    </xf>
    <xf numFmtId="0" fontId="79" fillId="85" borderId="0" xfId="0" applyFont="1" applyFill="1" applyAlignment="1">
      <alignment horizontal="center"/>
    </xf>
    <xf numFmtId="0" fontId="25" fillId="85" borderId="0" xfId="0" applyFont="1" applyFill="1" applyAlignment="1">
      <alignment horizontal="center"/>
    </xf>
    <xf numFmtId="0" fontId="79" fillId="85" borderId="162" xfId="0" applyFont="1" applyFill="1" applyBorder="1" applyAlignment="1">
      <alignment horizontal="center" vertical="center" textRotation="90"/>
    </xf>
    <xf numFmtId="0" fontId="79" fillId="85" borderId="13" xfId="0" applyFont="1" applyFill="1" applyBorder="1" applyAlignment="1">
      <alignment horizontal="center" vertical="center" textRotation="90"/>
    </xf>
  </cellXfs>
  <cellStyles count="11120">
    <cellStyle name="&quot;A&quot;-style" xfId="1789" xr:uid="{00000000-0005-0000-0000-000000000000}"/>
    <cellStyle name="&quot;A&quot;-style 2" xfId="11086" xr:uid="{00000000-0005-0000-0000-000001000000}"/>
    <cellStyle name="#" xfId="414" xr:uid="{00000000-0005-0000-0000-000002000000}"/>
    <cellStyle name="#-" xfId="415" xr:uid="{00000000-0005-0000-0000-000003000000}"/>
    <cellStyle name="$" xfId="416" xr:uid="{00000000-0005-0000-0000-000004000000}"/>
    <cellStyle name="$-" xfId="417" xr:uid="{00000000-0005-0000-0000-000005000000}"/>
    <cellStyle name="$ &amp; ¢" xfId="1791" xr:uid="{00000000-0005-0000-0000-000006000000}"/>
    <cellStyle name="$ &amp; ¢ 2" xfId="1980" xr:uid="{00000000-0005-0000-0000-000007000000}"/>
    <cellStyle name="$ &amp; ¢ 3" xfId="1999" xr:uid="{00000000-0005-0000-0000-000008000000}"/>
    <cellStyle name="$ 10" xfId="1998" xr:uid="{00000000-0005-0000-0000-000009000000}"/>
    <cellStyle name="$ 11" xfId="2072" xr:uid="{00000000-0005-0000-0000-00000A000000}"/>
    <cellStyle name="$ 12" xfId="2003" xr:uid="{00000000-0005-0000-0000-00000B000000}"/>
    <cellStyle name="$ 13" xfId="2079" xr:uid="{00000000-0005-0000-0000-00000C000000}"/>
    <cellStyle name="$ 14" xfId="2006" xr:uid="{00000000-0005-0000-0000-00000D000000}"/>
    <cellStyle name="$ 15" xfId="2076" xr:uid="{00000000-0005-0000-0000-00000E000000}"/>
    <cellStyle name="$ 16" xfId="2083" xr:uid="{00000000-0005-0000-0000-00000F000000}"/>
    <cellStyle name="$ 17" xfId="2086" xr:uid="{00000000-0005-0000-0000-000010000000}"/>
    <cellStyle name="$ 18" xfId="2089" xr:uid="{00000000-0005-0000-0000-000011000000}"/>
    <cellStyle name="$ 19" xfId="2092" xr:uid="{00000000-0005-0000-0000-000012000000}"/>
    <cellStyle name="$ 2" xfId="1979" xr:uid="{00000000-0005-0000-0000-000013000000}"/>
    <cellStyle name="$ 20" xfId="2095" xr:uid="{00000000-0005-0000-0000-000014000000}"/>
    <cellStyle name="$ 21" xfId="2099" xr:uid="{00000000-0005-0000-0000-000015000000}"/>
    <cellStyle name="$ 22" xfId="2103" xr:uid="{00000000-0005-0000-0000-000016000000}"/>
    <cellStyle name="$ 23" xfId="2107" xr:uid="{00000000-0005-0000-0000-000017000000}"/>
    <cellStyle name="$ 24" xfId="2111" xr:uid="{00000000-0005-0000-0000-000018000000}"/>
    <cellStyle name="$ 25" xfId="2114" xr:uid="{00000000-0005-0000-0000-000019000000}"/>
    <cellStyle name="$ 26" xfId="2117" xr:uid="{00000000-0005-0000-0000-00001A000000}"/>
    <cellStyle name="$ 27" xfId="2120" xr:uid="{00000000-0005-0000-0000-00001B000000}"/>
    <cellStyle name="$ 28" xfId="2125" xr:uid="{00000000-0005-0000-0000-00001C000000}"/>
    <cellStyle name="$ 29" xfId="2130" xr:uid="{00000000-0005-0000-0000-00001D000000}"/>
    <cellStyle name="$ 3" xfId="1989" xr:uid="{00000000-0005-0000-0000-00001E000000}"/>
    <cellStyle name="$ 30" xfId="2133" xr:uid="{00000000-0005-0000-0000-00001F000000}"/>
    <cellStyle name="$ 31" xfId="2137" xr:uid="{00000000-0005-0000-0000-000020000000}"/>
    <cellStyle name="$ 32" xfId="1790" xr:uid="{00000000-0005-0000-0000-000021000000}"/>
    <cellStyle name="$ 33" xfId="10933" xr:uid="{00000000-0005-0000-0000-000022000000}"/>
    <cellStyle name="$ 34" xfId="11087" xr:uid="{00000000-0005-0000-0000-000023000000}"/>
    <cellStyle name="$ 4" xfId="1991" xr:uid="{00000000-0005-0000-0000-000024000000}"/>
    <cellStyle name="$ 5" xfId="1995" xr:uid="{00000000-0005-0000-0000-000025000000}"/>
    <cellStyle name="$ 6" xfId="1993" xr:uid="{00000000-0005-0000-0000-000026000000}"/>
    <cellStyle name="$ 7" xfId="1992" xr:uid="{00000000-0005-0000-0000-000027000000}"/>
    <cellStyle name="$ 8" xfId="1994" xr:uid="{00000000-0005-0000-0000-000028000000}"/>
    <cellStyle name="$ 9" xfId="1996" xr:uid="{00000000-0005-0000-0000-000029000000}"/>
    <cellStyle name="$_Hershey_Model_0.54" xfId="418" xr:uid="{00000000-0005-0000-0000-00002A000000}"/>
    <cellStyle name="$_HSY_2006_Board_Memo_Supportv1.0" xfId="419" xr:uid="{00000000-0005-0000-0000-00002B000000}"/>
    <cellStyle name="$0.00" xfId="87" xr:uid="{00000000-0005-0000-0000-00002C000000}"/>
    <cellStyle name="$0.00 2" xfId="10408" xr:uid="{00000000-0005-0000-0000-00002D000000}"/>
    <cellStyle name="$0.00 3" xfId="11100" xr:uid="{00000000-0005-0000-0000-00002E000000}"/>
    <cellStyle name="$0.95" xfId="88" xr:uid="{00000000-0005-0000-0000-00002F000000}"/>
    <cellStyle name="$0.95 2" xfId="10409" xr:uid="{00000000-0005-0000-0000-000030000000}"/>
    <cellStyle name="$0.95 3" xfId="11101" xr:uid="{00000000-0005-0000-0000-000031000000}"/>
    <cellStyle name="$0.99" xfId="89" xr:uid="{00000000-0005-0000-0000-000032000000}"/>
    <cellStyle name="$0.99 2" xfId="10410" xr:uid="{00000000-0005-0000-0000-000033000000}"/>
    <cellStyle name="$0.99 3" xfId="11102" xr:uid="{00000000-0005-0000-0000-000034000000}"/>
    <cellStyle name="$m" xfId="420" xr:uid="{00000000-0005-0000-0000-000035000000}"/>
    <cellStyle name="$q" xfId="421" xr:uid="{00000000-0005-0000-0000-000036000000}"/>
    <cellStyle name="$q*" xfId="422" xr:uid="{00000000-0005-0000-0000-000037000000}"/>
    <cellStyle name="$q_AVP" xfId="423" xr:uid="{00000000-0005-0000-0000-000038000000}"/>
    <cellStyle name="$qA" xfId="424" xr:uid="{00000000-0005-0000-0000-000039000000}"/>
    <cellStyle name="$qRange" xfId="425" xr:uid="{00000000-0005-0000-0000-00003A000000}"/>
    <cellStyle name="%" xfId="426" xr:uid="{00000000-0005-0000-0000-00003B000000}"/>
    <cellStyle name="%-" xfId="427" xr:uid="{00000000-0005-0000-0000-00003C000000}"/>
    <cellStyle name="% 2" xfId="1981" xr:uid="{00000000-0005-0000-0000-00003D000000}"/>
    <cellStyle name="% 3" xfId="2000" xr:uid="{00000000-0005-0000-0000-00003E000000}"/>
    <cellStyle name="% 4" xfId="1792" xr:uid="{00000000-0005-0000-0000-00003F000000}"/>
    <cellStyle name="% 5" xfId="10930" xr:uid="{00000000-0005-0000-0000-000040000000}"/>
    <cellStyle name="% 6" xfId="11088" xr:uid="{00000000-0005-0000-0000-000041000000}"/>
    <cellStyle name="%.00" xfId="428" xr:uid="{00000000-0005-0000-0000-000042000000}"/>
    <cellStyle name="%.00 2" xfId="1982" xr:uid="{00000000-0005-0000-0000-000043000000}"/>
    <cellStyle name="%.00 3" xfId="2001" xr:uid="{00000000-0005-0000-0000-000044000000}"/>
    <cellStyle name="%.00 4" xfId="1793" xr:uid="{00000000-0005-0000-0000-000045000000}"/>
    <cellStyle name="%[0]" xfId="335" xr:uid="{00000000-0005-0000-0000-000046000000}"/>
    <cellStyle name="%[1]" xfId="336" xr:uid="{00000000-0005-0000-0000-000047000000}"/>
    <cellStyle name="%[2]" xfId="337" xr:uid="{00000000-0005-0000-0000-000048000000}"/>
    <cellStyle name="%0" xfId="429" xr:uid="{00000000-0005-0000-0000-000049000000}"/>
    <cellStyle name="%1" xfId="430" xr:uid="{00000000-0005-0000-0000-00004A000000}"/>
    <cellStyle name="%2" xfId="431" xr:uid="{00000000-0005-0000-0000-00004B000000}"/>
    <cellStyle name="******************************************" xfId="432" xr:uid="{00000000-0005-0000-0000-00004C000000}"/>
    <cellStyle name=";;;" xfId="433" xr:uid="{00000000-0005-0000-0000-00004D000000}"/>
    <cellStyle name="’Ê‰Ý [0.00]_GE 3 MINIMUM" xfId="1794" xr:uid="{00000000-0005-0000-0000-00004E000000}"/>
    <cellStyle name="’Ê‰Ý_GE 3 MINIMUM" xfId="1795" xr:uid="{00000000-0005-0000-0000-00004F000000}"/>
    <cellStyle name="£ BP" xfId="434" xr:uid="{00000000-0005-0000-0000-000050000000}"/>
    <cellStyle name="£ BP 2" xfId="1796" xr:uid="{00000000-0005-0000-0000-000051000000}"/>
    <cellStyle name="£Currency [0]" xfId="435" xr:uid="{00000000-0005-0000-0000-000052000000}"/>
    <cellStyle name="£Currency [1]" xfId="436" xr:uid="{00000000-0005-0000-0000-000053000000}"/>
    <cellStyle name="£Currency [2]" xfId="437" xr:uid="{00000000-0005-0000-0000-000054000000}"/>
    <cellStyle name="£Currency [p]" xfId="438" xr:uid="{00000000-0005-0000-0000-000055000000}"/>
    <cellStyle name="£Currency [p2]" xfId="439" xr:uid="{00000000-0005-0000-0000-000056000000}"/>
    <cellStyle name="£Pounds" xfId="440" xr:uid="{00000000-0005-0000-0000-000057000000}"/>
    <cellStyle name="¥ JY" xfId="441" xr:uid="{00000000-0005-0000-0000-000058000000}"/>
    <cellStyle name="¥ JY 2" xfId="1797" xr:uid="{00000000-0005-0000-0000-000059000000}"/>
    <cellStyle name="=C:\WINNT\SYSTEM32\COMMAND.COM" xfId="1798" xr:uid="{00000000-0005-0000-0000-00005A000000}"/>
    <cellStyle name="•W_GE 3 MINIMUM" xfId="1799" xr:uid="{00000000-0005-0000-0000-00005B000000}"/>
    <cellStyle name="0.0" xfId="442" xr:uid="{00000000-0005-0000-0000-00005C000000}"/>
    <cellStyle name="0.0%" xfId="443" xr:uid="{00000000-0005-0000-0000-00005D000000}"/>
    <cellStyle name="0.00" xfId="444" xr:uid="{00000000-0005-0000-0000-00005E000000}"/>
    <cellStyle name="0000" xfId="445" xr:uid="{00000000-0005-0000-0000-00005F000000}"/>
    <cellStyle name="20% - Accent1" xfId="1761" builtinId="30" customBuiltin="1"/>
    <cellStyle name="20% - Accent1 2" xfId="35" xr:uid="{00000000-0005-0000-0000-000061000000}"/>
    <cellStyle name="20% - Accent1 2 2" xfId="90" xr:uid="{00000000-0005-0000-0000-000062000000}"/>
    <cellStyle name="20% - Accent1 2 2 2" xfId="2253" xr:uid="{00000000-0005-0000-0000-000063000000}"/>
    <cellStyle name="20% - Accent1 2 2 2 2" xfId="2252" xr:uid="{00000000-0005-0000-0000-000064000000}"/>
    <cellStyle name="20% - Accent1 2 2 3" xfId="2251" xr:uid="{00000000-0005-0000-0000-000065000000}"/>
    <cellStyle name="20% - Accent1 2 2 4" xfId="2254" xr:uid="{00000000-0005-0000-0000-000066000000}"/>
    <cellStyle name="20% - Accent1 2 3" xfId="2250" xr:uid="{00000000-0005-0000-0000-000067000000}"/>
    <cellStyle name="20% - Accent1 2 3 2" xfId="2249" xr:uid="{00000000-0005-0000-0000-000068000000}"/>
    <cellStyle name="20% - Accent1 2 4" xfId="2248" xr:uid="{00000000-0005-0000-0000-000069000000}"/>
    <cellStyle name="20% - Accent1 2 5" xfId="10883" xr:uid="{00000000-0005-0000-0000-00006A000000}"/>
    <cellStyle name="20% - Accent1 2 6" xfId="2255" xr:uid="{00000000-0005-0000-0000-00006B000000}"/>
    <cellStyle name="20% - Accent1 3" xfId="91" xr:uid="{00000000-0005-0000-0000-00006C000000}"/>
    <cellStyle name="20% - Accent1 3 2" xfId="92" xr:uid="{00000000-0005-0000-0000-00006D000000}"/>
    <cellStyle name="20% - Accent1 3 2 2" xfId="2247" xr:uid="{00000000-0005-0000-0000-00006E000000}"/>
    <cellStyle name="20% - Accent1 3 3" xfId="2246" xr:uid="{00000000-0005-0000-0000-00006F000000}"/>
    <cellStyle name="20% - Accent1 4" xfId="93" xr:uid="{00000000-0005-0000-0000-000070000000}"/>
    <cellStyle name="20% - Accent1 4 2" xfId="2245" xr:uid="{00000000-0005-0000-0000-000071000000}"/>
    <cellStyle name="20% - Accent1 5" xfId="446" xr:uid="{00000000-0005-0000-0000-000072000000}"/>
    <cellStyle name="20% - Accent1 5 2" xfId="2243" xr:uid="{00000000-0005-0000-0000-000073000000}"/>
    <cellStyle name="20% - Accent1 5 3" xfId="2244" xr:uid="{00000000-0005-0000-0000-000074000000}"/>
    <cellStyle name="20% - Accent1 6" xfId="2242" xr:uid="{00000000-0005-0000-0000-000075000000}"/>
    <cellStyle name="20% - Accent1 7" xfId="2241" xr:uid="{00000000-0005-0000-0000-000076000000}"/>
    <cellStyle name="20% - Accent1 8" xfId="2240" xr:uid="{00000000-0005-0000-0000-000077000000}"/>
    <cellStyle name="20% - Accent2" xfId="1765" builtinId="34" customBuiltin="1"/>
    <cellStyle name="20% - Accent2 2" xfId="36" xr:uid="{00000000-0005-0000-0000-000079000000}"/>
    <cellStyle name="20% - Accent2 2 2" xfId="94" xr:uid="{00000000-0005-0000-0000-00007A000000}"/>
    <cellStyle name="20% - Accent2 2 2 2" xfId="2237" xr:uid="{00000000-0005-0000-0000-00007B000000}"/>
    <cellStyle name="20% - Accent2 2 2 2 2" xfId="2236" xr:uid="{00000000-0005-0000-0000-00007C000000}"/>
    <cellStyle name="20% - Accent2 2 2 3" xfId="2235" xr:uid="{00000000-0005-0000-0000-00007D000000}"/>
    <cellStyle name="20% - Accent2 2 2 4" xfId="2238" xr:uid="{00000000-0005-0000-0000-00007E000000}"/>
    <cellStyle name="20% - Accent2 2 3" xfId="2234" xr:uid="{00000000-0005-0000-0000-00007F000000}"/>
    <cellStyle name="20% - Accent2 2 3 2" xfId="2233" xr:uid="{00000000-0005-0000-0000-000080000000}"/>
    <cellStyle name="20% - Accent2 2 4" xfId="2232" xr:uid="{00000000-0005-0000-0000-000081000000}"/>
    <cellStyle name="20% - Accent2 2 5" xfId="10884" xr:uid="{00000000-0005-0000-0000-000082000000}"/>
    <cellStyle name="20% - Accent2 2 6" xfId="2239" xr:uid="{00000000-0005-0000-0000-000083000000}"/>
    <cellStyle name="20% - Accent2 3" xfId="95" xr:uid="{00000000-0005-0000-0000-000084000000}"/>
    <cellStyle name="20% - Accent2 3 2" xfId="96" xr:uid="{00000000-0005-0000-0000-000085000000}"/>
    <cellStyle name="20% - Accent2 3 2 2" xfId="2231" xr:uid="{00000000-0005-0000-0000-000086000000}"/>
    <cellStyle name="20% - Accent2 3 3" xfId="2230" xr:uid="{00000000-0005-0000-0000-000087000000}"/>
    <cellStyle name="20% - Accent2 4" xfId="97" xr:uid="{00000000-0005-0000-0000-000088000000}"/>
    <cellStyle name="20% - Accent2 4 2" xfId="2229" xr:uid="{00000000-0005-0000-0000-000089000000}"/>
    <cellStyle name="20% - Accent2 5" xfId="447" xr:uid="{00000000-0005-0000-0000-00008A000000}"/>
    <cellStyle name="20% - Accent2 5 2" xfId="2227" xr:uid="{00000000-0005-0000-0000-00008B000000}"/>
    <cellStyle name="20% - Accent2 5 3" xfId="2228" xr:uid="{00000000-0005-0000-0000-00008C000000}"/>
    <cellStyle name="20% - Accent2 6" xfId="2226" xr:uid="{00000000-0005-0000-0000-00008D000000}"/>
    <cellStyle name="20% - Accent2 7" xfId="2225" xr:uid="{00000000-0005-0000-0000-00008E000000}"/>
    <cellStyle name="20% - Accent2 8" xfId="2224" xr:uid="{00000000-0005-0000-0000-00008F000000}"/>
    <cellStyle name="20% - Accent3" xfId="1769" builtinId="38" customBuiltin="1"/>
    <cellStyle name="20% - Accent3 2" xfId="37" xr:uid="{00000000-0005-0000-0000-000091000000}"/>
    <cellStyle name="20% - Accent3 2 2" xfId="98" xr:uid="{00000000-0005-0000-0000-000092000000}"/>
    <cellStyle name="20% - Accent3 2 2 2" xfId="2221" xr:uid="{00000000-0005-0000-0000-000093000000}"/>
    <cellStyle name="20% - Accent3 2 2 2 2" xfId="2220" xr:uid="{00000000-0005-0000-0000-000094000000}"/>
    <cellStyle name="20% - Accent3 2 2 3" xfId="2219" xr:uid="{00000000-0005-0000-0000-000095000000}"/>
    <cellStyle name="20% - Accent3 2 2 4" xfId="2222" xr:uid="{00000000-0005-0000-0000-000096000000}"/>
    <cellStyle name="20% - Accent3 2 3" xfId="2218" xr:uid="{00000000-0005-0000-0000-000097000000}"/>
    <cellStyle name="20% - Accent3 2 3 2" xfId="2217" xr:uid="{00000000-0005-0000-0000-000098000000}"/>
    <cellStyle name="20% - Accent3 2 4" xfId="2216" xr:uid="{00000000-0005-0000-0000-000099000000}"/>
    <cellStyle name="20% - Accent3 2 5" xfId="10885" xr:uid="{00000000-0005-0000-0000-00009A000000}"/>
    <cellStyle name="20% - Accent3 2 6" xfId="2223" xr:uid="{00000000-0005-0000-0000-00009B000000}"/>
    <cellStyle name="20% - Accent3 3" xfId="99" xr:uid="{00000000-0005-0000-0000-00009C000000}"/>
    <cellStyle name="20% - Accent3 3 2" xfId="100" xr:uid="{00000000-0005-0000-0000-00009D000000}"/>
    <cellStyle name="20% - Accent3 3 2 2" xfId="2215" xr:uid="{00000000-0005-0000-0000-00009E000000}"/>
    <cellStyle name="20% - Accent3 3 3" xfId="2214" xr:uid="{00000000-0005-0000-0000-00009F000000}"/>
    <cellStyle name="20% - Accent3 4" xfId="101" xr:uid="{00000000-0005-0000-0000-0000A0000000}"/>
    <cellStyle name="20% - Accent3 4 2" xfId="2213" xr:uid="{00000000-0005-0000-0000-0000A1000000}"/>
    <cellStyle name="20% - Accent3 5" xfId="448" xr:uid="{00000000-0005-0000-0000-0000A2000000}"/>
    <cellStyle name="20% - Accent3 5 2" xfId="2211" xr:uid="{00000000-0005-0000-0000-0000A3000000}"/>
    <cellStyle name="20% - Accent3 5 3" xfId="2212" xr:uid="{00000000-0005-0000-0000-0000A4000000}"/>
    <cellStyle name="20% - Accent3 6" xfId="2210" xr:uid="{00000000-0005-0000-0000-0000A5000000}"/>
    <cellStyle name="20% - Accent3 7" xfId="2209" xr:uid="{00000000-0005-0000-0000-0000A6000000}"/>
    <cellStyle name="20% - Accent3 8" xfId="2208" xr:uid="{00000000-0005-0000-0000-0000A7000000}"/>
    <cellStyle name="20% - Accent4" xfId="1773" builtinId="42" customBuiltin="1"/>
    <cellStyle name="20% - Accent4 2" xfId="38" xr:uid="{00000000-0005-0000-0000-0000A9000000}"/>
    <cellStyle name="20% - Accent4 2 2" xfId="102" xr:uid="{00000000-0005-0000-0000-0000AA000000}"/>
    <cellStyle name="20% - Accent4 2 2 2" xfId="2205" xr:uid="{00000000-0005-0000-0000-0000AB000000}"/>
    <cellStyle name="20% - Accent4 2 2 2 2" xfId="2204" xr:uid="{00000000-0005-0000-0000-0000AC000000}"/>
    <cellStyle name="20% - Accent4 2 2 3" xfId="2203" xr:uid="{00000000-0005-0000-0000-0000AD000000}"/>
    <cellStyle name="20% - Accent4 2 2 4" xfId="2206" xr:uid="{00000000-0005-0000-0000-0000AE000000}"/>
    <cellStyle name="20% - Accent4 2 3" xfId="2202" xr:uid="{00000000-0005-0000-0000-0000AF000000}"/>
    <cellStyle name="20% - Accent4 2 3 2" xfId="2201" xr:uid="{00000000-0005-0000-0000-0000B0000000}"/>
    <cellStyle name="20% - Accent4 2 4" xfId="2200" xr:uid="{00000000-0005-0000-0000-0000B1000000}"/>
    <cellStyle name="20% - Accent4 2 5" xfId="10886" xr:uid="{00000000-0005-0000-0000-0000B2000000}"/>
    <cellStyle name="20% - Accent4 2 6" xfId="2207" xr:uid="{00000000-0005-0000-0000-0000B3000000}"/>
    <cellStyle name="20% - Accent4 3" xfId="103" xr:uid="{00000000-0005-0000-0000-0000B4000000}"/>
    <cellStyle name="20% - Accent4 3 2" xfId="104" xr:uid="{00000000-0005-0000-0000-0000B5000000}"/>
    <cellStyle name="20% - Accent4 3 2 2" xfId="2199" xr:uid="{00000000-0005-0000-0000-0000B6000000}"/>
    <cellStyle name="20% - Accent4 3 3" xfId="2198" xr:uid="{00000000-0005-0000-0000-0000B7000000}"/>
    <cellStyle name="20% - Accent4 4" xfId="105" xr:uid="{00000000-0005-0000-0000-0000B8000000}"/>
    <cellStyle name="20% - Accent4 4 2" xfId="2197" xr:uid="{00000000-0005-0000-0000-0000B9000000}"/>
    <cellStyle name="20% - Accent4 5" xfId="449" xr:uid="{00000000-0005-0000-0000-0000BA000000}"/>
    <cellStyle name="20% - Accent4 5 2" xfId="2195" xr:uid="{00000000-0005-0000-0000-0000BB000000}"/>
    <cellStyle name="20% - Accent4 5 3" xfId="2196" xr:uid="{00000000-0005-0000-0000-0000BC000000}"/>
    <cellStyle name="20% - Accent4 6" xfId="2194" xr:uid="{00000000-0005-0000-0000-0000BD000000}"/>
    <cellStyle name="20% - Accent4 7" xfId="2193" xr:uid="{00000000-0005-0000-0000-0000BE000000}"/>
    <cellStyle name="20% - Accent4 8" xfId="2192" xr:uid="{00000000-0005-0000-0000-0000BF000000}"/>
    <cellStyle name="20% - Accent5" xfId="1777" builtinId="46" customBuiltin="1"/>
    <cellStyle name="20% - Accent5 2" xfId="39" xr:uid="{00000000-0005-0000-0000-0000C1000000}"/>
    <cellStyle name="20% - Accent5 2 2" xfId="2190" xr:uid="{00000000-0005-0000-0000-0000C2000000}"/>
    <cellStyle name="20% - Accent5 2 2 2" xfId="2189" xr:uid="{00000000-0005-0000-0000-0000C3000000}"/>
    <cellStyle name="20% - Accent5 2 2 2 2" xfId="2188" xr:uid="{00000000-0005-0000-0000-0000C4000000}"/>
    <cellStyle name="20% - Accent5 2 2 3" xfId="2187" xr:uid="{00000000-0005-0000-0000-0000C5000000}"/>
    <cellStyle name="20% - Accent5 2 3" xfId="2186" xr:uid="{00000000-0005-0000-0000-0000C6000000}"/>
    <cellStyle name="20% - Accent5 2 3 2" xfId="2185" xr:uid="{00000000-0005-0000-0000-0000C7000000}"/>
    <cellStyle name="20% - Accent5 2 4" xfId="2184" xr:uid="{00000000-0005-0000-0000-0000C8000000}"/>
    <cellStyle name="20% - Accent5 2 5" xfId="10887" xr:uid="{00000000-0005-0000-0000-0000C9000000}"/>
    <cellStyle name="20% - Accent5 2 6" xfId="2191" xr:uid="{00000000-0005-0000-0000-0000CA000000}"/>
    <cellStyle name="20% - Accent5 3" xfId="106" xr:uid="{00000000-0005-0000-0000-0000CB000000}"/>
    <cellStyle name="20% - Accent5 3 2" xfId="107" xr:uid="{00000000-0005-0000-0000-0000CC000000}"/>
    <cellStyle name="20% - Accent5 3 2 2" xfId="2183" xr:uid="{00000000-0005-0000-0000-0000CD000000}"/>
    <cellStyle name="20% - Accent5 3 3" xfId="2182" xr:uid="{00000000-0005-0000-0000-0000CE000000}"/>
    <cellStyle name="20% - Accent5 4" xfId="108" xr:uid="{00000000-0005-0000-0000-0000CF000000}"/>
    <cellStyle name="20% - Accent5 4 2" xfId="2181" xr:uid="{00000000-0005-0000-0000-0000D0000000}"/>
    <cellStyle name="20% - Accent5 5" xfId="450" xr:uid="{00000000-0005-0000-0000-0000D1000000}"/>
    <cellStyle name="20% - Accent5 5 2" xfId="2179" xr:uid="{00000000-0005-0000-0000-0000D2000000}"/>
    <cellStyle name="20% - Accent5 5 3" xfId="2180" xr:uid="{00000000-0005-0000-0000-0000D3000000}"/>
    <cellStyle name="20% - Accent5 6" xfId="2178" xr:uid="{00000000-0005-0000-0000-0000D4000000}"/>
    <cellStyle name="20% - Accent5 7" xfId="2177" xr:uid="{00000000-0005-0000-0000-0000D5000000}"/>
    <cellStyle name="20% - Accent5 8" xfId="2176" xr:uid="{00000000-0005-0000-0000-0000D6000000}"/>
    <cellStyle name="20% - Accent6" xfId="1781" builtinId="50" customBuiltin="1"/>
    <cellStyle name="20% - Accent6 2" xfId="40" xr:uid="{00000000-0005-0000-0000-0000D8000000}"/>
    <cellStyle name="20% - Accent6 2 2" xfId="109" xr:uid="{00000000-0005-0000-0000-0000D9000000}"/>
    <cellStyle name="20% - Accent6 2 2 2" xfId="2173" xr:uid="{00000000-0005-0000-0000-0000DA000000}"/>
    <cellStyle name="20% - Accent6 2 2 2 2" xfId="2172" xr:uid="{00000000-0005-0000-0000-0000DB000000}"/>
    <cellStyle name="20% - Accent6 2 2 3" xfId="2171" xr:uid="{00000000-0005-0000-0000-0000DC000000}"/>
    <cellStyle name="20% - Accent6 2 2 4" xfId="2174" xr:uid="{00000000-0005-0000-0000-0000DD000000}"/>
    <cellStyle name="20% - Accent6 2 3" xfId="2170" xr:uid="{00000000-0005-0000-0000-0000DE000000}"/>
    <cellStyle name="20% - Accent6 2 3 2" xfId="2169" xr:uid="{00000000-0005-0000-0000-0000DF000000}"/>
    <cellStyle name="20% - Accent6 2 4" xfId="2168" xr:uid="{00000000-0005-0000-0000-0000E0000000}"/>
    <cellStyle name="20% - Accent6 2 5" xfId="10888" xr:uid="{00000000-0005-0000-0000-0000E1000000}"/>
    <cellStyle name="20% - Accent6 2 6" xfId="2175" xr:uid="{00000000-0005-0000-0000-0000E2000000}"/>
    <cellStyle name="20% - Accent6 3" xfId="110" xr:uid="{00000000-0005-0000-0000-0000E3000000}"/>
    <cellStyle name="20% - Accent6 3 2" xfId="111" xr:uid="{00000000-0005-0000-0000-0000E4000000}"/>
    <cellStyle name="20% - Accent6 3 2 2" xfId="2167" xr:uid="{00000000-0005-0000-0000-0000E5000000}"/>
    <cellStyle name="20% - Accent6 3 3" xfId="2166" xr:uid="{00000000-0005-0000-0000-0000E6000000}"/>
    <cellStyle name="20% - Accent6 4" xfId="112" xr:uid="{00000000-0005-0000-0000-0000E7000000}"/>
    <cellStyle name="20% - Accent6 4 2" xfId="2165" xr:uid="{00000000-0005-0000-0000-0000E8000000}"/>
    <cellStyle name="20% - Accent6 5" xfId="451" xr:uid="{00000000-0005-0000-0000-0000E9000000}"/>
    <cellStyle name="20% - Accent6 5 2" xfId="2163" xr:uid="{00000000-0005-0000-0000-0000EA000000}"/>
    <cellStyle name="20% - Accent6 5 3" xfId="2164" xr:uid="{00000000-0005-0000-0000-0000EB000000}"/>
    <cellStyle name="20% - Accent6 6" xfId="2162" xr:uid="{00000000-0005-0000-0000-0000EC000000}"/>
    <cellStyle name="20% - Accent6 7" xfId="2161" xr:uid="{00000000-0005-0000-0000-0000ED000000}"/>
    <cellStyle name="20% - Accent6 8" xfId="2159" xr:uid="{00000000-0005-0000-0000-0000EE000000}"/>
    <cellStyle name="20% - Ênfase1" xfId="1800" xr:uid="{00000000-0005-0000-0000-0000EF000000}"/>
    <cellStyle name="20% - Ênfase2" xfId="1801" xr:uid="{00000000-0005-0000-0000-0000F0000000}"/>
    <cellStyle name="20% - Ênfase3" xfId="1802" xr:uid="{00000000-0005-0000-0000-0000F1000000}"/>
    <cellStyle name="20% - Ênfase4" xfId="1803" xr:uid="{00000000-0005-0000-0000-0000F2000000}"/>
    <cellStyle name="20% - Ênfase5" xfId="1804" xr:uid="{00000000-0005-0000-0000-0000F3000000}"/>
    <cellStyle name="20% - Ênfase6" xfId="1805" xr:uid="{00000000-0005-0000-0000-0000F4000000}"/>
    <cellStyle name="20% - Énfasis1" xfId="1806" xr:uid="{00000000-0005-0000-0000-0000F5000000}"/>
    <cellStyle name="20% - Énfasis2" xfId="1807" xr:uid="{00000000-0005-0000-0000-0000F6000000}"/>
    <cellStyle name="20% - Énfasis3" xfId="1808" xr:uid="{00000000-0005-0000-0000-0000F7000000}"/>
    <cellStyle name="20% - Énfasis4" xfId="1809" xr:uid="{00000000-0005-0000-0000-0000F8000000}"/>
    <cellStyle name="20% - Énfasis5" xfId="1810" xr:uid="{00000000-0005-0000-0000-0000F9000000}"/>
    <cellStyle name="20% - Énfasis6" xfId="1811" xr:uid="{00000000-0005-0000-0000-0000FA000000}"/>
    <cellStyle name="40% - Accent1" xfId="1762" builtinId="31" customBuiltin="1"/>
    <cellStyle name="40% - Accent1 2" xfId="41" xr:uid="{00000000-0005-0000-0000-0000FC000000}"/>
    <cellStyle name="40% - Accent1 2 2" xfId="113" xr:uid="{00000000-0005-0000-0000-0000FD000000}"/>
    <cellStyle name="40% - Accent1 2 2 2" xfId="2156" xr:uid="{00000000-0005-0000-0000-0000FE000000}"/>
    <cellStyle name="40% - Accent1 2 2 2 2" xfId="2155" xr:uid="{00000000-0005-0000-0000-0000FF000000}"/>
    <cellStyle name="40% - Accent1 2 2 3" xfId="2154" xr:uid="{00000000-0005-0000-0000-000000010000}"/>
    <cellStyle name="40% - Accent1 2 2 4" xfId="2157" xr:uid="{00000000-0005-0000-0000-000001010000}"/>
    <cellStyle name="40% - Accent1 2 3" xfId="2153" xr:uid="{00000000-0005-0000-0000-000002010000}"/>
    <cellStyle name="40% - Accent1 2 3 2" xfId="2152" xr:uid="{00000000-0005-0000-0000-000003010000}"/>
    <cellStyle name="40% - Accent1 2 4" xfId="2151" xr:uid="{00000000-0005-0000-0000-000004010000}"/>
    <cellStyle name="40% - Accent1 2 5" xfId="10889" xr:uid="{00000000-0005-0000-0000-000005010000}"/>
    <cellStyle name="40% - Accent1 2 6" xfId="2158" xr:uid="{00000000-0005-0000-0000-000006010000}"/>
    <cellStyle name="40% - Accent1 3" xfId="114" xr:uid="{00000000-0005-0000-0000-000007010000}"/>
    <cellStyle name="40% - Accent1 3 2" xfId="115" xr:uid="{00000000-0005-0000-0000-000008010000}"/>
    <cellStyle name="40% - Accent1 3 2 2" xfId="2150" xr:uid="{00000000-0005-0000-0000-000009010000}"/>
    <cellStyle name="40% - Accent1 3 3" xfId="2149" xr:uid="{00000000-0005-0000-0000-00000A010000}"/>
    <cellStyle name="40% - Accent1 4" xfId="116" xr:uid="{00000000-0005-0000-0000-00000B010000}"/>
    <cellStyle name="40% - Accent1 4 2" xfId="2148" xr:uid="{00000000-0005-0000-0000-00000C010000}"/>
    <cellStyle name="40% - Accent1 5" xfId="452" xr:uid="{00000000-0005-0000-0000-00000D010000}"/>
    <cellStyle name="40% - Accent1 5 2" xfId="2070" xr:uid="{00000000-0005-0000-0000-00000E010000}"/>
    <cellStyle name="40% - Accent1 5 3" xfId="2071" xr:uid="{00000000-0005-0000-0000-00000F010000}"/>
    <cellStyle name="40% - Accent1 6" xfId="2097" xr:uid="{00000000-0005-0000-0000-000010010000}"/>
    <cellStyle name="40% - Accent1 7" xfId="2129" xr:uid="{00000000-0005-0000-0000-000011010000}"/>
    <cellStyle name="40% - Accent1 8" xfId="2002" xr:uid="{00000000-0005-0000-0000-000012010000}"/>
    <cellStyle name="40% - Accent2" xfId="1766" builtinId="35" customBuiltin="1"/>
    <cellStyle name="40% - Accent2 2" xfId="42" xr:uid="{00000000-0005-0000-0000-000014010000}"/>
    <cellStyle name="40% - Accent2 2 2" xfId="2074" xr:uid="{00000000-0005-0000-0000-000015010000}"/>
    <cellStyle name="40% - Accent2 2 2 2" xfId="2069" xr:uid="{00000000-0005-0000-0000-000016010000}"/>
    <cellStyle name="40% - Accent2 2 2 2 2" xfId="2143" xr:uid="{00000000-0005-0000-0000-000017010000}"/>
    <cellStyle name="40% - Accent2 2 2 3" xfId="2068" xr:uid="{00000000-0005-0000-0000-000018010000}"/>
    <cellStyle name="40% - Accent2 2 3" xfId="2105" xr:uid="{00000000-0005-0000-0000-000019010000}"/>
    <cellStyle name="40% - Accent2 2 3 2" xfId="2136" xr:uid="{00000000-0005-0000-0000-00001A010000}"/>
    <cellStyle name="40% - Accent2 2 4" xfId="2004" xr:uid="{00000000-0005-0000-0000-00001B010000}"/>
    <cellStyle name="40% - Accent2 2 5" xfId="10890" xr:uid="{00000000-0005-0000-0000-00001C010000}"/>
    <cellStyle name="40% - Accent2 2 6" xfId="2122" xr:uid="{00000000-0005-0000-0000-00001D010000}"/>
    <cellStyle name="40% - Accent2 3" xfId="117" xr:uid="{00000000-0005-0000-0000-00001E010000}"/>
    <cellStyle name="40% - Accent2 3 2" xfId="118" xr:uid="{00000000-0005-0000-0000-00001F010000}"/>
    <cellStyle name="40% - Accent2 3 2 2" xfId="2067" xr:uid="{00000000-0005-0000-0000-000020010000}"/>
    <cellStyle name="40% - Accent2 3 3" xfId="2112" xr:uid="{00000000-0005-0000-0000-000021010000}"/>
    <cellStyle name="40% - Accent2 4" xfId="119" xr:uid="{00000000-0005-0000-0000-000022010000}"/>
    <cellStyle name="40% - Accent2 4 2" xfId="2007" xr:uid="{00000000-0005-0000-0000-000023010000}"/>
    <cellStyle name="40% - Accent2 5" xfId="453" xr:uid="{00000000-0005-0000-0000-000024010000}"/>
    <cellStyle name="40% - Accent2 5 2" xfId="2065" xr:uid="{00000000-0005-0000-0000-000025010000}"/>
    <cellStyle name="40% - Accent2 5 3" xfId="2139" xr:uid="{00000000-0005-0000-0000-000026010000}"/>
    <cellStyle name="40% - Accent2 6" xfId="1997" xr:uid="{00000000-0005-0000-0000-000027010000}"/>
    <cellStyle name="40% - Accent2 7" xfId="2145" xr:uid="{00000000-0005-0000-0000-000028010000}"/>
    <cellStyle name="40% - Accent2 8" xfId="2064" xr:uid="{00000000-0005-0000-0000-000029010000}"/>
    <cellStyle name="40% - Accent3" xfId="1770" builtinId="39" customBuiltin="1"/>
    <cellStyle name="40% - Accent3 2" xfId="43" xr:uid="{00000000-0005-0000-0000-00002B010000}"/>
    <cellStyle name="40% - Accent3 2 2" xfId="120" xr:uid="{00000000-0005-0000-0000-00002C010000}"/>
    <cellStyle name="40% - Accent3 2 2 2" xfId="2061" xr:uid="{00000000-0005-0000-0000-00002D010000}"/>
    <cellStyle name="40% - Accent3 2 2 2 2" xfId="2060" xr:uid="{00000000-0005-0000-0000-00002E010000}"/>
    <cellStyle name="40% - Accent3 2 2 3" xfId="2059" xr:uid="{00000000-0005-0000-0000-00002F010000}"/>
    <cellStyle name="40% - Accent3 2 2 4" xfId="2062" xr:uid="{00000000-0005-0000-0000-000030010000}"/>
    <cellStyle name="40% - Accent3 2 3" xfId="2057" xr:uid="{00000000-0005-0000-0000-000031010000}"/>
    <cellStyle name="40% - Accent3 2 3 2" xfId="2056" xr:uid="{00000000-0005-0000-0000-000032010000}"/>
    <cellStyle name="40% - Accent3 2 4" xfId="2055" xr:uid="{00000000-0005-0000-0000-000033010000}"/>
    <cellStyle name="40% - Accent3 2 5" xfId="10891" xr:uid="{00000000-0005-0000-0000-000034010000}"/>
    <cellStyle name="40% - Accent3 2 6" xfId="2063" xr:uid="{00000000-0005-0000-0000-000035010000}"/>
    <cellStyle name="40% - Accent3 3" xfId="121" xr:uid="{00000000-0005-0000-0000-000036010000}"/>
    <cellStyle name="40% - Accent3 3 2" xfId="122" xr:uid="{00000000-0005-0000-0000-000037010000}"/>
    <cellStyle name="40% - Accent3 3 2 2" xfId="2054" xr:uid="{00000000-0005-0000-0000-000038010000}"/>
    <cellStyle name="40% - Accent3 3 3" xfId="2053" xr:uid="{00000000-0005-0000-0000-000039010000}"/>
    <cellStyle name="40% - Accent3 4" xfId="123" xr:uid="{00000000-0005-0000-0000-00003A010000}"/>
    <cellStyle name="40% - Accent3 4 2" xfId="2052" xr:uid="{00000000-0005-0000-0000-00003B010000}"/>
    <cellStyle name="40% - Accent3 5" xfId="454" xr:uid="{00000000-0005-0000-0000-00003C010000}"/>
    <cellStyle name="40% - Accent3 5 2" xfId="2050" xr:uid="{00000000-0005-0000-0000-00003D010000}"/>
    <cellStyle name="40% - Accent3 5 3" xfId="2051" xr:uid="{00000000-0005-0000-0000-00003E010000}"/>
    <cellStyle name="40% - Accent3 6" xfId="2049" xr:uid="{00000000-0005-0000-0000-00003F010000}"/>
    <cellStyle name="40% - Accent3 7" xfId="2048" xr:uid="{00000000-0005-0000-0000-000040010000}"/>
    <cellStyle name="40% - Accent3 8" xfId="2047" xr:uid="{00000000-0005-0000-0000-000041010000}"/>
    <cellStyle name="40% - Accent4" xfId="1774" builtinId="43" customBuiltin="1"/>
    <cellStyle name="40% - Accent4 2" xfId="44" xr:uid="{00000000-0005-0000-0000-000043010000}"/>
    <cellStyle name="40% - Accent4 2 2" xfId="124" xr:uid="{00000000-0005-0000-0000-000044010000}"/>
    <cellStyle name="40% - Accent4 2 2 2" xfId="2044" xr:uid="{00000000-0005-0000-0000-000045010000}"/>
    <cellStyle name="40% - Accent4 2 2 2 2" xfId="2043" xr:uid="{00000000-0005-0000-0000-000046010000}"/>
    <cellStyle name="40% - Accent4 2 2 3" xfId="2042" xr:uid="{00000000-0005-0000-0000-000047010000}"/>
    <cellStyle name="40% - Accent4 2 2 4" xfId="2045" xr:uid="{00000000-0005-0000-0000-000048010000}"/>
    <cellStyle name="40% - Accent4 2 3" xfId="2041" xr:uid="{00000000-0005-0000-0000-000049010000}"/>
    <cellStyle name="40% - Accent4 2 3 2" xfId="2040" xr:uid="{00000000-0005-0000-0000-00004A010000}"/>
    <cellStyle name="40% - Accent4 2 4" xfId="2039" xr:uid="{00000000-0005-0000-0000-00004B010000}"/>
    <cellStyle name="40% - Accent4 2 5" xfId="10892" xr:uid="{00000000-0005-0000-0000-00004C010000}"/>
    <cellStyle name="40% - Accent4 2 6" xfId="2046" xr:uid="{00000000-0005-0000-0000-00004D010000}"/>
    <cellStyle name="40% - Accent4 3" xfId="125" xr:uid="{00000000-0005-0000-0000-00004E010000}"/>
    <cellStyle name="40% - Accent4 3 2" xfId="126" xr:uid="{00000000-0005-0000-0000-00004F010000}"/>
    <cellStyle name="40% - Accent4 3 2 2" xfId="2038" xr:uid="{00000000-0005-0000-0000-000050010000}"/>
    <cellStyle name="40% - Accent4 3 3" xfId="2037" xr:uid="{00000000-0005-0000-0000-000051010000}"/>
    <cellStyle name="40% - Accent4 4" xfId="127" xr:uid="{00000000-0005-0000-0000-000052010000}"/>
    <cellStyle name="40% - Accent4 4 2" xfId="2082" xr:uid="{00000000-0005-0000-0000-000053010000}"/>
    <cellStyle name="40% - Accent4 5" xfId="455" xr:uid="{00000000-0005-0000-0000-000054010000}"/>
    <cellStyle name="40% - Accent4 5 2" xfId="2088" xr:uid="{00000000-0005-0000-0000-000055010000}"/>
    <cellStyle name="40% - Accent4 5 3" xfId="2036" xr:uid="{00000000-0005-0000-0000-000056010000}"/>
    <cellStyle name="40% - Accent4 6" xfId="2035" xr:uid="{00000000-0005-0000-0000-000057010000}"/>
    <cellStyle name="40% - Accent4 7" xfId="2094" xr:uid="{00000000-0005-0000-0000-000058010000}"/>
    <cellStyle name="40% - Accent4 8" xfId="2034" xr:uid="{00000000-0005-0000-0000-000059010000}"/>
    <cellStyle name="40% - Accent5" xfId="1778" builtinId="47" customBuiltin="1"/>
    <cellStyle name="40% - Accent5 2" xfId="45" xr:uid="{00000000-0005-0000-0000-00005B010000}"/>
    <cellStyle name="40% - Accent5 2 2" xfId="2033" xr:uid="{00000000-0005-0000-0000-00005C010000}"/>
    <cellStyle name="40% - Accent5 2 2 2" xfId="2110" xr:uid="{00000000-0005-0000-0000-00005D010000}"/>
    <cellStyle name="40% - Accent5 2 2 2 2" xfId="2032" xr:uid="{00000000-0005-0000-0000-00005E010000}"/>
    <cellStyle name="40% - Accent5 2 2 3" xfId="2116" xr:uid="{00000000-0005-0000-0000-00005F010000}"/>
    <cellStyle name="40% - Accent5 2 3" xfId="2031" xr:uid="{00000000-0005-0000-0000-000060010000}"/>
    <cellStyle name="40% - Accent5 2 3 2" xfId="2124" xr:uid="{00000000-0005-0000-0000-000061010000}"/>
    <cellStyle name="40% - Accent5 2 4" xfId="2030" xr:uid="{00000000-0005-0000-0000-000062010000}"/>
    <cellStyle name="40% - Accent5 2 5" xfId="10893" xr:uid="{00000000-0005-0000-0000-000063010000}"/>
    <cellStyle name="40% - Accent5 2 6" xfId="2102" xr:uid="{00000000-0005-0000-0000-000064010000}"/>
    <cellStyle name="40% - Accent5 3" xfId="128" xr:uid="{00000000-0005-0000-0000-000065010000}"/>
    <cellStyle name="40% - Accent5 3 2" xfId="129" xr:uid="{00000000-0005-0000-0000-000066010000}"/>
    <cellStyle name="40% - Accent5 3 2 2" xfId="2140" xr:uid="{00000000-0005-0000-0000-000067010000}"/>
    <cellStyle name="40% - Accent5 3 3" xfId="2029" xr:uid="{00000000-0005-0000-0000-000068010000}"/>
    <cellStyle name="40% - Accent5 4" xfId="130" xr:uid="{00000000-0005-0000-0000-000069010000}"/>
    <cellStyle name="40% - Accent5 4 2" xfId="2077" xr:uid="{00000000-0005-0000-0000-00006A010000}"/>
    <cellStyle name="40% - Accent5 5" xfId="456" xr:uid="{00000000-0005-0000-0000-00006B010000}"/>
    <cellStyle name="40% - Accent5 5 2" xfId="2093" xr:uid="{00000000-0005-0000-0000-00006C010000}"/>
    <cellStyle name="40% - Accent5 5 3" xfId="2087" xr:uid="{00000000-0005-0000-0000-00006D010000}"/>
    <cellStyle name="40% - Accent5 6" xfId="2100" xr:uid="{00000000-0005-0000-0000-00006E010000}"/>
    <cellStyle name="40% - Accent5 7" xfId="2108" xr:uid="{00000000-0005-0000-0000-00006F010000}"/>
    <cellStyle name="40% - Accent5 8" xfId="2115" xr:uid="{00000000-0005-0000-0000-000070010000}"/>
    <cellStyle name="40% - Accent6" xfId="1782" builtinId="51" customBuiltin="1"/>
    <cellStyle name="40% - Accent6 2" xfId="46" xr:uid="{00000000-0005-0000-0000-000072010000}"/>
    <cellStyle name="40% - Accent6 2 2" xfId="131" xr:uid="{00000000-0005-0000-0000-000073010000}"/>
    <cellStyle name="40% - Accent6 2 2 2" xfId="2138" xr:uid="{00000000-0005-0000-0000-000074010000}"/>
    <cellStyle name="40% - Accent6 2 2 2 2" xfId="2144" xr:uid="{00000000-0005-0000-0000-000075010000}"/>
    <cellStyle name="40% - Accent6 2 2 3" xfId="2028" xr:uid="{00000000-0005-0000-0000-000076010000}"/>
    <cellStyle name="40% - Accent6 2 2 4" xfId="2131" xr:uid="{00000000-0005-0000-0000-000077010000}"/>
    <cellStyle name="40% - Accent6 2 3" xfId="2027" xr:uid="{00000000-0005-0000-0000-000078010000}"/>
    <cellStyle name="40% - Accent6 2 3 2" xfId="2026" xr:uid="{00000000-0005-0000-0000-000079010000}"/>
    <cellStyle name="40% - Accent6 2 4" xfId="2147" xr:uid="{00000000-0005-0000-0000-00007A010000}"/>
    <cellStyle name="40% - Accent6 2 5" xfId="10894" xr:uid="{00000000-0005-0000-0000-00007B010000}"/>
    <cellStyle name="40% - Accent6 2 6" xfId="2121" xr:uid="{00000000-0005-0000-0000-00007C010000}"/>
    <cellStyle name="40% - Accent6 3" xfId="132" xr:uid="{00000000-0005-0000-0000-00007D010000}"/>
    <cellStyle name="40% - Accent6 3 2" xfId="133" xr:uid="{00000000-0005-0000-0000-00007E010000}"/>
    <cellStyle name="40% - Accent6 3 2 2" xfId="2126" xr:uid="{00000000-0005-0000-0000-00007F010000}"/>
    <cellStyle name="40% - Accent6 3 3" xfId="2118" xr:uid="{00000000-0005-0000-0000-000080010000}"/>
    <cellStyle name="40% - Accent6 4" xfId="134" xr:uid="{00000000-0005-0000-0000-000081010000}"/>
    <cellStyle name="40% - Accent6 4 2" xfId="2104" xr:uid="{00000000-0005-0000-0000-000082010000}"/>
    <cellStyle name="40% - Accent6 5" xfId="457" xr:uid="{00000000-0005-0000-0000-000083010000}"/>
    <cellStyle name="40% - Accent6 5 2" xfId="2090" xr:uid="{00000000-0005-0000-0000-000084010000}"/>
    <cellStyle name="40% - Accent6 5 3" xfId="2096" xr:uid="{00000000-0005-0000-0000-000085010000}"/>
    <cellStyle name="40% - Accent6 6" xfId="2084" xr:uid="{00000000-0005-0000-0000-000086010000}"/>
    <cellStyle name="40% - Accent6 7" xfId="2025" xr:uid="{00000000-0005-0000-0000-000087010000}"/>
    <cellStyle name="40% - Accent6 8" xfId="2142" xr:uid="{00000000-0005-0000-0000-000088010000}"/>
    <cellStyle name="40% - Ênfase1" xfId="1812" xr:uid="{00000000-0005-0000-0000-000089010000}"/>
    <cellStyle name="40% - Ênfase2" xfId="1813" xr:uid="{00000000-0005-0000-0000-00008A010000}"/>
    <cellStyle name="40% - Ênfase3" xfId="1814" xr:uid="{00000000-0005-0000-0000-00008B010000}"/>
    <cellStyle name="40% - Ênfase4" xfId="1815" xr:uid="{00000000-0005-0000-0000-00008C010000}"/>
    <cellStyle name="40% - Ênfase5" xfId="1816" xr:uid="{00000000-0005-0000-0000-00008D010000}"/>
    <cellStyle name="40% - Ênfase6" xfId="1817" xr:uid="{00000000-0005-0000-0000-00008E010000}"/>
    <cellStyle name="40% - Énfasis1" xfId="1818" xr:uid="{00000000-0005-0000-0000-00008F010000}"/>
    <cellStyle name="40% - Énfasis2" xfId="1819" xr:uid="{00000000-0005-0000-0000-000090010000}"/>
    <cellStyle name="40% - Énfasis3" xfId="1820" xr:uid="{00000000-0005-0000-0000-000091010000}"/>
    <cellStyle name="40% - Énfasis4" xfId="1821" xr:uid="{00000000-0005-0000-0000-000092010000}"/>
    <cellStyle name="40% - Énfasis5" xfId="1822" xr:uid="{00000000-0005-0000-0000-000093010000}"/>
    <cellStyle name="40% - Énfasis6" xfId="1823" xr:uid="{00000000-0005-0000-0000-000094010000}"/>
    <cellStyle name="60% - Accent1" xfId="1763" builtinId="32" customBuiltin="1"/>
    <cellStyle name="60% - Accent1 2" xfId="47" xr:uid="{00000000-0005-0000-0000-000096010000}"/>
    <cellStyle name="60% - Accent1 2 2" xfId="135" xr:uid="{00000000-0005-0000-0000-000097010000}"/>
    <cellStyle name="60% - Accent1 3" xfId="458" xr:uid="{00000000-0005-0000-0000-000098010000}"/>
    <cellStyle name="60% - Accent2" xfId="1767" builtinId="36" customBuiltin="1"/>
    <cellStyle name="60% - Accent2 2" xfId="48" xr:uid="{00000000-0005-0000-0000-00009A010000}"/>
    <cellStyle name="60% - Accent2 3" xfId="459" xr:uid="{00000000-0005-0000-0000-00009B010000}"/>
    <cellStyle name="60% - Accent3" xfId="1771" builtinId="40" customBuiltin="1"/>
    <cellStyle name="60% - Accent3 2" xfId="49" xr:uid="{00000000-0005-0000-0000-00009D010000}"/>
    <cellStyle name="60% - Accent3 2 2" xfId="136" xr:uid="{00000000-0005-0000-0000-00009E010000}"/>
    <cellStyle name="60% - Accent3 3" xfId="460" xr:uid="{00000000-0005-0000-0000-00009F010000}"/>
    <cellStyle name="60% - Accent4" xfId="1775" builtinId="44" customBuiltin="1"/>
    <cellStyle name="60% - Accent4 2" xfId="50" xr:uid="{00000000-0005-0000-0000-0000A1010000}"/>
    <cellStyle name="60% - Accent4 2 2" xfId="137" xr:uid="{00000000-0005-0000-0000-0000A2010000}"/>
    <cellStyle name="60% - Accent4 3" xfId="461" xr:uid="{00000000-0005-0000-0000-0000A3010000}"/>
    <cellStyle name="60% - Accent5" xfId="1779" builtinId="48" customBuiltin="1"/>
    <cellStyle name="60% - Accent5 2" xfId="51" xr:uid="{00000000-0005-0000-0000-0000A5010000}"/>
    <cellStyle name="60% - Accent5 2 2" xfId="138" xr:uid="{00000000-0005-0000-0000-0000A6010000}"/>
    <cellStyle name="60% - Accent5 3" xfId="462" xr:uid="{00000000-0005-0000-0000-0000A7010000}"/>
    <cellStyle name="60% - Accent6" xfId="1783" builtinId="52" customBuiltin="1"/>
    <cellStyle name="60% - Accent6 2" xfId="52" xr:uid="{00000000-0005-0000-0000-0000A9010000}"/>
    <cellStyle name="60% - Accent6 2 2" xfId="139" xr:uid="{00000000-0005-0000-0000-0000AA010000}"/>
    <cellStyle name="60% - Accent6 3" xfId="463" xr:uid="{00000000-0005-0000-0000-0000AB010000}"/>
    <cellStyle name="60% - Ênfase1" xfId="1824" xr:uid="{00000000-0005-0000-0000-0000AC010000}"/>
    <cellStyle name="60% - Ênfase2" xfId="1825" xr:uid="{00000000-0005-0000-0000-0000AD010000}"/>
    <cellStyle name="60% - Ênfase3" xfId="1826" xr:uid="{00000000-0005-0000-0000-0000AE010000}"/>
    <cellStyle name="60% - Ênfase4" xfId="1827" xr:uid="{00000000-0005-0000-0000-0000AF010000}"/>
    <cellStyle name="60% - Ênfase5" xfId="1828" xr:uid="{00000000-0005-0000-0000-0000B0010000}"/>
    <cellStyle name="60% - Ênfase6" xfId="1829" xr:uid="{00000000-0005-0000-0000-0000B1010000}"/>
    <cellStyle name="60% - Énfasis1" xfId="1830" xr:uid="{00000000-0005-0000-0000-0000B2010000}"/>
    <cellStyle name="60% - Énfasis2" xfId="1831" xr:uid="{00000000-0005-0000-0000-0000B3010000}"/>
    <cellStyle name="60% - Énfasis3" xfId="1832" xr:uid="{00000000-0005-0000-0000-0000B4010000}"/>
    <cellStyle name="60% - Énfasis4" xfId="1833" xr:uid="{00000000-0005-0000-0000-0000B5010000}"/>
    <cellStyle name="60% - Énfasis5" xfId="1834" xr:uid="{00000000-0005-0000-0000-0000B6010000}"/>
    <cellStyle name="60% - Énfasis6" xfId="1835" xr:uid="{00000000-0005-0000-0000-0000B7010000}"/>
    <cellStyle name="Accent1" xfId="1760" builtinId="29" customBuiltin="1"/>
    <cellStyle name="Accent1 2" xfId="53" xr:uid="{00000000-0005-0000-0000-0000B9010000}"/>
    <cellStyle name="Accent1 2 2" xfId="140" xr:uid="{00000000-0005-0000-0000-0000BA010000}"/>
    <cellStyle name="Accent1 3" xfId="464" xr:uid="{00000000-0005-0000-0000-0000BB010000}"/>
    <cellStyle name="Accent2" xfId="1764" builtinId="33" customBuiltin="1"/>
    <cellStyle name="Accent2 2" xfId="54" xr:uid="{00000000-0005-0000-0000-0000BD010000}"/>
    <cellStyle name="Accent2 3" xfId="465" xr:uid="{00000000-0005-0000-0000-0000BE010000}"/>
    <cellStyle name="Accent3" xfId="1768" builtinId="37" customBuiltin="1"/>
    <cellStyle name="Accent3 2" xfId="55" xr:uid="{00000000-0005-0000-0000-0000C0010000}"/>
    <cellStyle name="Accent3 2 2" xfId="141" xr:uid="{00000000-0005-0000-0000-0000C1010000}"/>
    <cellStyle name="Accent3 3" xfId="466" xr:uid="{00000000-0005-0000-0000-0000C2010000}"/>
    <cellStyle name="Accent4" xfId="1772" builtinId="41" customBuiltin="1"/>
    <cellStyle name="Accent4 2" xfId="56" xr:uid="{00000000-0005-0000-0000-0000C4010000}"/>
    <cellStyle name="Accent4 2 2" xfId="142" xr:uid="{00000000-0005-0000-0000-0000C5010000}"/>
    <cellStyle name="Accent4 3" xfId="467" xr:uid="{00000000-0005-0000-0000-0000C6010000}"/>
    <cellStyle name="Accent5" xfId="1776" builtinId="45" customBuiltin="1"/>
    <cellStyle name="Accent5 2" xfId="57" xr:uid="{00000000-0005-0000-0000-0000C8010000}"/>
    <cellStyle name="Accent5 2 2" xfId="143" xr:uid="{00000000-0005-0000-0000-0000C9010000}"/>
    <cellStyle name="Accent5 3" xfId="468" xr:uid="{00000000-0005-0000-0000-0000CA010000}"/>
    <cellStyle name="Accent6" xfId="1780" builtinId="49" customBuiltin="1"/>
    <cellStyle name="Accent6 2" xfId="58" xr:uid="{00000000-0005-0000-0000-0000CC010000}"/>
    <cellStyle name="Accent6 2 2" xfId="144" xr:uid="{00000000-0005-0000-0000-0000CD010000}"/>
    <cellStyle name="Accent6 3" xfId="469" xr:uid="{00000000-0005-0000-0000-0000CE010000}"/>
    <cellStyle name="Accounting $" xfId="470" xr:uid="{00000000-0005-0000-0000-0000CF010000}"/>
    <cellStyle name="AFE" xfId="471" xr:uid="{00000000-0005-0000-0000-0000D0010000}"/>
    <cellStyle name="AFE 2" xfId="472" xr:uid="{00000000-0005-0000-0000-0000D1010000}"/>
    <cellStyle name="AFE_COACH_Public_Comps_SOLUTION_v1 28_Hermes (3)" xfId="473" xr:uid="{00000000-0005-0000-0000-0000D2010000}"/>
    <cellStyle name="Availability" xfId="1836" xr:uid="{00000000-0005-0000-0000-0000D3010000}"/>
    <cellStyle name="Bad" xfId="1749" builtinId="27" customBuiltin="1"/>
    <cellStyle name="Bad 2" xfId="59" xr:uid="{00000000-0005-0000-0000-0000D5010000}"/>
    <cellStyle name="Bad 3" xfId="474" xr:uid="{00000000-0005-0000-0000-0000D6010000}"/>
    <cellStyle name="bch" xfId="6638" xr:uid="{00000000-0005-0000-0000-0000D7010000}"/>
    <cellStyle name="B-CHeader" xfId="1837" xr:uid="{00000000-0005-0000-0000-0000D8010000}"/>
    <cellStyle name="bci" xfId="6639" xr:uid="{00000000-0005-0000-0000-0000D9010000}"/>
    <cellStyle name="Black" xfId="145" xr:uid="{00000000-0005-0000-0000-0000DA010000}"/>
    <cellStyle name="Black Text" xfId="1838" xr:uid="{00000000-0005-0000-0000-0000DB010000}"/>
    <cellStyle name="Black Text (No Wrap)" xfId="1839" xr:uid="{00000000-0005-0000-0000-0000DC010000}"/>
    <cellStyle name="Black Text_Argentina" xfId="1840" xr:uid="{00000000-0005-0000-0000-0000DD010000}"/>
    <cellStyle name="Blank" xfId="2081" xr:uid="{00000000-0005-0000-0000-0000DE010000}"/>
    <cellStyle name="Blue" xfId="146" xr:uid="{00000000-0005-0000-0000-0000DF010000}"/>
    <cellStyle name="Blue 2" xfId="475" xr:uid="{00000000-0005-0000-0000-0000E0010000}"/>
    <cellStyle name="Blue 3" xfId="1841" xr:uid="{00000000-0005-0000-0000-0000E1010000}"/>
    <cellStyle name="Blue Text" xfId="1842" xr:uid="{00000000-0005-0000-0000-0000E2010000}"/>
    <cellStyle name="Blue Text - Ariel 10" xfId="1843" xr:uid="{00000000-0005-0000-0000-0000E3010000}"/>
    <cellStyle name="Blue Text_Argentina" xfId="1844" xr:uid="{00000000-0005-0000-0000-0000E4010000}"/>
    <cellStyle name="Body_$Dollars" xfId="476" xr:uid="{00000000-0005-0000-0000-0000E5010000}"/>
    <cellStyle name="Bold/Border" xfId="477" xr:uid="{00000000-0005-0000-0000-0000E6010000}"/>
    <cellStyle name="Bol-Data" xfId="1845" xr:uid="{00000000-0005-0000-0000-0000E7010000}"/>
    <cellStyle name="bolet" xfId="1846" xr:uid="{00000000-0005-0000-0000-0000E8010000}"/>
    <cellStyle name="Boletim" xfId="1847" xr:uid="{00000000-0005-0000-0000-0000E9010000}"/>
    <cellStyle name="Bom" xfId="1848" xr:uid="{00000000-0005-0000-0000-0000EA010000}"/>
    <cellStyle name="Border, Bottom" xfId="1849" xr:uid="{00000000-0005-0000-0000-0000EB010000}"/>
    <cellStyle name="Border, Bottom 2" xfId="1983" xr:uid="{00000000-0005-0000-0000-0000EC010000}"/>
    <cellStyle name="Border, Bottom 3" xfId="2012" xr:uid="{00000000-0005-0000-0000-0000ED010000}"/>
    <cellStyle name="Border, Left" xfId="1850" xr:uid="{00000000-0005-0000-0000-0000EE010000}"/>
    <cellStyle name="Border, Left 2" xfId="1984" xr:uid="{00000000-0005-0000-0000-0000EF010000}"/>
    <cellStyle name="Border, Left 3" xfId="2013" xr:uid="{00000000-0005-0000-0000-0000F0010000}"/>
    <cellStyle name="Border, Right" xfId="1851" xr:uid="{00000000-0005-0000-0000-0000F1010000}"/>
    <cellStyle name="Border, Right 2" xfId="1985" xr:uid="{00000000-0005-0000-0000-0000F2010000}"/>
    <cellStyle name="Border, Right 3" xfId="2014" xr:uid="{00000000-0005-0000-0000-0000F3010000}"/>
    <cellStyle name="Border, Top" xfId="1852" xr:uid="{00000000-0005-0000-0000-0000F4010000}"/>
    <cellStyle name="Border, Top 2" xfId="1986" xr:uid="{00000000-0005-0000-0000-0000F5010000}"/>
    <cellStyle name="Border, Top 2 2" xfId="11098" xr:uid="{00000000-0005-0000-0000-0000F6010000}"/>
    <cellStyle name="Border, Top 3" xfId="2015" xr:uid="{00000000-0005-0000-0000-0000F7010000}"/>
    <cellStyle name="Border, Top 3 2" xfId="11099" xr:uid="{00000000-0005-0000-0000-0000F8010000}"/>
    <cellStyle name="Border, Top 4" xfId="11089" xr:uid="{00000000-0005-0000-0000-0000F9010000}"/>
    <cellStyle name="Bottom Edge" xfId="478" xr:uid="{00000000-0005-0000-0000-0000FA010000}"/>
    <cellStyle name="Bottom Edge 2" xfId="1606" xr:uid="{00000000-0005-0000-0000-0000FB010000}"/>
    <cellStyle name="Bottom Edge 2 2" xfId="1648" xr:uid="{00000000-0005-0000-0000-0000FC010000}"/>
    <cellStyle name="Bottom Edge 2 3" xfId="1667" xr:uid="{00000000-0005-0000-0000-0000FD010000}"/>
    <cellStyle name="Bottom Edge 3" xfId="1623" xr:uid="{00000000-0005-0000-0000-0000FE010000}"/>
    <cellStyle name="Bottom Edge 4" xfId="1621" xr:uid="{00000000-0005-0000-0000-0000FF010000}"/>
    <cellStyle name="Buena" xfId="1853" xr:uid="{00000000-0005-0000-0000-000000020000}"/>
    <cellStyle name="Bullet" xfId="479" xr:uid="{00000000-0005-0000-0000-000001020000}"/>
    <cellStyle name="Bullet 2" xfId="1854" xr:uid="{00000000-0005-0000-0000-000002020000}"/>
    <cellStyle name="c_HardInc " xfId="480" xr:uid="{00000000-0005-0000-0000-000003020000}"/>
    <cellStyle name="c_HardInc _1 Cadbury_&amp;_Kraft_Model_v11.0" xfId="481" xr:uid="{00000000-0005-0000-0000-000004020000}"/>
    <cellStyle name="c_HardInc _2 HNZ_CPB_v11.0" xfId="482" xr:uid="{00000000-0005-0000-0000-000005020000}"/>
    <cellStyle name="c_HardInc _2 HNZ_CPB_v11.0.2" xfId="483" xr:uid="{00000000-0005-0000-0000-000006020000}"/>
    <cellStyle name="c_HardInc _Book2" xfId="484" xr:uid="{00000000-0005-0000-0000-000007020000}"/>
    <cellStyle name="c_HardInc _CBRY_Case_v2.0 DRAFT4.0_AL" xfId="485" xr:uid="{00000000-0005-0000-0000-000008020000}"/>
    <cellStyle name="c_HardInc _CBRY_Case_v2.0 DRAFT4.0_AL_MBA_Val_101_CAD_2009_BACKUP_v1.0_Draft_10" xfId="486" xr:uid="{00000000-0005-0000-0000-000009020000}"/>
    <cellStyle name="c_HardInc _CBRY_Case_v2.0 DRAFT4.0_AL_MBA_Val_101_CAD_2009_BACKUP_v1.0_Draft_15" xfId="487" xr:uid="{00000000-0005-0000-0000-00000A020000}"/>
    <cellStyle name="c_HardInc _COH_Merger_Model_Analysts_SOLUTION_v1.88" xfId="488" xr:uid="{00000000-0005-0000-0000-00000B020000}"/>
    <cellStyle name="c_HardInc _Copy of COH_2008_FM_SOLUTION_DCF_v1.05" xfId="489" xr:uid="{00000000-0005-0000-0000-00000C020000}"/>
    <cellStyle name="c_HardInc _MBA_Val_CAD_DCFv2.0" xfId="490" xr:uid="{00000000-0005-0000-0000-00000D020000}"/>
    <cellStyle name="c_HardInc _MBA_Val_CAD_DCFv2.0_MBA_Val_101_CAD_2009_BACKUP_v1.0_Draft_10" xfId="491" xr:uid="{00000000-0005-0000-0000-00000E020000}"/>
    <cellStyle name="c_HardInc _MBA_Val_CAD_DCFv2.0_MBA_Val_101_CAD_2009_BACKUP_v1.0_Draft_15" xfId="492" xr:uid="{00000000-0005-0000-0000-00000F020000}"/>
    <cellStyle name="c_HardInc _MBA_Val_CAD_DCFv2.0_MBA_Val_101_CAD_2009_BACKUP_v1.0_Draft_9" xfId="493" xr:uid="{00000000-0005-0000-0000-000010020000}"/>
    <cellStyle name="Calculation" xfId="1753" builtinId="22" customBuiltin="1"/>
    <cellStyle name="Calculation 2" xfId="60" xr:uid="{00000000-0005-0000-0000-000012020000}"/>
    <cellStyle name="Calculation 2 2" xfId="147" xr:uid="{00000000-0005-0000-0000-000013020000}"/>
    <cellStyle name="Calculation 2 2 2" xfId="1594" xr:uid="{00000000-0005-0000-0000-000014020000}"/>
    <cellStyle name="Calculation 2 2 2 2" xfId="1637" xr:uid="{00000000-0005-0000-0000-000015020000}"/>
    <cellStyle name="Calculation 2 2 2 3" xfId="1656" xr:uid="{00000000-0005-0000-0000-000016020000}"/>
    <cellStyle name="Calculation 2 2 3" xfId="1617" xr:uid="{00000000-0005-0000-0000-000017020000}"/>
    <cellStyle name="Calculation 2 2 4" xfId="11104" xr:uid="{00000000-0005-0000-0000-000018020000}"/>
    <cellStyle name="Calculation 2 3" xfId="1589" xr:uid="{00000000-0005-0000-0000-000019020000}"/>
    <cellStyle name="Calculation 2 3 2" xfId="1632" xr:uid="{00000000-0005-0000-0000-00001A020000}"/>
    <cellStyle name="Calculation 2 3 3" xfId="1651" xr:uid="{00000000-0005-0000-0000-00001B020000}"/>
    <cellStyle name="Calculation 2 4" xfId="1612" xr:uid="{00000000-0005-0000-0000-00001C020000}"/>
    <cellStyle name="Calculation 2 5" xfId="11103" xr:uid="{00000000-0005-0000-0000-00001D020000}"/>
    <cellStyle name="Calculation 3" xfId="494" xr:uid="{00000000-0005-0000-0000-00001E020000}"/>
    <cellStyle name="Calculation 3 2" xfId="1607" xr:uid="{00000000-0005-0000-0000-00001F020000}"/>
    <cellStyle name="Calculation 3 2 2" xfId="1649" xr:uid="{00000000-0005-0000-0000-000020020000}"/>
    <cellStyle name="Calculation 3 2 3" xfId="1668" xr:uid="{00000000-0005-0000-0000-000021020000}"/>
    <cellStyle name="Calculation 3 3" xfId="1624" xr:uid="{00000000-0005-0000-0000-000022020000}"/>
    <cellStyle name="Calculation 3 4" xfId="1619" xr:uid="{00000000-0005-0000-0000-000023020000}"/>
    <cellStyle name="Cálculo" xfId="1855" xr:uid="{00000000-0005-0000-0000-000024020000}"/>
    <cellStyle name="Cálculo 2" xfId="11090" xr:uid="{00000000-0005-0000-0000-000025020000}"/>
    <cellStyle name="Celda de comprobación" xfId="1856" xr:uid="{00000000-0005-0000-0000-000026020000}"/>
    <cellStyle name="Celda vinculada" xfId="1857" xr:uid="{00000000-0005-0000-0000-000027020000}"/>
    <cellStyle name="cell" xfId="6640" xr:uid="{00000000-0005-0000-0000-000028020000}"/>
    <cellStyle name="Célula de Verificação" xfId="1858" xr:uid="{00000000-0005-0000-0000-000029020000}"/>
    <cellStyle name="Célula Vinculada" xfId="1859" xr:uid="{00000000-0005-0000-0000-00002A020000}"/>
    <cellStyle name="Centered Heading" xfId="2127" xr:uid="{00000000-0005-0000-0000-00002B020000}"/>
    <cellStyle name="Centered Heading 5" xfId="6641" xr:uid="{00000000-0005-0000-0000-00002C020000}"/>
    <cellStyle name="Cents" xfId="495" xr:uid="{00000000-0005-0000-0000-00002D020000}"/>
    <cellStyle name="ch" xfId="6642" xr:uid="{00000000-0005-0000-0000-00002E020000}"/>
    <cellStyle name="Changeable" xfId="1860" xr:uid="{00000000-0005-0000-0000-00002F020000}"/>
    <cellStyle name="ChartingText" xfId="338" xr:uid="{00000000-0005-0000-0000-000030020000}"/>
    <cellStyle name="ChartingText 2" xfId="339" xr:uid="{00000000-0005-0000-0000-000031020000}"/>
    <cellStyle name="ChartingText 3" xfId="496" xr:uid="{00000000-0005-0000-0000-000032020000}"/>
    <cellStyle name="Check Cell" xfId="1755" builtinId="23" customBuiltin="1"/>
    <cellStyle name="Check Cell 2" xfId="61" xr:uid="{00000000-0005-0000-0000-000034020000}"/>
    <cellStyle name="Check Cell 2 2" xfId="148" xr:uid="{00000000-0005-0000-0000-000035020000}"/>
    <cellStyle name="Check Cell 3" xfId="497" xr:uid="{00000000-0005-0000-0000-000036020000}"/>
    <cellStyle name="CLEAR" xfId="1861" xr:uid="{00000000-0005-0000-0000-000037020000}"/>
    <cellStyle name="ColHeading" xfId="1862" xr:uid="{00000000-0005-0000-0000-000038020000}"/>
    <cellStyle name="Column_Title" xfId="6643" xr:uid="{00000000-0005-0000-0000-000039020000}"/>
    <cellStyle name="ColumnHeaderNormal" xfId="340" xr:uid="{00000000-0005-0000-0000-00003A020000}"/>
    <cellStyle name="ColumnHeaderNormal 2" xfId="498" xr:uid="{00000000-0005-0000-0000-00003B020000}"/>
    <cellStyle name="Comma" xfId="1" builtinId="3"/>
    <cellStyle name="Comma  - Style1" xfId="1863" xr:uid="{00000000-0005-0000-0000-00003D020000}"/>
    <cellStyle name="Comma  - Style2" xfId="1864" xr:uid="{00000000-0005-0000-0000-00003E020000}"/>
    <cellStyle name="Comma  - Style3" xfId="1865" xr:uid="{00000000-0005-0000-0000-00003F020000}"/>
    <cellStyle name="Comma  - Style4" xfId="1866" xr:uid="{00000000-0005-0000-0000-000040020000}"/>
    <cellStyle name="Comma  - Style5" xfId="1867" xr:uid="{00000000-0005-0000-0000-000041020000}"/>
    <cellStyle name="Comma  - Style6" xfId="1868" xr:uid="{00000000-0005-0000-0000-000042020000}"/>
    <cellStyle name="Comma  - Style7" xfId="1869" xr:uid="{00000000-0005-0000-0000-000043020000}"/>
    <cellStyle name="Comma  - Style8" xfId="1870" xr:uid="{00000000-0005-0000-0000-000044020000}"/>
    <cellStyle name="comma (0)" xfId="1871" xr:uid="{00000000-0005-0000-0000-000045020000}"/>
    <cellStyle name="Comma [1]" xfId="499" xr:uid="{00000000-0005-0000-0000-000046020000}"/>
    <cellStyle name="Comma 0.00" xfId="6632" xr:uid="{00000000-0005-0000-0000-000047020000}"/>
    <cellStyle name="Comma 10" xfId="341" xr:uid="{00000000-0005-0000-0000-000048020000}"/>
    <cellStyle name="Comma 10 2" xfId="342" xr:uid="{00000000-0005-0000-0000-000049020000}"/>
    <cellStyle name="Comma 10 2 2" xfId="6644" xr:uid="{00000000-0005-0000-0000-00004A020000}"/>
    <cellStyle name="Comma 10 2 3" xfId="2135" xr:uid="{00000000-0005-0000-0000-00004B020000}"/>
    <cellStyle name="Comma 10 3" xfId="343" xr:uid="{00000000-0005-0000-0000-00004C020000}"/>
    <cellStyle name="Comma 10 3 2" xfId="2023" xr:uid="{00000000-0005-0000-0000-00004D020000}"/>
    <cellStyle name="Comma 10 4" xfId="2024" xr:uid="{00000000-0005-0000-0000-00004E020000}"/>
    <cellStyle name="Comma 100" xfId="10625" xr:uid="{00000000-0005-0000-0000-00004F020000}"/>
    <cellStyle name="Comma 101" xfId="10628" xr:uid="{00000000-0005-0000-0000-000050020000}"/>
    <cellStyle name="Comma 102" xfId="10631" xr:uid="{00000000-0005-0000-0000-000051020000}"/>
    <cellStyle name="Comma 103" xfId="10634" xr:uid="{00000000-0005-0000-0000-000052020000}"/>
    <cellStyle name="Comma 104" xfId="10637" xr:uid="{00000000-0005-0000-0000-000053020000}"/>
    <cellStyle name="Comma 105" xfId="10640" xr:uid="{00000000-0005-0000-0000-000054020000}"/>
    <cellStyle name="Comma 106" xfId="10643" xr:uid="{00000000-0005-0000-0000-000055020000}"/>
    <cellStyle name="Comma 107" xfId="10646" xr:uid="{00000000-0005-0000-0000-000056020000}"/>
    <cellStyle name="Comma 108" xfId="10649" xr:uid="{00000000-0005-0000-0000-000057020000}"/>
    <cellStyle name="Comma 109" xfId="10652" xr:uid="{00000000-0005-0000-0000-000058020000}"/>
    <cellStyle name="Comma 11" xfId="344" xr:uid="{00000000-0005-0000-0000-000059020000}"/>
    <cellStyle name="Comma 11 2" xfId="345" xr:uid="{00000000-0005-0000-0000-00005A020000}"/>
    <cellStyle name="Comma 11 2 2" xfId="2022" xr:uid="{00000000-0005-0000-0000-00005B020000}"/>
    <cellStyle name="Comma 11 3" xfId="346" xr:uid="{00000000-0005-0000-0000-00005C020000}"/>
    <cellStyle name="Comma 11 4" xfId="1700" xr:uid="{00000000-0005-0000-0000-00005D020000}"/>
    <cellStyle name="Comma 11 5" xfId="2128" xr:uid="{00000000-0005-0000-0000-00005E020000}"/>
    <cellStyle name="Comma 110" xfId="10655" xr:uid="{00000000-0005-0000-0000-00005F020000}"/>
    <cellStyle name="Comma 111" xfId="10658" xr:uid="{00000000-0005-0000-0000-000060020000}"/>
    <cellStyle name="Comma 112" xfId="10661" xr:uid="{00000000-0005-0000-0000-000061020000}"/>
    <cellStyle name="Comma 113" xfId="10664" xr:uid="{00000000-0005-0000-0000-000062020000}"/>
    <cellStyle name="Comma 114" xfId="10667" xr:uid="{00000000-0005-0000-0000-000063020000}"/>
    <cellStyle name="Comma 115" xfId="10670" xr:uid="{00000000-0005-0000-0000-000064020000}"/>
    <cellStyle name="Comma 116" xfId="10673" xr:uid="{00000000-0005-0000-0000-000065020000}"/>
    <cellStyle name="Comma 117" xfId="10676" xr:uid="{00000000-0005-0000-0000-000066020000}"/>
    <cellStyle name="Comma 118" xfId="10679" xr:uid="{00000000-0005-0000-0000-000067020000}"/>
    <cellStyle name="Comma 119" xfId="10682" xr:uid="{00000000-0005-0000-0000-000068020000}"/>
    <cellStyle name="Comma 12" xfId="1584" xr:uid="{00000000-0005-0000-0000-000069020000}"/>
    <cellStyle name="Comma 12 10" xfId="2021" xr:uid="{00000000-0005-0000-0000-00006A020000}"/>
    <cellStyle name="Comma 12 11" xfId="6645" xr:uid="{00000000-0005-0000-0000-00006B020000}"/>
    <cellStyle name="Comma 12 12" xfId="2119" xr:uid="{00000000-0005-0000-0000-00006C020000}"/>
    <cellStyle name="Comma 12 2" xfId="2113" xr:uid="{00000000-0005-0000-0000-00006D020000}"/>
    <cellStyle name="Comma 12 2 2" xfId="2020" xr:uid="{00000000-0005-0000-0000-00006E020000}"/>
    <cellStyle name="Comma 12 2 2 2" xfId="6646" xr:uid="{00000000-0005-0000-0000-00006F020000}"/>
    <cellStyle name="Comma 12 3" xfId="2106" xr:uid="{00000000-0005-0000-0000-000070020000}"/>
    <cellStyle name="Comma 12 3 2" xfId="2019" xr:uid="{00000000-0005-0000-0000-000071020000}"/>
    <cellStyle name="Comma 12 3 2 2" xfId="2098" xr:uid="{00000000-0005-0000-0000-000072020000}"/>
    <cellStyle name="Comma 12 3 2 2 2" xfId="6647" xr:uid="{00000000-0005-0000-0000-000073020000}"/>
    <cellStyle name="Comma 12 3 2 3" xfId="2018" xr:uid="{00000000-0005-0000-0000-000074020000}"/>
    <cellStyle name="Comma 12 3 3" xfId="2091" xr:uid="{00000000-0005-0000-0000-000075020000}"/>
    <cellStyle name="Comma 12 3 3 2" xfId="6648" xr:uid="{00000000-0005-0000-0000-000076020000}"/>
    <cellStyle name="Comma 12 3 4" xfId="2017" xr:uid="{00000000-0005-0000-0000-000077020000}"/>
    <cellStyle name="Comma 12 4" xfId="2258" xr:uid="{00000000-0005-0000-0000-000078020000}"/>
    <cellStyle name="Comma 12 4 2" xfId="2259" xr:uid="{00000000-0005-0000-0000-000079020000}"/>
    <cellStyle name="Comma 12 4 2 2" xfId="6649" xr:uid="{00000000-0005-0000-0000-00007A020000}"/>
    <cellStyle name="Comma 12 4 3" xfId="2260" xr:uid="{00000000-0005-0000-0000-00007B020000}"/>
    <cellStyle name="Comma 12 5" xfId="2261" xr:uid="{00000000-0005-0000-0000-00007C020000}"/>
    <cellStyle name="Comma 12 5 2" xfId="2262" xr:uid="{00000000-0005-0000-0000-00007D020000}"/>
    <cellStyle name="Comma 12 6" xfId="2263" xr:uid="{00000000-0005-0000-0000-00007E020000}"/>
    <cellStyle name="Comma 12 6 2" xfId="6650" xr:uid="{00000000-0005-0000-0000-00007F020000}"/>
    <cellStyle name="Comma 12 7" xfId="2264" xr:uid="{00000000-0005-0000-0000-000080020000}"/>
    <cellStyle name="Comma 12 8" xfId="2265" xr:uid="{00000000-0005-0000-0000-000081020000}"/>
    <cellStyle name="Comma 12 9" xfId="2266" xr:uid="{00000000-0005-0000-0000-000082020000}"/>
    <cellStyle name="Comma 120" xfId="10685" xr:uid="{00000000-0005-0000-0000-000083020000}"/>
    <cellStyle name="Comma 121" xfId="10688" xr:uid="{00000000-0005-0000-0000-000084020000}"/>
    <cellStyle name="Comma 122" xfId="10691" xr:uid="{00000000-0005-0000-0000-000085020000}"/>
    <cellStyle name="Comma 123" xfId="10694" xr:uid="{00000000-0005-0000-0000-000086020000}"/>
    <cellStyle name="Comma 124" xfId="10697" xr:uid="{00000000-0005-0000-0000-000087020000}"/>
    <cellStyle name="Comma 125" xfId="10700" xr:uid="{00000000-0005-0000-0000-000088020000}"/>
    <cellStyle name="Comma 126" xfId="10703" xr:uid="{00000000-0005-0000-0000-000089020000}"/>
    <cellStyle name="Comma 127" xfId="10706" xr:uid="{00000000-0005-0000-0000-00008A020000}"/>
    <cellStyle name="Comma 128" xfId="10709" xr:uid="{00000000-0005-0000-0000-00008B020000}"/>
    <cellStyle name="Comma 129" xfId="10712" xr:uid="{00000000-0005-0000-0000-00008C020000}"/>
    <cellStyle name="Comma 13" xfId="1586" xr:uid="{00000000-0005-0000-0000-00008D020000}"/>
    <cellStyle name="Comma 13 2" xfId="2268" xr:uid="{00000000-0005-0000-0000-00008E020000}"/>
    <cellStyle name="Comma 13 2 2" xfId="2269" xr:uid="{00000000-0005-0000-0000-00008F020000}"/>
    <cellStyle name="Comma 13 2 2 2" xfId="2270" xr:uid="{00000000-0005-0000-0000-000090020000}"/>
    <cellStyle name="Comma 13 2 2 2 2" xfId="6651" xr:uid="{00000000-0005-0000-0000-000091020000}"/>
    <cellStyle name="Comma 13 2 2 3" xfId="6652" xr:uid="{00000000-0005-0000-0000-000092020000}"/>
    <cellStyle name="Comma 13 2 3" xfId="2271" xr:uid="{00000000-0005-0000-0000-000093020000}"/>
    <cellStyle name="Comma 13 2 3 2" xfId="6653" xr:uid="{00000000-0005-0000-0000-000094020000}"/>
    <cellStyle name="Comma 13 2 4" xfId="2272" xr:uid="{00000000-0005-0000-0000-000095020000}"/>
    <cellStyle name="Comma 13 3" xfId="2273" xr:uid="{00000000-0005-0000-0000-000096020000}"/>
    <cellStyle name="Comma 13 3 2" xfId="2274" xr:uid="{00000000-0005-0000-0000-000097020000}"/>
    <cellStyle name="Comma 13 3 2 2" xfId="6654" xr:uid="{00000000-0005-0000-0000-000098020000}"/>
    <cellStyle name="Comma 13 3 3" xfId="2275" xr:uid="{00000000-0005-0000-0000-000099020000}"/>
    <cellStyle name="Comma 13 4" xfId="2276" xr:uid="{00000000-0005-0000-0000-00009A020000}"/>
    <cellStyle name="Comma 13 4 2" xfId="2277" xr:uid="{00000000-0005-0000-0000-00009B020000}"/>
    <cellStyle name="Comma 13 5" xfId="2278" xr:uid="{00000000-0005-0000-0000-00009C020000}"/>
    <cellStyle name="Comma 13 5 2" xfId="6655" xr:uid="{00000000-0005-0000-0000-00009D020000}"/>
    <cellStyle name="Comma 13 6" xfId="2279" xr:uid="{00000000-0005-0000-0000-00009E020000}"/>
    <cellStyle name="Comma 13 7" xfId="2280" xr:uid="{00000000-0005-0000-0000-00009F020000}"/>
    <cellStyle name="Comma 13 8" xfId="2281" xr:uid="{00000000-0005-0000-0000-0000A0020000}"/>
    <cellStyle name="Comma 13 9" xfId="2267" xr:uid="{00000000-0005-0000-0000-0000A1020000}"/>
    <cellStyle name="Comma 130" xfId="10715" xr:uid="{00000000-0005-0000-0000-0000A2020000}"/>
    <cellStyle name="Comma 131" xfId="10718" xr:uid="{00000000-0005-0000-0000-0000A3020000}"/>
    <cellStyle name="Comma 132" xfId="10721" xr:uid="{00000000-0005-0000-0000-0000A4020000}"/>
    <cellStyle name="Comma 133" xfId="10724" xr:uid="{00000000-0005-0000-0000-0000A5020000}"/>
    <cellStyle name="Comma 134" xfId="10727" xr:uid="{00000000-0005-0000-0000-0000A6020000}"/>
    <cellStyle name="Comma 135" xfId="10730" xr:uid="{00000000-0005-0000-0000-0000A7020000}"/>
    <cellStyle name="Comma 136" xfId="10733" xr:uid="{00000000-0005-0000-0000-0000A8020000}"/>
    <cellStyle name="Comma 137" xfId="10736" xr:uid="{00000000-0005-0000-0000-0000A9020000}"/>
    <cellStyle name="Comma 138" xfId="10739" xr:uid="{00000000-0005-0000-0000-0000AA020000}"/>
    <cellStyle name="Comma 139" xfId="10742" xr:uid="{00000000-0005-0000-0000-0000AB020000}"/>
    <cellStyle name="Comma 14" xfId="1588" xr:uid="{00000000-0005-0000-0000-0000AC020000}"/>
    <cellStyle name="Comma 14 2" xfId="2283" xr:uid="{00000000-0005-0000-0000-0000AD020000}"/>
    <cellStyle name="Comma 14 2 2" xfId="2284" xr:uid="{00000000-0005-0000-0000-0000AE020000}"/>
    <cellStyle name="Comma 14 2 2 2" xfId="2285" xr:uid="{00000000-0005-0000-0000-0000AF020000}"/>
    <cellStyle name="Comma 14 2 2 2 2" xfId="6657" xr:uid="{00000000-0005-0000-0000-0000B0020000}"/>
    <cellStyle name="Comma 14 2 2 3" xfId="6658" xr:uid="{00000000-0005-0000-0000-0000B1020000}"/>
    <cellStyle name="Comma 14 2 3" xfId="2286" xr:uid="{00000000-0005-0000-0000-0000B2020000}"/>
    <cellStyle name="Comma 14 2 3 2" xfId="6659" xr:uid="{00000000-0005-0000-0000-0000B3020000}"/>
    <cellStyle name="Comma 14 2 4" xfId="6660" xr:uid="{00000000-0005-0000-0000-0000B4020000}"/>
    <cellStyle name="Comma 14 3" xfId="2287" xr:uid="{00000000-0005-0000-0000-0000B5020000}"/>
    <cellStyle name="Comma 14 3 2" xfId="2288" xr:uid="{00000000-0005-0000-0000-0000B6020000}"/>
    <cellStyle name="Comma 14 3 2 2" xfId="6661" xr:uid="{00000000-0005-0000-0000-0000B7020000}"/>
    <cellStyle name="Comma 14 3 3" xfId="6662" xr:uid="{00000000-0005-0000-0000-0000B8020000}"/>
    <cellStyle name="Comma 14 4" xfId="2289" xr:uid="{00000000-0005-0000-0000-0000B9020000}"/>
    <cellStyle name="Comma 14 4 2" xfId="6663" xr:uid="{00000000-0005-0000-0000-0000BA020000}"/>
    <cellStyle name="Comma 14 5" xfId="6664" xr:uid="{00000000-0005-0000-0000-0000BB020000}"/>
    <cellStyle name="Comma 14 6" xfId="6656" xr:uid="{00000000-0005-0000-0000-0000BC020000}"/>
    <cellStyle name="Comma 14 7" xfId="2282" xr:uid="{00000000-0005-0000-0000-0000BD020000}"/>
    <cellStyle name="Comma 140" xfId="10745" xr:uid="{00000000-0005-0000-0000-0000BE020000}"/>
    <cellStyle name="Comma 141" xfId="10748" xr:uid="{00000000-0005-0000-0000-0000BF020000}"/>
    <cellStyle name="Comma 142" xfId="10751" xr:uid="{00000000-0005-0000-0000-0000C0020000}"/>
    <cellStyle name="Comma 143" xfId="10754" xr:uid="{00000000-0005-0000-0000-0000C1020000}"/>
    <cellStyle name="Comma 144" xfId="10757" xr:uid="{00000000-0005-0000-0000-0000C2020000}"/>
    <cellStyle name="Comma 145" xfId="10760" xr:uid="{00000000-0005-0000-0000-0000C3020000}"/>
    <cellStyle name="Comma 146" xfId="10763" xr:uid="{00000000-0005-0000-0000-0000C4020000}"/>
    <cellStyle name="Comma 147" xfId="10766" xr:uid="{00000000-0005-0000-0000-0000C5020000}"/>
    <cellStyle name="Comma 148" xfId="10769" xr:uid="{00000000-0005-0000-0000-0000C6020000}"/>
    <cellStyle name="Comma 149" xfId="10772" xr:uid="{00000000-0005-0000-0000-0000C7020000}"/>
    <cellStyle name="Comma 15" xfId="1699" xr:uid="{00000000-0005-0000-0000-0000C8020000}"/>
    <cellStyle name="Comma 15 2" xfId="2291" xr:uid="{00000000-0005-0000-0000-0000C9020000}"/>
    <cellStyle name="Comma 15 2 2" xfId="2292" xr:uid="{00000000-0005-0000-0000-0000CA020000}"/>
    <cellStyle name="Comma 15 2 2 2" xfId="2293" xr:uid="{00000000-0005-0000-0000-0000CB020000}"/>
    <cellStyle name="Comma 15 2 2 2 2" xfId="6665" xr:uid="{00000000-0005-0000-0000-0000CC020000}"/>
    <cellStyle name="Comma 15 2 2 3" xfId="6666" xr:uid="{00000000-0005-0000-0000-0000CD020000}"/>
    <cellStyle name="Comma 15 2 3" xfId="2294" xr:uid="{00000000-0005-0000-0000-0000CE020000}"/>
    <cellStyle name="Comma 15 2 3 2" xfId="6667" xr:uid="{00000000-0005-0000-0000-0000CF020000}"/>
    <cellStyle name="Comma 15 2 4" xfId="6668" xr:uid="{00000000-0005-0000-0000-0000D0020000}"/>
    <cellStyle name="Comma 15 3" xfId="2295" xr:uid="{00000000-0005-0000-0000-0000D1020000}"/>
    <cellStyle name="Comma 15 3 2" xfId="2296" xr:uid="{00000000-0005-0000-0000-0000D2020000}"/>
    <cellStyle name="Comma 15 3 2 2" xfId="2297" xr:uid="{00000000-0005-0000-0000-0000D3020000}"/>
    <cellStyle name="Comma 15 3 2 2 2" xfId="2298" xr:uid="{00000000-0005-0000-0000-0000D4020000}"/>
    <cellStyle name="Comma 15 3 3" xfId="6669" xr:uid="{00000000-0005-0000-0000-0000D5020000}"/>
    <cellStyle name="Comma 15 4" xfId="2299" xr:uid="{00000000-0005-0000-0000-0000D6020000}"/>
    <cellStyle name="Comma 15 4 2" xfId="6670" xr:uid="{00000000-0005-0000-0000-0000D7020000}"/>
    <cellStyle name="Comma 15 5" xfId="6671" xr:uid="{00000000-0005-0000-0000-0000D8020000}"/>
    <cellStyle name="Comma 15 6" xfId="2290" xr:uid="{00000000-0005-0000-0000-0000D9020000}"/>
    <cellStyle name="Comma 150" xfId="10775" xr:uid="{00000000-0005-0000-0000-0000DA020000}"/>
    <cellStyle name="Comma 151" xfId="10778" xr:uid="{00000000-0005-0000-0000-0000DB020000}"/>
    <cellStyle name="Comma 152" xfId="10781" xr:uid="{00000000-0005-0000-0000-0000DC020000}"/>
    <cellStyle name="Comma 153" xfId="10784" xr:uid="{00000000-0005-0000-0000-0000DD020000}"/>
    <cellStyle name="Comma 154" xfId="10787" xr:uid="{00000000-0005-0000-0000-0000DE020000}"/>
    <cellStyle name="Comma 155" xfId="10790" xr:uid="{00000000-0005-0000-0000-0000DF020000}"/>
    <cellStyle name="Comma 156" xfId="10793" xr:uid="{00000000-0005-0000-0000-0000E0020000}"/>
    <cellStyle name="Comma 157" xfId="10796" xr:uid="{00000000-0005-0000-0000-0000E1020000}"/>
    <cellStyle name="Comma 158" xfId="10799" xr:uid="{00000000-0005-0000-0000-0000E2020000}"/>
    <cellStyle name="Comma 159" xfId="10802" xr:uid="{00000000-0005-0000-0000-0000E3020000}"/>
    <cellStyle name="Comma 16" xfId="1737" xr:uid="{00000000-0005-0000-0000-0000E4020000}"/>
    <cellStyle name="Comma 16 2" xfId="2300" xr:uid="{00000000-0005-0000-0000-0000E5020000}"/>
    <cellStyle name="Comma 16 2 2" xfId="6672" xr:uid="{00000000-0005-0000-0000-0000E6020000}"/>
    <cellStyle name="Comma 160" xfId="10805" xr:uid="{00000000-0005-0000-0000-0000E7020000}"/>
    <cellStyle name="Comma 161" xfId="10808" xr:uid="{00000000-0005-0000-0000-0000E8020000}"/>
    <cellStyle name="Comma 162" xfId="10811" xr:uid="{00000000-0005-0000-0000-0000E9020000}"/>
    <cellStyle name="Comma 163" xfId="10814" xr:uid="{00000000-0005-0000-0000-0000EA020000}"/>
    <cellStyle name="Comma 164" xfId="10817" xr:uid="{00000000-0005-0000-0000-0000EB020000}"/>
    <cellStyle name="Comma 165" xfId="10820" xr:uid="{00000000-0005-0000-0000-0000EC020000}"/>
    <cellStyle name="Comma 166" xfId="10823" xr:uid="{00000000-0005-0000-0000-0000ED020000}"/>
    <cellStyle name="Comma 167" xfId="10826" xr:uid="{00000000-0005-0000-0000-0000EE020000}"/>
    <cellStyle name="Comma 168" xfId="10829" xr:uid="{00000000-0005-0000-0000-0000EF020000}"/>
    <cellStyle name="Comma 169" xfId="10832" xr:uid="{00000000-0005-0000-0000-0000F0020000}"/>
    <cellStyle name="Comma 17" xfId="1671" xr:uid="{00000000-0005-0000-0000-0000F1020000}"/>
    <cellStyle name="Comma 17 2" xfId="2302" xr:uid="{00000000-0005-0000-0000-0000F2020000}"/>
    <cellStyle name="Comma 17 2 2" xfId="2303" xr:uid="{00000000-0005-0000-0000-0000F3020000}"/>
    <cellStyle name="Comma 17 2 3" xfId="2304" xr:uid="{00000000-0005-0000-0000-0000F4020000}"/>
    <cellStyle name="Comma 17 3" xfId="2305" xr:uid="{00000000-0005-0000-0000-0000F5020000}"/>
    <cellStyle name="Comma 17 4" xfId="2301" xr:uid="{00000000-0005-0000-0000-0000F6020000}"/>
    <cellStyle name="Comma 170" xfId="10835" xr:uid="{00000000-0005-0000-0000-0000F7020000}"/>
    <cellStyle name="Comma 171" xfId="10838" xr:uid="{00000000-0005-0000-0000-0000F8020000}"/>
    <cellStyle name="Comma 172" xfId="10841" xr:uid="{00000000-0005-0000-0000-0000F9020000}"/>
    <cellStyle name="Comma 173" xfId="10844" xr:uid="{00000000-0005-0000-0000-0000FA020000}"/>
    <cellStyle name="Comma 174" xfId="10847" xr:uid="{00000000-0005-0000-0000-0000FB020000}"/>
    <cellStyle name="Comma 175" xfId="10850" xr:uid="{00000000-0005-0000-0000-0000FC020000}"/>
    <cellStyle name="Comma 176" xfId="10853" xr:uid="{00000000-0005-0000-0000-0000FD020000}"/>
    <cellStyle name="Comma 177" xfId="10856" xr:uid="{00000000-0005-0000-0000-0000FE020000}"/>
    <cellStyle name="Comma 178" xfId="10859" xr:uid="{00000000-0005-0000-0000-0000FF020000}"/>
    <cellStyle name="Comma 179" xfId="10862" xr:uid="{00000000-0005-0000-0000-000000030000}"/>
    <cellStyle name="Comma 18" xfId="1697" xr:uid="{00000000-0005-0000-0000-000001030000}"/>
    <cellStyle name="Comma 18 2" xfId="2307" xr:uid="{00000000-0005-0000-0000-000002030000}"/>
    <cellStyle name="Comma 18 2 2" xfId="2308" xr:uid="{00000000-0005-0000-0000-000003030000}"/>
    <cellStyle name="Comma 18 2 3" xfId="6673" xr:uid="{00000000-0005-0000-0000-000004030000}"/>
    <cellStyle name="Comma 18 3" xfId="2309" xr:uid="{00000000-0005-0000-0000-000005030000}"/>
    <cellStyle name="Comma 18 4" xfId="2310" xr:uid="{00000000-0005-0000-0000-000006030000}"/>
    <cellStyle name="Comma 18 5" xfId="2306" xr:uid="{00000000-0005-0000-0000-000007030000}"/>
    <cellStyle name="Comma 180" xfId="10865" xr:uid="{00000000-0005-0000-0000-000008030000}"/>
    <cellStyle name="Comma 181" xfId="10868" xr:uid="{00000000-0005-0000-0000-000009030000}"/>
    <cellStyle name="Comma 182" xfId="10871" xr:uid="{00000000-0005-0000-0000-00000A030000}"/>
    <cellStyle name="Comma 183" xfId="10874" xr:uid="{00000000-0005-0000-0000-00000B030000}"/>
    <cellStyle name="Comma 184" xfId="10877" xr:uid="{00000000-0005-0000-0000-00000C030000}"/>
    <cellStyle name="Comma 185" xfId="10880" xr:uid="{00000000-0005-0000-0000-00000D030000}"/>
    <cellStyle name="Comma 186" xfId="10949" xr:uid="{00000000-0005-0000-0000-00000E030000}"/>
    <cellStyle name="Comma 187" xfId="10952" xr:uid="{00000000-0005-0000-0000-00000F030000}"/>
    <cellStyle name="Comma 188" xfId="10955" xr:uid="{00000000-0005-0000-0000-000010030000}"/>
    <cellStyle name="Comma 189" xfId="10958" xr:uid="{00000000-0005-0000-0000-000011030000}"/>
    <cellStyle name="Comma 19" xfId="1740" xr:uid="{00000000-0005-0000-0000-000012030000}"/>
    <cellStyle name="Comma 19 2" xfId="2312" xr:uid="{00000000-0005-0000-0000-000013030000}"/>
    <cellStyle name="Comma 19 3" xfId="2311" xr:uid="{00000000-0005-0000-0000-000014030000}"/>
    <cellStyle name="Comma 190" xfId="10961" xr:uid="{00000000-0005-0000-0000-000015030000}"/>
    <cellStyle name="Comma 191" xfId="10964" xr:uid="{00000000-0005-0000-0000-000016030000}"/>
    <cellStyle name="Comma 192" xfId="10967" xr:uid="{00000000-0005-0000-0000-000017030000}"/>
    <cellStyle name="Comma 193" xfId="10970" xr:uid="{00000000-0005-0000-0000-000018030000}"/>
    <cellStyle name="Comma 194" xfId="10973" xr:uid="{00000000-0005-0000-0000-000019030000}"/>
    <cellStyle name="Comma 195" xfId="10976" xr:uid="{00000000-0005-0000-0000-00001A030000}"/>
    <cellStyle name="Comma 196" xfId="10979" xr:uid="{00000000-0005-0000-0000-00001B030000}"/>
    <cellStyle name="Comma 197" xfId="10982" xr:uid="{00000000-0005-0000-0000-00001C030000}"/>
    <cellStyle name="Comma 198" xfId="10985" xr:uid="{00000000-0005-0000-0000-00001D030000}"/>
    <cellStyle name="Comma 199" xfId="10988" xr:uid="{00000000-0005-0000-0000-00001E030000}"/>
    <cellStyle name="Comma 2" xfId="14" xr:uid="{00000000-0005-0000-0000-00001F030000}"/>
    <cellStyle name="Comma 2 2" xfId="29" xr:uid="{00000000-0005-0000-0000-000020030000}"/>
    <cellStyle name="Comma 2 2 2" xfId="81" xr:uid="{00000000-0005-0000-0000-000021030000}"/>
    <cellStyle name="Comma 2 2 2 2" xfId="149" xr:uid="{00000000-0005-0000-0000-000022030000}"/>
    <cellStyle name="Comma 2 2 2 2 2" xfId="150" xr:uid="{00000000-0005-0000-0000-000023030000}"/>
    <cellStyle name="Comma 2 2 2 2 3" xfId="2316" xr:uid="{00000000-0005-0000-0000-000024030000}"/>
    <cellStyle name="Comma 2 2 2 3" xfId="151" xr:uid="{00000000-0005-0000-0000-000025030000}"/>
    <cellStyle name="Comma 2 2 2 3 2" xfId="2317" xr:uid="{00000000-0005-0000-0000-000026030000}"/>
    <cellStyle name="Comma 2 2 2 4" xfId="10897" xr:uid="{00000000-0005-0000-0000-000027030000}"/>
    <cellStyle name="Comma 2 2 2 5" xfId="2315" xr:uid="{00000000-0005-0000-0000-000028030000}"/>
    <cellStyle name="Comma 2 2 3" xfId="152" xr:uid="{00000000-0005-0000-0000-000029030000}"/>
    <cellStyle name="Comma 2 2 3 2" xfId="153" xr:uid="{00000000-0005-0000-0000-00002A030000}"/>
    <cellStyle name="Comma 2 2 3 3" xfId="2318" xr:uid="{00000000-0005-0000-0000-00002B030000}"/>
    <cellStyle name="Comma 2 2 4" xfId="154" xr:uid="{00000000-0005-0000-0000-00002C030000}"/>
    <cellStyle name="Comma 2 2 4 2" xfId="2319" xr:uid="{00000000-0005-0000-0000-00002D030000}"/>
    <cellStyle name="Comma 2 2 5" xfId="347" xr:uid="{00000000-0005-0000-0000-00002E030000}"/>
    <cellStyle name="Comma 2 2 6" xfId="1673" xr:uid="{00000000-0005-0000-0000-00002F030000}"/>
    <cellStyle name="Comma 2 2 7" xfId="2314" xr:uid="{00000000-0005-0000-0000-000030030000}"/>
    <cellStyle name="Comma 2 3" xfId="86" xr:uid="{00000000-0005-0000-0000-000031030000}"/>
    <cellStyle name="Comma 2 3 2" xfId="155" xr:uid="{00000000-0005-0000-0000-000032030000}"/>
    <cellStyle name="Comma 2 3 2 2" xfId="6674" xr:uid="{00000000-0005-0000-0000-000033030000}"/>
    <cellStyle name="Comma 2 3 2 3" xfId="2321" xr:uid="{00000000-0005-0000-0000-000034030000}"/>
    <cellStyle name="Comma 2 3 3" xfId="2322" xr:uid="{00000000-0005-0000-0000-000035030000}"/>
    <cellStyle name="Comma 2 3 4" xfId="2320" xr:uid="{00000000-0005-0000-0000-000036030000}"/>
    <cellStyle name="Comma 2 4" xfId="156" xr:uid="{00000000-0005-0000-0000-000037030000}"/>
    <cellStyle name="Comma 2 4 2" xfId="2324" xr:uid="{00000000-0005-0000-0000-000038030000}"/>
    <cellStyle name="Comma 2 4 3" xfId="6675" xr:uid="{00000000-0005-0000-0000-000039030000}"/>
    <cellStyle name="Comma 2 4 4" xfId="2323" xr:uid="{00000000-0005-0000-0000-00003A030000}"/>
    <cellStyle name="Comma 2 5" xfId="1672" xr:uid="{00000000-0005-0000-0000-00003B030000}"/>
    <cellStyle name="Comma 2 5 2" xfId="2325" xr:uid="{00000000-0005-0000-0000-00003C030000}"/>
    <cellStyle name="Comma 2 6" xfId="2313" xr:uid="{00000000-0005-0000-0000-00003D030000}"/>
    <cellStyle name="Comma 2 7" xfId="6629" xr:uid="{00000000-0005-0000-0000-00003E030000}"/>
    <cellStyle name="Comma 2 8" xfId="10895" xr:uid="{00000000-0005-0000-0000-00003F030000}"/>
    <cellStyle name="Comma 2 9" xfId="2080" xr:uid="{00000000-0005-0000-0000-000040030000}"/>
    <cellStyle name="Comma 20" xfId="2326" xr:uid="{00000000-0005-0000-0000-000041030000}"/>
    <cellStyle name="Comma 20 2" xfId="6676" xr:uid="{00000000-0005-0000-0000-000042030000}"/>
    <cellStyle name="Comma 200" xfId="10991" xr:uid="{00000000-0005-0000-0000-000043030000}"/>
    <cellStyle name="Comma 201" xfId="10994" xr:uid="{00000000-0005-0000-0000-000044030000}"/>
    <cellStyle name="Comma 202" xfId="10997" xr:uid="{00000000-0005-0000-0000-000045030000}"/>
    <cellStyle name="Comma 203" xfId="11000" xr:uid="{00000000-0005-0000-0000-000046030000}"/>
    <cellStyle name="Comma 204" xfId="11003" xr:uid="{00000000-0005-0000-0000-000047030000}"/>
    <cellStyle name="Comma 205" xfId="11006" xr:uid="{00000000-0005-0000-0000-000048030000}"/>
    <cellStyle name="Comma 206" xfId="11009" xr:uid="{00000000-0005-0000-0000-000049030000}"/>
    <cellStyle name="Comma 207" xfId="11012" xr:uid="{00000000-0005-0000-0000-00004A030000}"/>
    <cellStyle name="Comma 208" xfId="11015" xr:uid="{00000000-0005-0000-0000-00004B030000}"/>
    <cellStyle name="Comma 209" xfId="11018" xr:uid="{00000000-0005-0000-0000-00004C030000}"/>
    <cellStyle name="Comma 21" xfId="2327" xr:uid="{00000000-0005-0000-0000-00004D030000}"/>
    <cellStyle name="Comma 21 2" xfId="6677" xr:uid="{00000000-0005-0000-0000-00004E030000}"/>
    <cellStyle name="Comma 210" xfId="11021" xr:uid="{00000000-0005-0000-0000-00004F030000}"/>
    <cellStyle name="Comma 211" xfId="11024" xr:uid="{00000000-0005-0000-0000-000050030000}"/>
    <cellStyle name="Comma 212" xfId="11027" xr:uid="{00000000-0005-0000-0000-000051030000}"/>
    <cellStyle name="Comma 213" xfId="11030" xr:uid="{00000000-0005-0000-0000-000052030000}"/>
    <cellStyle name="Comma 214" xfId="11033" xr:uid="{00000000-0005-0000-0000-000053030000}"/>
    <cellStyle name="Comma 215" xfId="11036" xr:uid="{00000000-0005-0000-0000-000054030000}"/>
    <cellStyle name="Comma 216" xfId="11039" xr:uid="{00000000-0005-0000-0000-000055030000}"/>
    <cellStyle name="Comma 217" xfId="11042" xr:uid="{00000000-0005-0000-0000-000056030000}"/>
    <cellStyle name="Comma 218" xfId="11045" xr:uid="{00000000-0005-0000-0000-000057030000}"/>
    <cellStyle name="Comma 219" xfId="11048" xr:uid="{00000000-0005-0000-0000-000058030000}"/>
    <cellStyle name="Comma 22" xfId="2328" xr:uid="{00000000-0005-0000-0000-000059030000}"/>
    <cellStyle name="Comma 22 2" xfId="6678" xr:uid="{00000000-0005-0000-0000-00005A030000}"/>
    <cellStyle name="Comma 220" xfId="11051" xr:uid="{00000000-0005-0000-0000-00005B030000}"/>
    <cellStyle name="Comma 221" xfId="11054" xr:uid="{00000000-0005-0000-0000-00005C030000}"/>
    <cellStyle name="Comma 222" xfId="11056" xr:uid="{00000000-0005-0000-0000-00005D030000}"/>
    <cellStyle name="Comma 223" xfId="1787" xr:uid="{00000000-0005-0000-0000-00005E030000}"/>
    <cellStyle name="Comma 224" xfId="10943" xr:uid="{00000000-0005-0000-0000-00005F030000}"/>
    <cellStyle name="Comma 225" xfId="11085" xr:uid="{00000000-0005-0000-0000-000060030000}"/>
    <cellStyle name="Comma 23" xfId="2329" xr:uid="{00000000-0005-0000-0000-000061030000}"/>
    <cellStyle name="Comma 23 2" xfId="6626" xr:uid="{00000000-0005-0000-0000-000062030000}"/>
    <cellStyle name="Comma 24" xfId="2330" xr:uid="{00000000-0005-0000-0000-000063030000}"/>
    <cellStyle name="Comma 24 2" xfId="10404" xr:uid="{00000000-0005-0000-0000-000064030000}"/>
    <cellStyle name="Comma 25" xfId="2331" xr:uid="{00000000-0005-0000-0000-000065030000}"/>
    <cellStyle name="Comma 25 2" xfId="2332" xr:uid="{00000000-0005-0000-0000-000066030000}"/>
    <cellStyle name="Comma 25 3" xfId="6622" xr:uid="{00000000-0005-0000-0000-000067030000}"/>
    <cellStyle name="Comma 26" xfId="2333" xr:uid="{00000000-0005-0000-0000-000068030000}"/>
    <cellStyle name="Comma 27" xfId="2334" xr:uid="{00000000-0005-0000-0000-000069030000}"/>
    <cellStyle name="Comma 28" xfId="2335" xr:uid="{00000000-0005-0000-0000-00006A030000}"/>
    <cellStyle name="Comma 29" xfId="2336" xr:uid="{00000000-0005-0000-0000-00006B030000}"/>
    <cellStyle name="Comma 3" xfId="27" xr:uid="{00000000-0005-0000-0000-00006C030000}"/>
    <cellStyle name="Comma 3 2" xfId="83" xr:uid="{00000000-0005-0000-0000-00006D030000}"/>
    <cellStyle name="Comma 3 2 2" xfId="157" xr:uid="{00000000-0005-0000-0000-00006E030000}"/>
    <cellStyle name="Comma 3 2 2 2" xfId="158" xr:uid="{00000000-0005-0000-0000-00006F030000}"/>
    <cellStyle name="Comma 3 2 2 3" xfId="2339" xr:uid="{00000000-0005-0000-0000-000070030000}"/>
    <cellStyle name="Comma 3 2 3" xfId="159" xr:uid="{00000000-0005-0000-0000-000071030000}"/>
    <cellStyle name="Comma 3 2 3 2" xfId="6680" xr:uid="{00000000-0005-0000-0000-000072030000}"/>
    <cellStyle name="Comma 3 2 4" xfId="6679" xr:uid="{00000000-0005-0000-0000-000073030000}"/>
    <cellStyle name="Comma 3 2 5" xfId="2338" xr:uid="{00000000-0005-0000-0000-000074030000}"/>
    <cellStyle name="Comma 3 3" xfId="160" xr:uid="{00000000-0005-0000-0000-000075030000}"/>
    <cellStyle name="Comma 3 3 2" xfId="6681" xr:uid="{00000000-0005-0000-0000-000076030000}"/>
    <cellStyle name="Comma 3 3 3" xfId="2340" xr:uid="{00000000-0005-0000-0000-000077030000}"/>
    <cellStyle name="Comma 3 4" xfId="2341" xr:uid="{00000000-0005-0000-0000-000078030000}"/>
    <cellStyle name="Comma 3 5" xfId="2342" xr:uid="{00000000-0005-0000-0000-000079030000}"/>
    <cellStyle name="Comma 3 6" xfId="2343" xr:uid="{00000000-0005-0000-0000-00007A030000}"/>
    <cellStyle name="Comma 3 7" xfId="2337" xr:uid="{00000000-0005-0000-0000-00007B030000}"/>
    <cellStyle name="Comma 3 8" xfId="6631" xr:uid="{00000000-0005-0000-0000-00007C030000}"/>
    <cellStyle name="Comma 3 9" xfId="2109" xr:uid="{00000000-0005-0000-0000-00007D030000}"/>
    <cellStyle name="Comma 30" xfId="2078" xr:uid="{00000000-0005-0000-0000-00007E030000}"/>
    <cellStyle name="Comma 31" xfId="10418" xr:uid="{00000000-0005-0000-0000-00007F030000}"/>
    <cellStyle name="Comma 32" xfId="10421" xr:uid="{00000000-0005-0000-0000-000080030000}"/>
    <cellStyle name="Comma 33" xfId="10424" xr:uid="{00000000-0005-0000-0000-000081030000}"/>
    <cellStyle name="Comma 34" xfId="10427" xr:uid="{00000000-0005-0000-0000-000082030000}"/>
    <cellStyle name="Comma 35" xfId="10430" xr:uid="{00000000-0005-0000-0000-000083030000}"/>
    <cellStyle name="Comma 36" xfId="10433" xr:uid="{00000000-0005-0000-0000-000084030000}"/>
    <cellStyle name="Comma 37" xfId="10436" xr:uid="{00000000-0005-0000-0000-000085030000}"/>
    <cellStyle name="Comma 38" xfId="10439" xr:uid="{00000000-0005-0000-0000-000086030000}"/>
    <cellStyle name="Comma 39" xfId="10442" xr:uid="{00000000-0005-0000-0000-000087030000}"/>
    <cellStyle name="Comma 4" xfId="161" xr:uid="{00000000-0005-0000-0000-000088030000}"/>
    <cellStyle name="Comma 4 2" xfId="162" xr:uid="{00000000-0005-0000-0000-000089030000}"/>
    <cellStyle name="Comma 4 2 2" xfId="6682" xr:uid="{00000000-0005-0000-0000-00008A030000}"/>
    <cellStyle name="Comma 4 2 3" xfId="2345" xr:uid="{00000000-0005-0000-0000-00008B030000}"/>
    <cellStyle name="Comma 4 3" xfId="2346" xr:uid="{00000000-0005-0000-0000-00008C030000}"/>
    <cellStyle name="Comma 4 3 2" xfId="6683" xr:uid="{00000000-0005-0000-0000-00008D030000}"/>
    <cellStyle name="Comma 4 4" xfId="2347" xr:uid="{00000000-0005-0000-0000-00008E030000}"/>
    <cellStyle name="Comma 4 5" xfId="2348" xr:uid="{00000000-0005-0000-0000-00008F030000}"/>
    <cellStyle name="Comma 4 6" xfId="2344" xr:uid="{00000000-0005-0000-0000-000090030000}"/>
    <cellStyle name="Comma 4 7" xfId="6627" xr:uid="{00000000-0005-0000-0000-000091030000}"/>
    <cellStyle name="Comma 4 8" xfId="2016" xr:uid="{00000000-0005-0000-0000-000092030000}"/>
    <cellStyle name="Comma 40" xfId="10445" xr:uid="{00000000-0005-0000-0000-000093030000}"/>
    <cellStyle name="Comma 41" xfId="10448" xr:uid="{00000000-0005-0000-0000-000094030000}"/>
    <cellStyle name="Comma 42" xfId="10451" xr:uid="{00000000-0005-0000-0000-000095030000}"/>
    <cellStyle name="Comma 43" xfId="10454" xr:uid="{00000000-0005-0000-0000-000096030000}"/>
    <cellStyle name="Comma 44" xfId="10457" xr:uid="{00000000-0005-0000-0000-000097030000}"/>
    <cellStyle name="Comma 45" xfId="10460" xr:uid="{00000000-0005-0000-0000-000098030000}"/>
    <cellStyle name="Comma 46" xfId="10463" xr:uid="{00000000-0005-0000-0000-000099030000}"/>
    <cellStyle name="Comma 47" xfId="10466" xr:uid="{00000000-0005-0000-0000-00009A030000}"/>
    <cellStyle name="Comma 48" xfId="10469" xr:uid="{00000000-0005-0000-0000-00009B030000}"/>
    <cellStyle name="Comma 49" xfId="10472" xr:uid="{00000000-0005-0000-0000-00009C030000}"/>
    <cellStyle name="Comma 5" xfId="163" xr:uid="{00000000-0005-0000-0000-00009D030000}"/>
    <cellStyle name="Comma 5 2" xfId="164" xr:uid="{00000000-0005-0000-0000-00009E030000}"/>
    <cellStyle name="Comma 5 2 2" xfId="165" xr:uid="{00000000-0005-0000-0000-00009F030000}"/>
    <cellStyle name="Comma 5 2 3" xfId="2351" xr:uid="{00000000-0005-0000-0000-0000A0030000}"/>
    <cellStyle name="Comma 5 2 4" xfId="6684" xr:uid="{00000000-0005-0000-0000-0000A1030000}"/>
    <cellStyle name="Comma 5 2 5" xfId="2350" xr:uid="{00000000-0005-0000-0000-0000A2030000}"/>
    <cellStyle name="Comma 5 3" xfId="166" xr:uid="{00000000-0005-0000-0000-0000A3030000}"/>
    <cellStyle name="Comma 5 3 2" xfId="2353" xr:uid="{00000000-0005-0000-0000-0000A4030000}"/>
    <cellStyle name="Comma 5 3 3" xfId="2352" xr:uid="{00000000-0005-0000-0000-0000A5030000}"/>
    <cellStyle name="Comma 5 4" xfId="348" xr:uid="{00000000-0005-0000-0000-0000A6030000}"/>
    <cellStyle name="Comma 5 4 2" xfId="2354" xr:uid="{00000000-0005-0000-0000-0000A7030000}"/>
    <cellStyle name="Comma 5 5" xfId="1701" xr:uid="{00000000-0005-0000-0000-0000A8030000}"/>
    <cellStyle name="Comma 5 5 2" xfId="2355" xr:uid="{00000000-0005-0000-0000-0000A9030000}"/>
    <cellStyle name="Comma 5 6" xfId="1674" xr:uid="{00000000-0005-0000-0000-0000AA030000}"/>
    <cellStyle name="Comma 5 7" xfId="6620" xr:uid="{00000000-0005-0000-0000-0000AB030000}"/>
    <cellStyle name="Comma 5 8" xfId="2349" xr:uid="{00000000-0005-0000-0000-0000AC030000}"/>
    <cellStyle name="Comma 50" xfId="10475" xr:uid="{00000000-0005-0000-0000-0000AD030000}"/>
    <cellStyle name="Comma 51" xfId="10478" xr:uid="{00000000-0005-0000-0000-0000AE030000}"/>
    <cellStyle name="Comma 52" xfId="10481" xr:uid="{00000000-0005-0000-0000-0000AF030000}"/>
    <cellStyle name="Comma 53" xfId="10484" xr:uid="{00000000-0005-0000-0000-0000B0030000}"/>
    <cellStyle name="Comma 54" xfId="10487" xr:uid="{00000000-0005-0000-0000-0000B1030000}"/>
    <cellStyle name="Comma 55" xfId="10490" xr:uid="{00000000-0005-0000-0000-0000B2030000}"/>
    <cellStyle name="Comma 56" xfId="10493" xr:uid="{00000000-0005-0000-0000-0000B3030000}"/>
    <cellStyle name="Comma 57" xfId="10496" xr:uid="{00000000-0005-0000-0000-0000B4030000}"/>
    <cellStyle name="Comma 58" xfId="10499" xr:uid="{00000000-0005-0000-0000-0000B5030000}"/>
    <cellStyle name="Comma 59" xfId="10502" xr:uid="{00000000-0005-0000-0000-0000B6030000}"/>
    <cellStyle name="Comma 6" xfId="167" xr:uid="{00000000-0005-0000-0000-0000B7030000}"/>
    <cellStyle name="Comma 6 2" xfId="1702" xr:uid="{00000000-0005-0000-0000-0000B8030000}"/>
    <cellStyle name="Comma 6 2 2" xfId="2357" xr:uid="{00000000-0005-0000-0000-0000B9030000}"/>
    <cellStyle name="Comma 6 2 3" xfId="2356" xr:uid="{00000000-0005-0000-0000-0000BA030000}"/>
    <cellStyle name="Comma 6 3" xfId="2358" xr:uid="{00000000-0005-0000-0000-0000BB030000}"/>
    <cellStyle name="Comma 6 4" xfId="2359" xr:uid="{00000000-0005-0000-0000-0000BC030000}"/>
    <cellStyle name="Comma 60" xfId="10505" xr:uid="{00000000-0005-0000-0000-0000BD030000}"/>
    <cellStyle name="Comma 61" xfId="10508" xr:uid="{00000000-0005-0000-0000-0000BE030000}"/>
    <cellStyle name="Comma 62" xfId="10511" xr:uid="{00000000-0005-0000-0000-0000BF030000}"/>
    <cellStyle name="Comma 63" xfId="10514" xr:uid="{00000000-0005-0000-0000-0000C0030000}"/>
    <cellStyle name="Comma 64" xfId="10517" xr:uid="{00000000-0005-0000-0000-0000C1030000}"/>
    <cellStyle name="Comma 65" xfId="10520" xr:uid="{00000000-0005-0000-0000-0000C2030000}"/>
    <cellStyle name="Comma 66" xfId="10523" xr:uid="{00000000-0005-0000-0000-0000C3030000}"/>
    <cellStyle name="Comma 67" xfId="10526" xr:uid="{00000000-0005-0000-0000-0000C4030000}"/>
    <cellStyle name="Comma 68" xfId="10529" xr:uid="{00000000-0005-0000-0000-0000C5030000}"/>
    <cellStyle name="Comma 69" xfId="10532" xr:uid="{00000000-0005-0000-0000-0000C6030000}"/>
    <cellStyle name="Comma 7" xfId="23" xr:uid="{00000000-0005-0000-0000-0000C7030000}"/>
    <cellStyle name="Comma 7 10" xfId="2361" xr:uid="{00000000-0005-0000-0000-0000C8030000}"/>
    <cellStyle name="Comma 7 11" xfId="2362" xr:uid="{00000000-0005-0000-0000-0000C9030000}"/>
    <cellStyle name="Comma 7 12" xfId="2363" xr:uid="{00000000-0005-0000-0000-0000CA030000}"/>
    <cellStyle name="Comma 7 13" xfId="2364" xr:uid="{00000000-0005-0000-0000-0000CB030000}"/>
    <cellStyle name="Comma 7 14" xfId="2365" xr:uid="{00000000-0005-0000-0000-0000CC030000}"/>
    <cellStyle name="Comma 7 15" xfId="2366" xr:uid="{00000000-0005-0000-0000-0000CD030000}"/>
    <cellStyle name="Comma 7 16" xfId="2367" xr:uid="{00000000-0005-0000-0000-0000CE030000}"/>
    <cellStyle name="Comma 7 17" xfId="2368" xr:uid="{00000000-0005-0000-0000-0000CF030000}"/>
    <cellStyle name="Comma 7 18" xfId="2360" xr:uid="{00000000-0005-0000-0000-0000D0030000}"/>
    <cellStyle name="Comma 7 2" xfId="1703" xr:uid="{00000000-0005-0000-0000-0000D1030000}"/>
    <cellStyle name="Comma 7 2 2" xfId="2370" xr:uid="{00000000-0005-0000-0000-0000D2030000}"/>
    <cellStyle name="Comma 7 2 2 2" xfId="2371" xr:uid="{00000000-0005-0000-0000-0000D3030000}"/>
    <cellStyle name="Comma 7 2 3" xfId="2372" xr:uid="{00000000-0005-0000-0000-0000D4030000}"/>
    <cellStyle name="Comma 7 2 4" xfId="2373" xr:uid="{00000000-0005-0000-0000-0000D5030000}"/>
    <cellStyle name="Comma 7 2 5" xfId="2369" xr:uid="{00000000-0005-0000-0000-0000D6030000}"/>
    <cellStyle name="Comma 7 3" xfId="2374" xr:uid="{00000000-0005-0000-0000-0000D7030000}"/>
    <cellStyle name="Comma 7 3 2" xfId="2375" xr:uid="{00000000-0005-0000-0000-0000D8030000}"/>
    <cellStyle name="Comma 7 3 3" xfId="2376" xr:uid="{00000000-0005-0000-0000-0000D9030000}"/>
    <cellStyle name="Comma 7 4" xfId="2377" xr:uid="{00000000-0005-0000-0000-0000DA030000}"/>
    <cellStyle name="Comma 7 5" xfId="2378" xr:uid="{00000000-0005-0000-0000-0000DB030000}"/>
    <cellStyle name="Comma 7 6" xfId="2379" xr:uid="{00000000-0005-0000-0000-0000DC030000}"/>
    <cellStyle name="Comma 7 7" xfId="2380" xr:uid="{00000000-0005-0000-0000-0000DD030000}"/>
    <cellStyle name="Comma 7 8" xfId="2381" xr:uid="{00000000-0005-0000-0000-0000DE030000}"/>
    <cellStyle name="Comma 7 9" xfId="2382" xr:uid="{00000000-0005-0000-0000-0000DF030000}"/>
    <cellStyle name="Comma 70" xfId="10535" xr:uid="{00000000-0005-0000-0000-0000E0030000}"/>
    <cellStyle name="Comma 71" xfId="10538" xr:uid="{00000000-0005-0000-0000-0000E1030000}"/>
    <cellStyle name="Comma 72" xfId="10541" xr:uid="{00000000-0005-0000-0000-0000E2030000}"/>
    <cellStyle name="Comma 73" xfId="10544" xr:uid="{00000000-0005-0000-0000-0000E3030000}"/>
    <cellStyle name="Comma 74" xfId="10547" xr:uid="{00000000-0005-0000-0000-0000E4030000}"/>
    <cellStyle name="Comma 75" xfId="10550" xr:uid="{00000000-0005-0000-0000-0000E5030000}"/>
    <cellStyle name="Comma 76" xfId="10553" xr:uid="{00000000-0005-0000-0000-0000E6030000}"/>
    <cellStyle name="Comma 77" xfId="10556" xr:uid="{00000000-0005-0000-0000-0000E7030000}"/>
    <cellStyle name="Comma 78" xfId="10559" xr:uid="{00000000-0005-0000-0000-0000E8030000}"/>
    <cellStyle name="Comma 79" xfId="10562" xr:uid="{00000000-0005-0000-0000-0000E9030000}"/>
    <cellStyle name="Comma 8" xfId="349" xr:uid="{00000000-0005-0000-0000-0000EA030000}"/>
    <cellStyle name="Comma 8 2" xfId="1704" xr:uid="{00000000-0005-0000-0000-0000EB030000}"/>
    <cellStyle name="Comma 8 2 2" xfId="2385" xr:uid="{00000000-0005-0000-0000-0000EC030000}"/>
    <cellStyle name="Comma 8 2 3" xfId="2384" xr:uid="{00000000-0005-0000-0000-0000ED030000}"/>
    <cellStyle name="Comma 8 3" xfId="2386" xr:uid="{00000000-0005-0000-0000-0000EE030000}"/>
    <cellStyle name="Comma 8 3 2" xfId="2387" xr:uid="{00000000-0005-0000-0000-0000EF030000}"/>
    <cellStyle name="Comma 8 3 2 2" xfId="2388" xr:uid="{00000000-0005-0000-0000-0000F0030000}"/>
    <cellStyle name="Comma 8 3 2 3" xfId="2389" xr:uid="{00000000-0005-0000-0000-0000F1030000}"/>
    <cellStyle name="Comma 8 3 3" xfId="2390" xr:uid="{00000000-0005-0000-0000-0000F2030000}"/>
    <cellStyle name="Comma 8 4" xfId="2391" xr:uid="{00000000-0005-0000-0000-0000F3030000}"/>
    <cellStyle name="Comma 8 4 2" xfId="2392" xr:uid="{00000000-0005-0000-0000-0000F4030000}"/>
    <cellStyle name="Comma 8 4 2 2" xfId="2393" xr:uid="{00000000-0005-0000-0000-0000F5030000}"/>
    <cellStyle name="Comma 8 4 2 2 2" xfId="2394" xr:uid="{00000000-0005-0000-0000-0000F6030000}"/>
    <cellStyle name="Comma 8 4 2 2 2 2" xfId="2395" xr:uid="{00000000-0005-0000-0000-0000F7030000}"/>
    <cellStyle name="Comma 8 5" xfId="2396" xr:uid="{00000000-0005-0000-0000-0000F8030000}"/>
    <cellStyle name="Comma 8 6" xfId="2383" xr:uid="{00000000-0005-0000-0000-0000F9030000}"/>
    <cellStyle name="Comma 80" xfId="10565" xr:uid="{00000000-0005-0000-0000-0000FA030000}"/>
    <cellStyle name="Comma 81" xfId="10568" xr:uid="{00000000-0005-0000-0000-0000FB030000}"/>
    <cellStyle name="Comma 82" xfId="10571" xr:uid="{00000000-0005-0000-0000-0000FC030000}"/>
    <cellStyle name="Comma 83" xfId="10574" xr:uid="{00000000-0005-0000-0000-0000FD030000}"/>
    <cellStyle name="Comma 84" xfId="10577" xr:uid="{00000000-0005-0000-0000-0000FE030000}"/>
    <cellStyle name="Comma 85" xfId="10580" xr:uid="{00000000-0005-0000-0000-0000FF030000}"/>
    <cellStyle name="Comma 86" xfId="10583" xr:uid="{00000000-0005-0000-0000-000000040000}"/>
    <cellStyle name="Comma 87" xfId="10586" xr:uid="{00000000-0005-0000-0000-000001040000}"/>
    <cellStyle name="Comma 88" xfId="10589" xr:uid="{00000000-0005-0000-0000-000002040000}"/>
    <cellStyle name="Comma 89" xfId="10592" xr:uid="{00000000-0005-0000-0000-000003040000}"/>
    <cellStyle name="Comma 9" xfId="350" xr:uid="{00000000-0005-0000-0000-000004040000}"/>
    <cellStyle name="Comma 9 2" xfId="1705" xr:uid="{00000000-0005-0000-0000-000005040000}"/>
    <cellStyle name="Comma 9 2 2" xfId="2399" xr:uid="{00000000-0005-0000-0000-000006040000}"/>
    <cellStyle name="Comma 9 2 3" xfId="2398" xr:uid="{00000000-0005-0000-0000-000007040000}"/>
    <cellStyle name="Comma 9 3" xfId="2400" xr:uid="{00000000-0005-0000-0000-000008040000}"/>
    <cellStyle name="Comma 9 4" xfId="2401" xr:uid="{00000000-0005-0000-0000-000009040000}"/>
    <cellStyle name="Comma 9 5" xfId="6685" xr:uid="{00000000-0005-0000-0000-00000A040000}"/>
    <cellStyle name="Comma 9 6" xfId="2397" xr:uid="{00000000-0005-0000-0000-00000B040000}"/>
    <cellStyle name="Comma 90" xfId="10595" xr:uid="{00000000-0005-0000-0000-00000C040000}"/>
    <cellStyle name="Comma 91" xfId="10598" xr:uid="{00000000-0005-0000-0000-00000D040000}"/>
    <cellStyle name="Comma 92" xfId="10601" xr:uid="{00000000-0005-0000-0000-00000E040000}"/>
    <cellStyle name="Comma 93" xfId="10604" xr:uid="{00000000-0005-0000-0000-00000F040000}"/>
    <cellStyle name="Comma 94" xfId="10607" xr:uid="{00000000-0005-0000-0000-000010040000}"/>
    <cellStyle name="Comma 95" xfId="10610" xr:uid="{00000000-0005-0000-0000-000011040000}"/>
    <cellStyle name="Comma 96" xfId="10613" xr:uid="{00000000-0005-0000-0000-000012040000}"/>
    <cellStyle name="Comma 97" xfId="10616" xr:uid="{00000000-0005-0000-0000-000013040000}"/>
    <cellStyle name="Comma 98" xfId="10619" xr:uid="{00000000-0005-0000-0000-000014040000}"/>
    <cellStyle name="Comma 99" xfId="10622" xr:uid="{00000000-0005-0000-0000-000015040000}"/>
    <cellStyle name="Comma Cents" xfId="500" xr:uid="{00000000-0005-0000-0000-000016040000}"/>
    <cellStyle name="comma[0]" xfId="351" xr:uid="{00000000-0005-0000-0000-000017040000}"/>
    <cellStyle name="comma[0] 2" xfId="501" xr:uid="{00000000-0005-0000-0000-000018040000}"/>
    <cellStyle name="comma[1]" xfId="352" xr:uid="{00000000-0005-0000-0000-000019040000}"/>
    <cellStyle name="comma[1] 2" xfId="353" xr:uid="{00000000-0005-0000-0000-00001A040000}"/>
    <cellStyle name="comma[1] 2 2" xfId="1706" xr:uid="{00000000-0005-0000-0000-00001B040000}"/>
    <cellStyle name="comma[1] 3" xfId="354" xr:uid="{00000000-0005-0000-0000-00001C040000}"/>
    <cellStyle name="comma[1] 3 2" xfId="1707" xr:uid="{00000000-0005-0000-0000-00001D040000}"/>
    <cellStyle name="comma[1] 4" xfId="355" xr:uid="{00000000-0005-0000-0000-00001E040000}"/>
    <cellStyle name="comma[1] 4 2" xfId="356" xr:uid="{00000000-0005-0000-0000-00001F040000}"/>
    <cellStyle name="comma[1] 4 2 2" xfId="1709" xr:uid="{00000000-0005-0000-0000-000020040000}"/>
    <cellStyle name="comma[1] 4 3" xfId="1708" xr:uid="{00000000-0005-0000-0000-000021040000}"/>
    <cellStyle name="comma[2]" xfId="357" xr:uid="{00000000-0005-0000-0000-000022040000}"/>
    <cellStyle name="Comma_EMC072000" xfId="7" xr:uid="{00000000-0005-0000-0000-000023040000}"/>
    <cellStyle name="Comma0" xfId="1872" xr:uid="{00000000-0005-0000-0000-000024040000}"/>
    <cellStyle name="Company" xfId="1873" xr:uid="{00000000-0005-0000-0000-000025040000}"/>
    <cellStyle name="Company Name" xfId="2008" xr:uid="{00000000-0005-0000-0000-000026040000}"/>
    <cellStyle name="CompanyName" xfId="1874" xr:uid="{00000000-0005-0000-0000-000027040000}"/>
    <cellStyle name="CompanyTitle" xfId="502" xr:uid="{00000000-0005-0000-0000-000028040000}"/>
    <cellStyle name="CR Comma" xfId="6686" xr:uid="{00000000-0005-0000-0000-000029040000}"/>
    <cellStyle name="CR Currency" xfId="6687" xr:uid="{00000000-0005-0000-0000-00002A040000}"/>
    <cellStyle name="CurRatio" xfId="1875" xr:uid="{00000000-0005-0000-0000-00002B040000}"/>
    <cellStyle name="Currency" xfId="2" builtinId="4"/>
    <cellStyle name="Currency $" xfId="503" xr:uid="{00000000-0005-0000-0000-00002D040000}"/>
    <cellStyle name="Currency [1]" xfId="358" xr:uid="{00000000-0005-0000-0000-00002E040000}"/>
    <cellStyle name="Currency [1] 2" xfId="504" xr:uid="{00000000-0005-0000-0000-00002F040000}"/>
    <cellStyle name="Currency [1] 3" xfId="1601" xr:uid="{00000000-0005-0000-0000-000030040000}"/>
    <cellStyle name="Currency [1] 3 2" xfId="1644" xr:uid="{00000000-0005-0000-0000-000031040000}"/>
    <cellStyle name="Currency [1] 3 3" xfId="1663" xr:uid="{00000000-0005-0000-0000-000032040000}"/>
    <cellStyle name="Currency [2]" xfId="359" xr:uid="{00000000-0005-0000-0000-000033040000}"/>
    <cellStyle name="Currency [2] 2" xfId="360" xr:uid="{00000000-0005-0000-0000-000034040000}"/>
    <cellStyle name="Currency [2] 2 2" xfId="1711" xr:uid="{00000000-0005-0000-0000-000035040000}"/>
    <cellStyle name="Currency [2] 3" xfId="361" xr:uid="{00000000-0005-0000-0000-000036040000}"/>
    <cellStyle name="Currency [2] 3 2" xfId="1712" xr:uid="{00000000-0005-0000-0000-000037040000}"/>
    <cellStyle name="Currency [2] 4" xfId="362" xr:uid="{00000000-0005-0000-0000-000038040000}"/>
    <cellStyle name="Currency [2] 4 2" xfId="363" xr:uid="{00000000-0005-0000-0000-000039040000}"/>
    <cellStyle name="Currency [2] 4 2 2" xfId="1714" xr:uid="{00000000-0005-0000-0000-00003A040000}"/>
    <cellStyle name="Currency [2] 4 3" xfId="1713" xr:uid="{00000000-0005-0000-0000-00003B040000}"/>
    <cellStyle name="Currency [2] 5" xfId="505" xr:uid="{00000000-0005-0000-0000-00003C040000}"/>
    <cellStyle name="Currency [2] 6" xfId="1876" xr:uid="{00000000-0005-0000-0000-00003D040000}"/>
    <cellStyle name="Currency [2]_BBBB 2 4 09" xfId="364" xr:uid="{00000000-0005-0000-0000-00003E040000}"/>
    <cellStyle name="Currency 0.00" xfId="6633" xr:uid="{00000000-0005-0000-0000-00003F040000}"/>
    <cellStyle name="Currency 10" xfId="1710" xr:uid="{00000000-0005-0000-0000-000040040000}"/>
    <cellStyle name="Currency 10 2" xfId="2402" xr:uid="{00000000-0005-0000-0000-000041040000}"/>
    <cellStyle name="Currency 10 3" xfId="6688" xr:uid="{00000000-0005-0000-0000-000042040000}"/>
    <cellStyle name="Currency 11" xfId="1719" xr:uid="{00000000-0005-0000-0000-000043040000}"/>
    <cellStyle name="Currency 11 2" xfId="6689" xr:uid="{00000000-0005-0000-0000-000044040000}"/>
    <cellStyle name="Currency 12" xfId="1675" xr:uid="{00000000-0005-0000-0000-000045040000}"/>
    <cellStyle name="Currency 13" xfId="1696" xr:uid="{00000000-0005-0000-0000-000046040000}"/>
    <cellStyle name="Currency 14" xfId="1741" xr:uid="{00000000-0005-0000-0000-000047040000}"/>
    <cellStyle name="Currency 14 2" xfId="6623" xr:uid="{00000000-0005-0000-0000-000048040000}"/>
    <cellStyle name="Currency 15" xfId="1785" xr:uid="{00000000-0005-0000-0000-000049040000}"/>
    <cellStyle name="Currency 16" xfId="10945" xr:uid="{00000000-0005-0000-0000-00004A040000}"/>
    <cellStyle name="Currency 17" xfId="11083" xr:uid="{00000000-0005-0000-0000-00004B040000}"/>
    <cellStyle name="Currency 2" xfId="13" xr:uid="{00000000-0005-0000-0000-00004C040000}"/>
    <cellStyle name="Currency 2 2" xfId="30" xr:uid="{00000000-0005-0000-0000-00004D040000}"/>
    <cellStyle name="Currency 2 2 2" xfId="80" xr:uid="{00000000-0005-0000-0000-00004E040000}"/>
    <cellStyle name="Currency 2 2 2 2" xfId="168" xr:uid="{00000000-0005-0000-0000-00004F040000}"/>
    <cellStyle name="Currency 2 2 3" xfId="169" xr:uid="{00000000-0005-0000-0000-000050040000}"/>
    <cellStyle name="Currency 2 2 3 2" xfId="6637" xr:uid="{00000000-0005-0000-0000-000051040000}"/>
    <cellStyle name="Currency 2 3" xfId="85" xr:uid="{00000000-0005-0000-0000-000052040000}"/>
    <cellStyle name="Currency 2 3 2" xfId="170" xr:uid="{00000000-0005-0000-0000-000053040000}"/>
    <cellStyle name="Currency 2 3 3" xfId="2404" xr:uid="{00000000-0005-0000-0000-000054040000}"/>
    <cellStyle name="Currency 2 4" xfId="171" xr:uid="{00000000-0005-0000-0000-000055040000}"/>
    <cellStyle name="Currency 2 4 2" xfId="2405" xr:uid="{00000000-0005-0000-0000-000056040000}"/>
    <cellStyle name="Currency 2 5" xfId="1676" xr:uid="{00000000-0005-0000-0000-000057040000}"/>
    <cellStyle name="Currency 2 5 2" xfId="2403" xr:uid="{00000000-0005-0000-0000-000058040000}"/>
    <cellStyle name="Currency 2 6" xfId="6630" xr:uid="{00000000-0005-0000-0000-000059040000}"/>
    <cellStyle name="Currency 2 7" xfId="10899" xr:uid="{00000000-0005-0000-0000-00005A040000}"/>
    <cellStyle name="Currency 2 8" xfId="2009" xr:uid="{00000000-0005-0000-0000-00005B040000}"/>
    <cellStyle name="Currency 3" xfId="31" xr:uid="{00000000-0005-0000-0000-00005C040000}"/>
    <cellStyle name="Currency 3 10" xfId="2011" xr:uid="{00000000-0005-0000-0000-00005D040000}"/>
    <cellStyle name="Currency 3 2" xfId="79" xr:uid="{00000000-0005-0000-0000-00005E040000}"/>
    <cellStyle name="Currency 3 2 2" xfId="172" xr:uid="{00000000-0005-0000-0000-00005F040000}"/>
    <cellStyle name="Currency 3 2 2 2" xfId="6691" xr:uid="{00000000-0005-0000-0000-000060040000}"/>
    <cellStyle name="Currency 3 2 3" xfId="6690" xr:uid="{00000000-0005-0000-0000-000061040000}"/>
    <cellStyle name="Currency 3 2 4" xfId="2407" xr:uid="{00000000-0005-0000-0000-000062040000}"/>
    <cellStyle name="Currency 3 3" xfId="173" xr:uid="{00000000-0005-0000-0000-000063040000}"/>
    <cellStyle name="Currency 3 3 2" xfId="6693" xr:uid="{00000000-0005-0000-0000-000064040000}"/>
    <cellStyle name="Currency 3 3 3" xfId="6692" xr:uid="{00000000-0005-0000-0000-000065040000}"/>
    <cellStyle name="Currency 3 3 4" xfId="2408" xr:uid="{00000000-0005-0000-0000-000066040000}"/>
    <cellStyle name="Currency 3 4" xfId="2409" xr:uid="{00000000-0005-0000-0000-000067040000}"/>
    <cellStyle name="Currency 3 4 2" xfId="2410" xr:uid="{00000000-0005-0000-0000-000068040000}"/>
    <cellStyle name="Currency 3 4 2 2" xfId="2411" xr:uid="{00000000-0005-0000-0000-000069040000}"/>
    <cellStyle name="Currency 3 4 2 2 2" xfId="6694" xr:uid="{00000000-0005-0000-0000-00006A040000}"/>
    <cellStyle name="Currency 3 4 2 3" xfId="2412" xr:uid="{00000000-0005-0000-0000-00006B040000}"/>
    <cellStyle name="Currency 3 4 3" xfId="2413" xr:uid="{00000000-0005-0000-0000-00006C040000}"/>
    <cellStyle name="Currency 3 4 3 2" xfId="6695" xr:uid="{00000000-0005-0000-0000-00006D040000}"/>
    <cellStyle name="Currency 3 4 4" xfId="2414" xr:uid="{00000000-0005-0000-0000-00006E040000}"/>
    <cellStyle name="Currency 3 5" xfId="2415" xr:uid="{00000000-0005-0000-0000-00006F040000}"/>
    <cellStyle name="Currency 3 5 2" xfId="2416" xr:uid="{00000000-0005-0000-0000-000070040000}"/>
    <cellStyle name="Currency 3 5 2 2" xfId="6696" xr:uid="{00000000-0005-0000-0000-000071040000}"/>
    <cellStyle name="Currency 3 5 3" xfId="2417" xr:uid="{00000000-0005-0000-0000-000072040000}"/>
    <cellStyle name="Currency 3 6" xfId="2418" xr:uid="{00000000-0005-0000-0000-000073040000}"/>
    <cellStyle name="Currency 3 6 2" xfId="6697" xr:uid="{00000000-0005-0000-0000-000074040000}"/>
    <cellStyle name="Currency 3 7" xfId="2419" xr:uid="{00000000-0005-0000-0000-000075040000}"/>
    <cellStyle name="Currency 3 8" xfId="2406" xr:uid="{00000000-0005-0000-0000-000076040000}"/>
    <cellStyle name="Currency 3 8 2" xfId="6698" xr:uid="{00000000-0005-0000-0000-000077040000}"/>
    <cellStyle name="Currency 3 9" xfId="10900" xr:uid="{00000000-0005-0000-0000-000078040000}"/>
    <cellStyle name="Currency 4" xfId="174" xr:uid="{00000000-0005-0000-0000-000079040000}"/>
    <cellStyle name="Currency 4 2" xfId="175" xr:uid="{00000000-0005-0000-0000-00007A040000}"/>
    <cellStyle name="Currency 4 2 2" xfId="2422" xr:uid="{00000000-0005-0000-0000-00007B040000}"/>
    <cellStyle name="Currency 4 2 2 2" xfId="2423" xr:uid="{00000000-0005-0000-0000-00007C040000}"/>
    <cellStyle name="Currency 4 2 2 2 2" xfId="6699" xr:uid="{00000000-0005-0000-0000-00007D040000}"/>
    <cellStyle name="Currency 4 2 2 3" xfId="6700" xr:uid="{00000000-0005-0000-0000-00007E040000}"/>
    <cellStyle name="Currency 4 2 3" xfId="2424" xr:uid="{00000000-0005-0000-0000-00007F040000}"/>
    <cellStyle name="Currency 4 2 3 2" xfId="6701" xr:uid="{00000000-0005-0000-0000-000080040000}"/>
    <cellStyle name="Currency 4 2 4" xfId="2425" xr:uid="{00000000-0005-0000-0000-000081040000}"/>
    <cellStyle name="Currency 4 2 5" xfId="2421" xr:uid="{00000000-0005-0000-0000-000082040000}"/>
    <cellStyle name="Currency 4 3" xfId="365" xr:uid="{00000000-0005-0000-0000-000083040000}"/>
    <cellStyle name="Currency 4 3 2" xfId="2427" xr:uid="{00000000-0005-0000-0000-000084040000}"/>
    <cellStyle name="Currency 4 3 2 2" xfId="6702" xr:uid="{00000000-0005-0000-0000-000085040000}"/>
    <cellStyle name="Currency 4 3 3" xfId="6703" xr:uid="{00000000-0005-0000-0000-000086040000}"/>
    <cellStyle name="Currency 4 3 4" xfId="2426" xr:uid="{00000000-0005-0000-0000-000087040000}"/>
    <cellStyle name="Currency 4 4" xfId="1688" xr:uid="{00000000-0005-0000-0000-000088040000}"/>
    <cellStyle name="Currency 4 4 2" xfId="6704" xr:uid="{00000000-0005-0000-0000-000089040000}"/>
    <cellStyle name="Currency 4 5" xfId="2428" xr:uid="{00000000-0005-0000-0000-00008A040000}"/>
    <cellStyle name="Currency 4 6" xfId="2429" xr:uid="{00000000-0005-0000-0000-00008B040000}"/>
    <cellStyle name="Currency 4 6 2" xfId="6628" xr:uid="{00000000-0005-0000-0000-00008C040000}"/>
    <cellStyle name="Currency 4 7" xfId="2420" xr:uid="{00000000-0005-0000-0000-00008D040000}"/>
    <cellStyle name="Currency 4 8" xfId="10901" xr:uid="{00000000-0005-0000-0000-00008E040000}"/>
    <cellStyle name="Currency 4 9" xfId="2085" xr:uid="{00000000-0005-0000-0000-00008F040000}"/>
    <cellStyle name="Currency 5" xfId="18" xr:uid="{00000000-0005-0000-0000-000090040000}"/>
    <cellStyle name="Currency 5 2" xfId="176" xr:uid="{00000000-0005-0000-0000-000091040000}"/>
    <cellStyle name="Currency 5 2 2" xfId="2430" xr:uid="{00000000-0005-0000-0000-000092040000}"/>
    <cellStyle name="Currency 5 2 2 2" xfId="2431" xr:uid="{00000000-0005-0000-0000-000093040000}"/>
    <cellStyle name="Currency 5 2 2 2 2" xfId="6705" xr:uid="{00000000-0005-0000-0000-000094040000}"/>
    <cellStyle name="Currency 5 2 2 3" xfId="6706" xr:uid="{00000000-0005-0000-0000-000095040000}"/>
    <cellStyle name="Currency 5 2 3" xfId="2432" xr:uid="{00000000-0005-0000-0000-000096040000}"/>
    <cellStyle name="Currency 5 2 3 2" xfId="6707" xr:uid="{00000000-0005-0000-0000-000097040000}"/>
    <cellStyle name="Currency 5 2 4" xfId="2433" xr:uid="{00000000-0005-0000-0000-000098040000}"/>
    <cellStyle name="Currency 5 3" xfId="2434" xr:uid="{00000000-0005-0000-0000-000099040000}"/>
    <cellStyle name="Currency 5 3 2" xfId="2435" xr:uid="{00000000-0005-0000-0000-00009A040000}"/>
    <cellStyle name="Currency 5 3 2 2" xfId="6708" xr:uid="{00000000-0005-0000-0000-00009B040000}"/>
    <cellStyle name="Currency 5 3 3" xfId="6709" xr:uid="{00000000-0005-0000-0000-00009C040000}"/>
    <cellStyle name="Currency 5 4" xfId="2436" xr:uid="{00000000-0005-0000-0000-00009D040000}"/>
    <cellStyle name="Currency 5 4 2" xfId="6710" xr:uid="{00000000-0005-0000-0000-00009E040000}"/>
    <cellStyle name="Currency 5 5" xfId="6711" xr:uid="{00000000-0005-0000-0000-00009F040000}"/>
    <cellStyle name="Currency 6" xfId="1715" xr:uid="{00000000-0005-0000-0000-0000A0040000}"/>
    <cellStyle name="Currency 6 2" xfId="2438" xr:uid="{00000000-0005-0000-0000-0000A1040000}"/>
    <cellStyle name="Currency 6 2 2" xfId="2439" xr:uid="{00000000-0005-0000-0000-0000A2040000}"/>
    <cellStyle name="Currency 6 2 2 2" xfId="2440" xr:uid="{00000000-0005-0000-0000-0000A3040000}"/>
    <cellStyle name="Currency 6 2 2 2 2" xfId="6712" xr:uid="{00000000-0005-0000-0000-0000A4040000}"/>
    <cellStyle name="Currency 6 2 2 3" xfId="6713" xr:uid="{00000000-0005-0000-0000-0000A5040000}"/>
    <cellStyle name="Currency 6 2 3" xfId="2441" xr:uid="{00000000-0005-0000-0000-0000A6040000}"/>
    <cellStyle name="Currency 6 2 3 2" xfId="6714" xr:uid="{00000000-0005-0000-0000-0000A7040000}"/>
    <cellStyle name="Currency 6 2 4" xfId="6715" xr:uid="{00000000-0005-0000-0000-0000A8040000}"/>
    <cellStyle name="Currency 6 3" xfId="2442" xr:uid="{00000000-0005-0000-0000-0000A9040000}"/>
    <cellStyle name="Currency 6 3 2" xfId="2443" xr:uid="{00000000-0005-0000-0000-0000AA040000}"/>
    <cellStyle name="Currency 6 3 2 2" xfId="6716" xr:uid="{00000000-0005-0000-0000-0000AB040000}"/>
    <cellStyle name="Currency 6 3 3" xfId="6717" xr:uid="{00000000-0005-0000-0000-0000AC040000}"/>
    <cellStyle name="Currency 6 4" xfId="2444" xr:uid="{00000000-0005-0000-0000-0000AD040000}"/>
    <cellStyle name="Currency 6 4 2" xfId="6718" xr:uid="{00000000-0005-0000-0000-0000AE040000}"/>
    <cellStyle name="Currency 6 5" xfId="6719" xr:uid="{00000000-0005-0000-0000-0000AF040000}"/>
    <cellStyle name="Currency 6 6" xfId="2437" xr:uid="{00000000-0005-0000-0000-0000B0040000}"/>
    <cellStyle name="Currency 7" xfId="1716" xr:uid="{00000000-0005-0000-0000-0000B1040000}"/>
    <cellStyle name="Currency 7 2" xfId="2446" xr:uid="{00000000-0005-0000-0000-0000B2040000}"/>
    <cellStyle name="Currency 7 2 2" xfId="6720" xr:uid="{00000000-0005-0000-0000-0000B3040000}"/>
    <cellStyle name="Currency 7 3" xfId="6721" xr:uid="{00000000-0005-0000-0000-0000B4040000}"/>
    <cellStyle name="Currency 7 4" xfId="2445" xr:uid="{00000000-0005-0000-0000-0000B5040000}"/>
    <cellStyle name="Currency 8" xfId="1717" xr:uid="{00000000-0005-0000-0000-0000B6040000}"/>
    <cellStyle name="Currency 8 2" xfId="6722" xr:uid="{00000000-0005-0000-0000-0000B7040000}"/>
    <cellStyle name="Currency 9" xfId="1718" xr:uid="{00000000-0005-0000-0000-0000B8040000}"/>
    <cellStyle name="Currency 9 2" xfId="6723" xr:uid="{00000000-0005-0000-0000-0000B9040000}"/>
    <cellStyle name="Currency(1)" xfId="1877" xr:uid="{00000000-0005-0000-0000-0000BA040000}"/>
    <cellStyle name="Currency_Cognex 4.17.07" xfId="9" xr:uid="{00000000-0005-0000-0000-0000BB040000}"/>
    <cellStyle name="Currency0" xfId="1878" xr:uid="{00000000-0005-0000-0000-0000BC040000}"/>
    <cellStyle name="CUS.Work.Area" xfId="1879" xr:uid="{00000000-0005-0000-0000-0000BD040000}"/>
    <cellStyle name="d_yield" xfId="506" xr:uid="{00000000-0005-0000-0000-0000BE040000}"/>
    <cellStyle name="d_yield_1 FM_101_Examples_v7.31McIntire" xfId="507" xr:uid="{00000000-0005-0000-0000-0000BF040000}"/>
    <cellStyle name="d_yield_1 FM_101_Examples_v7.31McIntire_1 FM_101_Examples_TWO-Day_v7.31" xfId="508" xr:uid="{00000000-0005-0000-0000-0000C0040000}"/>
    <cellStyle name="d_yield_AVP" xfId="509" xr:uid="{00000000-0005-0000-0000-0000C1040000}"/>
    <cellStyle name="d_yield_AVP_1 FM_101_Examples_v7.31McIntire" xfId="510" xr:uid="{00000000-0005-0000-0000-0000C2040000}"/>
    <cellStyle name="d_yield_AVP_1 FM_101_Examples_v7.31McIntire_1 FM_101_Examples_TWO-Day_v7.31" xfId="511" xr:uid="{00000000-0005-0000-0000-0000C3040000}"/>
    <cellStyle name="d_yield_AVP_Graphic Depiction - NO DEV" xfId="512" xr:uid="{00000000-0005-0000-0000-0000C4040000}"/>
    <cellStyle name="d_yield_AVP_Graphic Depiction - NO DEV_1 FM_101_Examples_v7.31McIntire" xfId="513" xr:uid="{00000000-0005-0000-0000-0000C5040000}"/>
    <cellStyle name="d_yield_AVP_Graphic Depiction - NO DEV_1 FM_101_Examples_v7.31McIntire_1 FM_101_Examples_TWO-Day_v7.31" xfId="514" xr:uid="{00000000-0005-0000-0000-0000C6040000}"/>
    <cellStyle name="d_yield_AVP_Graphic Depiction - NO DEV_Val_1_Book_Lecture_Notes_v3.06" xfId="515" xr:uid="{00000000-0005-0000-0000-0000C7040000}"/>
    <cellStyle name="d_yield_AVP_THEsumPage (2)" xfId="516" xr:uid="{00000000-0005-0000-0000-0000C8040000}"/>
    <cellStyle name="d_yield_AVP_THEsumPage (2)_1 FM_101_Examples_v7.31McIntire" xfId="517" xr:uid="{00000000-0005-0000-0000-0000C9040000}"/>
    <cellStyle name="d_yield_AVP_THEsumPage (2)_1 FM_101_Examples_v7.31McIntire_1 FM_101_Examples_TWO-Day_v7.31" xfId="518" xr:uid="{00000000-0005-0000-0000-0000CA040000}"/>
    <cellStyle name="d_yield_AVP_THEsumPage (2)_Val_1_Book_Lecture_Notes_v3.06" xfId="519" xr:uid="{00000000-0005-0000-0000-0000CB040000}"/>
    <cellStyle name="d_yield_AVP_Val_1_Book_Lecture_Notes_v3.06" xfId="520" xr:uid="{00000000-0005-0000-0000-0000CC040000}"/>
    <cellStyle name="d_yield_CompSheet" xfId="521" xr:uid="{00000000-0005-0000-0000-0000CD040000}"/>
    <cellStyle name="d_yield_CompSheet_LANCE_Model_v0.6.DCF.MASTER.Name" xfId="522" xr:uid="{00000000-0005-0000-0000-0000CE040000}"/>
    <cellStyle name="d_yield_CompSheet_LANCE_Model_v0.6.DCF.MASTER.Name_DCF &amp; Raios to CLX Tootsie_v1.33.xls" xfId="523" xr:uid="{00000000-0005-0000-0000-0000CF040000}"/>
    <cellStyle name="d_yield_CompSheet_LANCE_Model_v0.6.DCF.MASTER.Name_Tootsie_TWO_DAY_TTS_Solution_v1.34" xfId="524" xr:uid="{00000000-0005-0000-0000-0000D0040000}"/>
    <cellStyle name="d_yield_CompSheet_LANCE_Model_v0.6.DCF.MASTER.Name_Val_1_Book_Lecture_Notes_v3.06" xfId="525" xr:uid="{00000000-0005-0000-0000-0000D1040000}"/>
    <cellStyle name="d_yield_CompSheet_Val_1_Book_Lecture_Notes_v3.06" xfId="526" xr:uid="{00000000-0005-0000-0000-0000D2040000}"/>
    <cellStyle name="d_yield_Disc Analysis" xfId="527" xr:uid="{00000000-0005-0000-0000-0000D3040000}"/>
    <cellStyle name="d_yield_Disc Analysis_1 FM_101_Examples_v7.31McIntire" xfId="528" xr:uid="{00000000-0005-0000-0000-0000D4040000}"/>
    <cellStyle name="d_yield_Disc Analysis_1 FM_101_Examples_v7.31McIntire_1 FM_101_Examples_TWO-Day_v7.31" xfId="529" xr:uid="{00000000-0005-0000-0000-0000D5040000}"/>
    <cellStyle name="d_yield_Disc Analysis_CompSheet" xfId="530" xr:uid="{00000000-0005-0000-0000-0000D6040000}"/>
    <cellStyle name="d_yield_Disc Analysis_CompSheet_1 FM_101_Examples_v7.31McIntire" xfId="531" xr:uid="{00000000-0005-0000-0000-0000D7040000}"/>
    <cellStyle name="d_yield_Disc Analysis_CompSheet_1 FM_101_Examples_v7.31McIntire_1 FM_101_Examples_TWO-Day_v7.31" xfId="532" xr:uid="{00000000-0005-0000-0000-0000D8040000}"/>
    <cellStyle name="d_yield_Disc Analysis_CompSheet_Val_1_Book_Lecture_Notes_v3.06" xfId="533" xr:uid="{00000000-0005-0000-0000-0000D9040000}"/>
    <cellStyle name="d_yield_Disc Analysis_THEsumPage (2)" xfId="534" xr:uid="{00000000-0005-0000-0000-0000DA040000}"/>
    <cellStyle name="d_yield_Disc Analysis_THEsumPage (2)_1 FM_101_Examples_v7.31McIntire" xfId="535" xr:uid="{00000000-0005-0000-0000-0000DB040000}"/>
    <cellStyle name="d_yield_Disc Analysis_THEsumPage (2)_1 FM_101_Examples_v7.31McIntire_1 FM_101_Examples_TWO-Day_v7.31" xfId="536" xr:uid="{00000000-0005-0000-0000-0000DC040000}"/>
    <cellStyle name="d_yield_Disc Analysis_THEsumPage (2)_Val_1_Book_Lecture_Notes_v3.06" xfId="537" xr:uid="{00000000-0005-0000-0000-0000DD040000}"/>
    <cellStyle name="d_yield_Disc Analysis_Val_1_Book_Lecture_Notes_v3.06" xfId="538" xr:uid="{00000000-0005-0000-0000-0000DE040000}"/>
    <cellStyle name="d_yield_Fairness Opinion Valuation 4-23a.xls Chart 1" xfId="539" xr:uid="{00000000-0005-0000-0000-0000DF040000}"/>
    <cellStyle name="d_yield_Fairness Opinion Valuation 4-23a.xls Chart 1_LANCE_Model_v0.6.DCF.MASTER.Name" xfId="540" xr:uid="{00000000-0005-0000-0000-0000E0040000}"/>
    <cellStyle name="d_yield_Fairness Opinion Valuation 4-23a.xls Chart 1_LANCE_Model_v0.6.DCF.MASTER.Name_DCF &amp; Raios to CLX Tootsie_v1.33.xls" xfId="541" xr:uid="{00000000-0005-0000-0000-0000E1040000}"/>
    <cellStyle name="d_yield_Fairness Opinion Valuation 4-23a.xls Chart 1_LANCE_Model_v0.6.DCF.MASTER.Name_Tootsie_TWO_DAY_TTS_Solution_v1.34" xfId="542" xr:uid="{00000000-0005-0000-0000-0000E2040000}"/>
    <cellStyle name="d_yield_Fairness Opinion Valuation 4-23a.xls Chart 1_LANCE_Model_v0.6.DCF.MASTER.Name_Val_1_Book_Lecture_Notes_v3.06" xfId="543" xr:uid="{00000000-0005-0000-0000-0000E3040000}"/>
    <cellStyle name="d_yield_Fairness Opinion Valuation 4-23a.xls Chart 1_Val_1_Book_Lecture_Notes_v3.06" xfId="544" xr:uid="{00000000-0005-0000-0000-0000E4040000}"/>
    <cellStyle name="d_yield_LP Chart" xfId="545" xr:uid="{00000000-0005-0000-0000-0000E5040000}"/>
    <cellStyle name="d_yield_LP Chart_LANCE_Model_v0.6.DCF.MASTER.Name" xfId="546" xr:uid="{00000000-0005-0000-0000-0000E6040000}"/>
    <cellStyle name="d_yield_LP Chart_LANCE_Model_v0.6.DCF.MASTER.Name_DCF &amp; Raios to CLX Tootsie_v1.33.xls" xfId="547" xr:uid="{00000000-0005-0000-0000-0000E7040000}"/>
    <cellStyle name="d_yield_LP Chart_LANCE_Model_v0.6.DCF.MASTER.Name_Tootsie_TWO_DAY_TTS_Solution_v1.34" xfId="548" xr:uid="{00000000-0005-0000-0000-0000E8040000}"/>
    <cellStyle name="d_yield_LP Chart_LANCE_Model_v0.6.DCF.MASTER.Name_Val_1_Book_Lecture_Notes_v3.06" xfId="549" xr:uid="{00000000-0005-0000-0000-0000E9040000}"/>
    <cellStyle name="d_yield_LP Chart_THEsumPage (2)" xfId="550" xr:uid="{00000000-0005-0000-0000-0000EA040000}"/>
    <cellStyle name="d_yield_LP Chart_THEsumPage (2)_LANCE_Model_v0.6.DCF.MASTER.Name" xfId="551" xr:uid="{00000000-0005-0000-0000-0000EB040000}"/>
    <cellStyle name="d_yield_LP Chart_THEsumPage (2)_LANCE_Model_v0.6.DCF.MASTER.Name_DCF &amp; Raios to CLX Tootsie_v1.33.xls" xfId="552" xr:uid="{00000000-0005-0000-0000-0000EC040000}"/>
    <cellStyle name="d_yield_LP Chart_THEsumPage (2)_LANCE_Model_v0.6.DCF.MASTER.Name_Tootsie_TWO_DAY_TTS_Solution_v1.34" xfId="553" xr:uid="{00000000-0005-0000-0000-0000ED040000}"/>
    <cellStyle name="d_yield_LP Chart_THEsumPage (2)_LANCE_Model_v0.6.DCF.MASTER.Name_Val_1_Book_Lecture_Notes_v3.06" xfId="554" xr:uid="{00000000-0005-0000-0000-0000EE040000}"/>
    <cellStyle name="d_yield_LP Chart_THEsumPage (2)_Val_1_Book_Lecture_Notes_v3.06" xfId="555" xr:uid="{00000000-0005-0000-0000-0000EF040000}"/>
    <cellStyle name="d_yield_LP Chart_Val_1_Book_Lecture_Notes_v3.06" xfId="556" xr:uid="{00000000-0005-0000-0000-0000F0040000}"/>
    <cellStyle name="d_yield_Merg Cons" xfId="557" xr:uid="{00000000-0005-0000-0000-0000F1040000}"/>
    <cellStyle name="d_yield_Merg Cons_1 FM_101_Examples_v7.31McIntire" xfId="558" xr:uid="{00000000-0005-0000-0000-0000F2040000}"/>
    <cellStyle name="d_yield_Merg Cons_1 FM_101_Examples_v7.31McIntire_1 FM_101_Examples_TWO-Day_v7.31" xfId="559" xr:uid="{00000000-0005-0000-0000-0000F3040000}"/>
    <cellStyle name="d_yield_Merg Cons_CompSheet" xfId="560" xr:uid="{00000000-0005-0000-0000-0000F4040000}"/>
    <cellStyle name="d_yield_Merg Cons_CompSheet_1 FM_101_Examples_v7.31McIntire" xfId="561" xr:uid="{00000000-0005-0000-0000-0000F5040000}"/>
    <cellStyle name="d_yield_Merg Cons_CompSheet_1 FM_101_Examples_v7.31McIntire_1 FM_101_Examples_TWO-Day_v7.31" xfId="562" xr:uid="{00000000-0005-0000-0000-0000F6040000}"/>
    <cellStyle name="d_yield_Merg Cons_CompSheet_Val_1_Book_Lecture_Notes_v3.06" xfId="563" xr:uid="{00000000-0005-0000-0000-0000F7040000}"/>
    <cellStyle name="d_yield_Merg Cons_THEsumPage (2)" xfId="564" xr:uid="{00000000-0005-0000-0000-0000F8040000}"/>
    <cellStyle name="d_yield_Merg Cons_THEsumPage (2)_1 FM_101_Examples_v7.31McIntire" xfId="565" xr:uid="{00000000-0005-0000-0000-0000F9040000}"/>
    <cellStyle name="d_yield_Merg Cons_THEsumPage (2)_1 FM_101_Examples_v7.31McIntire_1 FM_101_Examples_TWO-Day_v7.31" xfId="566" xr:uid="{00000000-0005-0000-0000-0000FA040000}"/>
    <cellStyle name="d_yield_Merg Cons_THEsumPage (2)_Val_1_Book_Lecture_Notes_v3.06" xfId="567" xr:uid="{00000000-0005-0000-0000-0000FB040000}"/>
    <cellStyle name="d_yield_Merg Cons_Val_1_Book_Lecture_Notes_v3.06" xfId="568" xr:uid="{00000000-0005-0000-0000-0000FC040000}"/>
    <cellStyle name="d_yield_PowerValuation.xls Chart 21" xfId="569" xr:uid="{00000000-0005-0000-0000-0000FD040000}"/>
    <cellStyle name="d_yield_PowerValuation.xls Chart 21_LANCE_Model_v0.6.DCF.MASTER.Name" xfId="570" xr:uid="{00000000-0005-0000-0000-0000FE040000}"/>
    <cellStyle name="d_yield_PowerValuation.xls Chart 21_LANCE_Model_v0.6.DCF.MASTER.Name_DCF &amp; Raios to CLX Tootsie_v1.33.xls" xfId="571" xr:uid="{00000000-0005-0000-0000-0000FF040000}"/>
    <cellStyle name="d_yield_PowerValuation.xls Chart 21_LANCE_Model_v0.6.DCF.MASTER.Name_Tootsie_TWO_DAY_TTS_Solution_v1.34" xfId="572" xr:uid="{00000000-0005-0000-0000-000000050000}"/>
    <cellStyle name="d_yield_PowerValuation.xls Chart 21_LANCE_Model_v0.6.DCF.MASTER.Name_Val_1_Book_Lecture_Notes_v3.06" xfId="573" xr:uid="{00000000-0005-0000-0000-000001050000}"/>
    <cellStyle name="d_yield_PowerValuation.xls Chart 21_Val_1_Book_Lecture_Notes_v3.06" xfId="574" xr:uid="{00000000-0005-0000-0000-000002050000}"/>
    <cellStyle name="d_yield_PowerValuation.xls Chart 28" xfId="575" xr:uid="{00000000-0005-0000-0000-000003050000}"/>
    <cellStyle name="d_yield_PowerValuation.xls Chart 28_LANCE_Model_v0.6.DCF.MASTER.Name" xfId="576" xr:uid="{00000000-0005-0000-0000-000004050000}"/>
    <cellStyle name="d_yield_PowerValuation.xls Chart 28_LANCE_Model_v0.6.DCF.MASTER.Name_DCF &amp; Raios to CLX Tootsie_v1.33.xls" xfId="577" xr:uid="{00000000-0005-0000-0000-000005050000}"/>
    <cellStyle name="d_yield_PowerValuation.xls Chart 28_LANCE_Model_v0.6.DCF.MASTER.Name_Tootsie_TWO_DAY_TTS_Solution_v1.34" xfId="578" xr:uid="{00000000-0005-0000-0000-000006050000}"/>
    <cellStyle name="d_yield_PowerValuation.xls Chart 28_LANCE_Model_v0.6.DCF.MASTER.Name_Val_1_Book_Lecture_Notes_v3.06" xfId="579" xr:uid="{00000000-0005-0000-0000-000007050000}"/>
    <cellStyle name="d_yield_PowerValuation.xls Chart 28_Val_1_Book_Lecture_Notes_v3.06" xfId="580" xr:uid="{00000000-0005-0000-0000-000008050000}"/>
    <cellStyle name="d_yield_Proj10" xfId="581" xr:uid="{00000000-0005-0000-0000-000009050000}"/>
    <cellStyle name="d_yield_Proj10_1 FM_101_Examples_v7.31McIntire" xfId="582" xr:uid="{00000000-0005-0000-0000-00000A050000}"/>
    <cellStyle name="d_yield_Proj10_1 FM_101_Examples_v7.31McIntire_1 FM_101_Examples_TWO-Day_v7.31" xfId="583" xr:uid="{00000000-0005-0000-0000-00000B050000}"/>
    <cellStyle name="d_yield_Proj10_AVP" xfId="584" xr:uid="{00000000-0005-0000-0000-00000C050000}"/>
    <cellStyle name="d_yield_Proj10_AVP_1 FM_101_Examples_v7.31McIntire" xfId="585" xr:uid="{00000000-0005-0000-0000-00000D050000}"/>
    <cellStyle name="d_yield_Proj10_AVP_1 FM_101_Examples_v7.31McIntire_1 FM_101_Examples_TWO-Day_v7.31" xfId="586" xr:uid="{00000000-0005-0000-0000-00000E050000}"/>
    <cellStyle name="d_yield_Proj10_AVP_Graphic Depiction - NO DEV" xfId="587" xr:uid="{00000000-0005-0000-0000-00000F050000}"/>
    <cellStyle name="d_yield_Proj10_AVP_Graphic Depiction - NO DEV_1 FM_101_Examples_v7.31McIntire" xfId="588" xr:uid="{00000000-0005-0000-0000-000010050000}"/>
    <cellStyle name="d_yield_Proj10_AVP_Graphic Depiction - NO DEV_1 FM_101_Examples_v7.31McIntire_1 FM_101_Examples_TWO-Day_v7.31" xfId="589" xr:uid="{00000000-0005-0000-0000-000011050000}"/>
    <cellStyle name="d_yield_Proj10_AVP_Graphic Depiction - NO DEV_Val_1_Book_Lecture_Notes_v3.06" xfId="590" xr:uid="{00000000-0005-0000-0000-000012050000}"/>
    <cellStyle name="d_yield_Proj10_AVP_THEsumPage (2)" xfId="591" xr:uid="{00000000-0005-0000-0000-000013050000}"/>
    <cellStyle name="d_yield_Proj10_AVP_THEsumPage (2)_1 FM_101_Examples_v7.31McIntire" xfId="592" xr:uid="{00000000-0005-0000-0000-000014050000}"/>
    <cellStyle name="d_yield_Proj10_AVP_THEsumPage (2)_1 FM_101_Examples_v7.31McIntire_1 FM_101_Examples_TWO-Day_v7.31" xfId="593" xr:uid="{00000000-0005-0000-0000-000015050000}"/>
    <cellStyle name="d_yield_Proj10_AVP_THEsumPage (2)_Val_1_Book_Lecture_Notes_v3.06" xfId="594" xr:uid="{00000000-0005-0000-0000-000016050000}"/>
    <cellStyle name="d_yield_Proj10_AVP_Val_1_Book_Lecture_Notes_v3.06" xfId="595" xr:uid="{00000000-0005-0000-0000-000017050000}"/>
    <cellStyle name="d_yield_Proj10_CompSheet" xfId="596" xr:uid="{00000000-0005-0000-0000-000018050000}"/>
    <cellStyle name="d_yield_Proj10_CompSheet_LANCE_Model_v0.6.DCF.MASTER.Name" xfId="597" xr:uid="{00000000-0005-0000-0000-000019050000}"/>
    <cellStyle name="d_yield_Proj10_CompSheet_LANCE_Model_v0.6.DCF.MASTER.Name_DCF &amp; Raios to CLX Tootsie_v1.33.xls" xfId="598" xr:uid="{00000000-0005-0000-0000-00001A050000}"/>
    <cellStyle name="d_yield_Proj10_CompSheet_LANCE_Model_v0.6.DCF.MASTER.Name_Tootsie_TWO_DAY_TTS_Solution_v1.34" xfId="599" xr:uid="{00000000-0005-0000-0000-00001B050000}"/>
    <cellStyle name="d_yield_Proj10_CompSheet_LANCE_Model_v0.6.DCF.MASTER.Name_Val_1_Book_Lecture_Notes_v3.06" xfId="600" xr:uid="{00000000-0005-0000-0000-00001C050000}"/>
    <cellStyle name="d_yield_Proj10_CompSheet_Val_1_Book_Lecture_Notes_v3.06" xfId="601" xr:uid="{00000000-0005-0000-0000-00001D050000}"/>
    <cellStyle name="d_yield_Proj10_Disc Analysis" xfId="602" xr:uid="{00000000-0005-0000-0000-00001E050000}"/>
    <cellStyle name="d_yield_Proj10_Disc Analysis_1 FM_101_Examples_v7.31McIntire" xfId="603" xr:uid="{00000000-0005-0000-0000-00001F050000}"/>
    <cellStyle name="d_yield_Proj10_Disc Analysis_1 FM_101_Examples_v7.31McIntire_1 FM_101_Examples_TWO-Day_v7.31" xfId="604" xr:uid="{00000000-0005-0000-0000-000020050000}"/>
    <cellStyle name="d_yield_Proj10_Disc Analysis_CompSheet" xfId="605" xr:uid="{00000000-0005-0000-0000-000021050000}"/>
    <cellStyle name="d_yield_Proj10_Disc Analysis_CompSheet_1 FM_101_Examples_v7.31McIntire" xfId="606" xr:uid="{00000000-0005-0000-0000-000022050000}"/>
    <cellStyle name="d_yield_Proj10_Disc Analysis_CompSheet_1 FM_101_Examples_v7.31McIntire_1 FM_101_Examples_TWO-Day_v7.31" xfId="607" xr:uid="{00000000-0005-0000-0000-000023050000}"/>
    <cellStyle name="d_yield_Proj10_Disc Analysis_CompSheet_Val_1_Book_Lecture_Notes_v3.06" xfId="608" xr:uid="{00000000-0005-0000-0000-000024050000}"/>
    <cellStyle name="d_yield_Proj10_Disc Analysis_THEsumPage (2)" xfId="609" xr:uid="{00000000-0005-0000-0000-000025050000}"/>
    <cellStyle name="d_yield_Proj10_Disc Analysis_THEsumPage (2)_1 FM_101_Examples_v7.31McIntire" xfId="610" xr:uid="{00000000-0005-0000-0000-000026050000}"/>
    <cellStyle name="d_yield_Proj10_Disc Analysis_THEsumPage (2)_1 FM_101_Examples_v7.31McIntire_1 FM_101_Examples_TWO-Day_v7.31" xfId="611" xr:uid="{00000000-0005-0000-0000-000027050000}"/>
    <cellStyle name="d_yield_Proj10_Disc Analysis_THEsumPage (2)_Val_1_Book_Lecture_Notes_v3.06" xfId="612" xr:uid="{00000000-0005-0000-0000-000028050000}"/>
    <cellStyle name="d_yield_Proj10_Disc Analysis_Val_1_Book_Lecture_Notes_v3.06" xfId="613" xr:uid="{00000000-0005-0000-0000-000029050000}"/>
    <cellStyle name="d_yield_Proj10_Fairness Opinion Valuation 4-23a.xls Chart 1" xfId="614" xr:uid="{00000000-0005-0000-0000-00002A050000}"/>
    <cellStyle name="d_yield_Proj10_Fairness Opinion Valuation 4-23a.xls Chart 1_LANCE_Model_v0.6.DCF.MASTER.Name" xfId="615" xr:uid="{00000000-0005-0000-0000-00002B050000}"/>
    <cellStyle name="d_yield_Proj10_Fairness Opinion Valuation 4-23a.xls Chart 1_LANCE_Model_v0.6.DCF.MASTER.Name_DCF &amp; Raios to CLX Tootsie_v1.33.xls" xfId="616" xr:uid="{00000000-0005-0000-0000-00002C050000}"/>
    <cellStyle name="d_yield_Proj10_Fairness Opinion Valuation 4-23a.xls Chart 1_LANCE_Model_v0.6.DCF.MASTER.Name_Tootsie_TWO_DAY_TTS_Solution_v1.34" xfId="617" xr:uid="{00000000-0005-0000-0000-00002D050000}"/>
    <cellStyle name="d_yield_Proj10_Fairness Opinion Valuation 4-23a.xls Chart 1_LANCE_Model_v0.6.DCF.MASTER.Name_Val_1_Book_Lecture_Notes_v3.06" xfId="618" xr:uid="{00000000-0005-0000-0000-00002E050000}"/>
    <cellStyle name="d_yield_Proj10_Fairness Opinion Valuation 4-23a.xls Chart 1_Val_1_Book_Lecture_Notes_v3.06" xfId="619" xr:uid="{00000000-0005-0000-0000-00002F050000}"/>
    <cellStyle name="d_yield_Proj10_LP Chart" xfId="620" xr:uid="{00000000-0005-0000-0000-000030050000}"/>
    <cellStyle name="d_yield_Proj10_LP Chart_LANCE_Model_v0.6.DCF.MASTER.Name" xfId="621" xr:uid="{00000000-0005-0000-0000-000031050000}"/>
    <cellStyle name="d_yield_Proj10_LP Chart_LANCE_Model_v0.6.DCF.MASTER.Name_DCF &amp; Raios to CLX Tootsie_v1.33.xls" xfId="622" xr:uid="{00000000-0005-0000-0000-000032050000}"/>
    <cellStyle name="d_yield_Proj10_LP Chart_LANCE_Model_v0.6.DCF.MASTER.Name_Tootsie_TWO_DAY_TTS_Solution_v1.34" xfId="623" xr:uid="{00000000-0005-0000-0000-000033050000}"/>
    <cellStyle name="d_yield_Proj10_LP Chart_LANCE_Model_v0.6.DCF.MASTER.Name_Val_1_Book_Lecture_Notes_v3.06" xfId="624" xr:uid="{00000000-0005-0000-0000-000034050000}"/>
    <cellStyle name="d_yield_Proj10_LP Chart_THEsumPage (2)" xfId="625" xr:uid="{00000000-0005-0000-0000-000035050000}"/>
    <cellStyle name="d_yield_Proj10_LP Chart_THEsumPage (2)_LANCE_Model_v0.6.DCF.MASTER.Name" xfId="626" xr:uid="{00000000-0005-0000-0000-000036050000}"/>
    <cellStyle name="d_yield_Proj10_LP Chart_THEsumPage (2)_LANCE_Model_v0.6.DCF.MASTER.Name_DCF &amp; Raios to CLX Tootsie_v1.33.xls" xfId="627" xr:uid="{00000000-0005-0000-0000-000037050000}"/>
    <cellStyle name="d_yield_Proj10_LP Chart_THEsumPage (2)_LANCE_Model_v0.6.DCF.MASTER.Name_Tootsie_TWO_DAY_TTS_Solution_v1.34" xfId="628" xr:uid="{00000000-0005-0000-0000-000038050000}"/>
    <cellStyle name="d_yield_Proj10_LP Chart_THEsumPage (2)_LANCE_Model_v0.6.DCF.MASTER.Name_Val_1_Book_Lecture_Notes_v3.06" xfId="629" xr:uid="{00000000-0005-0000-0000-000039050000}"/>
    <cellStyle name="d_yield_Proj10_LP Chart_THEsumPage (2)_Val_1_Book_Lecture_Notes_v3.06" xfId="630" xr:uid="{00000000-0005-0000-0000-00003A050000}"/>
    <cellStyle name="d_yield_Proj10_LP Chart_Val_1_Book_Lecture_Notes_v3.06" xfId="631" xr:uid="{00000000-0005-0000-0000-00003B050000}"/>
    <cellStyle name="d_yield_Proj10_Merg Cons" xfId="632" xr:uid="{00000000-0005-0000-0000-00003C050000}"/>
    <cellStyle name="d_yield_Proj10_Merg Cons_1 FM_101_Examples_v7.31McIntire" xfId="633" xr:uid="{00000000-0005-0000-0000-00003D050000}"/>
    <cellStyle name="d_yield_Proj10_Merg Cons_1 FM_101_Examples_v7.31McIntire_1 FM_101_Examples_TWO-Day_v7.31" xfId="634" xr:uid="{00000000-0005-0000-0000-00003E050000}"/>
    <cellStyle name="d_yield_Proj10_Merg Cons_CompSheet" xfId="635" xr:uid="{00000000-0005-0000-0000-00003F050000}"/>
    <cellStyle name="d_yield_Proj10_Merg Cons_CompSheet_1 FM_101_Examples_v7.31McIntire" xfId="636" xr:uid="{00000000-0005-0000-0000-000040050000}"/>
    <cellStyle name="d_yield_Proj10_Merg Cons_CompSheet_1 FM_101_Examples_v7.31McIntire_1 FM_101_Examples_TWO-Day_v7.31" xfId="637" xr:uid="{00000000-0005-0000-0000-000041050000}"/>
    <cellStyle name="d_yield_Proj10_Merg Cons_CompSheet_Val_1_Book_Lecture_Notes_v3.06" xfId="638" xr:uid="{00000000-0005-0000-0000-000042050000}"/>
    <cellStyle name="d_yield_Proj10_Merg Cons_THEsumPage (2)" xfId="639" xr:uid="{00000000-0005-0000-0000-000043050000}"/>
    <cellStyle name="d_yield_Proj10_Merg Cons_THEsumPage (2)_1 FM_101_Examples_v7.31McIntire" xfId="640" xr:uid="{00000000-0005-0000-0000-000044050000}"/>
    <cellStyle name="d_yield_Proj10_Merg Cons_THEsumPage (2)_1 FM_101_Examples_v7.31McIntire_1 FM_101_Examples_TWO-Day_v7.31" xfId="641" xr:uid="{00000000-0005-0000-0000-000045050000}"/>
    <cellStyle name="d_yield_Proj10_Merg Cons_THEsumPage (2)_Val_1_Book_Lecture_Notes_v3.06" xfId="642" xr:uid="{00000000-0005-0000-0000-000046050000}"/>
    <cellStyle name="d_yield_Proj10_Merg Cons_Val_1_Book_Lecture_Notes_v3.06" xfId="643" xr:uid="{00000000-0005-0000-0000-000047050000}"/>
    <cellStyle name="d_yield_Proj10_PowerValuation.xls Chart 21" xfId="644" xr:uid="{00000000-0005-0000-0000-000048050000}"/>
    <cellStyle name="d_yield_Proj10_PowerValuation.xls Chart 21_LANCE_Model_v0.6.DCF.MASTER.Name" xfId="645" xr:uid="{00000000-0005-0000-0000-000049050000}"/>
    <cellStyle name="d_yield_Proj10_PowerValuation.xls Chart 21_LANCE_Model_v0.6.DCF.MASTER.Name_DCF &amp; Raios to CLX Tootsie_v1.33.xls" xfId="646" xr:uid="{00000000-0005-0000-0000-00004A050000}"/>
    <cellStyle name="d_yield_Proj10_PowerValuation.xls Chart 21_LANCE_Model_v0.6.DCF.MASTER.Name_Tootsie_TWO_DAY_TTS_Solution_v1.34" xfId="647" xr:uid="{00000000-0005-0000-0000-00004B050000}"/>
    <cellStyle name="d_yield_Proj10_PowerValuation.xls Chart 21_LANCE_Model_v0.6.DCF.MASTER.Name_Val_1_Book_Lecture_Notes_v3.06" xfId="648" xr:uid="{00000000-0005-0000-0000-00004C050000}"/>
    <cellStyle name="d_yield_Proj10_PowerValuation.xls Chart 21_Val_1_Book_Lecture_Notes_v3.06" xfId="649" xr:uid="{00000000-0005-0000-0000-00004D050000}"/>
    <cellStyle name="d_yield_Proj10_PowerValuation.xls Chart 28" xfId="650" xr:uid="{00000000-0005-0000-0000-00004E050000}"/>
    <cellStyle name="d_yield_Proj10_PowerValuation.xls Chart 28_LANCE_Model_v0.6.DCF.MASTER.Name" xfId="651" xr:uid="{00000000-0005-0000-0000-00004F050000}"/>
    <cellStyle name="d_yield_Proj10_PowerValuation.xls Chart 28_LANCE_Model_v0.6.DCF.MASTER.Name_DCF &amp; Raios to CLX Tootsie_v1.33.xls" xfId="652" xr:uid="{00000000-0005-0000-0000-000050050000}"/>
    <cellStyle name="d_yield_Proj10_PowerValuation.xls Chart 28_LANCE_Model_v0.6.DCF.MASTER.Name_Tootsie_TWO_DAY_TTS_Solution_v1.34" xfId="653" xr:uid="{00000000-0005-0000-0000-000051050000}"/>
    <cellStyle name="d_yield_Proj10_PowerValuation.xls Chart 28_LANCE_Model_v0.6.DCF.MASTER.Name_Val_1_Book_Lecture_Notes_v3.06" xfId="654" xr:uid="{00000000-0005-0000-0000-000052050000}"/>
    <cellStyle name="d_yield_Proj10_PowerValuation.xls Chart 28_Val_1_Book_Lecture_Notes_v3.06" xfId="655" xr:uid="{00000000-0005-0000-0000-000053050000}"/>
    <cellStyle name="d_yield_Proj10_Sensitivity" xfId="656" xr:uid="{00000000-0005-0000-0000-000054050000}"/>
    <cellStyle name="d_yield_Proj10_Sensitivity_1 FM_101_Examples_v7.31McIntire" xfId="657" xr:uid="{00000000-0005-0000-0000-000055050000}"/>
    <cellStyle name="d_yield_Proj10_Sensitivity_1 FM_101_Examples_v7.31McIntire_1 FM_101_Examples_TWO-Day_v7.31" xfId="658" xr:uid="{00000000-0005-0000-0000-000056050000}"/>
    <cellStyle name="d_yield_Proj10_Sensitivity_CompSheet" xfId="659" xr:uid="{00000000-0005-0000-0000-000057050000}"/>
    <cellStyle name="d_yield_Proj10_Sensitivity_CompSheet_1 FM_101_Examples_v7.31McIntire" xfId="660" xr:uid="{00000000-0005-0000-0000-000058050000}"/>
    <cellStyle name="d_yield_Proj10_Sensitivity_CompSheet_1 FM_101_Examples_v7.31McIntire_1 FM_101_Examples_TWO-Day_v7.31" xfId="661" xr:uid="{00000000-0005-0000-0000-000059050000}"/>
    <cellStyle name="d_yield_Proj10_Sensitivity_CompSheet_Val_1_Book_Lecture_Notes_v3.06" xfId="662" xr:uid="{00000000-0005-0000-0000-00005A050000}"/>
    <cellStyle name="d_yield_Proj10_Sensitivity_THEsumPage (2)" xfId="663" xr:uid="{00000000-0005-0000-0000-00005B050000}"/>
    <cellStyle name="d_yield_Proj10_Sensitivity_THEsumPage (2)_1 FM_101_Examples_v7.31McIntire" xfId="664" xr:uid="{00000000-0005-0000-0000-00005C050000}"/>
    <cellStyle name="d_yield_Proj10_Sensitivity_THEsumPage (2)_1 FM_101_Examples_v7.31McIntire_1 FM_101_Examples_TWO-Day_v7.31" xfId="665" xr:uid="{00000000-0005-0000-0000-00005D050000}"/>
    <cellStyle name="d_yield_Proj10_Sensitivity_THEsumPage (2)_Val_1_Book_Lecture_Notes_v3.06" xfId="666" xr:uid="{00000000-0005-0000-0000-00005E050000}"/>
    <cellStyle name="d_yield_Proj10_Sensitivity_Val_1_Book_Lecture_Notes_v3.06" xfId="667" xr:uid="{00000000-0005-0000-0000-00005F050000}"/>
    <cellStyle name="d_yield_Proj10_show-hold" xfId="668" xr:uid="{00000000-0005-0000-0000-000060050000}"/>
    <cellStyle name="d_yield_Proj10_show-hold_1 FM_101_Examples_v7.31McIntire" xfId="669" xr:uid="{00000000-0005-0000-0000-000061050000}"/>
    <cellStyle name="d_yield_Proj10_show-hold_1 FM_101_Examples_v7.31McIntire_1 FM_101_Examples_TWO-Day_v7.31" xfId="670" xr:uid="{00000000-0005-0000-0000-000062050000}"/>
    <cellStyle name="d_yield_Proj10_show-hold_Graphic Depiction - NO DEV" xfId="671" xr:uid="{00000000-0005-0000-0000-000063050000}"/>
    <cellStyle name="d_yield_Proj10_show-hold_Graphic Depiction - NO DEV_1 FM_101_Examples_v7.31McIntire" xfId="672" xr:uid="{00000000-0005-0000-0000-000064050000}"/>
    <cellStyle name="d_yield_Proj10_show-hold_Graphic Depiction - NO DEV_1 FM_101_Examples_v7.31McIntire_1 FM_101_Examples_TWO-Day_v7.31" xfId="673" xr:uid="{00000000-0005-0000-0000-000065050000}"/>
    <cellStyle name="d_yield_Proj10_show-hold_Graphic Depiction - NO DEV_Val_1_Book_Lecture_Notes_v3.06" xfId="674" xr:uid="{00000000-0005-0000-0000-000066050000}"/>
    <cellStyle name="d_yield_Proj10_show-hold_THEsumPage (2)" xfId="675" xr:uid="{00000000-0005-0000-0000-000067050000}"/>
    <cellStyle name="d_yield_Proj10_show-hold_THEsumPage (2)_1 FM_101_Examples_v7.31McIntire" xfId="676" xr:uid="{00000000-0005-0000-0000-000068050000}"/>
    <cellStyle name="d_yield_Proj10_show-hold_THEsumPage (2)_1 FM_101_Examples_v7.31McIntire_1 FM_101_Examples_TWO-Day_v7.31" xfId="677" xr:uid="{00000000-0005-0000-0000-000069050000}"/>
    <cellStyle name="d_yield_Proj10_show-hold_THEsumPage (2)_Val_1_Book_Lecture_Notes_v3.06" xfId="678" xr:uid="{00000000-0005-0000-0000-00006A050000}"/>
    <cellStyle name="d_yield_Proj10_show-hold_Val_1_Book_Lecture_Notes_v3.06" xfId="679" xr:uid="{00000000-0005-0000-0000-00006B050000}"/>
    <cellStyle name="d_yield_Proj10_THEsumPage (2)" xfId="680" xr:uid="{00000000-0005-0000-0000-00006C050000}"/>
    <cellStyle name="d_yield_Proj10_THEsumPage (2)_LANCE_Model_v0.6.DCF.MASTER.Name" xfId="681" xr:uid="{00000000-0005-0000-0000-00006D050000}"/>
    <cellStyle name="d_yield_Proj10_THEsumPage (2)_LANCE_Model_v0.6.DCF.MASTER.Name_DCF &amp; Raios to CLX Tootsie_v1.33.xls" xfId="682" xr:uid="{00000000-0005-0000-0000-00006E050000}"/>
    <cellStyle name="d_yield_Proj10_THEsumPage (2)_LANCE_Model_v0.6.DCF.MASTER.Name_Tootsie_TWO_DAY_TTS_Solution_v1.34" xfId="683" xr:uid="{00000000-0005-0000-0000-00006F050000}"/>
    <cellStyle name="d_yield_Proj10_THEsumPage (2)_LANCE_Model_v0.6.DCF.MASTER.Name_Val_1_Book_Lecture_Notes_v3.06" xfId="684" xr:uid="{00000000-0005-0000-0000-000070050000}"/>
    <cellStyle name="d_yield_Proj10_THEsumPage (2)_Val_1_Book_Lecture_Notes_v3.06" xfId="685" xr:uid="{00000000-0005-0000-0000-000071050000}"/>
    <cellStyle name="d_yield_Proj10_Val_1_Book_Lecture_Notes_v3.06" xfId="686" xr:uid="{00000000-0005-0000-0000-000072050000}"/>
    <cellStyle name="d_yield_Proj10_Valuation summaries" xfId="687" xr:uid="{00000000-0005-0000-0000-000073050000}"/>
    <cellStyle name="d_yield_Proj10_Valuation summaries_LANCE_Model_v0.6.DCF.MASTER.Name" xfId="688" xr:uid="{00000000-0005-0000-0000-000074050000}"/>
    <cellStyle name="d_yield_Proj10_Valuation summaries_LANCE_Model_v0.6.DCF.MASTER.Name_DCF &amp; Raios to CLX Tootsie_v1.33.xls" xfId="689" xr:uid="{00000000-0005-0000-0000-000075050000}"/>
    <cellStyle name="d_yield_Proj10_Valuation summaries_LANCE_Model_v0.6.DCF.MASTER.Name_Tootsie_TWO_DAY_TTS_Solution_v1.34" xfId="690" xr:uid="{00000000-0005-0000-0000-000076050000}"/>
    <cellStyle name="d_yield_Proj10_Valuation summaries_LANCE_Model_v0.6.DCF.MASTER.Name_Val_1_Book_Lecture_Notes_v3.06" xfId="691" xr:uid="{00000000-0005-0000-0000-000077050000}"/>
    <cellStyle name="d_yield_Proj10_Valuation summaries_Val_1_Book_Lecture_Notes_v3.06" xfId="692" xr:uid="{00000000-0005-0000-0000-000078050000}"/>
    <cellStyle name="d_yield_Proj10_WACC-CableCar" xfId="693" xr:uid="{00000000-0005-0000-0000-000079050000}"/>
    <cellStyle name="d_yield_Proj10_WACC-CableCar_LANCE_Model_v0.6.DCF.MASTER.Name" xfId="694" xr:uid="{00000000-0005-0000-0000-00007A050000}"/>
    <cellStyle name="d_yield_Proj10_WACC-CableCar_LANCE_Model_v0.6.DCF.MASTER.Name_DCF &amp; Raios to CLX Tootsie_v1.33.xls" xfId="695" xr:uid="{00000000-0005-0000-0000-00007B050000}"/>
    <cellStyle name="d_yield_Proj10_WACC-CableCar_LANCE_Model_v0.6.DCF.MASTER.Name_Tootsie_TWO_DAY_TTS_Solution_v1.34" xfId="696" xr:uid="{00000000-0005-0000-0000-00007C050000}"/>
    <cellStyle name="d_yield_Proj10_WACC-CableCar_LANCE_Model_v0.6.DCF.MASTER.Name_Val_1_Book_Lecture_Notes_v3.06" xfId="697" xr:uid="{00000000-0005-0000-0000-00007D050000}"/>
    <cellStyle name="d_yield_Proj10_WACC-CableCar_THEsumPage (2)" xfId="698" xr:uid="{00000000-0005-0000-0000-00007E050000}"/>
    <cellStyle name="d_yield_Proj10_WACC-CableCar_THEsumPage (2)_LANCE_Model_v0.6.DCF.MASTER.Name" xfId="699" xr:uid="{00000000-0005-0000-0000-00007F050000}"/>
    <cellStyle name="d_yield_Proj10_WACC-CableCar_THEsumPage (2)_LANCE_Model_v0.6.DCF.MASTER.Name_DCF &amp; Raios to CLX Tootsie_v1.33.xls" xfId="700" xr:uid="{00000000-0005-0000-0000-000080050000}"/>
    <cellStyle name="d_yield_Proj10_WACC-CableCar_THEsumPage (2)_LANCE_Model_v0.6.DCF.MASTER.Name_Tootsie_TWO_DAY_TTS_Solution_v1.34" xfId="701" xr:uid="{00000000-0005-0000-0000-000081050000}"/>
    <cellStyle name="d_yield_Proj10_WACC-CableCar_THEsumPage (2)_LANCE_Model_v0.6.DCF.MASTER.Name_Val_1_Book_Lecture_Notes_v3.06" xfId="702" xr:uid="{00000000-0005-0000-0000-000082050000}"/>
    <cellStyle name="d_yield_Proj10_WACC-CableCar_THEsumPage (2)_Val_1_Book_Lecture_Notes_v3.06" xfId="703" xr:uid="{00000000-0005-0000-0000-000083050000}"/>
    <cellStyle name="d_yield_Proj10_WACC-CableCar_Val_1_Book_Lecture_Notes_v3.06" xfId="704" xr:uid="{00000000-0005-0000-0000-000084050000}"/>
    <cellStyle name="d_yield_Proj10_WACC-RAD (2)" xfId="705" xr:uid="{00000000-0005-0000-0000-000085050000}"/>
    <cellStyle name="d_yield_Proj10_WACC-RAD (2)_LANCE_Model_v0.6.DCF.MASTER.Name" xfId="706" xr:uid="{00000000-0005-0000-0000-000086050000}"/>
    <cellStyle name="d_yield_Proj10_WACC-RAD (2)_LANCE_Model_v0.6.DCF.MASTER.Name_DCF &amp; Raios to CLX Tootsie_v1.33.xls" xfId="707" xr:uid="{00000000-0005-0000-0000-000087050000}"/>
    <cellStyle name="d_yield_Proj10_WACC-RAD (2)_LANCE_Model_v0.6.DCF.MASTER.Name_Tootsie_TWO_DAY_TTS_Solution_v1.34" xfId="708" xr:uid="{00000000-0005-0000-0000-000088050000}"/>
    <cellStyle name="d_yield_Proj10_WACC-RAD (2)_LANCE_Model_v0.6.DCF.MASTER.Name_Val_1_Book_Lecture_Notes_v3.06" xfId="709" xr:uid="{00000000-0005-0000-0000-000089050000}"/>
    <cellStyle name="d_yield_Proj10_WACC-RAD (2)_THEsumPage (2)" xfId="710" xr:uid="{00000000-0005-0000-0000-00008A050000}"/>
    <cellStyle name="d_yield_Proj10_WACC-RAD (2)_THEsumPage (2)_LANCE_Model_v0.6.DCF.MASTER.Name" xfId="711" xr:uid="{00000000-0005-0000-0000-00008B050000}"/>
    <cellStyle name="d_yield_Proj10_WACC-RAD (2)_THEsumPage (2)_LANCE_Model_v0.6.DCF.MASTER.Name_DCF &amp; Raios to CLX Tootsie_v1.33.xls" xfId="712" xr:uid="{00000000-0005-0000-0000-00008C050000}"/>
    <cellStyle name="d_yield_Proj10_WACC-RAD (2)_THEsumPage (2)_LANCE_Model_v0.6.DCF.MASTER.Name_Tootsie_TWO_DAY_TTS_Solution_v1.34" xfId="713" xr:uid="{00000000-0005-0000-0000-00008D050000}"/>
    <cellStyle name="d_yield_Proj10_WACC-RAD (2)_THEsumPage (2)_LANCE_Model_v0.6.DCF.MASTER.Name_Val_1_Book_Lecture_Notes_v3.06" xfId="714" xr:uid="{00000000-0005-0000-0000-00008E050000}"/>
    <cellStyle name="d_yield_Proj10_WACC-RAD (2)_THEsumPage (2)_Val_1_Book_Lecture_Notes_v3.06" xfId="715" xr:uid="{00000000-0005-0000-0000-00008F050000}"/>
    <cellStyle name="d_yield_Proj10_WACC-RAD (2)_Val_1_Book_Lecture_Notes_v3.06" xfId="716" xr:uid="{00000000-0005-0000-0000-000090050000}"/>
    <cellStyle name="d_yield_Sensitivity" xfId="717" xr:uid="{00000000-0005-0000-0000-000091050000}"/>
    <cellStyle name="d_yield_Sensitivity_1 FM_101_Examples_v7.31McIntire" xfId="718" xr:uid="{00000000-0005-0000-0000-000092050000}"/>
    <cellStyle name="d_yield_Sensitivity_1 FM_101_Examples_v7.31McIntire_1 FM_101_Examples_TWO-Day_v7.31" xfId="719" xr:uid="{00000000-0005-0000-0000-000093050000}"/>
    <cellStyle name="d_yield_Sensitivity_CompSheet" xfId="720" xr:uid="{00000000-0005-0000-0000-000094050000}"/>
    <cellStyle name="d_yield_Sensitivity_CompSheet_1 FM_101_Examples_v7.31McIntire" xfId="721" xr:uid="{00000000-0005-0000-0000-000095050000}"/>
    <cellStyle name="d_yield_Sensitivity_CompSheet_1 FM_101_Examples_v7.31McIntire_1 FM_101_Examples_TWO-Day_v7.31" xfId="722" xr:uid="{00000000-0005-0000-0000-000096050000}"/>
    <cellStyle name="d_yield_Sensitivity_CompSheet_Val_1_Book_Lecture_Notes_v3.06" xfId="723" xr:uid="{00000000-0005-0000-0000-000097050000}"/>
    <cellStyle name="d_yield_Sensitivity_THEsumPage (2)" xfId="724" xr:uid="{00000000-0005-0000-0000-000098050000}"/>
    <cellStyle name="d_yield_Sensitivity_THEsumPage (2)_1 FM_101_Examples_v7.31McIntire" xfId="725" xr:uid="{00000000-0005-0000-0000-000099050000}"/>
    <cellStyle name="d_yield_Sensitivity_THEsumPage (2)_1 FM_101_Examples_v7.31McIntire_1 FM_101_Examples_TWO-Day_v7.31" xfId="726" xr:uid="{00000000-0005-0000-0000-00009A050000}"/>
    <cellStyle name="d_yield_Sensitivity_THEsumPage (2)_Val_1_Book_Lecture_Notes_v3.06" xfId="727" xr:uid="{00000000-0005-0000-0000-00009B050000}"/>
    <cellStyle name="d_yield_Sensitivity_Val_1_Book_Lecture_Notes_v3.06" xfId="728" xr:uid="{00000000-0005-0000-0000-00009C050000}"/>
    <cellStyle name="d_yield_show-hold" xfId="729" xr:uid="{00000000-0005-0000-0000-00009D050000}"/>
    <cellStyle name="d_yield_show-hold_1 FM_101_Examples_v7.31McIntire" xfId="730" xr:uid="{00000000-0005-0000-0000-00009E050000}"/>
    <cellStyle name="d_yield_show-hold_1 FM_101_Examples_v7.31McIntire_1 FM_101_Examples_TWO-Day_v7.31" xfId="731" xr:uid="{00000000-0005-0000-0000-00009F050000}"/>
    <cellStyle name="d_yield_show-hold_CompSheet" xfId="732" xr:uid="{00000000-0005-0000-0000-0000A0050000}"/>
    <cellStyle name="d_yield_show-hold_CompSheet_1 FM_101_Examples_v7.31McIntire" xfId="733" xr:uid="{00000000-0005-0000-0000-0000A1050000}"/>
    <cellStyle name="d_yield_show-hold_CompSheet_1 FM_101_Examples_v7.31McIntire_1 FM_101_Examples_TWO-Day_v7.31" xfId="734" xr:uid="{00000000-0005-0000-0000-0000A2050000}"/>
    <cellStyle name="d_yield_show-hold_CompSheet_Val_1_Book_Lecture_Notes_v3.06" xfId="735" xr:uid="{00000000-0005-0000-0000-0000A3050000}"/>
    <cellStyle name="d_yield_show-hold_THEsumPage (2)" xfId="736" xr:uid="{00000000-0005-0000-0000-0000A4050000}"/>
    <cellStyle name="d_yield_show-hold_THEsumPage (2)_1 FM_101_Examples_v7.31McIntire" xfId="737" xr:uid="{00000000-0005-0000-0000-0000A5050000}"/>
    <cellStyle name="d_yield_show-hold_THEsumPage (2)_1 FM_101_Examples_v7.31McIntire_1 FM_101_Examples_TWO-Day_v7.31" xfId="738" xr:uid="{00000000-0005-0000-0000-0000A6050000}"/>
    <cellStyle name="d_yield_show-hold_THEsumPage (2)_Val_1_Book_Lecture_Notes_v3.06" xfId="739" xr:uid="{00000000-0005-0000-0000-0000A7050000}"/>
    <cellStyle name="d_yield_show-hold_Val_1_Book_Lecture_Notes_v3.06" xfId="740" xr:uid="{00000000-0005-0000-0000-0000A8050000}"/>
    <cellStyle name="d_yield_THEsumPage (2)" xfId="741" xr:uid="{00000000-0005-0000-0000-0000A9050000}"/>
    <cellStyle name="d_yield_THEsumPage (2)_LANCE_Model_v0.6.DCF.MASTER.Name" xfId="742" xr:uid="{00000000-0005-0000-0000-0000AA050000}"/>
    <cellStyle name="d_yield_THEsumPage (2)_LANCE_Model_v0.6.DCF.MASTER.Name_DCF &amp; Raios to CLX Tootsie_v1.33.xls" xfId="743" xr:uid="{00000000-0005-0000-0000-0000AB050000}"/>
    <cellStyle name="d_yield_THEsumPage (2)_LANCE_Model_v0.6.DCF.MASTER.Name_Tootsie_TWO_DAY_TTS_Solution_v1.34" xfId="744" xr:uid="{00000000-0005-0000-0000-0000AC050000}"/>
    <cellStyle name="d_yield_THEsumPage (2)_LANCE_Model_v0.6.DCF.MASTER.Name_Val_1_Book_Lecture_Notes_v3.06" xfId="745" xr:uid="{00000000-0005-0000-0000-0000AD050000}"/>
    <cellStyle name="d_yield_THEsumPage (2)_Val_1_Book_Lecture_Notes_v3.06" xfId="746" xr:uid="{00000000-0005-0000-0000-0000AE050000}"/>
    <cellStyle name="d_yield_Val_1_Book_Lecture_Notes_v3.06" xfId="747" xr:uid="{00000000-0005-0000-0000-0000AF050000}"/>
    <cellStyle name="d_yield_Valuation summaries" xfId="748" xr:uid="{00000000-0005-0000-0000-0000B0050000}"/>
    <cellStyle name="d_yield_Valuation summaries_LANCE_Model_v0.6.DCF.MASTER.Name" xfId="749" xr:uid="{00000000-0005-0000-0000-0000B1050000}"/>
    <cellStyle name="d_yield_Valuation summaries_LANCE_Model_v0.6.DCF.MASTER.Name_DCF &amp; Raios to CLX Tootsie_v1.33.xls" xfId="750" xr:uid="{00000000-0005-0000-0000-0000B2050000}"/>
    <cellStyle name="d_yield_Valuation summaries_LANCE_Model_v0.6.DCF.MASTER.Name_Tootsie_TWO_DAY_TTS_Solution_v1.34" xfId="751" xr:uid="{00000000-0005-0000-0000-0000B3050000}"/>
    <cellStyle name="d_yield_Valuation summaries_LANCE_Model_v0.6.DCF.MASTER.Name_Val_1_Book_Lecture_Notes_v3.06" xfId="752" xr:uid="{00000000-0005-0000-0000-0000B4050000}"/>
    <cellStyle name="d_yield_Valuation summaries_Val_1_Book_Lecture_Notes_v3.06" xfId="753" xr:uid="{00000000-0005-0000-0000-0000B5050000}"/>
    <cellStyle name="d_yield_WACC-CableCar" xfId="754" xr:uid="{00000000-0005-0000-0000-0000B6050000}"/>
    <cellStyle name="d_yield_WACC-CableCar_LANCE_Model_v0.6.DCF.MASTER.Name" xfId="755" xr:uid="{00000000-0005-0000-0000-0000B7050000}"/>
    <cellStyle name="d_yield_WACC-CableCar_LANCE_Model_v0.6.DCF.MASTER.Name_DCF &amp; Raios to CLX Tootsie_v1.33.xls" xfId="756" xr:uid="{00000000-0005-0000-0000-0000B8050000}"/>
    <cellStyle name="d_yield_WACC-CableCar_LANCE_Model_v0.6.DCF.MASTER.Name_Tootsie_TWO_DAY_TTS_Solution_v1.34" xfId="757" xr:uid="{00000000-0005-0000-0000-0000B9050000}"/>
    <cellStyle name="d_yield_WACC-CableCar_LANCE_Model_v0.6.DCF.MASTER.Name_Val_1_Book_Lecture_Notes_v3.06" xfId="758" xr:uid="{00000000-0005-0000-0000-0000BA050000}"/>
    <cellStyle name="d_yield_WACC-CableCar_THEsumPage (2)" xfId="759" xr:uid="{00000000-0005-0000-0000-0000BB050000}"/>
    <cellStyle name="d_yield_WACC-CableCar_THEsumPage (2)_LANCE_Model_v0.6.DCF.MASTER.Name" xfId="760" xr:uid="{00000000-0005-0000-0000-0000BC050000}"/>
    <cellStyle name="d_yield_WACC-CableCar_THEsumPage (2)_LANCE_Model_v0.6.DCF.MASTER.Name_DCF &amp; Raios to CLX Tootsie_v1.33.xls" xfId="761" xr:uid="{00000000-0005-0000-0000-0000BD050000}"/>
    <cellStyle name="d_yield_WACC-CableCar_THEsumPage (2)_LANCE_Model_v0.6.DCF.MASTER.Name_Tootsie_TWO_DAY_TTS_Solution_v1.34" xfId="762" xr:uid="{00000000-0005-0000-0000-0000BE050000}"/>
    <cellStyle name="d_yield_WACC-CableCar_THEsumPage (2)_LANCE_Model_v0.6.DCF.MASTER.Name_Val_1_Book_Lecture_Notes_v3.06" xfId="763" xr:uid="{00000000-0005-0000-0000-0000BF050000}"/>
    <cellStyle name="d_yield_WACC-CableCar_THEsumPage (2)_Val_1_Book_Lecture_Notes_v3.06" xfId="764" xr:uid="{00000000-0005-0000-0000-0000C0050000}"/>
    <cellStyle name="d_yield_WACC-CableCar_Val_1_Book_Lecture_Notes_v3.06" xfId="765" xr:uid="{00000000-0005-0000-0000-0000C1050000}"/>
    <cellStyle name="d_yield_WACC-RAD (2)" xfId="766" xr:uid="{00000000-0005-0000-0000-0000C2050000}"/>
    <cellStyle name="d_yield_WACC-RAD (2)_LANCE_Model_v0.6.DCF.MASTER.Name" xfId="767" xr:uid="{00000000-0005-0000-0000-0000C3050000}"/>
    <cellStyle name="d_yield_WACC-RAD (2)_LANCE_Model_v0.6.DCF.MASTER.Name_DCF &amp; Raios to CLX Tootsie_v1.33.xls" xfId="768" xr:uid="{00000000-0005-0000-0000-0000C4050000}"/>
    <cellStyle name="d_yield_WACC-RAD (2)_LANCE_Model_v0.6.DCF.MASTER.Name_Tootsie_TWO_DAY_TTS_Solution_v1.34" xfId="769" xr:uid="{00000000-0005-0000-0000-0000C5050000}"/>
    <cellStyle name="d_yield_WACC-RAD (2)_LANCE_Model_v0.6.DCF.MASTER.Name_Val_1_Book_Lecture_Notes_v3.06" xfId="770" xr:uid="{00000000-0005-0000-0000-0000C6050000}"/>
    <cellStyle name="d_yield_WACC-RAD (2)_THEsumPage (2)" xfId="771" xr:uid="{00000000-0005-0000-0000-0000C7050000}"/>
    <cellStyle name="d_yield_WACC-RAD (2)_THEsumPage (2)_LANCE_Model_v0.6.DCF.MASTER.Name" xfId="772" xr:uid="{00000000-0005-0000-0000-0000C8050000}"/>
    <cellStyle name="d_yield_WACC-RAD (2)_THEsumPage (2)_LANCE_Model_v0.6.DCF.MASTER.Name_DCF &amp; Raios to CLX Tootsie_v1.33.xls" xfId="773" xr:uid="{00000000-0005-0000-0000-0000C9050000}"/>
    <cellStyle name="d_yield_WACC-RAD (2)_THEsumPage (2)_LANCE_Model_v0.6.DCF.MASTER.Name_Tootsie_TWO_DAY_TTS_Solution_v1.34" xfId="774" xr:uid="{00000000-0005-0000-0000-0000CA050000}"/>
    <cellStyle name="d_yield_WACC-RAD (2)_THEsumPage (2)_LANCE_Model_v0.6.DCF.MASTER.Name_Val_1_Book_Lecture_Notes_v3.06" xfId="775" xr:uid="{00000000-0005-0000-0000-0000CB050000}"/>
    <cellStyle name="d_yield_WACC-RAD (2)_THEsumPage (2)_Val_1_Book_Lecture_Notes_v3.06" xfId="776" xr:uid="{00000000-0005-0000-0000-0000CC050000}"/>
    <cellStyle name="d_yield_WACC-RAD (2)_Val_1_Book_Lecture_Notes_v3.06" xfId="777" xr:uid="{00000000-0005-0000-0000-0000CD050000}"/>
    <cellStyle name="Dash" xfId="778" xr:uid="{00000000-0005-0000-0000-0000CE050000}"/>
    <cellStyle name="Dash 2" xfId="1880" xr:uid="{00000000-0005-0000-0000-0000CF050000}"/>
    <cellStyle name="data" xfId="779" xr:uid="{00000000-0005-0000-0000-0000D0050000}"/>
    <cellStyle name="Date" xfId="780" xr:uid="{00000000-0005-0000-0000-0000D1050000}"/>
    <cellStyle name="Date 2" xfId="1881" xr:uid="{00000000-0005-0000-0000-0000D2050000}"/>
    <cellStyle name="Date, mmm-yy" xfId="1882" xr:uid="{00000000-0005-0000-0000-0000D3050000}"/>
    <cellStyle name="Date, mmm-yy 2" xfId="11091" xr:uid="{00000000-0005-0000-0000-0000D4050000}"/>
    <cellStyle name="D-No Decimal" xfId="1883" xr:uid="{00000000-0005-0000-0000-0000D5050000}"/>
    <cellStyle name="dollar" xfId="781" xr:uid="{00000000-0005-0000-0000-0000D6050000}"/>
    <cellStyle name="dollar[0]" xfId="782" xr:uid="{00000000-0005-0000-0000-0000D7050000}"/>
    <cellStyle name="dollar_MBA_Val_101_CAD_2009_BACKUP_v1.0_Draft_10" xfId="783" xr:uid="{00000000-0005-0000-0000-0000D8050000}"/>
    <cellStyle name="Dollars" xfId="784" xr:uid="{00000000-0005-0000-0000-0000D9050000}"/>
    <cellStyle name="Dollars []" xfId="785" xr:uid="{00000000-0005-0000-0000-0000DA050000}"/>
    <cellStyle name="Dollars_Annotated_Templates_Hershey-2006_0.2" xfId="786" xr:uid="{00000000-0005-0000-0000-0000DB050000}"/>
    <cellStyle name="En miles" xfId="1884" xr:uid="{00000000-0005-0000-0000-0000DC050000}"/>
    <cellStyle name="En millones" xfId="1885" xr:uid="{00000000-0005-0000-0000-0000DD050000}"/>
    <cellStyle name="Encabezado 4" xfId="1886" xr:uid="{00000000-0005-0000-0000-0000DE050000}"/>
    <cellStyle name="Ênfase1" xfId="1887" xr:uid="{00000000-0005-0000-0000-0000DF050000}"/>
    <cellStyle name="Ênfase2" xfId="1888" xr:uid="{00000000-0005-0000-0000-0000E0050000}"/>
    <cellStyle name="Ênfase3" xfId="1889" xr:uid="{00000000-0005-0000-0000-0000E1050000}"/>
    <cellStyle name="Ênfase4" xfId="1890" xr:uid="{00000000-0005-0000-0000-0000E2050000}"/>
    <cellStyle name="Ênfase5" xfId="1891" xr:uid="{00000000-0005-0000-0000-0000E3050000}"/>
    <cellStyle name="Ênfase6" xfId="1892" xr:uid="{00000000-0005-0000-0000-0000E4050000}"/>
    <cellStyle name="Énfasis1" xfId="1893" xr:uid="{00000000-0005-0000-0000-0000E5050000}"/>
    <cellStyle name="Énfasis2" xfId="1894" xr:uid="{00000000-0005-0000-0000-0000E6050000}"/>
    <cellStyle name="Énfasis3" xfId="1895" xr:uid="{00000000-0005-0000-0000-0000E7050000}"/>
    <cellStyle name="Énfasis4" xfId="1896" xr:uid="{00000000-0005-0000-0000-0000E8050000}"/>
    <cellStyle name="Énfasis5" xfId="1897" xr:uid="{00000000-0005-0000-0000-0000E9050000}"/>
    <cellStyle name="Énfasis6" xfId="1898" xr:uid="{00000000-0005-0000-0000-0000EA050000}"/>
    <cellStyle name="Entered" xfId="366" xr:uid="{00000000-0005-0000-0000-0000EB050000}"/>
    <cellStyle name="EnteredGrowth" xfId="367" xr:uid="{00000000-0005-0000-0000-0000EC050000}"/>
    <cellStyle name="Entrada" xfId="1899" xr:uid="{00000000-0005-0000-0000-0000ED050000}"/>
    <cellStyle name="Entrada 2" xfId="11092" xr:uid="{00000000-0005-0000-0000-0000EE050000}"/>
    <cellStyle name="eps" xfId="787" xr:uid="{00000000-0005-0000-0000-0000EF050000}"/>
    <cellStyle name="eps$" xfId="788" xr:uid="{00000000-0005-0000-0000-0000F0050000}"/>
    <cellStyle name="eps$A" xfId="789" xr:uid="{00000000-0005-0000-0000-0000F1050000}"/>
    <cellStyle name="eps$E" xfId="790" xr:uid="{00000000-0005-0000-0000-0000F2050000}"/>
    <cellStyle name="eps_1 FM_101_Examples_v7.31McIntire" xfId="791" xr:uid="{00000000-0005-0000-0000-0000F3050000}"/>
    <cellStyle name="epsA" xfId="792" xr:uid="{00000000-0005-0000-0000-0000F4050000}"/>
    <cellStyle name="epsE" xfId="793" xr:uid="{00000000-0005-0000-0000-0000F5050000}"/>
    <cellStyle name="Euro" xfId="794" xr:uid="{00000000-0005-0000-0000-0000F6050000}"/>
    <cellStyle name="Euro-" xfId="795" xr:uid="{00000000-0005-0000-0000-0000F7050000}"/>
    <cellStyle name="Euro 2" xfId="1900" xr:uid="{00000000-0005-0000-0000-0000F8050000}"/>
    <cellStyle name="Euro 3" xfId="2123" xr:uid="{00000000-0005-0000-0000-0000F9050000}"/>
    <cellStyle name="Euro 4" xfId="11093" xr:uid="{00000000-0005-0000-0000-0000FA050000}"/>
    <cellStyle name="Explanatory Text" xfId="1758" builtinId="53" customBuiltin="1"/>
    <cellStyle name="Explanatory Text 2" xfId="62" xr:uid="{00000000-0005-0000-0000-0000FC050000}"/>
    <cellStyle name="Explanatory Text 3" xfId="796" xr:uid="{00000000-0005-0000-0000-0000FD050000}"/>
    <cellStyle name="ExternalFormula" xfId="797" xr:uid="{00000000-0005-0000-0000-0000FE050000}"/>
    <cellStyle name="F2" xfId="1901" xr:uid="{00000000-0005-0000-0000-0000FF050000}"/>
    <cellStyle name="F3" xfId="1902" xr:uid="{00000000-0005-0000-0000-000000060000}"/>
    <cellStyle name="F4" xfId="1903" xr:uid="{00000000-0005-0000-0000-000001060000}"/>
    <cellStyle name="F5" xfId="1904" xr:uid="{00000000-0005-0000-0000-000002060000}"/>
    <cellStyle name="F6" xfId="1905" xr:uid="{00000000-0005-0000-0000-000003060000}"/>
    <cellStyle name="F7" xfId="1906" xr:uid="{00000000-0005-0000-0000-000004060000}"/>
    <cellStyle name="F8" xfId="1907" xr:uid="{00000000-0005-0000-0000-000005060000}"/>
    <cellStyle name="facha" xfId="1908" xr:uid="{00000000-0005-0000-0000-000006060000}"/>
    <cellStyle name="Fit" xfId="798" xr:uid="{00000000-0005-0000-0000-000007060000}"/>
    <cellStyle name="Fixed" xfId="1909" xr:uid="{00000000-0005-0000-0000-000008060000}"/>
    <cellStyle name="FontanaPh#" xfId="177" xr:uid="{00000000-0005-0000-0000-000009060000}"/>
    <cellStyle name="Fraction Change" xfId="1910" xr:uid="{00000000-0005-0000-0000-00000A060000}"/>
    <cellStyle name="Fractions" xfId="1911" xr:uid="{00000000-0005-0000-0000-00000B060000}"/>
    <cellStyle name="fy_eps$" xfId="799" xr:uid="{00000000-0005-0000-0000-00000C060000}"/>
    <cellStyle name="g_rate" xfId="800" xr:uid="{00000000-0005-0000-0000-00000D060000}"/>
    <cellStyle name="g_rate_1 FM_101_Examples_v7.31McIntire" xfId="801" xr:uid="{00000000-0005-0000-0000-00000E060000}"/>
    <cellStyle name="g_rate_1 FM_101_Examples_v7.31McIntire_1 FM_101_Examples_TWO-Day_v7.31" xfId="802" xr:uid="{00000000-0005-0000-0000-00000F060000}"/>
    <cellStyle name="g_rate_AVP" xfId="803" xr:uid="{00000000-0005-0000-0000-000010060000}"/>
    <cellStyle name="g_rate_AVP_1 FM_101_Examples_v7.31McIntire" xfId="804" xr:uid="{00000000-0005-0000-0000-000011060000}"/>
    <cellStyle name="g_rate_AVP_1 FM_101_Examples_v7.31McIntire_1 FM_101_Examples_TWO-Day_v7.31" xfId="805" xr:uid="{00000000-0005-0000-0000-000012060000}"/>
    <cellStyle name="g_rate_AVP_Graphic Depiction - NO DEV" xfId="806" xr:uid="{00000000-0005-0000-0000-000013060000}"/>
    <cellStyle name="g_rate_AVP_Graphic Depiction - NO DEV_1 FM_101_Examples_v7.31McIntire" xfId="807" xr:uid="{00000000-0005-0000-0000-000014060000}"/>
    <cellStyle name="g_rate_AVP_Graphic Depiction - NO DEV_1 FM_101_Examples_v7.31McIntire_1 FM_101_Examples_TWO-Day_v7.31" xfId="808" xr:uid="{00000000-0005-0000-0000-000015060000}"/>
    <cellStyle name="g_rate_AVP_Graphic Depiction - NO DEV_Val_1_Book_Lecture_Notes_v3.06" xfId="809" xr:uid="{00000000-0005-0000-0000-000016060000}"/>
    <cellStyle name="g_rate_AVP_THEsumPage (2)" xfId="810" xr:uid="{00000000-0005-0000-0000-000017060000}"/>
    <cellStyle name="g_rate_AVP_THEsumPage (2)_1 FM_101_Examples_v7.31McIntire" xfId="811" xr:uid="{00000000-0005-0000-0000-000018060000}"/>
    <cellStyle name="g_rate_AVP_THEsumPage (2)_1 FM_101_Examples_v7.31McIntire_1 FM_101_Examples_TWO-Day_v7.31" xfId="812" xr:uid="{00000000-0005-0000-0000-000019060000}"/>
    <cellStyle name="g_rate_AVP_THEsumPage (2)_Val_1_Book_Lecture_Notes_v3.06" xfId="813" xr:uid="{00000000-0005-0000-0000-00001A060000}"/>
    <cellStyle name="g_rate_AVP_Val_1_Book_Lecture_Notes_v3.06" xfId="814" xr:uid="{00000000-0005-0000-0000-00001B060000}"/>
    <cellStyle name="g_rate_CompSheet" xfId="815" xr:uid="{00000000-0005-0000-0000-00001C060000}"/>
    <cellStyle name="g_rate_CompSheet_LANCE_Model_v0.6.DCF.MASTER.Name" xfId="816" xr:uid="{00000000-0005-0000-0000-00001D060000}"/>
    <cellStyle name="g_rate_CompSheet_LANCE_Model_v0.6.DCF.MASTER.Name_DCF &amp; Raios to CLX Tootsie_v1.33.xls" xfId="817" xr:uid="{00000000-0005-0000-0000-00001E060000}"/>
    <cellStyle name="g_rate_CompSheet_LANCE_Model_v0.6.DCF.MASTER.Name_Tootsie_TWO_DAY_TTS_Solution_v1.34" xfId="818" xr:uid="{00000000-0005-0000-0000-00001F060000}"/>
    <cellStyle name="g_rate_CompSheet_LANCE_Model_v0.6.DCF.MASTER.Name_Val_1_Book_Lecture_Notes_v3.06" xfId="819" xr:uid="{00000000-0005-0000-0000-000020060000}"/>
    <cellStyle name="g_rate_CompSheet_Val_1_Book_Lecture_Notes_v3.06" xfId="820" xr:uid="{00000000-0005-0000-0000-000021060000}"/>
    <cellStyle name="g_rate_Disc Analysis" xfId="821" xr:uid="{00000000-0005-0000-0000-000022060000}"/>
    <cellStyle name="g_rate_Disc Analysis_1 FM_101_Examples_v7.31McIntire" xfId="822" xr:uid="{00000000-0005-0000-0000-000023060000}"/>
    <cellStyle name="g_rate_Disc Analysis_1 FM_101_Examples_v7.31McIntire_1 FM_101_Examples_TWO-Day_v7.31" xfId="823" xr:uid="{00000000-0005-0000-0000-000024060000}"/>
    <cellStyle name="g_rate_Disc Analysis_CompSheet" xfId="824" xr:uid="{00000000-0005-0000-0000-000025060000}"/>
    <cellStyle name="g_rate_Disc Analysis_CompSheet_1 FM_101_Examples_v7.31McIntire" xfId="825" xr:uid="{00000000-0005-0000-0000-000026060000}"/>
    <cellStyle name="g_rate_Disc Analysis_CompSheet_1 FM_101_Examples_v7.31McIntire_1 FM_101_Examples_TWO-Day_v7.31" xfId="826" xr:uid="{00000000-0005-0000-0000-000027060000}"/>
    <cellStyle name="g_rate_Disc Analysis_CompSheet_Val_1_Book_Lecture_Notes_v3.06" xfId="827" xr:uid="{00000000-0005-0000-0000-000028060000}"/>
    <cellStyle name="g_rate_Disc Analysis_THEsumPage (2)" xfId="828" xr:uid="{00000000-0005-0000-0000-000029060000}"/>
    <cellStyle name="g_rate_Disc Analysis_THEsumPage (2)_1 FM_101_Examples_v7.31McIntire" xfId="829" xr:uid="{00000000-0005-0000-0000-00002A060000}"/>
    <cellStyle name="g_rate_Disc Analysis_THEsumPage (2)_1 FM_101_Examples_v7.31McIntire_1 FM_101_Examples_TWO-Day_v7.31" xfId="830" xr:uid="{00000000-0005-0000-0000-00002B060000}"/>
    <cellStyle name="g_rate_Disc Analysis_THEsumPage (2)_Val_1_Book_Lecture_Notes_v3.06" xfId="831" xr:uid="{00000000-0005-0000-0000-00002C060000}"/>
    <cellStyle name="g_rate_Disc Analysis_Val_1_Book_Lecture_Notes_v3.06" xfId="832" xr:uid="{00000000-0005-0000-0000-00002D060000}"/>
    <cellStyle name="g_rate_Fairness Opinion Valuation 4-23a.xls Chart 1" xfId="833" xr:uid="{00000000-0005-0000-0000-00002E060000}"/>
    <cellStyle name="g_rate_Fairness Opinion Valuation 4-23a.xls Chart 1_LANCE_Model_v0.6.DCF.MASTER.Name" xfId="834" xr:uid="{00000000-0005-0000-0000-00002F060000}"/>
    <cellStyle name="g_rate_Fairness Opinion Valuation 4-23a.xls Chart 1_LANCE_Model_v0.6.DCF.MASTER.Name_DCF &amp; Raios to CLX Tootsie_v1.33.xls" xfId="835" xr:uid="{00000000-0005-0000-0000-000030060000}"/>
    <cellStyle name="g_rate_Fairness Opinion Valuation 4-23a.xls Chart 1_LANCE_Model_v0.6.DCF.MASTER.Name_Tootsie_TWO_DAY_TTS_Solution_v1.34" xfId="836" xr:uid="{00000000-0005-0000-0000-000031060000}"/>
    <cellStyle name="g_rate_Fairness Opinion Valuation 4-23a.xls Chart 1_LANCE_Model_v0.6.DCF.MASTER.Name_Val_1_Book_Lecture_Notes_v3.06" xfId="837" xr:uid="{00000000-0005-0000-0000-000032060000}"/>
    <cellStyle name="g_rate_Fairness Opinion Valuation 4-23a.xls Chart 1_Val_1_Book_Lecture_Notes_v3.06" xfId="838" xr:uid="{00000000-0005-0000-0000-000033060000}"/>
    <cellStyle name="g_rate_LP Chart" xfId="839" xr:uid="{00000000-0005-0000-0000-000034060000}"/>
    <cellStyle name="g_rate_LP Chart_THEsumPage (2)" xfId="840" xr:uid="{00000000-0005-0000-0000-000035060000}"/>
    <cellStyle name="g_rate_LP Chart_THEsumPage (2)_Val_1_Book_Lecture_Notes_v3.06" xfId="841" xr:uid="{00000000-0005-0000-0000-000036060000}"/>
    <cellStyle name="g_rate_LP Chart_Val_1_Book_Lecture_Notes_v3.06" xfId="842" xr:uid="{00000000-0005-0000-0000-000037060000}"/>
    <cellStyle name="g_rate_Merg Cons" xfId="843" xr:uid="{00000000-0005-0000-0000-000038060000}"/>
    <cellStyle name="g_rate_Merg Cons_1 FM_101_Examples_v7.31McIntire" xfId="844" xr:uid="{00000000-0005-0000-0000-000039060000}"/>
    <cellStyle name="g_rate_Merg Cons_1 FM_101_Examples_v7.31McIntire_1 FM_101_Examples_TWO-Day_v7.31" xfId="845" xr:uid="{00000000-0005-0000-0000-00003A060000}"/>
    <cellStyle name="g_rate_Merg Cons_CompSheet" xfId="846" xr:uid="{00000000-0005-0000-0000-00003B060000}"/>
    <cellStyle name="g_rate_Merg Cons_CompSheet_1 FM_101_Examples_v7.31McIntire" xfId="847" xr:uid="{00000000-0005-0000-0000-00003C060000}"/>
    <cellStyle name="g_rate_Merg Cons_CompSheet_1 FM_101_Examples_v7.31McIntire_1 FM_101_Examples_TWO-Day_v7.31" xfId="848" xr:uid="{00000000-0005-0000-0000-00003D060000}"/>
    <cellStyle name="g_rate_Merg Cons_CompSheet_Val_1_Book_Lecture_Notes_v3.06" xfId="849" xr:uid="{00000000-0005-0000-0000-00003E060000}"/>
    <cellStyle name="g_rate_Merg Cons_THEsumPage (2)" xfId="850" xr:uid="{00000000-0005-0000-0000-00003F060000}"/>
    <cellStyle name="g_rate_Merg Cons_THEsumPage (2)_1 FM_101_Examples_v7.31McIntire" xfId="851" xr:uid="{00000000-0005-0000-0000-000040060000}"/>
    <cellStyle name="g_rate_Merg Cons_THEsumPage (2)_1 FM_101_Examples_v7.31McIntire_1 FM_101_Examples_TWO-Day_v7.31" xfId="852" xr:uid="{00000000-0005-0000-0000-000041060000}"/>
    <cellStyle name="g_rate_Merg Cons_THEsumPage (2)_Val_1_Book_Lecture_Notes_v3.06" xfId="853" xr:uid="{00000000-0005-0000-0000-000042060000}"/>
    <cellStyle name="g_rate_Merg Cons_Val_1_Book_Lecture_Notes_v3.06" xfId="854" xr:uid="{00000000-0005-0000-0000-000043060000}"/>
    <cellStyle name="g_rate_PowerValuation.xls Chart 21" xfId="855" xr:uid="{00000000-0005-0000-0000-000044060000}"/>
    <cellStyle name="g_rate_PowerValuation.xls Chart 21_LANCE_Model_v0.6.DCF.MASTER.Name" xfId="856" xr:uid="{00000000-0005-0000-0000-000045060000}"/>
    <cellStyle name="g_rate_PowerValuation.xls Chart 21_LANCE_Model_v0.6.DCF.MASTER.Name_DCF &amp; Raios to CLX Tootsie_v1.33.xls" xfId="857" xr:uid="{00000000-0005-0000-0000-000046060000}"/>
    <cellStyle name="g_rate_PowerValuation.xls Chart 21_LANCE_Model_v0.6.DCF.MASTER.Name_Tootsie_TWO_DAY_TTS_Solution_v1.34" xfId="858" xr:uid="{00000000-0005-0000-0000-000047060000}"/>
    <cellStyle name="g_rate_PowerValuation.xls Chart 21_LANCE_Model_v0.6.DCF.MASTER.Name_Val_1_Book_Lecture_Notes_v3.06" xfId="859" xr:uid="{00000000-0005-0000-0000-000048060000}"/>
    <cellStyle name="g_rate_PowerValuation.xls Chart 21_Val_1_Book_Lecture_Notes_v3.06" xfId="860" xr:uid="{00000000-0005-0000-0000-000049060000}"/>
    <cellStyle name="g_rate_PowerValuation.xls Chart 28" xfId="861" xr:uid="{00000000-0005-0000-0000-00004A060000}"/>
    <cellStyle name="g_rate_PowerValuation.xls Chart 28_LANCE_Model_v0.6.DCF.MASTER.Name" xfId="862" xr:uid="{00000000-0005-0000-0000-00004B060000}"/>
    <cellStyle name="g_rate_PowerValuation.xls Chart 28_LANCE_Model_v0.6.DCF.MASTER.Name_DCF &amp; Raios to CLX Tootsie_v1.33.xls" xfId="863" xr:uid="{00000000-0005-0000-0000-00004C060000}"/>
    <cellStyle name="g_rate_PowerValuation.xls Chart 28_LANCE_Model_v0.6.DCF.MASTER.Name_Tootsie_TWO_DAY_TTS_Solution_v1.34" xfId="864" xr:uid="{00000000-0005-0000-0000-00004D060000}"/>
    <cellStyle name="g_rate_PowerValuation.xls Chart 28_LANCE_Model_v0.6.DCF.MASTER.Name_Val_1_Book_Lecture_Notes_v3.06" xfId="865" xr:uid="{00000000-0005-0000-0000-00004E060000}"/>
    <cellStyle name="g_rate_PowerValuation.xls Chart 28_Val_1_Book_Lecture_Notes_v3.06" xfId="866" xr:uid="{00000000-0005-0000-0000-00004F060000}"/>
    <cellStyle name="g_rate_Proj10" xfId="867" xr:uid="{00000000-0005-0000-0000-000050060000}"/>
    <cellStyle name="g_rate_Proj10_1 FM_101_Examples_v7.31McIntire" xfId="868" xr:uid="{00000000-0005-0000-0000-000051060000}"/>
    <cellStyle name="g_rate_Proj10_1 FM_101_Examples_v7.31McIntire_1 FM_101_Examples_TWO-Day_v7.31" xfId="869" xr:uid="{00000000-0005-0000-0000-000052060000}"/>
    <cellStyle name="g_rate_Proj10_AVP" xfId="870" xr:uid="{00000000-0005-0000-0000-000053060000}"/>
    <cellStyle name="g_rate_Proj10_AVP_1 FM_101_Examples_v7.31McIntire" xfId="871" xr:uid="{00000000-0005-0000-0000-000054060000}"/>
    <cellStyle name="g_rate_Proj10_AVP_1 FM_101_Examples_v7.31McIntire_1 FM_101_Examples_TWO-Day_v7.31" xfId="872" xr:uid="{00000000-0005-0000-0000-000055060000}"/>
    <cellStyle name="g_rate_Proj10_AVP_Graphic Depiction - NO DEV" xfId="873" xr:uid="{00000000-0005-0000-0000-000056060000}"/>
    <cellStyle name="g_rate_Proj10_AVP_Graphic Depiction - NO DEV_1 FM_101_Examples_v7.31McIntire" xfId="874" xr:uid="{00000000-0005-0000-0000-000057060000}"/>
    <cellStyle name="g_rate_Proj10_AVP_Graphic Depiction - NO DEV_1 FM_101_Examples_v7.31McIntire_1 FM_101_Examples_TWO-Day_v7.31" xfId="875" xr:uid="{00000000-0005-0000-0000-000058060000}"/>
    <cellStyle name="g_rate_Proj10_AVP_Graphic Depiction - NO DEV_Val_1_Book_Lecture_Notes_v3.06" xfId="876" xr:uid="{00000000-0005-0000-0000-000059060000}"/>
    <cellStyle name="g_rate_Proj10_AVP_THEsumPage (2)" xfId="877" xr:uid="{00000000-0005-0000-0000-00005A060000}"/>
    <cellStyle name="g_rate_Proj10_AVP_THEsumPage (2)_1 FM_101_Examples_v7.31McIntire" xfId="878" xr:uid="{00000000-0005-0000-0000-00005B060000}"/>
    <cellStyle name="g_rate_Proj10_AVP_THEsumPage (2)_1 FM_101_Examples_v7.31McIntire_1 FM_101_Examples_TWO-Day_v7.31" xfId="879" xr:uid="{00000000-0005-0000-0000-00005C060000}"/>
    <cellStyle name="g_rate_Proj10_AVP_THEsumPage (2)_Val_1_Book_Lecture_Notes_v3.06" xfId="880" xr:uid="{00000000-0005-0000-0000-00005D060000}"/>
    <cellStyle name="g_rate_Proj10_AVP_Val_1_Book_Lecture_Notes_v3.06" xfId="881" xr:uid="{00000000-0005-0000-0000-00005E060000}"/>
    <cellStyle name="g_rate_Proj10_CompSheet" xfId="882" xr:uid="{00000000-0005-0000-0000-00005F060000}"/>
    <cellStyle name="g_rate_Proj10_CompSheet_LANCE_Model_v0.6.DCF.MASTER.Name" xfId="883" xr:uid="{00000000-0005-0000-0000-000060060000}"/>
    <cellStyle name="g_rate_Proj10_CompSheet_LANCE_Model_v0.6.DCF.MASTER.Name_DCF &amp; Raios to CLX Tootsie_v1.33.xls" xfId="884" xr:uid="{00000000-0005-0000-0000-000061060000}"/>
    <cellStyle name="g_rate_Proj10_CompSheet_LANCE_Model_v0.6.DCF.MASTER.Name_Tootsie_TWO_DAY_TTS_Solution_v1.34" xfId="885" xr:uid="{00000000-0005-0000-0000-000062060000}"/>
    <cellStyle name="g_rate_Proj10_CompSheet_LANCE_Model_v0.6.DCF.MASTER.Name_Val_1_Book_Lecture_Notes_v3.06" xfId="886" xr:uid="{00000000-0005-0000-0000-000063060000}"/>
    <cellStyle name="g_rate_Proj10_CompSheet_Val_1_Book_Lecture_Notes_v3.06" xfId="887" xr:uid="{00000000-0005-0000-0000-000064060000}"/>
    <cellStyle name="g_rate_Proj10_Disc Analysis" xfId="888" xr:uid="{00000000-0005-0000-0000-000065060000}"/>
    <cellStyle name="g_rate_Proj10_Disc Analysis_1 FM_101_Examples_v7.31McIntire" xfId="889" xr:uid="{00000000-0005-0000-0000-000066060000}"/>
    <cellStyle name="g_rate_Proj10_Disc Analysis_1 FM_101_Examples_v7.31McIntire_1 FM_101_Examples_TWO-Day_v7.31" xfId="890" xr:uid="{00000000-0005-0000-0000-000067060000}"/>
    <cellStyle name="g_rate_Proj10_Disc Analysis_CompSheet" xfId="891" xr:uid="{00000000-0005-0000-0000-000068060000}"/>
    <cellStyle name="g_rate_Proj10_Disc Analysis_CompSheet_1 FM_101_Examples_v7.31McIntire" xfId="892" xr:uid="{00000000-0005-0000-0000-000069060000}"/>
    <cellStyle name="g_rate_Proj10_Disc Analysis_CompSheet_1 FM_101_Examples_v7.31McIntire_1 FM_101_Examples_TWO-Day_v7.31" xfId="893" xr:uid="{00000000-0005-0000-0000-00006A060000}"/>
    <cellStyle name="g_rate_Proj10_Disc Analysis_CompSheet_Val_1_Book_Lecture_Notes_v3.06" xfId="894" xr:uid="{00000000-0005-0000-0000-00006B060000}"/>
    <cellStyle name="g_rate_Proj10_Disc Analysis_THEsumPage (2)" xfId="895" xr:uid="{00000000-0005-0000-0000-00006C060000}"/>
    <cellStyle name="g_rate_Proj10_Disc Analysis_THEsumPage (2)_1 FM_101_Examples_v7.31McIntire" xfId="896" xr:uid="{00000000-0005-0000-0000-00006D060000}"/>
    <cellStyle name="g_rate_Proj10_Disc Analysis_THEsumPage (2)_1 FM_101_Examples_v7.31McIntire_1 FM_101_Examples_TWO-Day_v7.31" xfId="897" xr:uid="{00000000-0005-0000-0000-00006E060000}"/>
    <cellStyle name="g_rate_Proj10_Disc Analysis_THEsumPage (2)_Val_1_Book_Lecture_Notes_v3.06" xfId="898" xr:uid="{00000000-0005-0000-0000-00006F060000}"/>
    <cellStyle name="g_rate_Proj10_Disc Analysis_Val_1_Book_Lecture_Notes_v3.06" xfId="899" xr:uid="{00000000-0005-0000-0000-000070060000}"/>
    <cellStyle name="g_rate_Proj10_Fairness Opinion Valuation 4-23a.xls Chart 1" xfId="900" xr:uid="{00000000-0005-0000-0000-000071060000}"/>
    <cellStyle name="g_rate_Proj10_Fairness Opinion Valuation 4-23a.xls Chart 1_LANCE_Model_v0.6.DCF.MASTER.Name" xfId="901" xr:uid="{00000000-0005-0000-0000-000072060000}"/>
    <cellStyle name="g_rate_Proj10_Fairness Opinion Valuation 4-23a.xls Chart 1_LANCE_Model_v0.6.DCF.MASTER.Name_DCF &amp; Raios to CLX Tootsie_v1.33.xls" xfId="902" xr:uid="{00000000-0005-0000-0000-000073060000}"/>
    <cellStyle name="g_rate_Proj10_Fairness Opinion Valuation 4-23a.xls Chart 1_LANCE_Model_v0.6.DCF.MASTER.Name_Tootsie_TWO_DAY_TTS_Solution_v1.34" xfId="903" xr:uid="{00000000-0005-0000-0000-000074060000}"/>
    <cellStyle name="g_rate_Proj10_Fairness Opinion Valuation 4-23a.xls Chart 1_LANCE_Model_v0.6.DCF.MASTER.Name_Val_1_Book_Lecture_Notes_v3.06" xfId="904" xr:uid="{00000000-0005-0000-0000-000075060000}"/>
    <cellStyle name="g_rate_Proj10_Fairness Opinion Valuation 4-23a.xls Chart 1_Val_1_Book_Lecture_Notes_v3.06" xfId="905" xr:uid="{00000000-0005-0000-0000-000076060000}"/>
    <cellStyle name="g_rate_Proj10_LP Chart" xfId="906" xr:uid="{00000000-0005-0000-0000-000077060000}"/>
    <cellStyle name="g_rate_Proj10_LP Chart_THEsumPage (2)" xfId="907" xr:uid="{00000000-0005-0000-0000-000078060000}"/>
    <cellStyle name="g_rate_Proj10_LP Chart_THEsumPage (2)_Val_1_Book_Lecture_Notes_v3.06" xfId="908" xr:uid="{00000000-0005-0000-0000-000079060000}"/>
    <cellStyle name="g_rate_Proj10_LP Chart_Val_1_Book_Lecture_Notes_v3.06" xfId="909" xr:uid="{00000000-0005-0000-0000-00007A060000}"/>
    <cellStyle name="g_rate_Proj10_Merg Cons" xfId="910" xr:uid="{00000000-0005-0000-0000-00007B060000}"/>
    <cellStyle name="g_rate_Proj10_Merg Cons_1 FM_101_Examples_v7.31McIntire" xfId="911" xr:uid="{00000000-0005-0000-0000-00007C060000}"/>
    <cellStyle name="g_rate_Proj10_Merg Cons_1 FM_101_Examples_v7.31McIntire_1 FM_101_Examples_TWO-Day_v7.31" xfId="912" xr:uid="{00000000-0005-0000-0000-00007D060000}"/>
    <cellStyle name="g_rate_Proj10_Merg Cons_CompSheet" xfId="913" xr:uid="{00000000-0005-0000-0000-00007E060000}"/>
    <cellStyle name="g_rate_Proj10_Merg Cons_CompSheet_1 FM_101_Examples_v7.31McIntire" xfId="914" xr:uid="{00000000-0005-0000-0000-00007F060000}"/>
    <cellStyle name="g_rate_Proj10_Merg Cons_CompSheet_1 FM_101_Examples_v7.31McIntire_1 FM_101_Examples_TWO-Day_v7.31" xfId="915" xr:uid="{00000000-0005-0000-0000-000080060000}"/>
    <cellStyle name="g_rate_Proj10_Merg Cons_CompSheet_Val_1_Book_Lecture_Notes_v3.06" xfId="916" xr:uid="{00000000-0005-0000-0000-000081060000}"/>
    <cellStyle name="g_rate_Proj10_Merg Cons_THEsumPage (2)" xfId="917" xr:uid="{00000000-0005-0000-0000-000082060000}"/>
    <cellStyle name="g_rate_Proj10_Merg Cons_THEsumPage (2)_1 FM_101_Examples_v7.31McIntire" xfId="918" xr:uid="{00000000-0005-0000-0000-000083060000}"/>
    <cellStyle name="g_rate_Proj10_Merg Cons_THEsumPage (2)_1 FM_101_Examples_v7.31McIntire_1 FM_101_Examples_TWO-Day_v7.31" xfId="919" xr:uid="{00000000-0005-0000-0000-000084060000}"/>
    <cellStyle name="g_rate_Proj10_Merg Cons_THEsumPage (2)_Val_1_Book_Lecture_Notes_v3.06" xfId="920" xr:uid="{00000000-0005-0000-0000-000085060000}"/>
    <cellStyle name="g_rate_Proj10_Merg Cons_Val_1_Book_Lecture_Notes_v3.06" xfId="921" xr:uid="{00000000-0005-0000-0000-000086060000}"/>
    <cellStyle name="g_rate_Proj10_PowerValuation.xls Chart 21" xfId="922" xr:uid="{00000000-0005-0000-0000-000087060000}"/>
    <cellStyle name="g_rate_Proj10_PowerValuation.xls Chart 21_LANCE_Model_v0.6.DCF.MASTER.Name" xfId="923" xr:uid="{00000000-0005-0000-0000-000088060000}"/>
    <cellStyle name="g_rate_Proj10_PowerValuation.xls Chart 21_LANCE_Model_v0.6.DCF.MASTER.Name_DCF &amp; Raios to CLX Tootsie_v1.33.xls" xfId="924" xr:uid="{00000000-0005-0000-0000-000089060000}"/>
    <cellStyle name="g_rate_Proj10_PowerValuation.xls Chart 21_LANCE_Model_v0.6.DCF.MASTER.Name_Tootsie_TWO_DAY_TTS_Solution_v1.34" xfId="925" xr:uid="{00000000-0005-0000-0000-00008A060000}"/>
    <cellStyle name="g_rate_Proj10_PowerValuation.xls Chart 21_LANCE_Model_v0.6.DCF.MASTER.Name_Val_1_Book_Lecture_Notes_v3.06" xfId="926" xr:uid="{00000000-0005-0000-0000-00008B060000}"/>
    <cellStyle name="g_rate_Proj10_PowerValuation.xls Chart 21_Val_1_Book_Lecture_Notes_v3.06" xfId="927" xr:uid="{00000000-0005-0000-0000-00008C060000}"/>
    <cellStyle name="g_rate_Proj10_PowerValuation.xls Chart 28" xfId="928" xr:uid="{00000000-0005-0000-0000-00008D060000}"/>
    <cellStyle name="g_rate_Proj10_PowerValuation.xls Chart 28_LANCE_Model_v0.6.DCF.MASTER.Name" xfId="929" xr:uid="{00000000-0005-0000-0000-00008E060000}"/>
    <cellStyle name="g_rate_Proj10_PowerValuation.xls Chart 28_LANCE_Model_v0.6.DCF.MASTER.Name_DCF &amp; Raios to CLX Tootsie_v1.33.xls" xfId="930" xr:uid="{00000000-0005-0000-0000-00008F060000}"/>
    <cellStyle name="g_rate_Proj10_PowerValuation.xls Chart 28_LANCE_Model_v0.6.DCF.MASTER.Name_Tootsie_TWO_DAY_TTS_Solution_v1.34" xfId="931" xr:uid="{00000000-0005-0000-0000-000090060000}"/>
    <cellStyle name="g_rate_Proj10_PowerValuation.xls Chart 28_LANCE_Model_v0.6.DCF.MASTER.Name_Val_1_Book_Lecture_Notes_v3.06" xfId="932" xr:uid="{00000000-0005-0000-0000-000091060000}"/>
    <cellStyle name="g_rate_Proj10_PowerValuation.xls Chart 28_Val_1_Book_Lecture_Notes_v3.06" xfId="933" xr:uid="{00000000-0005-0000-0000-000092060000}"/>
    <cellStyle name="g_rate_Proj10_Sensitivity" xfId="934" xr:uid="{00000000-0005-0000-0000-000093060000}"/>
    <cellStyle name="g_rate_Proj10_Sensitivity_1 FM_101_Examples_v7.31McIntire" xfId="935" xr:uid="{00000000-0005-0000-0000-000094060000}"/>
    <cellStyle name="g_rate_Proj10_Sensitivity_1 FM_101_Examples_v7.31McIntire_1 FM_101_Examples_TWO-Day_v7.31" xfId="936" xr:uid="{00000000-0005-0000-0000-000095060000}"/>
    <cellStyle name="g_rate_Proj10_Sensitivity_CompSheet" xfId="937" xr:uid="{00000000-0005-0000-0000-000096060000}"/>
    <cellStyle name="g_rate_Proj10_Sensitivity_CompSheet_1 FM_101_Examples_v7.31McIntire" xfId="938" xr:uid="{00000000-0005-0000-0000-000097060000}"/>
    <cellStyle name="g_rate_Proj10_Sensitivity_CompSheet_1 FM_101_Examples_v7.31McIntire_1 FM_101_Examples_TWO-Day_v7.31" xfId="939" xr:uid="{00000000-0005-0000-0000-000098060000}"/>
    <cellStyle name="g_rate_Proj10_Sensitivity_CompSheet_Val_1_Book_Lecture_Notes_v3.06" xfId="940" xr:uid="{00000000-0005-0000-0000-000099060000}"/>
    <cellStyle name="g_rate_Proj10_Sensitivity_THEsumPage (2)" xfId="941" xr:uid="{00000000-0005-0000-0000-00009A060000}"/>
    <cellStyle name="g_rate_Proj10_Sensitivity_THEsumPage (2)_1 FM_101_Examples_v7.31McIntire" xfId="942" xr:uid="{00000000-0005-0000-0000-00009B060000}"/>
    <cellStyle name="g_rate_Proj10_Sensitivity_THEsumPage (2)_1 FM_101_Examples_v7.31McIntire_1 FM_101_Examples_TWO-Day_v7.31" xfId="943" xr:uid="{00000000-0005-0000-0000-00009C060000}"/>
    <cellStyle name="g_rate_Proj10_Sensitivity_THEsumPage (2)_Val_1_Book_Lecture_Notes_v3.06" xfId="944" xr:uid="{00000000-0005-0000-0000-00009D060000}"/>
    <cellStyle name="g_rate_Proj10_Sensitivity_Val_1_Book_Lecture_Notes_v3.06" xfId="945" xr:uid="{00000000-0005-0000-0000-00009E060000}"/>
    <cellStyle name="g_rate_Proj10_show-hold" xfId="946" xr:uid="{00000000-0005-0000-0000-00009F060000}"/>
    <cellStyle name="g_rate_Proj10_show-hold_1 FM_101_Examples_v7.31McIntire" xfId="947" xr:uid="{00000000-0005-0000-0000-0000A0060000}"/>
    <cellStyle name="g_rate_Proj10_show-hold_1 FM_101_Examples_v7.31McIntire_1 FM_101_Examples_TWO-Day_v7.31" xfId="948" xr:uid="{00000000-0005-0000-0000-0000A1060000}"/>
    <cellStyle name="g_rate_Proj10_show-hold_Graphic Depiction - NO DEV" xfId="949" xr:uid="{00000000-0005-0000-0000-0000A2060000}"/>
    <cellStyle name="g_rate_Proj10_show-hold_Graphic Depiction - NO DEV_1 FM_101_Examples_v7.31McIntire" xfId="950" xr:uid="{00000000-0005-0000-0000-0000A3060000}"/>
    <cellStyle name="g_rate_Proj10_show-hold_Graphic Depiction - NO DEV_1 FM_101_Examples_v7.31McIntire_1 FM_101_Examples_TWO-Day_v7.31" xfId="951" xr:uid="{00000000-0005-0000-0000-0000A4060000}"/>
    <cellStyle name="g_rate_Proj10_show-hold_Graphic Depiction - NO DEV_Val_1_Book_Lecture_Notes_v3.06" xfId="952" xr:uid="{00000000-0005-0000-0000-0000A5060000}"/>
    <cellStyle name="g_rate_Proj10_show-hold_THEsumPage (2)" xfId="953" xr:uid="{00000000-0005-0000-0000-0000A6060000}"/>
    <cellStyle name="g_rate_Proj10_show-hold_THEsumPage (2)_1 FM_101_Examples_v7.31McIntire" xfId="954" xr:uid="{00000000-0005-0000-0000-0000A7060000}"/>
    <cellStyle name="g_rate_Proj10_show-hold_THEsumPage (2)_1 FM_101_Examples_v7.31McIntire_1 FM_101_Examples_TWO-Day_v7.31" xfId="955" xr:uid="{00000000-0005-0000-0000-0000A8060000}"/>
    <cellStyle name="g_rate_Proj10_show-hold_THEsumPage (2)_Val_1_Book_Lecture_Notes_v3.06" xfId="956" xr:uid="{00000000-0005-0000-0000-0000A9060000}"/>
    <cellStyle name="g_rate_Proj10_show-hold_Val_1_Book_Lecture_Notes_v3.06" xfId="957" xr:uid="{00000000-0005-0000-0000-0000AA060000}"/>
    <cellStyle name="g_rate_Proj10_THEsumPage (2)" xfId="958" xr:uid="{00000000-0005-0000-0000-0000AB060000}"/>
    <cellStyle name="g_rate_Proj10_THEsumPage (2)_LANCE_Model_v0.6.DCF.MASTER.Name" xfId="959" xr:uid="{00000000-0005-0000-0000-0000AC060000}"/>
    <cellStyle name="g_rate_Proj10_THEsumPage (2)_LANCE_Model_v0.6.DCF.MASTER.Name_DCF &amp; Raios to CLX Tootsie_v1.33.xls" xfId="960" xr:uid="{00000000-0005-0000-0000-0000AD060000}"/>
    <cellStyle name="g_rate_Proj10_THEsumPage (2)_LANCE_Model_v0.6.DCF.MASTER.Name_Tootsie_TWO_DAY_TTS_Solution_v1.34" xfId="961" xr:uid="{00000000-0005-0000-0000-0000AE060000}"/>
    <cellStyle name="g_rate_Proj10_THEsumPage (2)_LANCE_Model_v0.6.DCF.MASTER.Name_Val_1_Book_Lecture_Notes_v3.06" xfId="962" xr:uid="{00000000-0005-0000-0000-0000AF060000}"/>
    <cellStyle name="g_rate_Proj10_THEsumPage (2)_Val_1_Book_Lecture_Notes_v3.06" xfId="963" xr:uid="{00000000-0005-0000-0000-0000B0060000}"/>
    <cellStyle name="g_rate_Proj10_Val_1_Book_Lecture_Notes_v3.06" xfId="964" xr:uid="{00000000-0005-0000-0000-0000B1060000}"/>
    <cellStyle name="g_rate_Proj10_Valuation summaries" xfId="965" xr:uid="{00000000-0005-0000-0000-0000B2060000}"/>
    <cellStyle name="g_rate_Proj10_Valuation summaries_LANCE_Model_v0.6.DCF.MASTER.Name" xfId="966" xr:uid="{00000000-0005-0000-0000-0000B3060000}"/>
    <cellStyle name="g_rate_Proj10_Valuation summaries_LANCE_Model_v0.6.DCF.MASTER.Name_DCF &amp; Raios to CLX Tootsie_v1.33.xls" xfId="967" xr:uid="{00000000-0005-0000-0000-0000B4060000}"/>
    <cellStyle name="g_rate_Proj10_Valuation summaries_LANCE_Model_v0.6.DCF.MASTER.Name_Tootsie_TWO_DAY_TTS_Solution_v1.34" xfId="968" xr:uid="{00000000-0005-0000-0000-0000B5060000}"/>
    <cellStyle name="g_rate_Proj10_Valuation summaries_LANCE_Model_v0.6.DCF.MASTER.Name_Val_1_Book_Lecture_Notes_v3.06" xfId="969" xr:uid="{00000000-0005-0000-0000-0000B6060000}"/>
    <cellStyle name="g_rate_Proj10_Valuation summaries_Val_1_Book_Lecture_Notes_v3.06" xfId="970" xr:uid="{00000000-0005-0000-0000-0000B7060000}"/>
    <cellStyle name="g_rate_Proj10_WACC-CableCar" xfId="971" xr:uid="{00000000-0005-0000-0000-0000B8060000}"/>
    <cellStyle name="g_rate_Proj10_WACC-CableCar_LANCE_Model_v0.6.DCF.MASTER.Name" xfId="972" xr:uid="{00000000-0005-0000-0000-0000B9060000}"/>
    <cellStyle name="g_rate_Proj10_WACC-CableCar_LANCE_Model_v0.6.DCF.MASTER.Name_DCF &amp; Raios to CLX Tootsie_v1.33.xls" xfId="973" xr:uid="{00000000-0005-0000-0000-0000BA060000}"/>
    <cellStyle name="g_rate_Proj10_WACC-CableCar_LANCE_Model_v0.6.DCF.MASTER.Name_Tootsie_TWO_DAY_TTS_Solution_v1.34" xfId="974" xr:uid="{00000000-0005-0000-0000-0000BB060000}"/>
    <cellStyle name="g_rate_Proj10_WACC-CableCar_LANCE_Model_v0.6.DCF.MASTER.Name_Val_1_Book_Lecture_Notes_v3.06" xfId="975" xr:uid="{00000000-0005-0000-0000-0000BC060000}"/>
    <cellStyle name="g_rate_Proj10_WACC-CableCar_THEsumPage (2)" xfId="976" xr:uid="{00000000-0005-0000-0000-0000BD060000}"/>
    <cellStyle name="g_rate_Proj10_WACC-CableCar_THEsumPage (2)_LANCE_Model_v0.6.DCF.MASTER.Name" xfId="977" xr:uid="{00000000-0005-0000-0000-0000BE060000}"/>
    <cellStyle name="g_rate_Proj10_WACC-CableCar_THEsumPage (2)_LANCE_Model_v0.6.DCF.MASTER.Name_DCF &amp; Raios to CLX Tootsie_v1.33.xls" xfId="978" xr:uid="{00000000-0005-0000-0000-0000BF060000}"/>
    <cellStyle name="g_rate_Proj10_WACC-CableCar_THEsumPage (2)_LANCE_Model_v0.6.DCF.MASTER.Name_Tootsie_TWO_DAY_TTS_Solution_v1.34" xfId="979" xr:uid="{00000000-0005-0000-0000-0000C0060000}"/>
    <cellStyle name="g_rate_Proj10_WACC-CableCar_THEsumPage (2)_LANCE_Model_v0.6.DCF.MASTER.Name_Val_1_Book_Lecture_Notes_v3.06" xfId="980" xr:uid="{00000000-0005-0000-0000-0000C1060000}"/>
    <cellStyle name="g_rate_Proj10_WACC-CableCar_THEsumPage (2)_Val_1_Book_Lecture_Notes_v3.06" xfId="981" xr:uid="{00000000-0005-0000-0000-0000C2060000}"/>
    <cellStyle name="g_rate_Proj10_WACC-CableCar_Val_1_Book_Lecture_Notes_v3.06" xfId="982" xr:uid="{00000000-0005-0000-0000-0000C3060000}"/>
    <cellStyle name="g_rate_Proj10_WACC-RAD (2)" xfId="983" xr:uid="{00000000-0005-0000-0000-0000C4060000}"/>
    <cellStyle name="g_rate_Proj10_WACC-RAD (2)_THEsumPage (2)" xfId="984" xr:uid="{00000000-0005-0000-0000-0000C5060000}"/>
    <cellStyle name="g_rate_Proj10_WACC-RAD (2)_THEsumPage (2)_Val_1_Book_Lecture_Notes_v3.06" xfId="985" xr:uid="{00000000-0005-0000-0000-0000C6060000}"/>
    <cellStyle name="g_rate_Proj10_WACC-RAD (2)_Val_1_Book_Lecture_Notes_v3.06" xfId="986" xr:uid="{00000000-0005-0000-0000-0000C7060000}"/>
    <cellStyle name="g_rate_Sensitivity" xfId="987" xr:uid="{00000000-0005-0000-0000-0000C8060000}"/>
    <cellStyle name="g_rate_Sensitivity_1 FM_101_Examples_v7.31McIntire" xfId="988" xr:uid="{00000000-0005-0000-0000-0000C9060000}"/>
    <cellStyle name="g_rate_Sensitivity_1 FM_101_Examples_v7.31McIntire_1 FM_101_Examples_TWO-Day_v7.31" xfId="989" xr:uid="{00000000-0005-0000-0000-0000CA060000}"/>
    <cellStyle name="g_rate_Sensitivity_CompSheet" xfId="990" xr:uid="{00000000-0005-0000-0000-0000CB060000}"/>
    <cellStyle name="g_rate_Sensitivity_CompSheet_1 FM_101_Examples_v7.31McIntire" xfId="991" xr:uid="{00000000-0005-0000-0000-0000CC060000}"/>
    <cellStyle name="g_rate_Sensitivity_CompSheet_1 FM_101_Examples_v7.31McIntire_1 FM_101_Examples_TWO-Day_v7.31" xfId="992" xr:uid="{00000000-0005-0000-0000-0000CD060000}"/>
    <cellStyle name="g_rate_Sensitivity_CompSheet_Val_1_Book_Lecture_Notes_v3.06" xfId="993" xr:uid="{00000000-0005-0000-0000-0000CE060000}"/>
    <cellStyle name="g_rate_Sensitivity_THEsumPage (2)" xfId="994" xr:uid="{00000000-0005-0000-0000-0000CF060000}"/>
    <cellStyle name="g_rate_Sensitivity_THEsumPage (2)_1 FM_101_Examples_v7.31McIntire" xfId="995" xr:uid="{00000000-0005-0000-0000-0000D0060000}"/>
    <cellStyle name="g_rate_Sensitivity_THEsumPage (2)_1 FM_101_Examples_v7.31McIntire_1 FM_101_Examples_TWO-Day_v7.31" xfId="996" xr:uid="{00000000-0005-0000-0000-0000D1060000}"/>
    <cellStyle name="g_rate_Sensitivity_THEsumPage (2)_Val_1_Book_Lecture_Notes_v3.06" xfId="997" xr:uid="{00000000-0005-0000-0000-0000D2060000}"/>
    <cellStyle name="g_rate_Sensitivity_Val_1_Book_Lecture_Notes_v3.06" xfId="998" xr:uid="{00000000-0005-0000-0000-0000D3060000}"/>
    <cellStyle name="g_rate_show-hold" xfId="999" xr:uid="{00000000-0005-0000-0000-0000D4060000}"/>
    <cellStyle name="g_rate_show-hold_1 FM_101_Examples_v7.31McIntire" xfId="1000" xr:uid="{00000000-0005-0000-0000-0000D5060000}"/>
    <cellStyle name="g_rate_show-hold_1 FM_101_Examples_v7.31McIntire_1 FM_101_Examples_TWO-Day_v7.31" xfId="1001" xr:uid="{00000000-0005-0000-0000-0000D6060000}"/>
    <cellStyle name="g_rate_show-hold_CompSheet" xfId="1002" xr:uid="{00000000-0005-0000-0000-0000D7060000}"/>
    <cellStyle name="g_rate_show-hold_CompSheet_1 FM_101_Examples_v7.31McIntire" xfId="1003" xr:uid="{00000000-0005-0000-0000-0000D8060000}"/>
    <cellStyle name="g_rate_show-hold_CompSheet_1 FM_101_Examples_v7.31McIntire_1 FM_101_Examples_TWO-Day_v7.31" xfId="1004" xr:uid="{00000000-0005-0000-0000-0000D9060000}"/>
    <cellStyle name="g_rate_show-hold_CompSheet_Val_1_Book_Lecture_Notes_v3.06" xfId="1005" xr:uid="{00000000-0005-0000-0000-0000DA060000}"/>
    <cellStyle name="g_rate_show-hold_THEsumPage (2)" xfId="1006" xr:uid="{00000000-0005-0000-0000-0000DB060000}"/>
    <cellStyle name="g_rate_show-hold_THEsumPage (2)_1 FM_101_Examples_v7.31McIntire" xfId="1007" xr:uid="{00000000-0005-0000-0000-0000DC060000}"/>
    <cellStyle name="g_rate_show-hold_THEsumPage (2)_1 FM_101_Examples_v7.31McIntire_1 FM_101_Examples_TWO-Day_v7.31" xfId="1008" xr:uid="{00000000-0005-0000-0000-0000DD060000}"/>
    <cellStyle name="g_rate_show-hold_THEsumPage (2)_Val_1_Book_Lecture_Notes_v3.06" xfId="1009" xr:uid="{00000000-0005-0000-0000-0000DE060000}"/>
    <cellStyle name="g_rate_show-hold_Val_1_Book_Lecture_Notes_v3.06" xfId="1010" xr:uid="{00000000-0005-0000-0000-0000DF060000}"/>
    <cellStyle name="g_rate_THEsumPage (2)" xfId="1011" xr:uid="{00000000-0005-0000-0000-0000E0060000}"/>
    <cellStyle name="g_rate_THEsumPage (2)_LANCE_Model_v0.6.DCF.MASTER.Name" xfId="1012" xr:uid="{00000000-0005-0000-0000-0000E1060000}"/>
    <cellStyle name="g_rate_THEsumPage (2)_LANCE_Model_v0.6.DCF.MASTER.Name_DCF &amp; Raios to CLX Tootsie_v1.33.xls" xfId="1013" xr:uid="{00000000-0005-0000-0000-0000E2060000}"/>
    <cellStyle name="g_rate_THEsumPage (2)_LANCE_Model_v0.6.DCF.MASTER.Name_Tootsie_TWO_DAY_TTS_Solution_v1.34" xfId="1014" xr:uid="{00000000-0005-0000-0000-0000E3060000}"/>
    <cellStyle name="g_rate_THEsumPage (2)_LANCE_Model_v0.6.DCF.MASTER.Name_Val_1_Book_Lecture_Notes_v3.06" xfId="1015" xr:uid="{00000000-0005-0000-0000-0000E4060000}"/>
    <cellStyle name="g_rate_THEsumPage (2)_Val_1_Book_Lecture_Notes_v3.06" xfId="1016" xr:uid="{00000000-0005-0000-0000-0000E5060000}"/>
    <cellStyle name="g_rate_Val_1_Book_Lecture_Notes_v3.06" xfId="1017" xr:uid="{00000000-0005-0000-0000-0000E6060000}"/>
    <cellStyle name="g_rate_Valuation summaries" xfId="1018" xr:uid="{00000000-0005-0000-0000-0000E7060000}"/>
    <cellStyle name="g_rate_Valuation summaries_LANCE_Model_v0.6.DCF.MASTER.Name" xfId="1019" xr:uid="{00000000-0005-0000-0000-0000E8060000}"/>
    <cellStyle name="g_rate_Valuation summaries_LANCE_Model_v0.6.DCF.MASTER.Name_DCF &amp; Raios to CLX Tootsie_v1.33.xls" xfId="1020" xr:uid="{00000000-0005-0000-0000-0000E9060000}"/>
    <cellStyle name="g_rate_Valuation summaries_LANCE_Model_v0.6.DCF.MASTER.Name_Tootsie_TWO_DAY_TTS_Solution_v1.34" xfId="1021" xr:uid="{00000000-0005-0000-0000-0000EA060000}"/>
    <cellStyle name="g_rate_Valuation summaries_LANCE_Model_v0.6.DCF.MASTER.Name_Val_1_Book_Lecture_Notes_v3.06" xfId="1022" xr:uid="{00000000-0005-0000-0000-0000EB060000}"/>
    <cellStyle name="g_rate_Valuation summaries_Val_1_Book_Lecture_Notes_v3.06" xfId="1023" xr:uid="{00000000-0005-0000-0000-0000EC060000}"/>
    <cellStyle name="g_rate_WACC-CableCar" xfId="1024" xr:uid="{00000000-0005-0000-0000-0000ED060000}"/>
    <cellStyle name="g_rate_WACC-CableCar_LANCE_Model_v0.6.DCF.MASTER.Name" xfId="1025" xr:uid="{00000000-0005-0000-0000-0000EE060000}"/>
    <cellStyle name="g_rate_WACC-CableCar_LANCE_Model_v0.6.DCF.MASTER.Name_DCF &amp; Raios to CLX Tootsie_v1.33.xls" xfId="1026" xr:uid="{00000000-0005-0000-0000-0000EF060000}"/>
    <cellStyle name="g_rate_WACC-CableCar_LANCE_Model_v0.6.DCF.MASTER.Name_Tootsie_TWO_DAY_TTS_Solution_v1.34" xfId="1027" xr:uid="{00000000-0005-0000-0000-0000F0060000}"/>
    <cellStyle name="g_rate_WACC-CableCar_LANCE_Model_v0.6.DCF.MASTER.Name_Val_1_Book_Lecture_Notes_v3.06" xfId="1028" xr:uid="{00000000-0005-0000-0000-0000F1060000}"/>
    <cellStyle name="g_rate_WACC-CableCar_THEsumPage (2)" xfId="1029" xr:uid="{00000000-0005-0000-0000-0000F2060000}"/>
    <cellStyle name="g_rate_WACC-CableCar_THEsumPage (2)_LANCE_Model_v0.6.DCF.MASTER.Name" xfId="1030" xr:uid="{00000000-0005-0000-0000-0000F3060000}"/>
    <cellStyle name="g_rate_WACC-CableCar_THEsumPage (2)_LANCE_Model_v0.6.DCF.MASTER.Name_DCF &amp; Raios to CLX Tootsie_v1.33.xls" xfId="1031" xr:uid="{00000000-0005-0000-0000-0000F4060000}"/>
    <cellStyle name="g_rate_WACC-CableCar_THEsumPage (2)_LANCE_Model_v0.6.DCF.MASTER.Name_Tootsie_TWO_DAY_TTS_Solution_v1.34" xfId="1032" xr:uid="{00000000-0005-0000-0000-0000F5060000}"/>
    <cellStyle name="g_rate_WACC-CableCar_THEsumPage (2)_LANCE_Model_v0.6.DCF.MASTER.Name_Val_1_Book_Lecture_Notes_v3.06" xfId="1033" xr:uid="{00000000-0005-0000-0000-0000F6060000}"/>
    <cellStyle name="g_rate_WACC-CableCar_THEsumPage (2)_Val_1_Book_Lecture_Notes_v3.06" xfId="1034" xr:uid="{00000000-0005-0000-0000-0000F7060000}"/>
    <cellStyle name="g_rate_WACC-CableCar_Val_1_Book_Lecture_Notes_v3.06" xfId="1035" xr:uid="{00000000-0005-0000-0000-0000F8060000}"/>
    <cellStyle name="g_rate_WACC-RAD (2)" xfId="1036" xr:uid="{00000000-0005-0000-0000-0000F9060000}"/>
    <cellStyle name="g_rate_WACC-RAD (2)_THEsumPage (2)" xfId="1037" xr:uid="{00000000-0005-0000-0000-0000FA060000}"/>
    <cellStyle name="g_rate_WACC-RAD (2)_THEsumPage (2)_Val_1_Book_Lecture_Notes_v3.06" xfId="1038" xr:uid="{00000000-0005-0000-0000-0000FB060000}"/>
    <cellStyle name="g_rate_WACC-RAD (2)_Val_1_Book_Lecture_Notes_v3.06" xfId="1039" xr:uid="{00000000-0005-0000-0000-0000FC060000}"/>
    <cellStyle name="Good" xfId="1748" builtinId="26" customBuiltin="1"/>
    <cellStyle name="Good 2" xfId="63" xr:uid="{00000000-0005-0000-0000-0000FE060000}"/>
    <cellStyle name="Good 3" xfId="1040" xr:uid="{00000000-0005-0000-0000-0000FF060000}"/>
    <cellStyle name="Grey" xfId="1912" xr:uid="{00000000-0005-0000-0000-000000070000}"/>
    <cellStyle name="Growth Rates/Margins" xfId="1913" xr:uid="{00000000-0005-0000-0000-000001070000}"/>
    <cellStyle name="Header1" xfId="178" xr:uid="{00000000-0005-0000-0000-000002070000}"/>
    <cellStyle name="Header1 2" xfId="10411" xr:uid="{00000000-0005-0000-0000-000003070000}"/>
    <cellStyle name="Header1 3" xfId="11105" xr:uid="{00000000-0005-0000-0000-000004070000}"/>
    <cellStyle name="Header2" xfId="179" xr:uid="{00000000-0005-0000-0000-000005070000}"/>
    <cellStyle name="Header2 2" xfId="1595" xr:uid="{00000000-0005-0000-0000-000006070000}"/>
    <cellStyle name="Header2 2 2" xfId="1638" xr:uid="{00000000-0005-0000-0000-000007070000}"/>
    <cellStyle name="Header2 2 3" xfId="1657" xr:uid="{00000000-0005-0000-0000-000008070000}"/>
    <cellStyle name="Header2 3" xfId="10412" xr:uid="{00000000-0005-0000-0000-000009070000}"/>
    <cellStyle name="headers" xfId="1041" xr:uid="{00000000-0005-0000-0000-00000A070000}"/>
    <cellStyle name="Heading" xfId="1042" xr:uid="{00000000-0005-0000-0000-00000B070000}"/>
    <cellStyle name="Heading 1" xfId="1744" builtinId="16" customBuiltin="1"/>
    <cellStyle name="Heading 1 2" xfId="64" xr:uid="{00000000-0005-0000-0000-00000D070000}"/>
    <cellStyle name="Heading 1 2 2" xfId="180" xr:uid="{00000000-0005-0000-0000-00000E070000}"/>
    <cellStyle name="Heading 1 3" xfId="1043" xr:uid="{00000000-0005-0000-0000-00000F070000}"/>
    <cellStyle name="Heading 2" xfId="1745" builtinId="17" customBuiltin="1"/>
    <cellStyle name="Heading 2 2" xfId="65" xr:uid="{00000000-0005-0000-0000-000011070000}"/>
    <cellStyle name="Heading 2 2 2" xfId="181" xr:uid="{00000000-0005-0000-0000-000012070000}"/>
    <cellStyle name="Heading 2 3" xfId="1044" xr:uid="{00000000-0005-0000-0000-000013070000}"/>
    <cellStyle name="Heading 3" xfId="1746" builtinId="18" customBuiltin="1"/>
    <cellStyle name="Heading 3 2" xfId="66" xr:uid="{00000000-0005-0000-0000-000015070000}"/>
    <cellStyle name="Heading 3 2 2" xfId="182" xr:uid="{00000000-0005-0000-0000-000016070000}"/>
    <cellStyle name="Heading 3 3" xfId="1045" xr:uid="{00000000-0005-0000-0000-000017070000}"/>
    <cellStyle name="Heading 4" xfId="1747" builtinId="19" customBuiltin="1"/>
    <cellStyle name="Heading 4 2" xfId="67" xr:uid="{00000000-0005-0000-0000-000019070000}"/>
    <cellStyle name="Heading 4 2 2" xfId="183" xr:uid="{00000000-0005-0000-0000-00001A070000}"/>
    <cellStyle name="Heading 4 3" xfId="1046" xr:uid="{00000000-0005-0000-0000-00001B070000}"/>
    <cellStyle name="Heading No Underline" xfId="2101" xr:uid="{00000000-0005-0000-0000-00001C070000}"/>
    <cellStyle name="Heading With Underline" xfId="2132" xr:uid="{00000000-0005-0000-0000-00001D070000}"/>
    <cellStyle name="Hipervínculo" xfId="1914" xr:uid="{00000000-0005-0000-0000-00001E070000}"/>
    <cellStyle name="HNU" xfId="2010" xr:uid="{00000000-0005-0000-0000-00001F070000}"/>
    <cellStyle name="Hyperlink" xfId="6" builtinId="8"/>
    <cellStyle name="Hyperlink 2" xfId="368" xr:uid="{00000000-0005-0000-0000-000021070000}"/>
    <cellStyle name="Hyperlink 2 2" xfId="6614" xr:uid="{00000000-0005-0000-0000-000022070000}"/>
    <cellStyle name="Hyperlink 2 3" xfId="2447" xr:uid="{00000000-0005-0000-0000-000023070000}"/>
    <cellStyle name="Hyperlink 2 4" xfId="1915" xr:uid="{00000000-0005-0000-0000-000024070000}"/>
    <cellStyle name="Hyperlink 3" xfId="6615" hidden="1" xr:uid="{00000000-0005-0000-0000-000025070000}"/>
    <cellStyle name="Hyperlink 3" xfId="10912" hidden="1" xr:uid="{00000000-0005-0000-0000-000026070000}"/>
    <cellStyle name="Hyperlink 3" xfId="10925" hidden="1" xr:uid="{00000000-0005-0000-0000-000027070000}"/>
    <cellStyle name="Hyperlink 3" xfId="10902" hidden="1" xr:uid="{00000000-0005-0000-0000-000028070000}"/>
    <cellStyle name="Hyperlink 3" xfId="10929" hidden="1" xr:uid="{00000000-0005-0000-0000-000029070000}"/>
    <cellStyle name="Hyperlink 3" xfId="10896" hidden="1" xr:uid="{00000000-0005-0000-0000-00002A070000}"/>
    <cellStyle name="Hyperlink 3" xfId="10935" hidden="1" xr:uid="{00000000-0005-0000-0000-00002B070000}"/>
    <cellStyle name="Hyperlink 3" xfId="10917" hidden="1" xr:uid="{00000000-0005-0000-0000-00002C070000}"/>
    <cellStyle name="Hyperlink 3" xfId="10939" hidden="1" xr:uid="{00000000-0005-0000-0000-00002D070000}"/>
    <cellStyle name="Hyperlink 3" xfId="10919" hidden="1" xr:uid="{00000000-0005-0000-0000-00002E070000}"/>
    <cellStyle name="Hyperlink 3" xfId="10946" hidden="1" xr:uid="{00000000-0005-0000-0000-00002F070000}"/>
    <cellStyle name="Hyperlink 3" xfId="11059" hidden="1" xr:uid="{00000000-0005-0000-0000-000030070000}"/>
    <cellStyle name="Hyperlink 3" xfId="11065" hidden="1" xr:uid="{00000000-0005-0000-0000-000031070000}"/>
    <cellStyle name="Hyperlink 3" xfId="11058" hidden="1" xr:uid="{00000000-0005-0000-0000-000032070000}"/>
    <cellStyle name="Hyperlink 3" xfId="11069" hidden="1" xr:uid="{00000000-0005-0000-0000-000033070000}"/>
    <cellStyle name="Hyperlink 3" xfId="11057" hidden="1" xr:uid="{00000000-0005-0000-0000-000034070000}"/>
    <cellStyle name="Hyperlink 3" xfId="11073" hidden="1" xr:uid="{00000000-0005-0000-0000-000035070000}"/>
    <cellStyle name="Hyperlink 3" xfId="11063" hidden="1" xr:uid="{00000000-0005-0000-0000-000036070000}"/>
    <cellStyle name="Hyperlink 3" xfId="11077" hidden="1" xr:uid="{00000000-0005-0000-0000-000037070000}"/>
    <cellStyle name="Hyperlink 3" xfId="11064" hidden="1" xr:uid="{00000000-0005-0000-0000-000038070000}"/>
    <cellStyle name="Hyperlink 3" xfId="11081" xr:uid="{00000000-0005-0000-0000-000039070000}"/>
    <cellStyle name="Hyperlink 4" xfId="10913" hidden="1" xr:uid="{00000000-0005-0000-0000-00003A070000}"/>
    <cellStyle name="Hyperlink 4" xfId="10926" hidden="1" xr:uid="{00000000-0005-0000-0000-00003B070000}"/>
    <cellStyle name="Hyperlink 4" xfId="10931" hidden="1" xr:uid="{00000000-0005-0000-0000-00003C070000}"/>
    <cellStyle name="Hyperlink 4" xfId="10936" hidden="1" xr:uid="{00000000-0005-0000-0000-00003D070000}"/>
    <cellStyle name="Hyperlink 4" xfId="10940" hidden="1" xr:uid="{00000000-0005-0000-0000-00003E070000}"/>
    <cellStyle name="Hyperlink 4" xfId="11060" hidden="1" xr:uid="{00000000-0005-0000-0000-00003F070000}"/>
    <cellStyle name="Hyperlink 4" xfId="11066" hidden="1" xr:uid="{00000000-0005-0000-0000-000040070000}"/>
    <cellStyle name="Hyperlink 4" xfId="11070" hidden="1" xr:uid="{00000000-0005-0000-0000-000041070000}"/>
    <cellStyle name="Hyperlink 4" xfId="11074" hidden="1" xr:uid="{00000000-0005-0000-0000-000042070000}"/>
    <cellStyle name="Hyperlink 4" xfId="11078" hidden="1" xr:uid="{00000000-0005-0000-0000-000043070000}"/>
    <cellStyle name="Hyperlink 5" xfId="10914" hidden="1" xr:uid="{00000000-0005-0000-0000-000044070000}"/>
    <cellStyle name="Hyperlink 5" xfId="10927" hidden="1" xr:uid="{00000000-0005-0000-0000-000045070000}"/>
    <cellStyle name="Hyperlink 5" xfId="10932" hidden="1" xr:uid="{00000000-0005-0000-0000-000046070000}"/>
    <cellStyle name="Hyperlink 5" xfId="10937" hidden="1" xr:uid="{00000000-0005-0000-0000-000047070000}"/>
    <cellStyle name="Hyperlink 5" xfId="10941" hidden="1" xr:uid="{00000000-0005-0000-0000-000048070000}"/>
    <cellStyle name="Hyperlink 5" xfId="11061" hidden="1" xr:uid="{00000000-0005-0000-0000-000049070000}"/>
    <cellStyle name="Hyperlink 5" xfId="11067" hidden="1" xr:uid="{00000000-0005-0000-0000-00004A070000}"/>
    <cellStyle name="Hyperlink 5" xfId="11071" hidden="1" xr:uid="{00000000-0005-0000-0000-00004B070000}"/>
    <cellStyle name="Hyperlink 5" xfId="11075" hidden="1" xr:uid="{00000000-0005-0000-0000-00004C070000}"/>
    <cellStyle name="Hyperlink 5" xfId="11079" hidden="1" xr:uid="{00000000-0005-0000-0000-00004D070000}"/>
    <cellStyle name="Hyperlink 6" xfId="10915" hidden="1" xr:uid="{00000000-0005-0000-0000-00004E070000}"/>
    <cellStyle name="Hyperlink 6" xfId="10928" hidden="1" xr:uid="{00000000-0005-0000-0000-00004F070000}"/>
    <cellStyle name="Hyperlink 6" xfId="10934" hidden="1" xr:uid="{00000000-0005-0000-0000-000050070000}"/>
    <cellStyle name="Hyperlink 6" xfId="10938" hidden="1" xr:uid="{00000000-0005-0000-0000-000051070000}"/>
    <cellStyle name="Hyperlink 6" xfId="10942" hidden="1" xr:uid="{00000000-0005-0000-0000-000052070000}"/>
    <cellStyle name="Hyperlink 6" xfId="11062" hidden="1" xr:uid="{00000000-0005-0000-0000-000053070000}"/>
    <cellStyle name="Hyperlink 6" xfId="11068" hidden="1" xr:uid="{00000000-0005-0000-0000-000054070000}"/>
    <cellStyle name="Hyperlink 6" xfId="11072" hidden="1" xr:uid="{00000000-0005-0000-0000-000055070000}"/>
    <cellStyle name="Hyperlink 6" xfId="11076" hidden="1" xr:uid="{00000000-0005-0000-0000-000056070000}"/>
    <cellStyle name="Hyperlink 6" xfId="11080" hidden="1" xr:uid="{00000000-0005-0000-0000-000057070000}"/>
    <cellStyle name="Hyperlink seguido" xfId="1916" xr:uid="{00000000-0005-0000-0000-000058070000}"/>
    <cellStyle name="IDG&quot;5&quot;" xfId="184" xr:uid="{00000000-0005-0000-0000-000059070000}"/>
    <cellStyle name="IDG&quot;5&quot; 2" xfId="10413" xr:uid="{00000000-0005-0000-0000-00005A070000}"/>
    <cellStyle name="IDG&quot;5&quot; 3" xfId="11106" xr:uid="{00000000-0005-0000-0000-00005B070000}"/>
    <cellStyle name="IDG&quot;8&quot;" xfId="185" xr:uid="{00000000-0005-0000-0000-00005C070000}"/>
    <cellStyle name="IDG&quot;8&quot; 2" xfId="10414" xr:uid="{00000000-0005-0000-0000-00005D070000}"/>
    <cellStyle name="IDG&quot;8&quot; 3" xfId="11107" xr:uid="{00000000-0005-0000-0000-00005E070000}"/>
    <cellStyle name="imput" xfId="1047" xr:uid="{00000000-0005-0000-0000-00005F070000}"/>
    <cellStyle name="Incorrecto" xfId="1917" xr:uid="{00000000-0005-0000-0000-000060070000}"/>
    <cellStyle name="Incorreto" xfId="1918" xr:uid="{00000000-0005-0000-0000-000061070000}"/>
    <cellStyle name="Information%" xfId="369" xr:uid="{00000000-0005-0000-0000-000062070000}"/>
    <cellStyle name="Input" xfId="1751" builtinId="20" customBuiltin="1"/>
    <cellStyle name="Input [yellow]" xfId="1919" xr:uid="{00000000-0005-0000-0000-000064070000}"/>
    <cellStyle name="Input 2" xfId="68" xr:uid="{00000000-0005-0000-0000-000065070000}"/>
    <cellStyle name="Input 2 2" xfId="186" xr:uid="{00000000-0005-0000-0000-000066070000}"/>
    <cellStyle name="Input 2 2 2" xfId="1596" xr:uid="{00000000-0005-0000-0000-000067070000}"/>
    <cellStyle name="Input 2 2 2 2" xfId="1639" xr:uid="{00000000-0005-0000-0000-000068070000}"/>
    <cellStyle name="Input 2 2 2 3" xfId="1658" xr:uid="{00000000-0005-0000-0000-000069070000}"/>
    <cellStyle name="Input 2 2 3" xfId="1618" xr:uid="{00000000-0005-0000-0000-00006A070000}"/>
    <cellStyle name="Input 2 2 4" xfId="11109" xr:uid="{00000000-0005-0000-0000-00006B070000}"/>
    <cellStyle name="Input 2 3" xfId="1590" xr:uid="{00000000-0005-0000-0000-00006C070000}"/>
    <cellStyle name="Input 2 3 2" xfId="1633" xr:uid="{00000000-0005-0000-0000-00006D070000}"/>
    <cellStyle name="Input 2 3 3" xfId="1652" xr:uid="{00000000-0005-0000-0000-00006E070000}"/>
    <cellStyle name="Input 2 4" xfId="1613" xr:uid="{00000000-0005-0000-0000-00006F070000}"/>
    <cellStyle name="Input 2 5" xfId="11108" xr:uid="{00000000-0005-0000-0000-000070070000}"/>
    <cellStyle name="Input 3" xfId="1048" xr:uid="{00000000-0005-0000-0000-000071070000}"/>
    <cellStyle name="Input 3 2" xfId="1603" xr:uid="{00000000-0005-0000-0000-000072070000}"/>
    <cellStyle name="Input 3 2 2" xfId="1645" xr:uid="{00000000-0005-0000-0000-000073070000}"/>
    <cellStyle name="Input 3 2 3" xfId="1664" xr:uid="{00000000-0005-0000-0000-000074070000}"/>
    <cellStyle name="Input 3 3" xfId="1628" xr:uid="{00000000-0005-0000-0000-000075070000}"/>
    <cellStyle name="Input 3 4" xfId="1627" xr:uid="{00000000-0005-0000-0000-000076070000}"/>
    <cellStyle name="Input Box" xfId="1920" xr:uid="{00000000-0005-0000-0000-000077070000}"/>
    <cellStyle name="InputBlueFont" xfId="1049" xr:uid="{00000000-0005-0000-0000-000078070000}"/>
    <cellStyle name="Integer" xfId="1921" xr:uid="{00000000-0005-0000-0000-000079070000}"/>
    <cellStyle name="Invisible" xfId="370" xr:uid="{00000000-0005-0000-0000-00007A070000}"/>
    <cellStyle name="Invisible 2" xfId="371" xr:uid="{00000000-0005-0000-0000-00007B070000}"/>
    <cellStyle name="Invisible 3" xfId="1050" xr:uid="{00000000-0005-0000-0000-00007C070000}"/>
    <cellStyle name="Italic" xfId="1922" xr:uid="{00000000-0005-0000-0000-00007D070000}"/>
    <cellStyle name="Item" xfId="1923" xr:uid="{00000000-0005-0000-0000-00007E070000}"/>
    <cellStyle name="ItemTypeClass" xfId="1924" xr:uid="{00000000-0005-0000-0000-00007F070000}"/>
    <cellStyle name="jo[" xfId="1925" xr:uid="{00000000-0005-0000-0000-000080070000}"/>
    <cellStyle name="Line" xfId="1051" xr:uid="{00000000-0005-0000-0000-000081070000}"/>
    <cellStyle name="Linked Cell" xfId="1754" builtinId="24" customBuiltin="1"/>
    <cellStyle name="Linked Cell 2" xfId="69" xr:uid="{00000000-0005-0000-0000-000083070000}"/>
    <cellStyle name="Linked Cell 2 2" xfId="187" xr:uid="{00000000-0005-0000-0000-000084070000}"/>
    <cellStyle name="Linked Cell 3" xfId="1052" xr:uid="{00000000-0005-0000-0000-000085070000}"/>
    <cellStyle name="locked" xfId="1053" xr:uid="{00000000-0005-0000-0000-000086070000}"/>
    <cellStyle name="m" xfId="1054" xr:uid="{00000000-0005-0000-0000-000087070000}"/>
    <cellStyle name="m$" xfId="1055" xr:uid="{00000000-0005-0000-0000-000088070000}"/>
    <cellStyle name="m&amp;a" xfId="1056" xr:uid="{00000000-0005-0000-0000-000089070000}"/>
    <cellStyle name="M/D" xfId="188" xr:uid="{00000000-0005-0000-0000-00008A070000}"/>
    <cellStyle name="M/D 2" xfId="189" xr:uid="{00000000-0005-0000-0000-00008B070000}"/>
    <cellStyle name="M/D 2 2" xfId="190" xr:uid="{00000000-0005-0000-0000-00008C070000}"/>
    <cellStyle name="M/D 3" xfId="191" xr:uid="{00000000-0005-0000-0000-00008D070000}"/>
    <cellStyle name="m_AVP" xfId="1057" xr:uid="{00000000-0005-0000-0000-00008E070000}"/>
    <cellStyle name="m_AVP_LANCE_Model_v0.6.DCF.MASTER.Name" xfId="1058" xr:uid="{00000000-0005-0000-0000-00008F070000}"/>
    <cellStyle name="m_AVP_LANCE_Model_v0.6.DCF.MASTER.Name_DCF &amp; Raios to CLX Tootsie_v1.33.xls" xfId="1059" xr:uid="{00000000-0005-0000-0000-000090070000}"/>
    <cellStyle name="m_AVP_LANCE_Model_v0.6.DCF.MASTER.Name_Tootsie_TWO_DAY_TTS_Solution_v1.34" xfId="1060" xr:uid="{00000000-0005-0000-0000-000091070000}"/>
    <cellStyle name="m_AVP_LANCE_Model_v0.6.DCF.MASTER.Name_Val_1_Book_Lecture_Notes_v3.06" xfId="1061" xr:uid="{00000000-0005-0000-0000-000092070000}"/>
    <cellStyle name="m_Disc Analysis" xfId="1062" xr:uid="{00000000-0005-0000-0000-000093070000}"/>
    <cellStyle name="m_Disc Analysis_LANCE_Model_v0.6.DCF.MASTER.Name" xfId="1063" xr:uid="{00000000-0005-0000-0000-000094070000}"/>
    <cellStyle name="m_Disc Analysis_LANCE_Model_v0.6.DCF.MASTER.Name_DCF &amp; Raios to CLX Tootsie_v1.33.xls" xfId="1064" xr:uid="{00000000-0005-0000-0000-000095070000}"/>
    <cellStyle name="m_Disc Analysis_LANCE_Model_v0.6.DCF.MASTER.Name_Tootsie_TWO_DAY_TTS_Solution_v1.34" xfId="1065" xr:uid="{00000000-0005-0000-0000-000096070000}"/>
    <cellStyle name="m_Disc Analysis_LANCE_Model_v0.6.DCF.MASTER.Name_Val_1_Book_Lecture_Notes_v3.06" xfId="1066" xr:uid="{00000000-0005-0000-0000-000097070000}"/>
    <cellStyle name="m_LANCE_Model_v0.6.DCF.MASTER.Name" xfId="1067" xr:uid="{00000000-0005-0000-0000-000098070000}"/>
    <cellStyle name="m_LANCE_Model_v0.6.DCF.MASTER.Name_DCF &amp; Raios to CLX Tootsie_v1.33.xls" xfId="1068" xr:uid="{00000000-0005-0000-0000-000099070000}"/>
    <cellStyle name="m_LANCE_Model_v0.6.DCF.MASTER.Name_Tootsie_TWO_DAY_TTS_Solution_v1.34" xfId="1069" xr:uid="{00000000-0005-0000-0000-00009A070000}"/>
    <cellStyle name="m_LANCE_Model_v0.6.DCF.MASTER.Name_Val_1_Book_Lecture_Notes_v3.06" xfId="1070" xr:uid="{00000000-0005-0000-0000-00009B070000}"/>
    <cellStyle name="m_LP Chart" xfId="1071" xr:uid="{00000000-0005-0000-0000-00009C070000}"/>
    <cellStyle name="m_LP Chart_LANCE_Model_v0.6.DCF.MASTER.Name" xfId="1072" xr:uid="{00000000-0005-0000-0000-00009D070000}"/>
    <cellStyle name="m_LP Chart_LANCE_Model_v0.6.DCF.MASTER.Name_DCF &amp; Raios to CLX Tootsie_v1.33.xls" xfId="1073" xr:uid="{00000000-0005-0000-0000-00009E070000}"/>
    <cellStyle name="m_LP Chart_LANCE_Model_v0.6.DCF.MASTER.Name_Tootsie_TWO_DAY_TTS_Solution_v1.34" xfId="1074" xr:uid="{00000000-0005-0000-0000-00009F070000}"/>
    <cellStyle name="m_LP Chart_LANCE_Model_v0.6.DCF.MASTER.Name_Val_1_Book_Lecture_Notes_v3.06" xfId="1075" xr:uid="{00000000-0005-0000-0000-0000A0070000}"/>
    <cellStyle name="m_Merg Cons" xfId="1076" xr:uid="{00000000-0005-0000-0000-0000A1070000}"/>
    <cellStyle name="m_Merg Cons_LANCE_Model_v0.6.DCF.MASTER.Name" xfId="1077" xr:uid="{00000000-0005-0000-0000-0000A2070000}"/>
    <cellStyle name="m_Merg Cons_LANCE_Model_v0.6.DCF.MASTER.Name_DCF &amp; Raios to CLX Tootsie_v1.33.xls" xfId="1078" xr:uid="{00000000-0005-0000-0000-0000A3070000}"/>
    <cellStyle name="m_Merg Cons_LANCE_Model_v0.6.DCF.MASTER.Name_Tootsie_TWO_DAY_TTS_Solution_v1.34" xfId="1079" xr:uid="{00000000-0005-0000-0000-0000A4070000}"/>
    <cellStyle name="m_Merg Cons_LANCE_Model_v0.6.DCF.MASTER.Name_Val_1_Book_Lecture_Notes_v3.06" xfId="1080" xr:uid="{00000000-0005-0000-0000-0000A5070000}"/>
    <cellStyle name="m_Proj10" xfId="1081" xr:uid="{00000000-0005-0000-0000-0000A6070000}"/>
    <cellStyle name="m_Proj10_AVP" xfId="1082" xr:uid="{00000000-0005-0000-0000-0000A7070000}"/>
    <cellStyle name="m_Proj10_AVP_LANCE_Model_v0.6.DCF.MASTER.Name" xfId="1083" xr:uid="{00000000-0005-0000-0000-0000A8070000}"/>
    <cellStyle name="m_Proj10_AVP_LANCE_Model_v0.6.DCF.MASTER.Name_DCF &amp; Raios to CLX Tootsie_v1.33.xls" xfId="1084" xr:uid="{00000000-0005-0000-0000-0000A9070000}"/>
    <cellStyle name="m_Proj10_AVP_LANCE_Model_v0.6.DCF.MASTER.Name_Tootsie_TWO_DAY_TTS_Solution_v1.34" xfId="1085" xr:uid="{00000000-0005-0000-0000-0000AA070000}"/>
    <cellStyle name="m_Proj10_AVP_LANCE_Model_v0.6.DCF.MASTER.Name_Val_1_Book_Lecture_Notes_v3.06" xfId="1086" xr:uid="{00000000-0005-0000-0000-0000AB070000}"/>
    <cellStyle name="m_Proj10_Disc Analysis" xfId="1087" xr:uid="{00000000-0005-0000-0000-0000AC070000}"/>
    <cellStyle name="m_Proj10_Disc Analysis_LANCE_Model_v0.6.DCF.MASTER.Name" xfId="1088" xr:uid="{00000000-0005-0000-0000-0000AD070000}"/>
    <cellStyle name="m_Proj10_Disc Analysis_LANCE_Model_v0.6.DCF.MASTER.Name_DCF &amp; Raios to CLX Tootsie_v1.33.xls" xfId="1089" xr:uid="{00000000-0005-0000-0000-0000AE070000}"/>
    <cellStyle name="m_Proj10_Disc Analysis_LANCE_Model_v0.6.DCF.MASTER.Name_Tootsie_TWO_DAY_TTS_Solution_v1.34" xfId="1090" xr:uid="{00000000-0005-0000-0000-0000AF070000}"/>
    <cellStyle name="m_Proj10_Disc Analysis_LANCE_Model_v0.6.DCF.MASTER.Name_Val_1_Book_Lecture_Notes_v3.06" xfId="1091" xr:uid="{00000000-0005-0000-0000-0000B0070000}"/>
    <cellStyle name="m_Proj10_LANCE_Model_v0.6.DCF.MASTER.Name" xfId="1092" xr:uid="{00000000-0005-0000-0000-0000B1070000}"/>
    <cellStyle name="m_Proj10_LANCE_Model_v0.6.DCF.MASTER.Name_DCF &amp; Raios to CLX Tootsie_v1.33.xls" xfId="1093" xr:uid="{00000000-0005-0000-0000-0000B2070000}"/>
    <cellStyle name="m_Proj10_LANCE_Model_v0.6.DCF.MASTER.Name_Tootsie_TWO_DAY_TTS_Solution_v1.34" xfId="1094" xr:uid="{00000000-0005-0000-0000-0000B3070000}"/>
    <cellStyle name="m_Proj10_LANCE_Model_v0.6.DCF.MASTER.Name_Val_1_Book_Lecture_Notes_v3.06" xfId="1095" xr:uid="{00000000-0005-0000-0000-0000B4070000}"/>
    <cellStyle name="m_Proj10_LP Chart" xfId="1096" xr:uid="{00000000-0005-0000-0000-0000B5070000}"/>
    <cellStyle name="m_Proj10_LP Chart_LANCE_Model_v0.6.DCF.MASTER.Name" xfId="1097" xr:uid="{00000000-0005-0000-0000-0000B6070000}"/>
    <cellStyle name="m_Proj10_LP Chart_LANCE_Model_v0.6.DCF.MASTER.Name_DCF &amp; Raios to CLX Tootsie_v1.33.xls" xfId="1098" xr:uid="{00000000-0005-0000-0000-0000B7070000}"/>
    <cellStyle name="m_Proj10_LP Chart_LANCE_Model_v0.6.DCF.MASTER.Name_Tootsie_TWO_DAY_TTS_Solution_v1.34" xfId="1099" xr:uid="{00000000-0005-0000-0000-0000B8070000}"/>
    <cellStyle name="m_Proj10_LP Chart_LANCE_Model_v0.6.DCF.MASTER.Name_Val_1_Book_Lecture_Notes_v3.06" xfId="1100" xr:uid="{00000000-0005-0000-0000-0000B9070000}"/>
    <cellStyle name="m_Proj10_Merg Cons" xfId="1101" xr:uid="{00000000-0005-0000-0000-0000BA070000}"/>
    <cellStyle name="m_Proj10_Merg Cons_LANCE_Model_v0.6.DCF.MASTER.Name" xfId="1102" xr:uid="{00000000-0005-0000-0000-0000BB070000}"/>
    <cellStyle name="m_Proj10_Merg Cons_LANCE_Model_v0.6.DCF.MASTER.Name_DCF &amp; Raios to CLX Tootsie_v1.33.xls" xfId="1103" xr:uid="{00000000-0005-0000-0000-0000BC070000}"/>
    <cellStyle name="m_Proj10_Merg Cons_LANCE_Model_v0.6.DCF.MASTER.Name_Tootsie_TWO_DAY_TTS_Solution_v1.34" xfId="1104" xr:uid="{00000000-0005-0000-0000-0000BD070000}"/>
    <cellStyle name="m_Proj10_Merg Cons_LANCE_Model_v0.6.DCF.MASTER.Name_Val_1_Book_Lecture_Notes_v3.06" xfId="1105" xr:uid="{00000000-0005-0000-0000-0000BE070000}"/>
    <cellStyle name="m_Proj10_Sensitivity" xfId="1106" xr:uid="{00000000-0005-0000-0000-0000BF070000}"/>
    <cellStyle name="m_Proj10_Sensitivity_LANCE_Model_v0.6.DCF.MASTER.Name" xfId="1107" xr:uid="{00000000-0005-0000-0000-0000C0070000}"/>
    <cellStyle name="m_Proj10_Sensitivity_LANCE_Model_v0.6.DCF.MASTER.Name_DCF &amp; Raios to CLX Tootsie_v1.33.xls" xfId="1108" xr:uid="{00000000-0005-0000-0000-0000C1070000}"/>
    <cellStyle name="m_Proj10_Sensitivity_LANCE_Model_v0.6.DCF.MASTER.Name_Tootsie_TWO_DAY_TTS_Solution_v1.34" xfId="1109" xr:uid="{00000000-0005-0000-0000-0000C2070000}"/>
    <cellStyle name="m_Proj10_Sensitivity_LANCE_Model_v0.6.DCF.MASTER.Name_Val_1_Book_Lecture_Notes_v3.06" xfId="1110" xr:uid="{00000000-0005-0000-0000-0000C3070000}"/>
    <cellStyle name="m_Proj10_show-hold" xfId="1111" xr:uid="{00000000-0005-0000-0000-0000C4070000}"/>
    <cellStyle name="m_Proj10_show-hold_LANCE_Model_v0.6.DCF.MASTER.Name" xfId="1112" xr:uid="{00000000-0005-0000-0000-0000C5070000}"/>
    <cellStyle name="m_Proj10_show-hold_LANCE_Model_v0.6.DCF.MASTER.Name_DCF &amp; Raios to CLX Tootsie_v1.33.xls" xfId="1113" xr:uid="{00000000-0005-0000-0000-0000C6070000}"/>
    <cellStyle name="m_Proj10_show-hold_LANCE_Model_v0.6.DCF.MASTER.Name_Tootsie_TWO_DAY_TTS_Solution_v1.34" xfId="1114" xr:uid="{00000000-0005-0000-0000-0000C7070000}"/>
    <cellStyle name="m_Proj10_show-hold_LANCE_Model_v0.6.DCF.MASTER.Name_Val_1_Book_Lecture_Notes_v3.06" xfId="1115" xr:uid="{00000000-0005-0000-0000-0000C8070000}"/>
    <cellStyle name="m_Proj10_WACC-CableCar" xfId="1116" xr:uid="{00000000-0005-0000-0000-0000C9070000}"/>
    <cellStyle name="m_Proj10_WACC-CableCar_LANCE_Model_v0.6.DCF.MASTER.Name" xfId="1117" xr:uid="{00000000-0005-0000-0000-0000CA070000}"/>
    <cellStyle name="m_Proj10_WACC-CableCar_LANCE_Model_v0.6.DCF.MASTER.Name_DCF &amp; Raios to CLX Tootsie_v1.33.xls" xfId="1118" xr:uid="{00000000-0005-0000-0000-0000CB070000}"/>
    <cellStyle name="m_Proj10_WACC-CableCar_LANCE_Model_v0.6.DCF.MASTER.Name_Tootsie_TWO_DAY_TTS_Solution_v1.34" xfId="1119" xr:uid="{00000000-0005-0000-0000-0000CC070000}"/>
    <cellStyle name="m_Proj10_WACC-RAD (2)" xfId="1120" xr:uid="{00000000-0005-0000-0000-0000CD070000}"/>
    <cellStyle name="m_Proj10_WACC-RAD (2)_LANCE_Model_v0.6.DCF.MASTER.Name" xfId="1121" xr:uid="{00000000-0005-0000-0000-0000CE070000}"/>
    <cellStyle name="m_Proj10_WACC-RAD (2)_LANCE_Model_v0.6.DCF.MASTER.Name_DCF &amp; Raios to CLX Tootsie_v1.33.xls" xfId="1122" xr:uid="{00000000-0005-0000-0000-0000CF070000}"/>
    <cellStyle name="m_Proj10_WACC-RAD (2)_LANCE_Model_v0.6.DCF.MASTER.Name_Tootsie_TWO_DAY_TTS_Solution_v1.34" xfId="1123" xr:uid="{00000000-0005-0000-0000-0000D0070000}"/>
    <cellStyle name="m_Proj10_WACC-RAD (2)_LANCE_Model_v0.6.DCF.MASTER.Name_Val_1_Book_Lecture_Notes_v3.06" xfId="1124" xr:uid="{00000000-0005-0000-0000-0000D1070000}"/>
    <cellStyle name="m_Sensitivity" xfId="1125" xr:uid="{00000000-0005-0000-0000-0000D2070000}"/>
    <cellStyle name="m_Sensitivity_LANCE_Model_v0.6.DCF.MASTER.Name" xfId="1126" xr:uid="{00000000-0005-0000-0000-0000D3070000}"/>
    <cellStyle name="m_Sensitivity_LANCE_Model_v0.6.DCF.MASTER.Name_DCF &amp; Raios to CLX Tootsie_v1.33.xls" xfId="1127" xr:uid="{00000000-0005-0000-0000-0000D4070000}"/>
    <cellStyle name="m_Sensitivity_LANCE_Model_v0.6.DCF.MASTER.Name_Tootsie_TWO_DAY_TTS_Solution_v1.34" xfId="1128" xr:uid="{00000000-0005-0000-0000-0000D5070000}"/>
    <cellStyle name="m_Sensitivity_LANCE_Model_v0.6.DCF.MASTER.Name_Val_1_Book_Lecture_Notes_v3.06" xfId="1129" xr:uid="{00000000-0005-0000-0000-0000D6070000}"/>
    <cellStyle name="m_show-hold" xfId="1130" xr:uid="{00000000-0005-0000-0000-0000D7070000}"/>
    <cellStyle name="m_show-hold_LANCE_Model_v0.6.DCF.MASTER.Name" xfId="1131" xr:uid="{00000000-0005-0000-0000-0000D8070000}"/>
    <cellStyle name="m_show-hold_LANCE_Model_v0.6.DCF.MASTER.Name_DCF &amp; Raios to CLX Tootsie_v1.33.xls" xfId="1132" xr:uid="{00000000-0005-0000-0000-0000D9070000}"/>
    <cellStyle name="m_show-hold_LANCE_Model_v0.6.DCF.MASTER.Name_Tootsie_TWO_DAY_TTS_Solution_v1.34" xfId="1133" xr:uid="{00000000-0005-0000-0000-0000DA070000}"/>
    <cellStyle name="m_show-hold_LANCE_Model_v0.6.DCF.MASTER.Name_Val_1_Book_Lecture_Notes_v3.06" xfId="1134" xr:uid="{00000000-0005-0000-0000-0000DB070000}"/>
    <cellStyle name="m_WACC-CableCar" xfId="1135" xr:uid="{00000000-0005-0000-0000-0000DC070000}"/>
    <cellStyle name="m_WACC-CableCar_LANCE_Model_v0.6.DCF.MASTER.Name" xfId="1136" xr:uid="{00000000-0005-0000-0000-0000DD070000}"/>
    <cellStyle name="m_WACC-CableCar_LANCE_Model_v0.6.DCF.MASTER.Name_DCF &amp; Raios to CLX Tootsie_v1.33.xls" xfId="1137" xr:uid="{00000000-0005-0000-0000-0000DE070000}"/>
    <cellStyle name="m_WACC-CableCar_LANCE_Model_v0.6.DCF.MASTER.Name_Tootsie_TWO_DAY_TTS_Solution_v1.34" xfId="1138" xr:uid="{00000000-0005-0000-0000-0000DF070000}"/>
    <cellStyle name="m_WACC-RAD (2)" xfId="1139" xr:uid="{00000000-0005-0000-0000-0000E0070000}"/>
    <cellStyle name="m_WACC-RAD (2)_LANCE_Model_v0.6.DCF.MASTER.Name" xfId="1140" xr:uid="{00000000-0005-0000-0000-0000E1070000}"/>
    <cellStyle name="m_WACC-RAD (2)_LANCE_Model_v0.6.DCF.MASTER.Name_DCF &amp; Raios to CLX Tootsie_v1.33.xls" xfId="1141" xr:uid="{00000000-0005-0000-0000-0000E2070000}"/>
    <cellStyle name="m_WACC-RAD (2)_LANCE_Model_v0.6.DCF.MASTER.Name_Tootsie_TWO_DAY_TTS_Solution_v1.34" xfId="1142" xr:uid="{00000000-0005-0000-0000-0000E3070000}"/>
    <cellStyle name="m_WACC-RAD (2)_LANCE_Model_v0.6.DCF.MASTER.Name_Val_1_Book_Lecture_Notes_v3.06" xfId="1143" xr:uid="{00000000-0005-0000-0000-0000E4070000}"/>
    <cellStyle name="Map Labels" xfId="1144" xr:uid="{00000000-0005-0000-0000-0000E5070000}"/>
    <cellStyle name="Map Legend" xfId="1145" xr:uid="{00000000-0005-0000-0000-0000E6070000}"/>
    <cellStyle name="Merrill" xfId="1146" xr:uid="{00000000-0005-0000-0000-0000E7070000}"/>
    <cellStyle name="Millares [0]_19 02 01" xfId="1926" xr:uid="{00000000-0005-0000-0000-0000E8070000}"/>
    <cellStyle name="Millares [2]" xfId="1927" xr:uid="{00000000-0005-0000-0000-0000E9070000}"/>
    <cellStyle name="Millares_19 02 01" xfId="1928" xr:uid="{00000000-0005-0000-0000-0000EA070000}"/>
    <cellStyle name="Mix" xfId="1147" xr:uid="{00000000-0005-0000-0000-0000EB070000}"/>
    <cellStyle name="mm" xfId="1148" xr:uid="{00000000-0005-0000-0000-0000EC070000}"/>
    <cellStyle name="MM/DD" xfId="192" xr:uid="{00000000-0005-0000-0000-0000ED070000}"/>
    <cellStyle name="MM/DD 2" xfId="193" xr:uid="{00000000-0005-0000-0000-0000EE070000}"/>
    <cellStyle name="MM/DD 2 2" xfId="194" xr:uid="{00000000-0005-0000-0000-0000EF070000}"/>
    <cellStyle name="MM/DD 3" xfId="195" xr:uid="{00000000-0005-0000-0000-0000F0070000}"/>
    <cellStyle name="mm/dd/yy" xfId="1929" xr:uid="{00000000-0005-0000-0000-0000F1070000}"/>
    <cellStyle name="mm/dd/yy 2" xfId="1987" xr:uid="{00000000-0005-0000-0000-0000F2070000}"/>
    <cellStyle name="mm/dd/yy 3" xfId="2058" xr:uid="{00000000-0005-0000-0000-0000F3070000}"/>
    <cellStyle name="MM/YY" xfId="196" xr:uid="{00000000-0005-0000-0000-0000F4070000}"/>
    <cellStyle name="MM/YY 2" xfId="197" xr:uid="{00000000-0005-0000-0000-0000F5070000}"/>
    <cellStyle name="MM/YY 2 2" xfId="198" xr:uid="{00000000-0005-0000-0000-0000F6070000}"/>
    <cellStyle name="MM/YY 3" xfId="199" xr:uid="{00000000-0005-0000-0000-0000F7070000}"/>
    <cellStyle name="MMM 'YY" xfId="200" xr:uid="{00000000-0005-0000-0000-0000F8070000}"/>
    <cellStyle name="MMM 'YY 2" xfId="201" xr:uid="{00000000-0005-0000-0000-0000F9070000}"/>
    <cellStyle name="MMM 'YY 2 2" xfId="202" xr:uid="{00000000-0005-0000-0000-0000FA070000}"/>
    <cellStyle name="MMM 'YY 3" xfId="203" xr:uid="{00000000-0005-0000-0000-0000FB070000}"/>
    <cellStyle name="Moeda [0]_alocação por fontes" xfId="1930" xr:uid="{00000000-0005-0000-0000-0000FC070000}"/>
    <cellStyle name="Moeda_alocação por fontes" xfId="1931" xr:uid="{00000000-0005-0000-0000-0000FD070000}"/>
    <cellStyle name="Moneda [0]_19 02 01" xfId="1932" xr:uid="{00000000-0005-0000-0000-0000FE070000}"/>
    <cellStyle name="Moneda_19 02 01" xfId="1933" xr:uid="{00000000-0005-0000-0000-0000FF070000}"/>
    <cellStyle name="mult" xfId="1149" xr:uid="{00000000-0005-0000-0000-000000080000}"/>
    <cellStyle name="Multiple" xfId="1150" xr:uid="{00000000-0005-0000-0000-000001080000}"/>
    <cellStyle name="Multiple []" xfId="1151" xr:uid="{00000000-0005-0000-0000-000002080000}"/>
    <cellStyle name="Multiple [0]" xfId="1152" xr:uid="{00000000-0005-0000-0000-000003080000}"/>
    <cellStyle name="Multiple [0] []" xfId="1153" xr:uid="{00000000-0005-0000-0000-000004080000}"/>
    <cellStyle name="Multiple [0]_LANCE_Model_v0.6.DCF.MASTER.Name" xfId="1154" xr:uid="{00000000-0005-0000-0000-000005080000}"/>
    <cellStyle name="Multiple [1]" xfId="1155" xr:uid="{00000000-0005-0000-0000-000006080000}"/>
    <cellStyle name="Multiple [1] []" xfId="1156" xr:uid="{00000000-0005-0000-0000-000007080000}"/>
    <cellStyle name="Multiple [1]_LANCE_Model_v0.6.DCF.MASTER.Name" xfId="1157" xr:uid="{00000000-0005-0000-0000-000008080000}"/>
    <cellStyle name="Multiple_CapitalSum" xfId="1158" xr:uid="{00000000-0005-0000-0000-000009080000}"/>
    <cellStyle name="M-W" xfId="204" xr:uid="{00000000-0005-0000-0000-00000A080000}"/>
    <cellStyle name="M-W 2" xfId="10415" xr:uid="{00000000-0005-0000-0000-00000B080000}"/>
    <cellStyle name="M-W 3" xfId="11110" xr:uid="{00000000-0005-0000-0000-00000C080000}"/>
    <cellStyle name="Neutra" xfId="1934" xr:uid="{00000000-0005-0000-0000-00000D080000}"/>
    <cellStyle name="Neutral" xfId="1750" builtinId="28" customBuiltin="1"/>
    <cellStyle name="Neutral 2" xfId="70" xr:uid="{00000000-0005-0000-0000-00000F080000}"/>
    <cellStyle name="Neutral 2 2" xfId="205" xr:uid="{00000000-0005-0000-0000-000010080000}"/>
    <cellStyle name="Neutral 3" xfId="1159" xr:uid="{00000000-0005-0000-0000-000011080000}"/>
    <cellStyle name="NewColumnHeaderNormal" xfId="372" xr:uid="{00000000-0005-0000-0000-000012080000}"/>
    <cellStyle name="NewColumnHeaderNormal 2" xfId="1160" xr:uid="{00000000-0005-0000-0000-000013080000}"/>
    <cellStyle name="NewSectionHeaderNormal" xfId="373" xr:uid="{00000000-0005-0000-0000-000014080000}"/>
    <cellStyle name="NewSectionHeaderNormal 2" xfId="374" xr:uid="{00000000-0005-0000-0000-000015080000}"/>
    <cellStyle name="NewSectionHeaderNormal 3" xfId="1161" xr:uid="{00000000-0005-0000-0000-000016080000}"/>
    <cellStyle name="NewTitleNormal" xfId="375" xr:uid="{00000000-0005-0000-0000-000017080000}"/>
    <cellStyle name="NewTitleNormal 2" xfId="1162" xr:uid="{00000000-0005-0000-0000-000018080000}"/>
    <cellStyle name="No-definido" xfId="1935" xr:uid="{00000000-0005-0000-0000-000019080000}"/>
    <cellStyle name="Normal" xfId="0" builtinId="0"/>
    <cellStyle name="Normal - Style1" xfId="1163" xr:uid="{00000000-0005-0000-0000-00001B080000}"/>
    <cellStyle name="Normal - Style1 2" xfId="1936" xr:uid="{00000000-0005-0000-0000-00001C080000}"/>
    <cellStyle name="Normal 10" xfId="206" xr:uid="{00000000-0005-0000-0000-00001D080000}"/>
    <cellStyle name="Normal 10 10 3" xfId="6724" xr:uid="{00000000-0005-0000-0000-00001E080000}"/>
    <cellStyle name="Normal 10 2" xfId="207" xr:uid="{00000000-0005-0000-0000-00001F080000}"/>
    <cellStyle name="Normal 10 2 2" xfId="208" xr:uid="{00000000-0005-0000-0000-000020080000}"/>
    <cellStyle name="Normal 10 2 2 2" xfId="2448" xr:uid="{00000000-0005-0000-0000-000021080000}"/>
    <cellStyle name="Normal 10 2 3" xfId="376" xr:uid="{00000000-0005-0000-0000-000022080000}"/>
    <cellStyle name="Normal 10 2 4" xfId="1720" xr:uid="{00000000-0005-0000-0000-000023080000}"/>
    <cellStyle name="Normal 10 2 5" xfId="1677" xr:uid="{00000000-0005-0000-0000-000024080000}"/>
    <cellStyle name="Normal 10 3" xfId="209" xr:uid="{00000000-0005-0000-0000-000025080000}"/>
    <cellStyle name="Normal 10 3 2" xfId="2450" xr:uid="{00000000-0005-0000-0000-000026080000}"/>
    <cellStyle name="Normal 10 3 2 2" xfId="2451" xr:uid="{00000000-0005-0000-0000-000027080000}"/>
    <cellStyle name="Normal 10 3 2 2 2" xfId="2452" xr:uid="{00000000-0005-0000-0000-000028080000}"/>
    <cellStyle name="Normal 10 3 2 2 2 2" xfId="6725" xr:uid="{00000000-0005-0000-0000-000029080000}"/>
    <cellStyle name="Normal 10 3 2 2 3" xfId="2453" xr:uid="{00000000-0005-0000-0000-00002A080000}"/>
    <cellStyle name="Normal 10 3 2 3" xfId="2454" xr:uid="{00000000-0005-0000-0000-00002B080000}"/>
    <cellStyle name="Normal 10 3 2 3 2" xfId="6726" xr:uid="{00000000-0005-0000-0000-00002C080000}"/>
    <cellStyle name="Normal 10 3 2 4" xfId="6727" xr:uid="{00000000-0005-0000-0000-00002D080000}"/>
    <cellStyle name="Normal 10 3 3" xfId="2455" xr:uid="{00000000-0005-0000-0000-00002E080000}"/>
    <cellStyle name="Normal 10 3 3 2" xfId="2456" xr:uid="{00000000-0005-0000-0000-00002F080000}"/>
    <cellStyle name="Normal 10 3 3 2 2" xfId="6728" xr:uid="{00000000-0005-0000-0000-000030080000}"/>
    <cellStyle name="Normal 10 3 3 3" xfId="6729" xr:uid="{00000000-0005-0000-0000-000031080000}"/>
    <cellStyle name="Normal 10 3 4" xfId="2457" xr:uid="{00000000-0005-0000-0000-000032080000}"/>
    <cellStyle name="Normal 10 3 4 2" xfId="6730" xr:uid="{00000000-0005-0000-0000-000033080000}"/>
    <cellStyle name="Normal 10 3 5" xfId="2458" xr:uid="{00000000-0005-0000-0000-000034080000}"/>
    <cellStyle name="Normal 10 3 6" xfId="2449" xr:uid="{00000000-0005-0000-0000-000035080000}"/>
    <cellStyle name="Normal 10 4" xfId="377" xr:uid="{00000000-0005-0000-0000-000036080000}"/>
    <cellStyle name="Normal 10 4 2" xfId="2459" xr:uid="{00000000-0005-0000-0000-000037080000}"/>
    <cellStyle name="Normal 10 4 2 2" xfId="2460" xr:uid="{00000000-0005-0000-0000-000038080000}"/>
    <cellStyle name="Normal 10 4 2 2 2" xfId="2461" xr:uid="{00000000-0005-0000-0000-000039080000}"/>
    <cellStyle name="Normal 10 4 2 2 2 2" xfId="6731" xr:uid="{00000000-0005-0000-0000-00003A080000}"/>
    <cellStyle name="Normal 10 4 2 2 3" xfId="6732" xr:uid="{00000000-0005-0000-0000-00003B080000}"/>
    <cellStyle name="Normal 10 4 2 3" xfId="2462" xr:uid="{00000000-0005-0000-0000-00003C080000}"/>
    <cellStyle name="Normal 10 4 2 3 2" xfId="6733" xr:uid="{00000000-0005-0000-0000-00003D080000}"/>
    <cellStyle name="Normal 10 4 2 4" xfId="6734" xr:uid="{00000000-0005-0000-0000-00003E080000}"/>
    <cellStyle name="Normal 10 4 3" xfId="2463" xr:uid="{00000000-0005-0000-0000-00003F080000}"/>
    <cellStyle name="Normal 10 4 3 2" xfId="2464" xr:uid="{00000000-0005-0000-0000-000040080000}"/>
    <cellStyle name="Normal 10 4 3 2 2" xfId="6735" xr:uid="{00000000-0005-0000-0000-000041080000}"/>
    <cellStyle name="Normal 10 4 3 3" xfId="6736" xr:uid="{00000000-0005-0000-0000-000042080000}"/>
    <cellStyle name="Normal 10 4 4" xfId="2465" xr:uid="{00000000-0005-0000-0000-000043080000}"/>
    <cellStyle name="Normal 10 4 4 2" xfId="6737" xr:uid="{00000000-0005-0000-0000-000044080000}"/>
    <cellStyle name="Normal 10 4 5" xfId="6738" xr:uid="{00000000-0005-0000-0000-000045080000}"/>
    <cellStyle name="Normal 10 5" xfId="1689" xr:uid="{00000000-0005-0000-0000-000046080000}"/>
    <cellStyle name="Normal 10 5 2" xfId="2467" xr:uid="{00000000-0005-0000-0000-000047080000}"/>
    <cellStyle name="Normal 10 5 2 2" xfId="2468" xr:uid="{00000000-0005-0000-0000-000048080000}"/>
    <cellStyle name="Normal 10 5 2 2 2" xfId="2469" xr:uid="{00000000-0005-0000-0000-000049080000}"/>
    <cellStyle name="Normal 10 5 2 2 2 2" xfId="6739" xr:uid="{00000000-0005-0000-0000-00004A080000}"/>
    <cellStyle name="Normal 10 5 2 2 3" xfId="6740" xr:uid="{00000000-0005-0000-0000-00004B080000}"/>
    <cellStyle name="Normal 10 5 2 3" xfId="2470" xr:uid="{00000000-0005-0000-0000-00004C080000}"/>
    <cellStyle name="Normal 10 5 2 3 2" xfId="6741" xr:uid="{00000000-0005-0000-0000-00004D080000}"/>
    <cellStyle name="Normal 10 5 2 4" xfId="6742" xr:uid="{00000000-0005-0000-0000-00004E080000}"/>
    <cellStyle name="Normal 10 5 3" xfId="2471" xr:uid="{00000000-0005-0000-0000-00004F080000}"/>
    <cellStyle name="Normal 10 5 3 2" xfId="2472" xr:uid="{00000000-0005-0000-0000-000050080000}"/>
    <cellStyle name="Normal 10 5 3 2 2" xfId="6743" xr:uid="{00000000-0005-0000-0000-000051080000}"/>
    <cellStyle name="Normal 10 5 3 3" xfId="6744" xr:uid="{00000000-0005-0000-0000-000052080000}"/>
    <cellStyle name="Normal 10 5 4" xfId="2473" xr:uid="{00000000-0005-0000-0000-000053080000}"/>
    <cellStyle name="Normal 10 5 4 2" xfId="6745" xr:uid="{00000000-0005-0000-0000-000054080000}"/>
    <cellStyle name="Normal 10 5 5" xfId="6746" xr:uid="{00000000-0005-0000-0000-000055080000}"/>
    <cellStyle name="Normal 10 5 6" xfId="2466" xr:uid="{00000000-0005-0000-0000-000056080000}"/>
    <cellStyle name="Normal 10 6" xfId="2474" xr:uid="{00000000-0005-0000-0000-000057080000}"/>
    <cellStyle name="Normal 10 6 2" xfId="2475" xr:uid="{00000000-0005-0000-0000-000058080000}"/>
    <cellStyle name="Normal 10 6 2 2" xfId="2476" xr:uid="{00000000-0005-0000-0000-000059080000}"/>
    <cellStyle name="Normal 10 6 2 2 2" xfId="6747" xr:uid="{00000000-0005-0000-0000-00005A080000}"/>
    <cellStyle name="Normal 10 6 2 3" xfId="6748" xr:uid="{00000000-0005-0000-0000-00005B080000}"/>
    <cellStyle name="Normal 10 6 3" xfId="2477" xr:uid="{00000000-0005-0000-0000-00005C080000}"/>
    <cellStyle name="Normal 10 6 3 2" xfId="6749" xr:uid="{00000000-0005-0000-0000-00005D080000}"/>
    <cellStyle name="Normal 10 6 4" xfId="6750" xr:uid="{00000000-0005-0000-0000-00005E080000}"/>
    <cellStyle name="Normal 10 7" xfId="2478" xr:uid="{00000000-0005-0000-0000-00005F080000}"/>
    <cellStyle name="Normal 10 7 2" xfId="2479" xr:uid="{00000000-0005-0000-0000-000060080000}"/>
    <cellStyle name="Normal 10 7 2 2" xfId="6751" xr:uid="{00000000-0005-0000-0000-000061080000}"/>
    <cellStyle name="Normal 10 7 3" xfId="6752" xr:uid="{00000000-0005-0000-0000-000062080000}"/>
    <cellStyle name="Normal 10 8" xfId="2480" xr:uid="{00000000-0005-0000-0000-000063080000}"/>
    <cellStyle name="Normal 10 8 2" xfId="6753" xr:uid="{00000000-0005-0000-0000-000064080000}"/>
    <cellStyle name="Normal 10 9" xfId="6754" xr:uid="{00000000-0005-0000-0000-000065080000}"/>
    <cellStyle name="Normal 100" xfId="2481" xr:uid="{00000000-0005-0000-0000-000066080000}"/>
    <cellStyle name="Normal 100 2" xfId="2482" xr:uid="{00000000-0005-0000-0000-000067080000}"/>
    <cellStyle name="Normal 100 2 2" xfId="2483" xr:uid="{00000000-0005-0000-0000-000068080000}"/>
    <cellStyle name="Normal 100 3" xfId="2484" xr:uid="{00000000-0005-0000-0000-000069080000}"/>
    <cellStyle name="Normal 100 3 2" xfId="2485" xr:uid="{00000000-0005-0000-0000-00006A080000}"/>
    <cellStyle name="Normal 100 3 2 2" xfId="2486" xr:uid="{00000000-0005-0000-0000-00006B080000}"/>
    <cellStyle name="Normal 100 3 2 2 2" xfId="2487" xr:uid="{00000000-0005-0000-0000-00006C080000}"/>
    <cellStyle name="Normal 100 3 2 2 2 2" xfId="6755" xr:uid="{00000000-0005-0000-0000-00006D080000}"/>
    <cellStyle name="Normal 100 3 2 2 3" xfId="6756" xr:uid="{00000000-0005-0000-0000-00006E080000}"/>
    <cellStyle name="Normal 100 3 2 3" xfId="2488" xr:uid="{00000000-0005-0000-0000-00006F080000}"/>
    <cellStyle name="Normal 100 3 2 3 2" xfId="6757" xr:uid="{00000000-0005-0000-0000-000070080000}"/>
    <cellStyle name="Normal 100 3 2 4" xfId="6758" xr:uid="{00000000-0005-0000-0000-000071080000}"/>
    <cellStyle name="Normal 100 3 3" xfId="2489" xr:uid="{00000000-0005-0000-0000-000072080000}"/>
    <cellStyle name="Normal 100 3 3 2" xfId="2490" xr:uid="{00000000-0005-0000-0000-000073080000}"/>
    <cellStyle name="Normal 100 3 3 2 2" xfId="6759" xr:uid="{00000000-0005-0000-0000-000074080000}"/>
    <cellStyle name="Normal 100 3 3 3" xfId="6760" xr:uid="{00000000-0005-0000-0000-000075080000}"/>
    <cellStyle name="Normal 100 3 4" xfId="2491" xr:uid="{00000000-0005-0000-0000-000076080000}"/>
    <cellStyle name="Normal 100 3 4 2" xfId="6761" xr:uid="{00000000-0005-0000-0000-000077080000}"/>
    <cellStyle name="Normal 100 3 5" xfId="6762" xr:uid="{00000000-0005-0000-0000-000078080000}"/>
    <cellStyle name="Normal 100 4" xfId="2492" xr:uid="{00000000-0005-0000-0000-000079080000}"/>
    <cellStyle name="Normal 100 4 2" xfId="2493" xr:uid="{00000000-0005-0000-0000-00007A080000}"/>
    <cellStyle name="Normal 100 4 2 2" xfId="2494" xr:uid="{00000000-0005-0000-0000-00007B080000}"/>
    <cellStyle name="Normal 100 4 2 2 2" xfId="2495" xr:uid="{00000000-0005-0000-0000-00007C080000}"/>
    <cellStyle name="Normal 100 4 2 2 2 2" xfId="6763" xr:uid="{00000000-0005-0000-0000-00007D080000}"/>
    <cellStyle name="Normal 100 4 2 2 3" xfId="6764" xr:uid="{00000000-0005-0000-0000-00007E080000}"/>
    <cellStyle name="Normal 100 4 2 3" xfId="2496" xr:uid="{00000000-0005-0000-0000-00007F080000}"/>
    <cellStyle name="Normal 100 4 2 3 2" xfId="6765" xr:uid="{00000000-0005-0000-0000-000080080000}"/>
    <cellStyle name="Normal 100 4 2 4" xfId="6766" xr:uid="{00000000-0005-0000-0000-000081080000}"/>
    <cellStyle name="Normal 100 4 3" xfId="2497" xr:uid="{00000000-0005-0000-0000-000082080000}"/>
    <cellStyle name="Normal 100 4 3 2" xfId="2498" xr:uid="{00000000-0005-0000-0000-000083080000}"/>
    <cellStyle name="Normal 100 4 3 2 2" xfId="6767" xr:uid="{00000000-0005-0000-0000-000084080000}"/>
    <cellStyle name="Normal 100 4 3 3" xfId="6768" xr:uid="{00000000-0005-0000-0000-000085080000}"/>
    <cellStyle name="Normal 100 4 4" xfId="2499" xr:uid="{00000000-0005-0000-0000-000086080000}"/>
    <cellStyle name="Normal 100 4 4 2" xfId="6769" xr:uid="{00000000-0005-0000-0000-000087080000}"/>
    <cellStyle name="Normal 100 4 5" xfId="6770" xr:uid="{00000000-0005-0000-0000-000088080000}"/>
    <cellStyle name="Normal 100 5" xfId="2500" xr:uid="{00000000-0005-0000-0000-000089080000}"/>
    <cellStyle name="Normal 100 5 2" xfId="2501" xr:uid="{00000000-0005-0000-0000-00008A080000}"/>
    <cellStyle name="Normal 100 5 2 2" xfId="2502" xr:uid="{00000000-0005-0000-0000-00008B080000}"/>
    <cellStyle name="Normal 100 5 2 2 2" xfId="2503" xr:uid="{00000000-0005-0000-0000-00008C080000}"/>
    <cellStyle name="Normal 100 5 2 2 2 2" xfId="6771" xr:uid="{00000000-0005-0000-0000-00008D080000}"/>
    <cellStyle name="Normal 100 5 2 2 3" xfId="6772" xr:uid="{00000000-0005-0000-0000-00008E080000}"/>
    <cellStyle name="Normal 100 5 2 3" xfId="2504" xr:uid="{00000000-0005-0000-0000-00008F080000}"/>
    <cellStyle name="Normal 100 5 2 3 2" xfId="6773" xr:uid="{00000000-0005-0000-0000-000090080000}"/>
    <cellStyle name="Normal 100 5 2 4" xfId="6774" xr:uid="{00000000-0005-0000-0000-000091080000}"/>
    <cellStyle name="Normal 100 5 3" xfId="2505" xr:uid="{00000000-0005-0000-0000-000092080000}"/>
    <cellStyle name="Normal 100 5 3 2" xfId="2506" xr:uid="{00000000-0005-0000-0000-000093080000}"/>
    <cellStyle name="Normal 100 5 3 2 2" xfId="6775" xr:uid="{00000000-0005-0000-0000-000094080000}"/>
    <cellStyle name="Normal 100 5 3 3" xfId="6776" xr:uid="{00000000-0005-0000-0000-000095080000}"/>
    <cellStyle name="Normal 100 5 4" xfId="2507" xr:uid="{00000000-0005-0000-0000-000096080000}"/>
    <cellStyle name="Normal 100 5 4 2" xfId="6777" xr:uid="{00000000-0005-0000-0000-000097080000}"/>
    <cellStyle name="Normal 100 5 5" xfId="6778" xr:uid="{00000000-0005-0000-0000-000098080000}"/>
    <cellStyle name="Normal 100 6" xfId="2508" xr:uid="{00000000-0005-0000-0000-000099080000}"/>
    <cellStyle name="Normal 100 6 2" xfId="2509" xr:uid="{00000000-0005-0000-0000-00009A080000}"/>
    <cellStyle name="Normal 100 6 2 2" xfId="2510" xr:uid="{00000000-0005-0000-0000-00009B080000}"/>
    <cellStyle name="Normal 100 6 2 2 2" xfId="6779" xr:uid="{00000000-0005-0000-0000-00009C080000}"/>
    <cellStyle name="Normal 100 6 2 3" xfId="6780" xr:uid="{00000000-0005-0000-0000-00009D080000}"/>
    <cellStyle name="Normal 100 6 3" xfId="2511" xr:uid="{00000000-0005-0000-0000-00009E080000}"/>
    <cellStyle name="Normal 100 6 3 2" xfId="6781" xr:uid="{00000000-0005-0000-0000-00009F080000}"/>
    <cellStyle name="Normal 100 6 4" xfId="6782" xr:uid="{00000000-0005-0000-0000-0000A0080000}"/>
    <cellStyle name="Normal 100 7" xfId="2512" xr:uid="{00000000-0005-0000-0000-0000A1080000}"/>
    <cellStyle name="Normal 100 7 2" xfId="2513" xr:uid="{00000000-0005-0000-0000-0000A2080000}"/>
    <cellStyle name="Normal 100 7 2 2" xfId="6783" xr:uid="{00000000-0005-0000-0000-0000A3080000}"/>
    <cellStyle name="Normal 100 7 3" xfId="6784" xr:uid="{00000000-0005-0000-0000-0000A4080000}"/>
    <cellStyle name="Normal 100 8" xfId="2514" xr:uid="{00000000-0005-0000-0000-0000A5080000}"/>
    <cellStyle name="Normal 100 8 2" xfId="6785" xr:uid="{00000000-0005-0000-0000-0000A6080000}"/>
    <cellStyle name="Normal 100 9" xfId="6786" xr:uid="{00000000-0005-0000-0000-0000A7080000}"/>
    <cellStyle name="Normal 101" xfId="2515" xr:uid="{00000000-0005-0000-0000-0000A8080000}"/>
    <cellStyle name="Normal 101 2" xfId="2516" xr:uid="{00000000-0005-0000-0000-0000A9080000}"/>
    <cellStyle name="Normal 101 2 2" xfId="2517" xr:uid="{00000000-0005-0000-0000-0000AA080000}"/>
    <cellStyle name="Normal 101 3" xfId="2518" xr:uid="{00000000-0005-0000-0000-0000AB080000}"/>
    <cellStyle name="Normal 101 3 2" xfId="2519" xr:uid="{00000000-0005-0000-0000-0000AC080000}"/>
    <cellStyle name="Normal 101 3 2 2" xfId="2520" xr:uid="{00000000-0005-0000-0000-0000AD080000}"/>
    <cellStyle name="Normal 101 3 2 2 2" xfId="2521" xr:uid="{00000000-0005-0000-0000-0000AE080000}"/>
    <cellStyle name="Normal 101 3 2 2 2 2" xfId="6787" xr:uid="{00000000-0005-0000-0000-0000AF080000}"/>
    <cellStyle name="Normal 101 3 2 2 3" xfId="6788" xr:uid="{00000000-0005-0000-0000-0000B0080000}"/>
    <cellStyle name="Normal 101 3 2 3" xfId="2522" xr:uid="{00000000-0005-0000-0000-0000B1080000}"/>
    <cellStyle name="Normal 101 3 2 3 2" xfId="6789" xr:uid="{00000000-0005-0000-0000-0000B2080000}"/>
    <cellStyle name="Normal 101 3 2 4" xfId="6790" xr:uid="{00000000-0005-0000-0000-0000B3080000}"/>
    <cellStyle name="Normal 101 3 3" xfId="2523" xr:uid="{00000000-0005-0000-0000-0000B4080000}"/>
    <cellStyle name="Normal 101 3 3 2" xfId="2524" xr:uid="{00000000-0005-0000-0000-0000B5080000}"/>
    <cellStyle name="Normal 101 3 3 2 2" xfId="6791" xr:uid="{00000000-0005-0000-0000-0000B6080000}"/>
    <cellStyle name="Normal 101 3 3 3" xfId="6792" xr:uid="{00000000-0005-0000-0000-0000B7080000}"/>
    <cellStyle name="Normal 101 3 4" xfId="2525" xr:uid="{00000000-0005-0000-0000-0000B8080000}"/>
    <cellStyle name="Normal 101 3 4 2" xfId="6793" xr:uid="{00000000-0005-0000-0000-0000B9080000}"/>
    <cellStyle name="Normal 101 3 5" xfId="2526" xr:uid="{00000000-0005-0000-0000-0000BA080000}"/>
    <cellStyle name="Normal 101 4" xfId="2527" xr:uid="{00000000-0005-0000-0000-0000BB080000}"/>
    <cellStyle name="Normal 101 4 2" xfId="2528" xr:uid="{00000000-0005-0000-0000-0000BC080000}"/>
    <cellStyle name="Normal 101 4 2 2" xfId="2529" xr:uid="{00000000-0005-0000-0000-0000BD080000}"/>
    <cellStyle name="Normal 101 4 2 2 2" xfId="2530" xr:uid="{00000000-0005-0000-0000-0000BE080000}"/>
    <cellStyle name="Normal 101 4 2 2 2 2" xfId="6794" xr:uid="{00000000-0005-0000-0000-0000BF080000}"/>
    <cellStyle name="Normal 101 4 2 2 3" xfId="6795" xr:uid="{00000000-0005-0000-0000-0000C0080000}"/>
    <cellStyle name="Normal 101 4 2 3" xfId="2531" xr:uid="{00000000-0005-0000-0000-0000C1080000}"/>
    <cellStyle name="Normal 101 4 2 3 2" xfId="6796" xr:uid="{00000000-0005-0000-0000-0000C2080000}"/>
    <cellStyle name="Normal 101 4 2 4" xfId="6797" xr:uid="{00000000-0005-0000-0000-0000C3080000}"/>
    <cellStyle name="Normal 101 4 3" xfId="2532" xr:uid="{00000000-0005-0000-0000-0000C4080000}"/>
    <cellStyle name="Normal 101 4 3 2" xfId="2533" xr:uid="{00000000-0005-0000-0000-0000C5080000}"/>
    <cellStyle name="Normal 101 4 3 2 2" xfId="6798" xr:uid="{00000000-0005-0000-0000-0000C6080000}"/>
    <cellStyle name="Normal 101 4 3 3" xfId="6799" xr:uid="{00000000-0005-0000-0000-0000C7080000}"/>
    <cellStyle name="Normal 101 4 4" xfId="2534" xr:uid="{00000000-0005-0000-0000-0000C8080000}"/>
    <cellStyle name="Normal 101 4 4 2" xfId="6800" xr:uid="{00000000-0005-0000-0000-0000C9080000}"/>
    <cellStyle name="Normal 101 4 5" xfId="6801" xr:uid="{00000000-0005-0000-0000-0000CA080000}"/>
    <cellStyle name="Normal 101 5" xfId="2535" xr:uid="{00000000-0005-0000-0000-0000CB080000}"/>
    <cellStyle name="Normal 101 5 2" xfId="2536" xr:uid="{00000000-0005-0000-0000-0000CC080000}"/>
    <cellStyle name="Normal 101 5 2 2" xfId="2537" xr:uid="{00000000-0005-0000-0000-0000CD080000}"/>
    <cellStyle name="Normal 101 5 2 2 2" xfId="2538" xr:uid="{00000000-0005-0000-0000-0000CE080000}"/>
    <cellStyle name="Normal 101 5 2 2 2 2" xfId="6802" xr:uid="{00000000-0005-0000-0000-0000CF080000}"/>
    <cellStyle name="Normal 101 5 2 2 3" xfId="6803" xr:uid="{00000000-0005-0000-0000-0000D0080000}"/>
    <cellStyle name="Normal 101 5 2 3" xfId="2539" xr:uid="{00000000-0005-0000-0000-0000D1080000}"/>
    <cellStyle name="Normal 101 5 2 3 2" xfId="6804" xr:uid="{00000000-0005-0000-0000-0000D2080000}"/>
    <cellStyle name="Normal 101 5 2 4" xfId="6805" xr:uid="{00000000-0005-0000-0000-0000D3080000}"/>
    <cellStyle name="Normal 101 5 3" xfId="2540" xr:uid="{00000000-0005-0000-0000-0000D4080000}"/>
    <cellStyle name="Normal 101 5 3 2" xfId="2541" xr:uid="{00000000-0005-0000-0000-0000D5080000}"/>
    <cellStyle name="Normal 101 5 3 2 2" xfId="6806" xr:uid="{00000000-0005-0000-0000-0000D6080000}"/>
    <cellStyle name="Normal 101 5 3 3" xfId="6807" xr:uid="{00000000-0005-0000-0000-0000D7080000}"/>
    <cellStyle name="Normal 101 5 4" xfId="2542" xr:uid="{00000000-0005-0000-0000-0000D8080000}"/>
    <cellStyle name="Normal 101 5 4 2" xfId="6808" xr:uid="{00000000-0005-0000-0000-0000D9080000}"/>
    <cellStyle name="Normal 101 5 5" xfId="6809" xr:uid="{00000000-0005-0000-0000-0000DA080000}"/>
    <cellStyle name="Normal 101 6" xfId="2543" xr:uid="{00000000-0005-0000-0000-0000DB080000}"/>
    <cellStyle name="Normal 101 6 2" xfId="2544" xr:uid="{00000000-0005-0000-0000-0000DC080000}"/>
    <cellStyle name="Normal 101 6 2 2" xfId="2545" xr:uid="{00000000-0005-0000-0000-0000DD080000}"/>
    <cellStyle name="Normal 101 6 2 2 2" xfId="6810" xr:uid="{00000000-0005-0000-0000-0000DE080000}"/>
    <cellStyle name="Normal 101 6 2 3" xfId="6811" xr:uid="{00000000-0005-0000-0000-0000DF080000}"/>
    <cellStyle name="Normal 101 6 3" xfId="2546" xr:uid="{00000000-0005-0000-0000-0000E0080000}"/>
    <cellStyle name="Normal 101 6 3 2" xfId="6812" xr:uid="{00000000-0005-0000-0000-0000E1080000}"/>
    <cellStyle name="Normal 101 6 4" xfId="6813" xr:uid="{00000000-0005-0000-0000-0000E2080000}"/>
    <cellStyle name="Normal 101 7" xfId="2547" xr:uid="{00000000-0005-0000-0000-0000E3080000}"/>
    <cellStyle name="Normal 101 7 2" xfId="2548" xr:uid="{00000000-0005-0000-0000-0000E4080000}"/>
    <cellStyle name="Normal 101 7 2 2" xfId="6814" xr:uid="{00000000-0005-0000-0000-0000E5080000}"/>
    <cellStyle name="Normal 101 7 3" xfId="6815" xr:uid="{00000000-0005-0000-0000-0000E6080000}"/>
    <cellStyle name="Normal 101 8" xfId="2549" xr:uid="{00000000-0005-0000-0000-0000E7080000}"/>
    <cellStyle name="Normal 101 8 2" xfId="6816" xr:uid="{00000000-0005-0000-0000-0000E8080000}"/>
    <cellStyle name="Normal 101 9" xfId="6817" xr:uid="{00000000-0005-0000-0000-0000E9080000}"/>
    <cellStyle name="Normal 102" xfId="2550" xr:uid="{00000000-0005-0000-0000-0000EA080000}"/>
    <cellStyle name="Normal 102 2" xfId="2551" xr:uid="{00000000-0005-0000-0000-0000EB080000}"/>
    <cellStyle name="Normal 102 2 2" xfId="2552" xr:uid="{00000000-0005-0000-0000-0000EC080000}"/>
    <cellStyle name="Normal 102 3" xfId="2553" xr:uid="{00000000-0005-0000-0000-0000ED080000}"/>
    <cellStyle name="Normal 102 3 2" xfId="2554" xr:uid="{00000000-0005-0000-0000-0000EE080000}"/>
    <cellStyle name="Normal 102 3 2 2" xfId="2555" xr:uid="{00000000-0005-0000-0000-0000EF080000}"/>
    <cellStyle name="Normal 102 3 2 2 2" xfId="2556" xr:uid="{00000000-0005-0000-0000-0000F0080000}"/>
    <cellStyle name="Normal 102 3 2 2 2 2" xfId="6818" xr:uid="{00000000-0005-0000-0000-0000F1080000}"/>
    <cellStyle name="Normal 102 3 2 2 3" xfId="6819" xr:uid="{00000000-0005-0000-0000-0000F2080000}"/>
    <cellStyle name="Normal 102 3 2 3" xfId="2557" xr:uid="{00000000-0005-0000-0000-0000F3080000}"/>
    <cellStyle name="Normal 102 3 2 3 2" xfId="6820" xr:uid="{00000000-0005-0000-0000-0000F4080000}"/>
    <cellStyle name="Normal 102 3 2 4" xfId="6821" xr:uid="{00000000-0005-0000-0000-0000F5080000}"/>
    <cellStyle name="Normal 102 3 3" xfId="2558" xr:uid="{00000000-0005-0000-0000-0000F6080000}"/>
    <cellStyle name="Normal 102 3 3 2" xfId="2559" xr:uid="{00000000-0005-0000-0000-0000F7080000}"/>
    <cellStyle name="Normal 102 3 3 2 2" xfId="6822" xr:uid="{00000000-0005-0000-0000-0000F8080000}"/>
    <cellStyle name="Normal 102 3 3 3" xfId="6823" xr:uid="{00000000-0005-0000-0000-0000F9080000}"/>
    <cellStyle name="Normal 102 3 4" xfId="2560" xr:uid="{00000000-0005-0000-0000-0000FA080000}"/>
    <cellStyle name="Normal 102 3 4 2" xfId="6824" xr:uid="{00000000-0005-0000-0000-0000FB080000}"/>
    <cellStyle name="Normal 102 3 5" xfId="2561" xr:uid="{00000000-0005-0000-0000-0000FC080000}"/>
    <cellStyle name="Normal 102 4" xfId="2562" xr:uid="{00000000-0005-0000-0000-0000FD080000}"/>
    <cellStyle name="Normal 102 4 2" xfId="2563" xr:uid="{00000000-0005-0000-0000-0000FE080000}"/>
    <cellStyle name="Normal 102 4 2 2" xfId="2564" xr:uid="{00000000-0005-0000-0000-0000FF080000}"/>
    <cellStyle name="Normal 102 4 2 2 2" xfId="2565" xr:uid="{00000000-0005-0000-0000-000000090000}"/>
    <cellStyle name="Normal 102 4 2 2 2 2" xfId="6825" xr:uid="{00000000-0005-0000-0000-000001090000}"/>
    <cellStyle name="Normal 102 4 2 2 3" xfId="6826" xr:uid="{00000000-0005-0000-0000-000002090000}"/>
    <cellStyle name="Normal 102 4 2 3" xfId="2566" xr:uid="{00000000-0005-0000-0000-000003090000}"/>
    <cellStyle name="Normal 102 4 2 3 2" xfId="6827" xr:uid="{00000000-0005-0000-0000-000004090000}"/>
    <cellStyle name="Normal 102 4 2 4" xfId="6828" xr:uid="{00000000-0005-0000-0000-000005090000}"/>
    <cellStyle name="Normal 102 4 3" xfId="2567" xr:uid="{00000000-0005-0000-0000-000006090000}"/>
    <cellStyle name="Normal 102 4 3 2" xfId="2568" xr:uid="{00000000-0005-0000-0000-000007090000}"/>
    <cellStyle name="Normal 102 4 3 2 2" xfId="6829" xr:uid="{00000000-0005-0000-0000-000008090000}"/>
    <cellStyle name="Normal 102 4 3 3" xfId="6830" xr:uid="{00000000-0005-0000-0000-000009090000}"/>
    <cellStyle name="Normal 102 4 4" xfId="2569" xr:uid="{00000000-0005-0000-0000-00000A090000}"/>
    <cellStyle name="Normal 102 4 4 2" xfId="6831" xr:uid="{00000000-0005-0000-0000-00000B090000}"/>
    <cellStyle name="Normal 102 4 5" xfId="6832" xr:uid="{00000000-0005-0000-0000-00000C090000}"/>
    <cellStyle name="Normal 102 5" xfId="2570" xr:uid="{00000000-0005-0000-0000-00000D090000}"/>
    <cellStyle name="Normal 102 5 2" xfId="2571" xr:uid="{00000000-0005-0000-0000-00000E090000}"/>
    <cellStyle name="Normal 102 5 2 2" xfId="2572" xr:uid="{00000000-0005-0000-0000-00000F090000}"/>
    <cellStyle name="Normal 102 5 2 2 2" xfId="2573" xr:uid="{00000000-0005-0000-0000-000010090000}"/>
    <cellStyle name="Normal 102 5 2 2 2 2" xfId="6833" xr:uid="{00000000-0005-0000-0000-000011090000}"/>
    <cellStyle name="Normal 102 5 2 2 3" xfId="6834" xr:uid="{00000000-0005-0000-0000-000012090000}"/>
    <cellStyle name="Normal 102 5 2 3" xfId="2574" xr:uid="{00000000-0005-0000-0000-000013090000}"/>
    <cellStyle name="Normal 102 5 2 3 2" xfId="6835" xr:uid="{00000000-0005-0000-0000-000014090000}"/>
    <cellStyle name="Normal 102 5 2 4" xfId="6836" xr:uid="{00000000-0005-0000-0000-000015090000}"/>
    <cellStyle name="Normal 102 5 3" xfId="2575" xr:uid="{00000000-0005-0000-0000-000016090000}"/>
    <cellStyle name="Normal 102 5 3 2" xfId="2576" xr:uid="{00000000-0005-0000-0000-000017090000}"/>
    <cellStyle name="Normal 102 5 3 2 2" xfId="6837" xr:uid="{00000000-0005-0000-0000-000018090000}"/>
    <cellStyle name="Normal 102 5 3 3" xfId="6838" xr:uid="{00000000-0005-0000-0000-000019090000}"/>
    <cellStyle name="Normal 102 5 4" xfId="2577" xr:uid="{00000000-0005-0000-0000-00001A090000}"/>
    <cellStyle name="Normal 102 5 4 2" xfId="6839" xr:uid="{00000000-0005-0000-0000-00001B090000}"/>
    <cellStyle name="Normal 102 5 5" xfId="6840" xr:uid="{00000000-0005-0000-0000-00001C090000}"/>
    <cellStyle name="Normal 102 6" xfId="2578" xr:uid="{00000000-0005-0000-0000-00001D090000}"/>
    <cellStyle name="Normal 102 6 2" xfId="2579" xr:uid="{00000000-0005-0000-0000-00001E090000}"/>
    <cellStyle name="Normal 102 6 2 2" xfId="2580" xr:uid="{00000000-0005-0000-0000-00001F090000}"/>
    <cellStyle name="Normal 102 6 2 2 2" xfId="6841" xr:uid="{00000000-0005-0000-0000-000020090000}"/>
    <cellStyle name="Normal 102 6 2 3" xfId="6842" xr:uid="{00000000-0005-0000-0000-000021090000}"/>
    <cellStyle name="Normal 102 6 3" xfId="2581" xr:uid="{00000000-0005-0000-0000-000022090000}"/>
    <cellStyle name="Normal 102 6 3 2" xfId="6843" xr:uid="{00000000-0005-0000-0000-000023090000}"/>
    <cellStyle name="Normal 102 6 4" xfId="6844" xr:uid="{00000000-0005-0000-0000-000024090000}"/>
    <cellStyle name="Normal 102 7" xfId="2582" xr:uid="{00000000-0005-0000-0000-000025090000}"/>
    <cellStyle name="Normal 102 7 2" xfId="2583" xr:uid="{00000000-0005-0000-0000-000026090000}"/>
    <cellStyle name="Normal 102 7 2 2" xfId="6845" xr:uid="{00000000-0005-0000-0000-000027090000}"/>
    <cellStyle name="Normal 102 7 3" xfId="6846" xr:uid="{00000000-0005-0000-0000-000028090000}"/>
    <cellStyle name="Normal 102 8" xfId="2584" xr:uid="{00000000-0005-0000-0000-000029090000}"/>
    <cellStyle name="Normal 102 8 2" xfId="6847" xr:uid="{00000000-0005-0000-0000-00002A090000}"/>
    <cellStyle name="Normal 102 9" xfId="6848" xr:uid="{00000000-0005-0000-0000-00002B090000}"/>
    <cellStyle name="Normal 103" xfId="2585" xr:uid="{00000000-0005-0000-0000-00002C090000}"/>
    <cellStyle name="Normal 103 2" xfId="2586" xr:uid="{00000000-0005-0000-0000-00002D090000}"/>
    <cellStyle name="Normal 103 2 2" xfId="2587" xr:uid="{00000000-0005-0000-0000-00002E090000}"/>
    <cellStyle name="Normal 103 3" xfId="2588" xr:uid="{00000000-0005-0000-0000-00002F090000}"/>
    <cellStyle name="Normal 103 3 2" xfId="2589" xr:uid="{00000000-0005-0000-0000-000030090000}"/>
    <cellStyle name="Normal 103 3 2 2" xfId="2590" xr:uid="{00000000-0005-0000-0000-000031090000}"/>
    <cellStyle name="Normal 103 3 2 2 2" xfId="2591" xr:uid="{00000000-0005-0000-0000-000032090000}"/>
    <cellStyle name="Normal 103 3 2 2 2 2" xfId="6849" xr:uid="{00000000-0005-0000-0000-000033090000}"/>
    <cellStyle name="Normal 103 3 2 2 3" xfId="6850" xr:uid="{00000000-0005-0000-0000-000034090000}"/>
    <cellStyle name="Normal 103 3 2 3" xfId="2592" xr:uid="{00000000-0005-0000-0000-000035090000}"/>
    <cellStyle name="Normal 103 3 2 3 2" xfId="6851" xr:uid="{00000000-0005-0000-0000-000036090000}"/>
    <cellStyle name="Normal 103 3 2 4" xfId="6852" xr:uid="{00000000-0005-0000-0000-000037090000}"/>
    <cellStyle name="Normal 103 3 3" xfId="2593" xr:uid="{00000000-0005-0000-0000-000038090000}"/>
    <cellStyle name="Normal 103 3 3 2" xfId="2594" xr:uid="{00000000-0005-0000-0000-000039090000}"/>
    <cellStyle name="Normal 103 3 3 2 2" xfId="6853" xr:uid="{00000000-0005-0000-0000-00003A090000}"/>
    <cellStyle name="Normal 103 3 3 3" xfId="6854" xr:uid="{00000000-0005-0000-0000-00003B090000}"/>
    <cellStyle name="Normal 103 3 4" xfId="2595" xr:uid="{00000000-0005-0000-0000-00003C090000}"/>
    <cellStyle name="Normal 103 3 4 2" xfId="6855" xr:uid="{00000000-0005-0000-0000-00003D090000}"/>
    <cellStyle name="Normal 103 3 5" xfId="2596" xr:uid="{00000000-0005-0000-0000-00003E090000}"/>
    <cellStyle name="Normal 103 4" xfId="2597" xr:uid="{00000000-0005-0000-0000-00003F090000}"/>
    <cellStyle name="Normal 103 4 2" xfId="2598" xr:uid="{00000000-0005-0000-0000-000040090000}"/>
    <cellStyle name="Normal 103 4 2 2" xfId="2599" xr:uid="{00000000-0005-0000-0000-000041090000}"/>
    <cellStyle name="Normal 103 4 2 2 2" xfId="2600" xr:uid="{00000000-0005-0000-0000-000042090000}"/>
    <cellStyle name="Normal 103 4 2 2 2 2" xfId="6856" xr:uid="{00000000-0005-0000-0000-000043090000}"/>
    <cellStyle name="Normal 103 4 2 2 3" xfId="6857" xr:uid="{00000000-0005-0000-0000-000044090000}"/>
    <cellStyle name="Normal 103 4 2 3" xfId="2601" xr:uid="{00000000-0005-0000-0000-000045090000}"/>
    <cellStyle name="Normal 103 4 2 3 2" xfId="6858" xr:uid="{00000000-0005-0000-0000-000046090000}"/>
    <cellStyle name="Normal 103 4 2 4" xfId="6859" xr:uid="{00000000-0005-0000-0000-000047090000}"/>
    <cellStyle name="Normal 103 4 3" xfId="2602" xr:uid="{00000000-0005-0000-0000-000048090000}"/>
    <cellStyle name="Normal 103 4 3 2" xfId="2603" xr:uid="{00000000-0005-0000-0000-000049090000}"/>
    <cellStyle name="Normal 103 4 3 2 2" xfId="6860" xr:uid="{00000000-0005-0000-0000-00004A090000}"/>
    <cellStyle name="Normal 103 4 3 3" xfId="6861" xr:uid="{00000000-0005-0000-0000-00004B090000}"/>
    <cellStyle name="Normal 103 4 4" xfId="2604" xr:uid="{00000000-0005-0000-0000-00004C090000}"/>
    <cellStyle name="Normal 103 4 4 2" xfId="6862" xr:uid="{00000000-0005-0000-0000-00004D090000}"/>
    <cellStyle name="Normal 103 4 5" xfId="6863" xr:uid="{00000000-0005-0000-0000-00004E090000}"/>
    <cellStyle name="Normal 103 5" xfId="2605" xr:uid="{00000000-0005-0000-0000-00004F090000}"/>
    <cellStyle name="Normal 103 5 2" xfId="2606" xr:uid="{00000000-0005-0000-0000-000050090000}"/>
    <cellStyle name="Normal 103 5 2 2" xfId="2607" xr:uid="{00000000-0005-0000-0000-000051090000}"/>
    <cellStyle name="Normal 103 5 2 2 2" xfId="2608" xr:uid="{00000000-0005-0000-0000-000052090000}"/>
    <cellStyle name="Normal 103 5 2 2 2 2" xfId="6864" xr:uid="{00000000-0005-0000-0000-000053090000}"/>
    <cellStyle name="Normal 103 5 2 2 3" xfId="6865" xr:uid="{00000000-0005-0000-0000-000054090000}"/>
    <cellStyle name="Normal 103 5 2 3" xfId="2609" xr:uid="{00000000-0005-0000-0000-000055090000}"/>
    <cellStyle name="Normal 103 5 2 3 2" xfId="6866" xr:uid="{00000000-0005-0000-0000-000056090000}"/>
    <cellStyle name="Normal 103 5 2 4" xfId="6867" xr:uid="{00000000-0005-0000-0000-000057090000}"/>
    <cellStyle name="Normal 103 5 3" xfId="2610" xr:uid="{00000000-0005-0000-0000-000058090000}"/>
    <cellStyle name="Normal 103 5 3 2" xfId="2611" xr:uid="{00000000-0005-0000-0000-000059090000}"/>
    <cellStyle name="Normal 103 5 3 2 2" xfId="6868" xr:uid="{00000000-0005-0000-0000-00005A090000}"/>
    <cellStyle name="Normal 103 5 3 3" xfId="6869" xr:uid="{00000000-0005-0000-0000-00005B090000}"/>
    <cellStyle name="Normal 103 5 4" xfId="2612" xr:uid="{00000000-0005-0000-0000-00005C090000}"/>
    <cellStyle name="Normal 103 5 4 2" xfId="6870" xr:uid="{00000000-0005-0000-0000-00005D090000}"/>
    <cellStyle name="Normal 103 5 5" xfId="6871" xr:uid="{00000000-0005-0000-0000-00005E090000}"/>
    <cellStyle name="Normal 103 6" xfId="2613" xr:uid="{00000000-0005-0000-0000-00005F090000}"/>
    <cellStyle name="Normal 103 6 2" xfId="2614" xr:uid="{00000000-0005-0000-0000-000060090000}"/>
    <cellStyle name="Normal 103 6 2 2" xfId="2615" xr:uid="{00000000-0005-0000-0000-000061090000}"/>
    <cellStyle name="Normal 103 6 2 2 2" xfId="6872" xr:uid="{00000000-0005-0000-0000-000062090000}"/>
    <cellStyle name="Normal 103 6 2 3" xfId="6873" xr:uid="{00000000-0005-0000-0000-000063090000}"/>
    <cellStyle name="Normal 103 6 3" xfId="2616" xr:uid="{00000000-0005-0000-0000-000064090000}"/>
    <cellStyle name="Normal 103 6 3 2" xfId="6874" xr:uid="{00000000-0005-0000-0000-000065090000}"/>
    <cellStyle name="Normal 103 6 4" xfId="6875" xr:uid="{00000000-0005-0000-0000-000066090000}"/>
    <cellStyle name="Normal 103 7" xfId="2617" xr:uid="{00000000-0005-0000-0000-000067090000}"/>
    <cellStyle name="Normal 103 7 2" xfId="2618" xr:uid="{00000000-0005-0000-0000-000068090000}"/>
    <cellStyle name="Normal 103 7 2 2" xfId="6876" xr:uid="{00000000-0005-0000-0000-000069090000}"/>
    <cellStyle name="Normal 103 7 3" xfId="6877" xr:uid="{00000000-0005-0000-0000-00006A090000}"/>
    <cellStyle name="Normal 103 8" xfId="2619" xr:uid="{00000000-0005-0000-0000-00006B090000}"/>
    <cellStyle name="Normal 103 8 2" xfId="6878" xr:uid="{00000000-0005-0000-0000-00006C090000}"/>
    <cellStyle name="Normal 103 9" xfId="6879" xr:uid="{00000000-0005-0000-0000-00006D090000}"/>
    <cellStyle name="Normal 104" xfId="2620" xr:uid="{00000000-0005-0000-0000-00006E090000}"/>
    <cellStyle name="Normal 104 2" xfId="6880" xr:uid="{00000000-0005-0000-0000-00006F090000}"/>
    <cellStyle name="Normal 105" xfId="2621" xr:uid="{00000000-0005-0000-0000-000070090000}"/>
    <cellStyle name="Normal 105 2" xfId="2622" xr:uid="{00000000-0005-0000-0000-000071090000}"/>
    <cellStyle name="Normal 105 2 2" xfId="2623" xr:uid="{00000000-0005-0000-0000-000072090000}"/>
    <cellStyle name="Normal 105 3" xfId="2624" xr:uid="{00000000-0005-0000-0000-000073090000}"/>
    <cellStyle name="Normal 105 3 2" xfId="2625" xr:uid="{00000000-0005-0000-0000-000074090000}"/>
    <cellStyle name="Normal 105 3 2 2" xfId="2626" xr:uid="{00000000-0005-0000-0000-000075090000}"/>
    <cellStyle name="Normal 105 3 2 2 2" xfId="2627" xr:uid="{00000000-0005-0000-0000-000076090000}"/>
    <cellStyle name="Normal 105 3 2 2 2 2" xfId="6881" xr:uid="{00000000-0005-0000-0000-000077090000}"/>
    <cellStyle name="Normal 105 3 2 2 3" xfId="6882" xr:uid="{00000000-0005-0000-0000-000078090000}"/>
    <cellStyle name="Normal 105 3 2 3" xfId="2628" xr:uid="{00000000-0005-0000-0000-000079090000}"/>
    <cellStyle name="Normal 105 3 2 3 2" xfId="6883" xr:uid="{00000000-0005-0000-0000-00007A090000}"/>
    <cellStyle name="Normal 105 3 2 4" xfId="6884" xr:uid="{00000000-0005-0000-0000-00007B090000}"/>
    <cellStyle name="Normal 105 3 3" xfId="2629" xr:uid="{00000000-0005-0000-0000-00007C090000}"/>
    <cellStyle name="Normal 105 3 3 2" xfId="2630" xr:uid="{00000000-0005-0000-0000-00007D090000}"/>
    <cellStyle name="Normal 105 3 3 2 2" xfId="6885" xr:uid="{00000000-0005-0000-0000-00007E090000}"/>
    <cellStyle name="Normal 105 3 3 3" xfId="6886" xr:uid="{00000000-0005-0000-0000-00007F090000}"/>
    <cellStyle name="Normal 105 3 4" xfId="2631" xr:uid="{00000000-0005-0000-0000-000080090000}"/>
    <cellStyle name="Normal 105 3 4 2" xfId="6887" xr:uid="{00000000-0005-0000-0000-000081090000}"/>
    <cellStyle name="Normal 105 3 5" xfId="2632" xr:uid="{00000000-0005-0000-0000-000082090000}"/>
    <cellStyle name="Normal 105 4" xfId="2633" xr:uid="{00000000-0005-0000-0000-000083090000}"/>
    <cellStyle name="Normal 105 4 2" xfId="2634" xr:uid="{00000000-0005-0000-0000-000084090000}"/>
    <cellStyle name="Normal 105 4 2 2" xfId="2635" xr:uid="{00000000-0005-0000-0000-000085090000}"/>
    <cellStyle name="Normal 105 4 2 2 2" xfId="2636" xr:uid="{00000000-0005-0000-0000-000086090000}"/>
    <cellStyle name="Normal 105 4 2 2 2 2" xfId="6888" xr:uid="{00000000-0005-0000-0000-000087090000}"/>
    <cellStyle name="Normal 105 4 2 2 3" xfId="6889" xr:uid="{00000000-0005-0000-0000-000088090000}"/>
    <cellStyle name="Normal 105 4 2 3" xfId="2637" xr:uid="{00000000-0005-0000-0000-000089090000}"/>
    <cellStyle name="Normal 105 4 2 3 2" xfId="6890" xr:uid="{00000000-0005-0000-0000-00008A090000}"/>
    <cellStyle name="Normal 105 4 2 4" xfId="6891" xr:uid="{00000000-0005-0000-0000-00008B090000}"/>
    <cellStyle name="Normal 105 4 3" xfId="2638" xr:uid="{00000000-0005-0000-0000-00008C090000}"/>
    <cellStyle name="Normal 105 4 3 2" xfId="2639" xr:uid="{00000000-0005-0000-0000-00008D090000}"/>
    <cellStyle name="Normal 105 4 3 2 2" xfId="6892" xr:uid="{00000000-0005-0000-0000-00008E090000}"/>
    <cellStyle name="Normal 105 4 3 3" xfId="6893" xr:uid="{00000000-0005-0000-0000-00008F090000}"/>
    <cellStyle name="Normal 105 4 4" xfId="2640" xr:uid="{00000000-0005-0000-0000-000090090000}"/>
    <cellStyle name="Normal 105 4 4 2" xfId="6894" xr:uid="{00000000-0005-0000-0000-000091090000}"/>
    <cellStyle name="Normal 105 4 5" xfId="6895" xr:uid="{00000000-0005-0000-0000-000092090000}"/>
    <cellStyle name="Normal 105 5" xfId="2641" xr:uid="{00000000-0005-0000-0000-000093090000}"/>
    <cellStyle name="Normal 105 5 2" xfId="2642" xr:uid="{00000000-0005-0000-0000-000094090000}"/>
    <cellStyle name="Normal 105 5 2 2" xfId="2643" xr:uid="{00000000-0005-0000-0000-000095090000}"/>
    <cellStyle name="Normal 105 5 2 2 2" xfId="2644" xr:uid="{00000000-0005-0000-0000-000096090000}"/>
    <cellStyle name="Normal 105 5 2 2 2 2" xfId="6896" xr:uid="{00000000-0005-0000-0000-000097090000}"/>
    <cellStyle name="Normal 105 5 2 2 3" xfId="6897" xr:uid="{00000000-0005-0000-0000-000098090000}"/>
    <cellStyle name="Normal 105 5 2 3" xfId="2645" xr:uid="{00000000-0005-0000-0000-000099090000}"/>
    <cellStyle name="Normal 105 5 2 3 2" xfId="6898" xr:uid="{00000000-0005-0000-0000-00009A090000}"/>
    <cellStyle name="Normal 105 5 2 4" xfId="6899" xr:uid="{00000000-0005-0000-0000-00009B090000}"/>
    <cellStyle name="Normal 105 5 3" xfId="2646" xr:uid="{00000000-0005-0000-0000-00009C090000}"/>
    <cellStyle name="Normal 105 5 3 2" xfId="2647" xr:uid="{00000000-0005-0000-0000-00009D090000}"/>
    <cellStyle name="Normal 105 5 3 2 2" xfId="6900" xr:uid="{00000000-0005-0000-0000-00009E090000}"/>
    <cellStyle name="Normal 105 5 3 3" xfId="6901" xr:uid="{00000000-0005-0000-0000-00009F090000}"/>
    <cellStyle name="Normal 105 5 4" xfId="2648" xr:uid="{00000000-0005-0000-0000-0000A0090000}"/>
    <cellStyle name="Normal 105 5 4 2" xfId="6902" xr:uid="{00000000-0005-0000-0000-0000A1090000}"/>
    <cellStyle name="Normal 105 5 5" xfId="6903" xr:uid="{00000000-0005-0000-0000-0000A2090000}"/>
    <cellStyle name="Normal 105 6" xfId="2649" xr:uid="{00000000-0005-0000-0000-0000A3090000}"/>
    <cellStyle name="Normal 105 6 2" xfId="2650" xr:uid="{00000000-0005-0000-0000-0000A4090000}"/>
    <cellStyle name="Normal 105 6 2 2" xfId="2651" xr:uid="{00000000-0005-0000-0000-0000A5090000}"/>
    <cellStyle name="Normal 105 6 2 2 2" xfId="6904" xr:uid="{00000000-0005-0000-0000-0000A6090000}"/>
    <cellStyle name="Normal 105 6 2 3" xfId="6905" xr:uid="{00000000-0005-0000-0000-0000A7090000}"/>
    <cellStyle name="Normal 105 6 3" xfId="2652" xr:uid="{00000000-0005-0000-0000-0000A8090000}"/>
    <cellStyle name="Normal 105 6 3 2" xfId="6906" xr:uid="{00000000-0005-0000-0000-0000A9090000}"/>
    <cellStyle name="Normal 105 6 4" xfId="6907" xr:uid="{00000000-0005-0000-0000-0000AA090000}"/>
    <cellStyle name="Normal 105 7" xfId="2653" xr:uid="{00000000-0005-0000-0000-0000AB090000}"/>
    <cellStyle name="Normal 105 7 2" xfId="2654" xr:uid="{00000000-0005-0000-0000-0000AC090000}"/>
    <cellStyle name="Normal 105 7 2 2" xfId="6908" xr:uid="{00000000-0005-0000-0000-0000AD090000}"/>
    <cellStyle name="Normal 105 7 3" xfId="6909" xr:uid="{00000000-0005-0000-0000-0000AE090000}"/>
    <cellStyle name="Normal 105 8" xfId="2655" xr:uid="{00000000-0005-0000-0000-0000AF090000}"/>
    <cellStyle name="Normal 105 8 2" xfId="6910" xr:uid="{00000000-0005-0000-0000-0000B0090000}"/>
    <cellStyle name="Normal 105 9" xfId="6911" xr:uid="{00000000-0005-0000-0000-0000B1090000}"/>
    <cellStyle name="Normal 106" xfId="2656" xr:uid="{00000000-0005-0000-0000-0000B2090000}"/>
    <cellStyle name="Normal 106 2" xfId="2657" xr:uid="{00000000-0005-0000-0000-0000B3090000}"/>
    <cellStyle name="Normal 106 2 2" xfId="2658" xr:uid="{00000000-0005-0000-0000-0000B4090000}"/>
    <cellStyle name="Normal 106 3" xfId="2659" xr:uid="{00000000-0005-0000-0000-0000B5090000}"/>
    <cellStyle name="Normal 106 3 2" xfId="2660" xr:uid="{00000000-0005-0000-0000-0000B6090000}"/>
    <cellStyle name="Normal 106 3 2 2" xfId="2661" xr:uid="{00000000-0005-0000-0000-0000B7090000}"/>
    <cellStyle name="Normal 106 3 2 2 2" xfId="2662" xr:uid="{00000000-0005-0000-0000-0000B8090000}"/>
    <cellStyle name="Normal 106 3 2 2 2 2" xfId="6912" xr:uid="{00000000-0005-0000-0000-0000B9090000}"/>
    <cellStyle name="Normal 106 3 2 2 3" xfId="6913" xr:uid="{00000000-0005-0000-0000-0000BA090000}"/>
    <cellStyle name="Normal 106 3 2 3" xfId="2663" xr:uid="{00000000-0005-0000-0000-0000BB090000}"/>
    <cellStyle name="Normal 106 3 2 3 2" xfId="6914" xr:uid="{00000000-0005-0000-0000-0000BC090000}"/>
    <cellStyle name="Normal 106 3 2 4" xfId="6915" xr:uid="{00000000-0005-0000-0000-0000BD090000}"/>
    <cellStyle name="Normal 106 3 3" xfId="2664" xr:uid="{00000000-0005-0000-0000-0000BE090000}"/>
    <cellStyle name="Normal 106 3 3 2" xfId="2665" xr:uid="{00000000-0005-0000-0000-0000BF090000}"/>
    <cellStyle name="Normal 106 3 3 2 2" xfId="6916" xr:uid="{00000000-0005-0000-0000-0000C0090000}"/>
    <cellStyle name="Normal 106 3 3 3" xfId="6917" xr:uid="{00000000-0005-0000-0000-0000C1090000}"/>
    <cellStyle name="Normal 106 3 4" xfId="2666" xr:uid="{00000000-0005-0000-0000-0000C2090000}"/>
    <cellStyle name="Normal 106 3 4 2" xfId="6918" xr:uid="{00000000-0005-0000-0000-0000C3090000}"/>
    <cellStyle name="Normal 106 3 5" xfId="2667" xr:uid="{00000000-0005-0000-0000-0000C4090000}"/>
    <cellStyle name="Normal 106 4" xfId="2668" xr:uid="{00000000-0005-0000-0000-0000C5090000}"/>
    <cellStyle name="Normal 106 4 2" xfId="2669" xr:uid="{00000000-0005-0000-0000-0000C6090000}"/>
    <cellStyle name="Normal 106 4 2 2" xfId="2670" xr:uid="{00000000-0005-0000-0000-0000C7090000}"/>
    <cellStyle name="Normal 106 4 2 2 2" xfId="2671" xr:uid="{00000000-0005-0000-0000-0000C8090000}"/>
    <cellStyle name="Normal 106 4 2 2 2 2" xfId="6919" xr:uid="{00000000-0005-0000-0000-0000C9090000}"/>
    <cellStyle name="Normal 106 4 2 2 3" xfId="6920" xr:uid="{00000000-0005-0000-0000-0000CA090000}"/>
    <cellStyle name="Normal 106 4 2 3" xfId="2672" xr:uid="{00000000-0005-0000-0000-0000CB090000}"/>
    <cellStyle name="Normal 106 4 2 3 2" xfId="6921" xr:uid="{00000000-0005-0000-0000-0000CC090000}"/>
    <cellStyle name="Normal 106 4 2 4" xfId="6922" xr:uid="{00000000-0005-0000-0000-0000CD090000}"/>
    <cellStyle name="Normal 106 4 3" xfId="2673" xr:uid="{00000000-0005-0000-0000-0000CE090000}"/>
    <cellStyle name="Normal 106 4 3 2" xfId="2674" xr:uid="{00000000-0005-0000-0000-0000CF090000}"/>
    <cellStyle name="Normal 106 4 3 2 2" xfId="6923" xr:uid="{00000000-0005-0000-0000-0000D0090000}"/>
    <cellStyle name="Normal 106 4 3 3" xfId="6924" xr:uid="{00000000-0005-0000-0000-0000D1090000}"/>
    <cellStyle name="Normal 106 4 4" xfId="2675" xr:uid="{00000000-0005-0000-0000-0000D2090000}"/>
    <cellStyle name="Normal 106 4 4 2" xfId="6925" xr:uid="{00000000-0005-0000-0000-0000D3090000}"/>
    <cellStyle name="Normal 106 4 5" xfId="6926" xr:uid="{00000000-0005-0000-0000-0000D4090000}"/>
    <cellStyle name="Normal 106 5" xfId="2676" xr:uid="{00000000-0005-0000-0000-0000D5090000}"/>
    <cellStyle name="Normal 106 5 2" xfId="2677" xr:uid="{00000000-0005-0000-0000-0000D6090000}"/>
    <cellStyle name="Normal 106 5 2 2" xfId="2678" xr:uid="{00000000-0005-0000-0000-0000D7090000}"/>
    <cellStyle name="Normal 106 5 2 2 2" xfId="2679" xr:uid="{00000000-0005-0000-0000-0000D8090000}"/>
    <cellStyle name="Normal 106 5 2 2 2 2" xfId="6927" xr:uid="{00000000-0005-0000-0000-0000D9090000}"/>
    <cellStyle name="Normal 106 5 2 2 3" xfId="6928" xr:uid="{00000000-0005-0000-0000-0000DA090000}"/>
    <cellStyle name="Normal 106 5 2 3" xfId="2680" xr:uid="{00000000-0005-0000-0000-0000DB090000}"/>
    <cellStyle name="Normal 106 5 2 3 2" xfId="6929" xr:uid="{00000000-0005-0000-0000-0000DC090000}"/>
    <cellStyle name="Normal 106 5 2 4" xfId="6930" xr:uid="{00000000-0005-0000-0000-0000DD090000}"/>
    <cellStyle name="Normal 106 5 3" xfId="2681" xr:uid="{00000000-0005-0000-0000-0000DE090000}"/>
    <cellStyle name="Normal 106 5 3 2" xfId="2682" xr:uid="{00000000-0005-0000-0000-0000DF090000}"/>
    <cellStyle name="Normal 106 5 3 2 2" xfId="6931" xr:uid="{00000000-0005-0000-0000-0000E0090000}"/>
    <cellStyle name="Normal 106 5 3 3" xfId="6932" xr:uid="{00000000-0005-0000-0000-0000E1090000}"/>
    <cellStyle name="Normal 106 5 4" xfId="2683" xr:uid="{00000000-0005-0000-0000-0000E2090000}"/>
    <cellStyle name="Normal 106 5 4 2" xfId="6933" xr:uid="{00000000-0005-0000-0000-0000E3090000}"/>
    <cellStyle name="Normal 106 5 5" xfId="6934" xr:uid="{00000000-0005-0000-0000-0000E4090000}"/>
    <cellStyle name="Normal 106 6" xfId="2684" xr:uid="{00000000-0005-0000-0000-0000E5090000}"/>
    <cellStyle name="Normal 106 6 2" xfId="2685" xr:uid="{00000000-0005-0000-0000-0000E6090000}"/>
    <cellStyle name="Normal 106 6 2 2" xfId="2686" xr:uid="{00000000-0005-0000-0000-0000E7090000}"/>
    <cellStyle name="Normal 106 6 2 2 2" xfId="6935" xr:uid="{00000000-0005-0000-0000-0000E8090000}"/>
    <cellStyle name="Normal 106 6 2 3" xfId="6936" xr:uid="{00000000-0005-0000-0000-0000E9090000}"/>
    <cellStyle name="Normal 106 6 3" xfId="2687" xr:uid="{00000000-0005-0000-0000-0000EA090000}"/>
    <cellStyle name="Normal 106 6 3 2" xfId="6937" xr:uid="{00000000-0005-0000-0000-0000EB090000}"/>
    <cellStyle name="Normal 106 6 4" xfId="6938" xr:uid="{00000000-0005-0000-0000-0000EC090000}"/>
    <cellStyle name="Normal 106 7" xfId="2688" xr:uid="{00000000-0005-0000-0000-0000ED090000}"/>
    <cellStyle name="Normal 106 7 2" xfId="2689" xr:uid="{00000000-0005-0000-0000-0000EE090000}"/>
    <cellStyle name="Normal 106 7 2 2" xfId="6939" xr:uid="{00000000-0005-0000-0000-0000EF090000}"/>
    <cellStyle name="Normal 106 7 3" xfId="6940" xr:uid="{00000000-0005-0000-0000-0000F0090000}"/>
    <cellStyle name="Normal 106 8" xfId="2690" xr:uid="{00000000-0005-0000-0000-0000F1090000}"/>
    <cellStyle name="Normal 106 8 2" xfId="6941" xr:uid="{00000000-0005-0000-0000-0000F2090000}"/>
    <cellStyle name="Normal 106 9" xfId="6942" xr:uid="{00000000-0005-0000-0000-0000F3090000}"/>
    <cellStyle name="Normal 107" xfId="2691" xr:uid="{00000000-0005-0000-0000-0000F4090000}"/>
    <cellStyle name="Normal 107 2" xfId="2692" xr:uid="{00000000-0005-0000-0000-0000F5090000}"/>
    <cellStyle name="Normal 107 2 2" xfId="2693" xr:uid="{00000000-0005-0000-0000-0000F6090000}"/>
    <cellStyle name="Normal 107 3" xfId="2694" xr:uid="{00000000-0005-0000-0000-0000F7090000}"/>
    <cellStyle name="Normal 107 3 2" xfId="2695" xr:uid="{00000000-0005-0000-0000-0000F8090000}"/>
    <cellStyle name="Normal 107 3 2 2" xfId="2696" xr:uid="{00000000-0005-0000-0000-0000F9090000}"/>
    <cellStyle name="Normal 107 3 2 2 2" xfId="2697" xr:uid="{00000000-0005-0000-0000-0000FA090000}"/>
    <cellStyle name="Normal 107 3 2 2 2 2" xfId="6943" xr:uid="{00000000-0005-0000-0000-0000FB090000}"/>
    <cellStyle name="Normal 107 3 2 2 3" xfId="6944" xr:uid="{00000000-0005-0000-0000-0000FC090000}"/>
    <cellStyle name="Normal 107 3 2 3" xfId="2698" xr:uid="{00000000-0005-0000-0000-0000FD090000}"/>
    <cellStyle name="Normal 107 3 2 3 2" xfId="6945" xr:uid="{00000000-0005-0000-0000-0000FE090000}"/>
    <cellStyle name="Normal 107 3 2 4" xfId="6946" xr:uid="{00000000-0005-0000-0000-0000FF090000}"/>
    <cellStyle name="Normal 107 3 3" xfId="2699" xr:uid="{00000000-0005-0000-0000-0000000A0000}"/>
    <cellStyle name="Normal 107 3 3 2" xfId="2700" xr:uid="{00000000-0005-0000-0000-0000010A0000}"/>
    <cellStyle name="Normal 107 3 3 2 2" xfId="6947" xr:uid="{00000000-0005-0000-0000-0000020A0000}"/>
    <cellStyle name="Normal 107 3 3 3" xfId="6948" xr:uid="{00000000-0005-0000-0000-0000030A0000}"/>
    <cellStyle name="Normal 107 3 4" xfId="2701" xr:uid="{00000000-0005-0000-0000-0000040A0000}"/>
    <cellStyle name="Normal 107 3 4 2" xfId="6949" xr:uid="{00000000-0005-0000-0000-0000050A0000}"/>
    <cellStyle name="Normal 107 3 5" xfId="2702" xr:uid="{00000000-0005-0000-0000-0000060A0000}"/>
    <cellStyle name="Normal 107 4" xfId="2703" xr:uid="{00000000-0005-0000-0000-0000070A0000}"/>
    <cellStyle name="Normal 107 4 2" xfId="2704" xr:uid="{00000000-0005-0000-0000-0000080A0000}"/>
    <cellStyle name="Normal 107 4 2 2" xfId="2705" xr:uid="{00000000-0005-0000-0000-0000090A0000}"/>
    <cellStyle name="Normal 107 4 2 2 2" xfId="2706" xr:uid="{00000000-0005-0000-0000-00000A0A0000}"/>
    <cellStyle name="Normal 107 4 2 2 2 2" xfId="6950" xr:uid="{00000000-0005-0000-0000-00000B0A0000}"/>
    <cellStyle name="Normal 107 4 2 2 3" xfId="6951" xr:uid="{00000000-0005-0000-0000-00000C0A0000}"/>
    <cellStyle name="Normal 107 4 2 3" xfId="2707" xr:uid="{00000000-0005-0000-0000-00000D0A0000}"/>
    <cellStyle name="Normal 107 4 2 3 2" xfId="6952" xr:uid="{00000000-0005-0000-0000-00000E0A0000}"/>
    <cellStyle name="Normal 107 4 2 4" xfId="6953" xr:uid="{00000000-0005-0000-0000-00000F0A0000}"/>
    <cellStyle name="Normal 107 4 3" xfId="2708" xr:uid="{00000000-0005-0000-0000-0000100A0000}"/>
    <cellStyle name="Normal 107 4 3 2" xfId="2709" xr:uid="{00000000-0005-0000-0000-0000110A0000}"/>
    <cellStyle name="Normal 107 4 3 2 2" xfId="6954" xr:uid="{00000000-0005-0000-0000-0000120A0000}"/>
    <cellStyle name="Normal 107 4 3 3" xfId="6955" xr:uid="{00000000-0005-0000-0000-0000130A0000}"/>
    <cellStyle name="Normal 107 4 4" xfId="2710" xr:uid="{00000000-0005-0000-0000-0000140A0000}"/>
    <cellStyle name="Normal 107 4 4 2" xfId="6956" xr:uid="{00000000-0005-0000-0000-0000150A0000}"/>
    <cellStyle name="Normal 107 4 5" xfId="6957" xr:uid="{00000000-0005-0000-0000-0000160A0000}"/>
    <cellStyle name="Normal 107 5" xfId="2711" xr:uid="{00000000-0005-0000-0000-0000170A0000}"/>
    <cellStyle name="Normal 107 5 2" xfId="2712" xr:uid="{00000000-0005-0000-0000-0000180A0000}"/>
    <cellStyle name="Normal 107 5 2 2" xfId="2713" xr:uid="{00000000-0005-0000-0000-0000190A0000}"/>
    <cellStyle name="Normal 107 5 2 2 2" xfId="2714" xr:uid="{00000000-0005-0000-0000-00001A0A0000}"/>
    <cellStyle name="Normal 107 5 2 2 2 2" xfId="6958" xr:uid="{00000000-0005-0000-0000-00001B0A0000}"/>
    <cellStyle name="Normal 107 5 2 2 3" xfId="6959" xr:uid="{00000000-0005-0000-0000-00001C0A0000}"/>
    <cellStyle name="Normal 107 5 2 3" xfId="2715" xr:uid="{00000000-0005-0000-0000-00001D0A0000}"/>
    <cellStyle name="Normal 107 5 2 3 2" xfId="6960" xr:uid="{00000000-0005-0000-0000-00001E0A0000}"/>
    <cellStyle name="Normal 107 5 2 4" xfId="6961" xr:uid="{00000000-0005-0000-0000-00001F0A0000}"/>
    <cellStyle name="Normal 107 5 3" xfId="2716" xr:uid="{00000000-0005-0000-0000-0000200A0000}"/>
    <cellStyle name="Normal 107 5 3 2" xfId="2717" xr:uid="{00000000-0005-0000-0000-0000210A0000}"/>
    <cellStyle name="Normal 107 5 3 2 2" xfId="6962" xr:uid="{00000000-0005-0000-0000-0000220A0000}"/>
    <cellStyle name="Normal 107 5 3 3" xfId="6963" xr:uid="{00000000-0005-0000-0000-0000230A0000}"/>
    <cellStyle name="Normal 107 5 4" xfId="2718" xr:uid="{00000000-0005-0000-0000-0000240A0000}"/>
    <cellStyle name="Normal 107 5 4 2" xfId="6964" xr:uid="{00000000-0005-0000-0000-0000250A0000}"/>
    <cellStyle name="Normal 107 5 5" xfId="6965" xr:uid="{00000000-0005-0000-0000-0000260A0000}"/>
    <cellStyle name="Normal 107 6" xfId="2719" xr:uid="{00000000-0005-0000-0000-0000270A0000}"/>
    <cellStyle name="Normal 107 6 2" xfId="2720" xr:uid="{00000000-0005-0000-0000-0000280A0000}"/>
    <cellStyle name="Normal 107 6 2 2" xfId="2721" xr:uid="{00000000-0005-0000-0000-0000290A0000}"/>
    <cellStyle name="Normal 107 6 2 2 2" xfId="6966" xr:uid="{00000000-0005-0000-0000-00002A0A0000}"/>
    <cellStyle name="Normal 107 6 2 3" xfId="6967" xr:uid="{00000000-0005-0000-0000-00002B0A0000}"/>
    <cellStyle name="Normal 107 6 3" xfId="2722" xr:uid="{00000000-0005-0000-0000-00002C0A0000}"/>
    <cellStyle name="Normal 107 6 3 2" xfId="6968" xr:uid="{00000000-0005-0000-0000-00002D0A0000}"/>
    <cellStyle name="Normal 107 6 4" xfId="6969" xr:uid="{00000000-0005-0000-0000-00002E0A0000}"/>
    <cellStyle name="Normal 107 7" xfId="2723" xr:uid="{00000000-0005-0000-0000-00002F0A0000}"/>
    <cellStyle name="Normal 107 7 2" xfId="2724" xr:uid="{00000000-0005-0000-0000-0000300A0000}"/>
    <cellStyle name="Normal 107 7 2 2" xfId="6970" xr:uid="{00000000-0005-0000-0000-0000310A0000}"/>
    <cellStyle name="Normal 107 7 3" xfId="6971" xr:uid="{00000000-0005-0000-0000-0000320A0000}"/>
    <cellStyle name="Normal 107 8" xfId="2725" xr:uid="{00000000-0005-0000-0000-0000330A0000}"/>
    <cellStyle name="Normal 107 8 2" xfId="6972" xr:uid="{00000000-0005-0000-0000-0000340A0000}"/>
    <cellStyle name="Normal 107 9" xfId="6973" xr:uid="{00000000-0005-0000-0000-0000350A0000}"/>
    <cellStyle name="Normal 108" xfId="2726" xr:uid="{00000000-0005-0000-0000-0000360A0000}"/>
    <cellStyle name="Normal 108 2" xfId="2727" xr:uid="{00000000-0005-0000-0000-0000370A0000}"/>
    <cellStyle name="Normal 108 2 2" xfId="2728" xr:uid="{00000000-0005-0000-0000-0000380A0000}"/>
    <cellStyle name="Normal 108 3" xfId="2729" xr:uid="{00000000-0005-0000-0000-0000390A0000}"/>
    <cellStyle name="Normal 108 3 2" xfId="2730" xr:uid="{00000000-0005-0000-0000-00003A0A0000}"/>
    <cellStyle name="Normal 108 3 2 2" xfId="2731" xr:uid="{00000000-0005-0000-0000-00003B0A0000}"/>
    <cellStyle name="Normal 108 3 2 2 2" xfId="2732" xr:uid="{00000000-0005-0000-0000-00003C0A0000}"/>
    <cellStyle name="Normal 108 3 2 2 2 2" xfId="6974" xr:uid="{00000000-0005-0000-0000-00003D0A0000}"/>
    <cellStyle name="Normal 108 3 2 2 3" xfId="6975" xr:uid="{00000000-0005-0000-0000-00003E0A0000}"/>
    <cellStyle name="Normal 108 3 2 3" xfId="2733" xr:uid="{00000000-0005-0000-0000-00003F0A0000}"/>
    <cellStyle name="Normal 108 3 2 3 2" xfId="6976" xr:uid="{00000000-0005-0000-0000-0000400A0000}"/>
    <cellStyle name="Normal 108 3 2 4" xfId="6977" xr:uid="{00000000-0005-0000-0000-0000410A0000}"/>
    <cellStyle name="Normal 108 3 3" xfId="2734" xr:uid="{00000000-0005-0000-0000-0000420A0000}"/>
    <cellStyle name="Normal 108 3 3 2" xfId="2735" xr:uid="{00000000-0005-0000-0000-0000430A0000}"/>
    <cellStyle name="Normal 108 3 3 2 2" xfId="6978" xr:uid="{00000000-0005-0000-0000-0000440A0000}"/>
    <cellStyle name="Normal 108 3 3 3" xfId="6979" xr:uid="{00000000-0005-0000-0000-0000450A0000}"/>
    <cellStyle name="Normal 108 3 4" xfId="2736" xr:uid="{00000000-0005-0000-0000-0000460A0000}"/>
    <cellStyle name="Normal 108 3 4 2" xfId="6980" xr:uid="{00000000-0005-0000-0000-0000470A0000}"/>
    <cellStyle name="Normal 108 3 5" xfId="2737" xr:uid="{00000000-0005-0000-0000-0000480A0000}"/>
    <cellStyle name="Normal 108 4" xfId="2738" xr:uid="{00000000-0005-0000-0000-0000490A0000}"/>
    <cellStyle name="Normal 108 4 2" xfId="2739" xr:uid="{00000000-0005-0000-0000-00004A0A0000}"/>
    <cellStyle name="Normal 108 4 2 2" xfId="2740" xr:uid="{00000000-0005-0000-0000-00004B0A0000}"/>
    <cellStyle name="Normal 108 4 2 2 2" xfId="2741" xr:uid="{00000000-0005-0000-0000-00004C0A0000}"/>
    <cellStyle name="Normal 108 4 2 2 2 2" xfId="6981" xr:uid="{00000000-0005-0000-0000-00004D0A0000}"/>
    <cellStyle name="Normal 108 4 2 2 3" xfId="6982" xr:uid="{00000000-0005-0000-0000-00004E0A0000}"/>
    <cellStyle name="Normal 108 4 2 3" xfId="2742" xr:uid="{00000000-0005-0000-0000-00004F0A0000}"/>
    <cellStyle name="Normal 108 4 2 3 2" xfId="6983" xr:uid="{00000000-0005-0000-0000-0000500A0000}"/>
    <cellStyle name="Normal 108 4 2 4" xfId="6984" xr:uid="{00000000-0005-0000-0000-0000510A0000}"/>
    <cellStyle name="Normal 108 4 3" xfId="2743" xr:uid="{00000000-0005-0000-0000-0000520A0000}"/>
    <cellStyle name="Normal 108 4 3 2" xfId="2744" xr:uid="{00000000-0005-0000-0000-0000530A0000}"/>
    <cellStyle name="Normal 108 4 3 2 2" xfId="6985" xr:uid="{00000000-0005-0000-0000-0000540A0000}"/>
    <cellStyle name="Normal 108 4 3 3" xfId="6986" xr:uid="{00000000-0005-0000-0000-0000550A0000}"/>
    <cellStyle name="Normal 108 4 4" xfId="2745" xr:uid="{00000000-0005-0000-0000-0000560A0000}"/>
    <cellStyle name="Normal 108 4 4 2" xfId="6987" xr:uid="{00000000-0005-0000-0000-0000570A0000}"/>
    <cellStyle name="Normal 108 4 5" xfId="6988" xr:uid="{00000000-0005-0000-0000-0000580A0000}"/>
    <cellStyle name="Normal 108 5" xfId="2746" xr:uid="{00000000-0005-0000-0000-0000590A0000}"/>
    <cellStyle name="Normal 108 5 2" xfId="2747" xr:uid="{00000000-0005-0000-0000-00005A0A0000}"/>
    <cellStyle name="Normal 108 5 2 2" xfId="2748" xr:uid="{00000000-0005-0000-0000-00005B0A0000}"/>
    <cellStyle name="Normal 108 5 2 2 2" xfId="2749" xr:uid="{00000000-0005-0000-0000-00005C0A0000}"/>
    <cellStyle name="Normal 108 5 2 2 2 2" xfId="6989" xr:uid="{00000000-0005-0000-0000-00005D0A0000}"/>
    <cellStyle name="Normal 108 5 2 2 3" xfId="6990" xr:uid="{00000000-0005-0000-0000-00005E0A0000}"/>
    <cellStyle name="Normal 108 5 2 3" xfId="2750" xr:uid="{00000000-0005-0000-0000-00005F0A0000}"/>
    <cellStyle name="Normal 108 5 2 3 2" xfId="6991" xr:uid="{00000000-0005-0000-0000-0000600A0000}"/>
    <cellStyle name="Normal 108 5 2 4" xfId="6992" xr:uid="{00000000-0005-0000-0000-0000610A0000}"/>
    <cellStyle name="Normal 108 5 3" xfId="2751" xr:uid="{00000000-0005-0000-0000-0000620A0000}"/>
    <cellStyle name="Normal 108 5 3 2" xfId="2752" xr:uid="{00000000-0005-0000-0000-0000630A0000}"/>
    <cellStyle name="Normal 108 5 3 2 2" xfId="6993" xr:uid="{00000000-0005-0000-0000-0000640A0000}"/>
    <cellStyle name="Normal 108 5 3 3" xfId="6994" xr:uid="{00000000-0005-0000-0000-0000650A0000}"/>
    <cellStyle name="Normal 108 5 4" xfId="2753" xr:uid="{00000000-0005-0000-0000-0000660A0000}"/>
    <cellStyle name="Normal 108 5 4 2" xfId="6995" xr:uid="{00000000-0005-0000-0000-0000670A0000}"/>
    <cellStyle name="Normal 108 5 5" xfId="6996" xr:uid="{00000000-0005-0000-0000-0000680A0000}"/>
    <cellStyle name="Normal 108 6" xfId="2754" xr:uid="{00000000-0005-0000-0000-0000690A0000}"/>
    <cellStyle name="Normal 108 6 2" xfId="2755" xr:uid="{00000000-0005-0000-0000-00006A0A0000}"/>
    <cellStyle name="Normal 108 6 2 2" xfId="2756" xr:uid="{00000000-0005-0000-0000-00006B0A0000}"/>
    <cellStyle name="Normal 108 6 2 2 2" xfId="6997" xr:uid="{00000000-0005-0000-0000-00006C0A0000}"/>
    <cellStyle name="Normal 108 6 2 3" xfId="6998" xr:uid="{00000000-0005-0000-0000-00006D0A0000}"/>
    <cellStyle name="Normal 108 6 3" xfId="2757" xr:uid="{00000000-0005-0000-0000-00006E0A0000}"/>
    <cellStyle name="Normal 108 6 3 2" xfId="6999" xr:uid="{00000000-0005-0000-0000-00006F0A0000}"/>
    <cellStyle name="Normal 108 6 4" xfId="7000" xr:uid="{00000000-0005-0000-0000-0000700A0000}"/>
    <cellStyle name="Normal 108 7" xfId="2758" xr:uid="{00000000-0005-0000-0000-0000710A0000}"/>
    <cellStyle name="Normal 108 7 2" xfId="2759" xr:uid="{00000000-0005-0000-0000-0000720A0000}"/>
    <cellStyle name="Normal 108 7 2 2" xfId="7001" xr:uid="{00000000-0005-0000-0000-0000730A0000}"/>
    <cellStyle name="Normal 108 7 3" xfId="7002" xr:uid="{00000000-0005-0000-0000-0000740A0000}"/>
    <cellStyle name="Normal 108 8" xfId="2760" xr:uid="{00000000-0005-0000-0000-0000750A0000}"/>
    <cellStyle name="Normal 108 8 2" xfId="7003" xr:uid="{00000000-0005-0000-0000-0000760A0000}"/>
    <cellStyle name="Normal 108 9" xfId="7004" xr:uid="{00000000-0005-0000-0000-0000770A0000}"/>
    <cellStyle name="Normal 109" xfId="2761" xr:uid="{00000000-0005-0000-0000-0000780A0000}"/>
    <cellStyle name="Normal 109 2" xfId="2762" xr:uid="{00000000-0005-0000-0000-0000790A0000}"/>
    <cellStyle name="Normal 109 2 2" xfId="2763" xr:uid="{00000000-0005-0000-0000-00007A0A0000}"/>
    <cellStyle name="Normal 109 3" xfId="2764" xr:uid="{00000000-0005-0000-0000-00007B0A0000}"/>
    <cellStyle name="Normal 109 3 2" xfId="2765" xr:uid="{00000000-0005-0000-0000-00007C0A0000}"/>
    <cellStyle name="Normal 109 3 2 2" xfId="2766" xr:uid="{00000000-0005-0000-0000-00007D0A0000}"/>
    <cellStyle name="Normal 109 3 2 2 2" xfId="2767" xr:uid="{00000000-0005-0000-0000-00007E0A0000}"/>
    <cellStyle name="Normal 109 3 2 2 2 2" xfId="7005" xr:uid="{00000000-0005-0000-0000-00007F0A0000}"/>
    <cellStyle name="Normal 109 3 2 2 3" xfId="7006" xr:uid="{00000000-0005-0000-0000-0000800A0000}"/>
    <cellStyle name="Normal 109 3 2 3" xfId="2768" xr:uid="{00000000-0005-0000-0000-0000810A0000}"/>
    <cellStyle name="Normal 109 3 2 3 2" xfId="7007" xr:uid="{00000000-0005-0000-0000-0000820A0000}"/>
    <cellStyle name="Normal 109 3 2 4" xfId="7008" xr:uid="{00000000-0005-0000-0000-0000830A0000}"/>
    <cellStyle name="Normal 109 3 3" xfId="2769" xr:uid="{00000000-0005-0000-0000-0000840A0000}"/>
    <cellStyle name="Normal 109 3 3 2" xfId="2770" xr:uid="{00000000-0005-0000-0000-0000850A0000}"/>
    <cellStyle name="Normal 109 3 3 2 2" xfId="7009" xr:uid="{00000000-0005-0000-0000-0000860A0000}"/>
    <cellStyle name="Normal 109 3 3 3" xfId="7010" xr:uid="{00000000-0005-0000-0000-0000870A0000}"/>
    <cellStyle name="Normal 109 3 4" xfId="2771" xr:uid="{00000000-0005-0000-0000-0000880A0000}"/>
    <cellStyle name="Normal 109 3 4 2" xfId="7011" xr:uid="{00000000-0005-0000-0000-0000890A0000}"/>
    <cellStyle name="Normal 109 3 5" xfId="2772" xr:uid="{00000000-0005-0000-0000-00008A0A0000}"/>
    <cellStyle name="Normal 109 4" xfId="2773" xr:uid="{00000000-0005-0000-0000-00008B0A0000}"/>
    <cellStyle name="Normal 109 4 2" xfId="2774" xr:uid="{00000000-0005-0000-0000-00008C0A0000}"/>
    <cellStyle name="Normal 109 4 2 2" xfId="2775" xr:uid="{00000000-0005-0000-0000-00008D0A0000}"/>
    <cellStyle name="Normal 109 4 2 2 2" xfId="2776" xr:uid="{00000000-0005-0000-0000-00008E0A0000}"/>
    <cellStyle name="Normal 109 4 2 2 2 2" xfId="7012" xr:uid="{00000000-0005-0000-0000-00008F0A0000}"/>
    <cellStyle name="Normal 109 4 2 2 3" xfId="7013" xr:uid="{00000000-0005-0000-0000-0000900A0000}"/>
    <cellStyle name="Normal 109 4 2 3" xfId="2777" xr:uid="{00000000-0005-0000-0000-0000910A0000}"/>
    <cellStyle name="Normal 109 4 2 3 2" xfId="7014" xr:uid="{00000000-0005-0000-0000-0000920A0000}"/>
    <cellStyle name="Normal 109 4 2 4" xfId="7015" xr:uid="{00000000-0005-0000-0000-0000930A0000}"/>
    <cellStyle name="Normal 109 4 3" xfId="2778" xr:uid="{00000000-0005-0000-0000-0000940A0000}"/>
    <cellStyle name="Normal 109 4 3 2" xfId="2779" xr:uid="{00000000-0005-0000-0000-0000950A0000}"/>
    <cellStyle name="Normal 109 4 3 2 2" xfId="7016" xr:uid="{00000000-0005-0000-0000-0000960A0000}"/>
    <cellStyle name="Normal 109 4 3 3" xfId="7017" xr:uid="{00000000-0005-0000-0000-0000970A0000}"/>
    <cellStyle name="Normal 109 4 4" xfId="2780" xr:uid="{00000000-0005-0000-0000-0000980A0000}"/>
    <cellStyle name="Normal 109 4 4 2" xfId="7018" xr:uid="{00000000-0005-0000-0000-0000990A0000}"/>
    <cellStyle name="Normal 109 4 5" xfId="7019" xr:uid="{00000000-0005-0000-0000-00009A0A0000}"/>
    <cellStyle name="Normal 109 5" xfId="2781" xr:uid="{00000000-0005-0000-0000-00009B0A0000}"/>
    <cellStyle name="Normal 109 5 2" xfId="2782" xr:uid="{00000000-0005-0000-0000-00009C0A0000}"/>
    <cellStyle name="Normal 109 5 2 2" xfId="2783" xr:uid="{00000000-0005-0000-0000-00009D0A0000}"/>
    <cellStyle name="Normal 109 5 2 2 2" xfId="2784" xr:uid="{00000000-0005-0000-0000-00009E0A0000}"/>
    <cellStyle name="Normal 109 5 2 2 2 2" xfId="7020" xr:uid="{00000000-0005-0000-0000-00009F0A0000}"/>
    <cellStyle name="Normal 109 5 2 2 3" xfId="7021" xr:uid="{00000000-0005-0000-0000-0000A00A0000}"/>
    <cellStyle name="Normal 109 5 2 3" xfId="2785" xr:uid="{00000000-0005-0000-0000-0000A10A0000}"/>
    <cellStyle name="Normal 109 5 2 3 2" xfId="7022" xr:uid="{00000000-0005-0000-0000-0000A20A0000}"/>
    <cellStyle name="Normal 109 5 2 4" xfId="7023" xr:uid="{00000000-0005-0000-0000-0000A30A0000}"/>
    <cellStyle name="Normal 109 5 3" xfId="2786" xr:uid="{00000000-0005-0000-0000-0000A40A0000}"/>
    <cellStyle name="Normal 109 5 3 2" xfId="2787" xr:uid="{00000000-0005-0000-0000-0000A50A0000}"/>
    <cellStyle name="Normal 109 5 3 2 2" xfId="7024" xr:uid="{00000000-0005-0000-0000-0000A60A0000}"/>
    <cellStyle name="Normal 109 5 3 3" xfId="7025" xr:uid="{00000000-0005-0000-0000-0000A70A0000}"/>
    <cellStyle name="Normal 109 5 4" xfId="2788" xr:uid="{00000000-0005-0000-0000-0000A80A0000}"/>
    <cellStyle name="Normal 109 5 4 2" xfId="7026" xr:uid="{00000000-0005-0000-0000-0000A90A0000}"/>
    <cellStyle name="Normal 109 5 5" xfId="7027" xr:uid="{00000000-0005-0000-0000-0000AA0A0000}"/>
    <cellStyle name="Normal 109 6" xfId="2789" xr:uid="{00000000-0005-0000-0000-0000AB0A0000}"/>
    <cellStyle name="Normal 109 6 2" xfId="2790" xr:uid="{00000000-0005-0000-0000-0000AC0A0000}"/>
    <cellStyle name="Normal 109 6 2 2" xfId="2791" xr:uid="{00000000-0005-0000-0000-0000AD0A0000}"/>
    <cellStyle name="Normal 109 6 2 2 2" xfId="7028" xr:uid="{00000000-0005-0000-0000-0000AE0A0000}"/>
    <cellStyle name="Normal 109 6 2 3" xfId="7029" xr:uid="{00000000-0005-0000-0000-0000AF0A0000}"/>
    <cellStyle name="Normal 109 6 3" xfId="2792" xr:uid="{00000000-0005-0000-0000-0000B00A0000}"/>
    <cellStyle name="Normal 109 6 3 2" xfId="7030" xr:uid="{00000000-0005-0000-0000-0000B10A0000}"/>
    <cellStyle name="Normal 109 6 4" xfId="7031" xr:uid="{00000000-0005-0000-0000-0000B20A0000}"/>
    <cellStyle name="Normal 109 7" xfId="2793" xr:uid="{00000000-0005-0000-0000-0000B30A0000}"/>
    <cellStyle name="Normal 109 7 2" xfId="2794" xr:uid="{00000000-0005-0000-0000-0000B40A0000}"/>
    <cellStyle name="Normal 109 7 2 2" xfId="7032" xr:uid="{00000000-0005-0000-0000-0000B50A0000}"/>
    <cellStyle name="Normal 109 7 3" xfId="7033" xr:uid="{00000000-0005-0000-0000-0000B60A0000}"/>
    <cellStyle name="Normal 109 8" xfId="2795" xr:uid="{00000000-0005-0000-0000-0000B70A0000}"/>
    <cellStyle name="Normal 109 8 2" xfId="7034" xr:uid="{00000000-0005-0000-0000-0000B80A0000}"/>
    <cellStyle name="Normal 109 9" xfId="7035" xr:uid="{00000000-0005-0000-0000-0000B90A0000}"/>
    <cellStyle name="Normal 11" xfId="22" xr:uid="{00000000-0005-0000-0000-0000BA0A0000}"/>
    <cellStyle name="Normal 11 13" xfId="11117" xr:uid="{00000000-0005-0000-0000-0000BB0A0000}"/>
    <cellStyle name="Normal 11 2" xfId="378" xr:uid="{00000000-0005-0000-0000-0000BC0A0000}"/>
    <cellStyle name="Normal 11 2 2" xfId="2797" xr:uid="{00000000-0005-0000-0000-0000BD0A0000}"/>
    <cellStyle name="Normal 11 2 3" xfId="2796" xr:uid="{00000000-0005-0000-0000-0000BE0A0000}"/>
    <cellStyle name="Normal 11 3" xfId="379" xr:uid="{00000000-0005-0000-0000-0000BF0A0000}"/>
    <cellStyle name="Normal 11 3 2" xfId="2799" xr:uid="{00000000-0005-0000-0000-0000C00A0000}"/>
    <cellStyle name="Normal 11 3 2 2" xfId="2800" xr:uid="{00000000-0005-0000-0000-0000C10A0000}"/>
    <cellStyle name="Normal 11 3 2 2 2" xfId="2801" xr:uid="{00000000-0005-0000-0000-0000C20A0000}"/>
    <cellStyle name="Normal 11 3 2 2 2 2" xfId="7036" xr:uid="{00000000-0005-0000-0000-0000C30A0000}"/>
    <cellStyle name="Normal 11 3 2 2 3" xfId="7037" xr:uid="{00000000-0005-0000-0000-0000C40A0000}"/>
    <cellStyle name="Normal 11 3 2 3" xfId="2802" xr:uid="{00000000-0005-0000-0000-0000C50A0000}"/>
    <cellStyle name="Normal 11 3 2 3 2" xfId="7038" xr:uid="{00000000-0005-0000-0000-0000C60A0000}"/>
    <cellStyle name="Normal 11 3 2 4" xfId="7039" xr:uid="{00000000-0005-0000-0000-0000C70A0000}"/>
    <cellStyle name="Normal 11 3 3" xfId="2803" xr:uid="{00000000-0005-0000-0000-0000C80A0000}"/>
    <cellStyle name="Normal 11 3 3 2" xfId="2804" xr:uid="{00000000-0005-0000-0000-0000C90A0000}"/>
    <cellStyle name="Normal 11 3 3 2 2" xfId="7040" xr:uid="{00000000-0005-0000-0000-0000CA0A0000}"/>
    <cellStyle name="Normal 11 3 3 3" xfId="7041" xr:uid="{00000000-0005-0000-0000-0000CB0A0000}"/>
    <cellStyle name="Normal 11 3 4" xfId="2805" xr:uid="{00000000-0005-0000-0000-0000CC0A0000}"/>
    <cellStyle name="Normal 11 3 4 2" xfId="7042" xr:uid="{00000000-0005-0000-0000-0000CD0A0000}"/>
    <cellStyle name="Normal 11 3 5" xfId="2806" xr:uid="{00000000-0005-0000-0000-0000CE0A0000}"/>
    <cellStyle name="Normal 11 3 6" xfId="2798" xr:uid="{00000000-0005-0000-0000-0000CF0A0000}"/>
    <cellStyle name="Normal 11 4" xfId="1692" xr:uid="{00000000-0005-0000-0000-0000D00A0000}"/>
    <cellStyle name="Normal 11 4 2" xfId="2807" xr:uid="{00000000-0005-0000-0000-0000D10A0000}"/>
    <cellStyle name="Normal 11 4 2 2" xfId="2808" xr:uid="{00000000-0005-0000-0000-0000D20A0000}"/>
    <cellStyle name="Normal 11 4 2 2 2" xfId="2809" xr:uid="{00000000-0005-0000-0000-0000D30A0000}"/>
    <cellStyle name="Normal 11 4 2 2 2 2" xfId="7043" xr:uid="{00000000-0005-0000-0000-0000D40A0000}"/>
    <cellStyle name="Normal 11 4 2 2 3" xfId="7044" xr:uid="{00000000-0005-0000-0000-0000D50A0000}"/>
    <cellStyle name="Normal 11 4 2 3" xfId="2810" xr:uid="{00000000-0005-0000-0000-0000D60A0000}"/>
    <cellStyle name="Normal 11 4 2 3 2" xfId="7045" xr:uid="{00000000-0005-0000-0000-0000D70A0000}"/>
    <cellStyle name="Normal 11 4 2 4" xfId="7046" xr:uid="{00000000-0005-0000-0000-0000D80A0000}"/>
    <cellStyle name="Normal 11 4 3" xfId="2811" xr:uid="{00000000-0005-0000-0000-0000D90A0000}"/>
    <cellStyle name="Normal 11 4 3 2" xfId="2812" xr:uid="{00000000-0005-0000-0000-0000DA0A0000}"/>
    <cellStyle name="Normal 11 4 3 2 2" xfId="7047" xr:uid="{00000000-0005-0000-0000-0000DB0A0000}"/>
    <cellStyle name="Normal 11 4 3 3" xfId="7048" xr:uid="{00000000-0005-0000-0000-0000DC0A0000}"/>
    <cellStyle name="Normal 11 4 4" xfId="2813" xr:uid="{00000000-0005-0000-0000-0000DD0A0000}"/>
    <cellStyle name="Normal 11 4 4 2" xfId="7049" xr:uid="{00000000-0005-0000-0000-0000DE0A0000}"/>
    <cellStyle name="Normal 11 4 5" xfId="7050" xr:uid="{00000000-0005-0000-0000-0000DF0A0000}"/>
    <cellStyle name="Normal 11 5" xfId="2814" xr:uid="{00000000-0005-0000-0000-0000E00A0000}"/>
    <cellStyle name="Normal 11 5 2" xfId="2815" xr:uid="{00000000-0005-0000-0000-0000E10A0000}"/>
    <cellStyle name="Normal 11 5 2 2" xfId="2816" xr:uid="{00000000-0005-0000-0000-0000E20A0000}"/>
    <cellStyle name="Normal 11 5 2 2 2" xfId="2817" xr:uid="{00000000-0005-0000-0000-0000E30A0000}"/>
    <cellStyle name="Normal 11 5 2 2 2 2" xfId="7051" xr:uid="{00000000-0005-0000-0000-0000E40A0000}"/>
    <cellStyle name="Normal 11 5 2 2 3" xfId="7052" xr:uid="{00000000-0005-0000-0000-0000E50A0000}"/>
    <cellStyle name="Normal 11 5 2 3" xfId="2818" xr:uid="{00000000-0005-0000-0000-0000E60A0000}"/>
    <cellStyle name="Normal 11 5 2 3 2" xfId="7053" xr:uid="{00000000-0005-0000-0000-0000E70A0000}"/>
    <cellStyle name="Normal 11 5 2 4" xfId="7054" xr:uid="{00000000-0005-0000-0000-0000E80A0000}"/>
    <cellStyle name="Normal 11 5 3" xfId="2819" xr:uid="{00000000-0005-0000-0000-0000E90A0000}"/>
    <cellStyle name="Normal 11 5 3 2" xfId="2820" xr:uid="{00000000-0005-0000-0000-0000EA0A0000}"/>
    <cellStyle name="Normal 11 5 3 2 2" xfId="7055" xr:uid="{00000000-0005-0000-0000-0000EB0A0000}"/>
    <cellStyle name="Normal 11 5 3 3" xfId="7056" xr:uid="{00000000-0005-0000-0000-0000EC0A0000}"/>
    <cellStyle name="Normal 11 5 4" xfId="2821" xr:uid="{00000000-0005-0000-0000-0000ED0A0000}"/>
    <cellStyle name="Normal 11 5 4 2" xfId="7057" xr:uid="{00000000-0005-0000-0000-0000EE0A0000}"/>
    <cellStyle name="Normal 11 5 5" xfId="7058" xr:uid="{00000000-0005-0000-0000-0000EF0A0000}"/>
    <cellStyle name="Normal 11 6" xfId="2822" xr:uid="{00000000-0005-0000-0000-0000F00A0000}"/>
    <cellStyle name="Normal 11 6 2" xfId="2823" xr:uid="{00000000-0005-0000-0000-0000F10A0000}"/>
    <cellStyle name="Normal 11 6 2 2" xfId="2824" xr:uid="{00000000-0005-0000-0000-0000F20A0000}"/>
    <cellStyle name="Normal 11 6 2 2 2" xfId="7059" xr:uid="{00000000-0005-0000-0000-0000F30A0000}"/>
    <cellStyle name="Normal 11 6 2 3" xfId="7060" xr:uid="{00000000-0005-0000-0000-0000F40A0000}"/>
    <cellStyle name="Normal 11 6 3" xfId="2825" xr:uid="{00000000-0005-0000-0000-0000F50A0000}"/>
    <cellStyle name="Normal 11 6 3 2" xfId="7061" xr:uid="{00000000-0005-0000-0000-0000F60A0000}"/>
    <cellStyle name="Normal 11 6 4" xfId="7062" xr:uid="{00000000-0005-0000-0000-0000F70A0000}"/>
    <cellStyle name="Normal 11 7" xfId="2826" xr:uid="{00000000-0005-0000-0000-0000F80A0000}"/>
    <cellStyle name="Normal 11 7 2" xfId="2827" xr:uid="{00000000-0005-0000-0000-0000F90A0000}"/>
    <cellStyle name="Normal 11 7 2 2" xfId="7063" xr:uid="{00000000-0005-0000-0000-0000FA0A0000}"/>
    <cellStyle name="Normal 11 7 3" xfId="7064" xr:uid="{00000000-0005-0000-0000-0000FB0A0000}"/>
    <cellStyle name="Normal 11 8" xfId="2828" xr:uid="{00000000-0005-0000-0000-0000FC0A0000}"/>
    <cellStyle name="Normal 11 8 2" xfId="7065" xr:uid="{00000000-0005-0000-0000-0000FD0A0000}"/>
    <cellStyle name="Normal 11 9" xfId="7066" xr:uid="{00000000-0005-0000-0000-0000FE0A0000}"/>
    <cellStyle name="Normal 110" xfId="2829" xr:uid="{00000000-0005-0000-0000-0000FF0A0000}"/>
    <cellStyle name="Normal 110 2" xfId="2830" xr:uid="{00000000-0005-0000-0000-0000000B0000}"/>
    <cellStyle name="Normal 110 2 2" xfId="2831" xr:uid="{00000000-0005-0000-0000-0000010B0000}"/>
    <cellStyle name="Normal 110 3" xfId="2832" xr:uid="{00000000-0005-0000-0000-0000020B0000}"/>
    <cellStyle name="Normal 110 3 2" xfId="2833" xr:uid="{00000000-0005-0000-0000-0000030B0000}"/>
    <cellStyle name="Normal 110 3 2 2" xfId="2834" xr:uid="{00000000-0005-0000-0000-0000040B0000}"/>
    <cellStyle name="Normal 110 3 2 2 2" xfId="2835" xr:uid="{00000000-0005-0000-0000-0000050B0000}"/>
    <cellStyle name="Normal 110 3 2 2 2 2" xfId="7067" xr:uid="{00000000-0005-0000-0000-0000060B0000}"/>
    <cellStyle name="Normal 110 3 2 2 3" xfId="7068" xr:uid="{00000000-0005-0000-0000-0000070B0000}"/>
    <cellStyle name="Normal 110 3 2 3" xfId="2836" xr:uid="{00000000-0005-0000-0000-0000080B0000}"/>
    <cellStyle name="Normal 110 3 2 3 2" xfId="7069" xr:uid="{00000000-0005-0000-0000-0000090B0000}"/>
    <cellStyle name="Normal 110 3 2 4" xfId="7070" xr:uid="{00000000-0005-0000-0000-00000A0B0000}"/>
    <cellStyle name="Normal 110 3 3" xfId="2837" xr:uid="{00000000-0005-0000-0000-00000B0B0000}"/>
    <cellStyle name="Normal 110 3 3 2" xfId="2838" xr:uid="{00000000-0005-0000-0000-00000C0B0000}"/>
    <cellStyle name="Normal 110 3 3 2 2" xfId="7071" xr:uid="{00000000-0005-0000-0000-00000D0B0000}"/>
    <cellStyle name="Normal 110 3 3 3" xfId="7072" xr:uid="{00000000-0005-0000-0000-00000E0B0000}"/>
    <cellStyle name="Normal 110 3 4" xfId="2839" xr:uid="{00000000-0005-0000-0000-00000F0B0000}"/>
    <cellStyle name="Normal 110 3 4 2" xfId="7073" xr:uid="{00000000-0005-0000-0000-0000100B0000}"/>
    <cellStyle name="Normal 110 3 5" xfId="2840" xr:uid="{00000000-0005-0000-0000-0000110B0000}"/>
    <cellStyle name="Normal 110 4" xfId="2841" xr:uid="{00000000-0005-0000-0000-0000120B0000}"/>
    <cellStyle name="Normal 110 4 2" xfId="2842" xr:uid="{00000000-0005-0000-0000-0000130B0000}"/>
    <cellStyle name="Normal 110 4 2 2" xfId="2843" xr:uid="{00000000-0005-0000-0000-0000140B0000}"/>
    <cellStyle name="Normal 110 4 2 2 2" xfId="2844" xr:uid="{00000000-0005-0000-0000-0000150B0000}"/>
    <cellStyle name="Normal 110 4 2 2 2 2" xfId="7074" xr:uid="{00000000-0005-0000-0000-0000160B0000}"/>
    <cellStyle name="Normal 110 4 2 2 3" xfId="7075" xr:uid="{00000000-0005-0000-0000-0000170B0000}"/>
    <cellStyle name="Normal 110 4 2 3" xfId="2845" xr:uid="{00000000-0005-0000-0000-0000180B0000}"/>
    <cellStyle name="Normal 110 4 2 3 2" xfId="7076" xr:uid="{00000000-0005-0000-0000-0000190B0000}"/>
    <cellStyle name="Normal 110 4 2 4" xfId="7077" xr:uid="{00000000-0005-0000-0000-00001A0B0000}"/>
    <cellStyle name="Normal 110 4 3" xfId="2846" xr:uid="{00000000-0005-0000-0000-00001B0B0000}"/>
    <cellStyle name="Normal 110 4 3 2" xfId="2847" xr:uid="{00000000-0005-0000-0000-00001C0B0000}"/>
    <cellStyle name="Normal 110 4 3 2 2" xfId="7078" xr:uid="{00000000-0005-0000-0000-00001D0B0000}"/>
    <cellStyle name="Normal 110 4 3 3" xfId="7079" xr:uid="{00000000-0005-0000-0000-00001E0B0000}"/>
    <cellStyle name="Normal 110 4 4" xfId="2848" xr:uid="{00000000-0005-0000-0000-00001F0B0000}"/>
    <cellStyle name="Normal 110 4 4 2" xfId="7080" xr:uid="{00000000-0005-0000-0000-0000200B0000}"/>
    <cellStyle name="Normal 110 4 5" xfId="7081" xr:uid="{00000000-0005-0000-0000-0000210B0000}"/>
    <cellStyle name="Normal 110 5" xfId="2849" xr:uid="{00000000-0005-0000-0000-0000220B0000}"/>
    <cellStyle name="Normal 110 5 2" xfId="2850" xr:uid="{00000000-0005-0000-0000-0000230B0000}"/>
    <cellStyle name="Normal 110 5 2 2" xfId="2851" xr:uid="{00000000-0005-0000-0000-0000240B0000}"/>
    <cellStyle name="Normal 110 5 2 2 2" xfId="2852" xr:uid="{00000000-0005-0000-0000-0000250B0000}"/>
    <cellStyle name="Normal 110 5 2 2 2 2" xfId="7082" xr:uid="{00000000-0005-0000-0000-0000260B0000}"/>
    <cellStyle name="Normal 110 5 2 2 3" xfId="7083" xr:uid="{00000000-0005-0000-0000-0000270B0000}"/>
    <cellStyle name="Normal 110 5 2 3" xfId="2853" xr:uid="{00000000-0005-0000-0000-0000280B0000}"/>
    <cellStyle name="Normal 110 5 2 3 2" xfId="7084" xr:uid="{00000000-0005-0000-0000-0000290B0000}"/>
    <cellStyle name="Normal 110 5 2 4" xfId="7085" xr:uid="{00000000-0005-0000-0000-00002A0B0000}"/>
    <cellStyle name="Normal 110 5 3" xfId="2854" xr:uid="{00000000-0005-0000-0000-00002B0B0000}"/>
    <cellStyle name="Normal 110 5 3 2" xfId="2855" xr:uid="{00000000-0005-0000-0000-00002C0B0000}"/>
    <cellStyle name="Normal 110 5 3 2 2" xfId="7086" xr:uid="{00000000-0005-0000-0000-00002D0B0000}"/>
    <cellStyle name="Normal 110 5 3 3" xfId="7087" xr:uid="{00000000-0005-0000-0000-00002E0B0000}"/>
    <cellStyle name="Normal 110 5 4" xfId="2856" xr:uid="{00000000-0005-0000-0000-00002F0B0000}"/>
    <cellStyle name="Normal 110 5 4 2" xfId="7088" xr:uid="{00000000-0005-0000-0000-0000300B0000}"/>
    <cellStyle name="Normal 110 5 5" xfId="7089" xr:uid="{00000000-0005-0000-0000-0000310B0000}"/>
    <cellStyle name="Normal 110 6" xfId="2857" xr:uid="{00000000-0005-0000-0000-0000320B0000}"/>
    <cellStyle name="Normal 110 6 2" xfId="2858" xr:uid="{00000000-0005-0000-0000-0000330B0000}"/>
    <cellStyle name="Normal 110 6 2 2" xfId="2859" xr:uid="{00000000-0005-0000-0000-0000340B0000}"/>
    <cellStyle name="Normal 110 6 2 2 2" xfId="7090" xr:uid="{00000000-0005-0000-0000-0000350B0000}"/>
    <cellStyle name="Normal 110 6 2 3" xfId="7091" xr:uid="{00000000-0005-0000-0000-0000360B0000}"/>
    <cellStyle name="Normal 110 6 3" xfId="2860" xr:uid="{00000000-0005-0000-0000-0000370B0000}"/>
    <cellStyle name="Normal 110 6 3 2" xfId="7092" xr:uid="{00000000-0005-0000-0000-0000380B0000}"/>
    <cellStyle name="Normal 110 6 4" xfId="7093" xr:uid="{00000000-0005-0000-0000-0000390B0000}"/>
    <cellStyle name="Normal 110 7" xfId="2861" xr:uid="{00000000-0005-0000-0000-00003A0B0000}"/>
    <cellStyle name="Normal 110 7 2" xfId="2862" xr:uid="{00000000-0005-0000-0000-00003B0B0000}"/>
    <cellStyle name="Normal 110 7 2 2" xfId="7094" xr:uid="{00000000-0005-0000-0000-00003C0B0000}"/>
    <cellStyle name="Normal 110 7 3" xfId="7095" xr:uid="{00000000-0005-0000-0000-00003D0B0000}"/>
    <cellStyle name="Normal 110 8" xfId="2863" xr:uid="{00000000-0005-0000-0000-00003E0B0000}"/>
    <cellStyle name="Normal 110 8 2" xfId="7096" xr:uid="{00000000-0005-0000-0000-00003F0B0000}"/>
    <cellStyle name="Normal 110 9" xfId="7097" xr:uid="{00000000-0005-0000-0000-0000400B0000}"/>
    <cellStyle name="Normal 111" xfId="2864" xr:uid="{00000000-0005-0000-0000-0000410B0000}"/>
    <cellStyle name="Normal 111 2" xfId="2865" xr:uid="{00000000-0005-0000-0000-0000420B0000}"/>
    <cellStyle name="Normal 111 2 2" xfId="2866" xr:uid="{00000000-0005-0000-0000-0000430B0000}"/>
    <cellStyle name="Normal 111 3" xfId="2867" xr:uid="{00000000-0005-0000-0000-0000440B0000}"/>
    <cellStyle name="Normal 111 3 2" xfId="2868" xr:uid="{00000000-0005-0000-0000-0000450B0000}"/>
    <cellStyle name="Normal 111 3 2 2" xfId="2869" xr:uid="{00000000-0005-0000-0000-0000460B0000}"/>
    <cellStyle name="Normal 111 3 2 2 2" xfId="2870" xr:uid="{00000000-0005-0000-0000-0000470B0000}"/>
    <cellStyle name="Normal 111 3 2 2 2 2" xfId="7098" xr:uid="{00000000-0005-0000-0000-0000480B0000}"/>
    <cellStyle name="Normal 111 3 2 2 3" xfId="7099" xr:uid="{00000000-0005-0000-0000-0000490B0000}"/>
    <cellStyle name="Normal 111 3 2 3" xfId="2871" xr:uid="{00000000-0005-0000-0000-00004A0B0000}"/>
    <cellStyle name="Normal 111 3 2 3 2" xfId="7100" xr:uid="{00000000-0005-0000-0000-00004B0B0000}"/>
    <cellStyle name="Normal 111 3 2 4" xfId="7101" xr:uid="{00000000-0005-0000-0000-00004C0B0000}"/>
    <cellStyle name="Normal 111 3 3" xfId="2872" xr:uid="{00000000-0005-0000-0000-00004D0B0000}"/>
    <cellStyle name="Normal 111 3 3 2" xfId="2873" xr:uid="{00000000-0005-0000-0000-00004E0B0000}"/>
    <cellStyle name="Normal 111 3 3 2 2" xfId="7102" xr:uid="{00000000-0005-0000-0000-00004F0B0000}"/>
    <cellStyle name="Normal 111 3 3 3" xfId="7103" xr:uid="{00000000-0005-0000-0000-0000500B0000}"/>
    <cellStyle name="Normal 111 3 4" xfId="2874" xr:uid="{00000000-0005-0000-0000-0000510B0000}"/>
    <cellStyle name="Normal 111 3 4 2" xfId="7104" xr:uid="{00000000-0005-0000-0000-0000520B0000}"/>
    <cellStyle name="Normal 111 3 5" xfId="2875" xr:uid="{00000000-0005-0000-0000-0000530B0000}"/>
    <cellStyle name="Normal 111 4" xfId="2876" xr:uid="{00000000-0005-0000-0000-0000540B0000}"/>
    <cellStyle name="Normal 111 4 2" xfId="2877" xr:uid="{00000000-0005-0000-0000-0000550B0000}"/>
    <cellStyle name="Normal 111 4 2 2" xfId="2878" xr:uid="{00000000-0005-0000-0000-0000560B0000}"/>
    <cellStyle name="Normal 111 4 2 2 2" xfId="2879" xr:uid="{00000000-0005-0000-0000-0000570B0000}"/>
    <cellStyle name="Normal 111 4 2 2 2 2" xfId="7105" xr:uid="{00000000-0005-0000-0000-0000580B0000}"/>
    <cellStyle name="Normal 111 4 2 2 3" xfId="7106" xr:uid="{00000000-0005-0000-0000-0000590B0000}"/>
    <cellStyle name="Normal 111 4 2 3" xfId="2880" xr:uid="{00000000-0005-0000-0000-00005A0B0000}"/>
    <cellStyle name="Normal 111 4 2 3 2" xfId="7107" xr:uid="{00000000-0005-0000-0000-00005B0B0000}"/>
    <cellStyle name="Normal 111 4 2 4" xfId="7108" xr:uid="{00000000-0005-0000-0000-00005C0B0000}"/>
    <cellStyle name="Normal 111 4 3" xfId="2881" xr:uid="{00000000-0005-0000-0000-00005D0B0000}"/>
    <cellStyle name="Normal 111 4 3 2" xfId="2882" xr:uid="{00000000-0005-0000-0000-00005E0B0000}"/>
    <cellStyle name="Normal 111 4 3 2 2" xfId="7109" xr:uid="{00000000-0005-0000-0000-00005F0B0000}"/>
    <cellStyle name="Normal 111 4 3 3" xfId="7110" xr:uid="{00000000-0005-0000-0000-0000600B0000}"/>
    <cellStyle name="Normal 111 4 4" xfId="2883" xr:uid="{00000000-0005-0000-0000-0000610B0000}"/>
    <cellStyle name="Normal 111 4 4 2" xfId="7111" xr:uid="{00000000-0005-0000-0000-0000620B0000}"/>
    <cellStyle name="Normal 111 4 5" xfId="7112" xr:uid="{00000000-0005-0000-0000-0000630B0000}"/>
    <cellStyle name="Normal 111 5" xfId="2884" xr:uid="{00000000-0005-0000-0000-0000640B0000}"/>
    <cellStyle name="Normal 111 5 2" xfId="2885" xr:uid="{00000000-0005-0000-0000-0000650B0000}"/>
    <cellStyle name="Normal 111 5 2 2" xfId="2886" xr:uid="{00000000-0005-0000-0000-0000660B0000}"/>
    <cellStyle name="Normal 111 5 2 2 2" xfId="2887" xr:uid="{00000000-0005-0000-0000-0000670B0000}"/>
    <cellStyle name="Normal 111 5 2 2 2 2" xfId="7113" xr:uid="{00000000-0005-0000-0000-0000680B0000}"/>
    <cellStyle name="Normal 111 5 2 2 3" xfId="7114" xr:uid="{00000000-0005-0000-0000-0000690B0000}"/>
    <cellStyle name="Normal 111 5 2 3" xfId="2888" xr:uid="{00000000-0005-0000-0000-00006A0B0000}"/>
    <cellStyle name="Normal 111 5 2 3 2" xfId="7115" xr:uid="{00000000-0005-0000-0000-00006B0B0000}"/>
    <cellStyle name="Normal 111 5 2 4" xfId="7116" xr:uid="{00000000-0005-0000-0000-00006C0B0000}"/>
    <cellStyle name="Normal 111 5 3" xfId="2889" xr:uid="{00000000-0005-0000-0000-00006D0B0000}"/>
    <cellStyle name="Normal 111 5 3 2" xfId="2890" xr:uid="{00000000-0005-0000-0000-00006E0B0000}"/>
    <cellStyle name="Normal 111 5 3 2 2" xfId="7117" xr:uid="{00000000-0005-0000-0000-00006F0B0000}"/>
    <cellStyle name="Normal 111 5 3 3" xfId="7118" xr:uid="{00000000-0005-0000-0000-0000700B0000}"/>
    <cellStyle name="Normal 111 5 4" xfId="2891" xr:uid="{00000000-0005-0000-0000-0000710B0000}"/>
    <cellStyle name="Normal 111 5 4 2" xfId="7119" xr:uid="{00000000-0005-0000-0000-0000720B0000}"/>
    <cellStyle name="Normal 111 5 5" xfId="7120" xr:uid="{00000000-0005-0000-0000-0000730B0000}"/>
    <cellStyle name="Normal 111 6" xfId="2892" xr:uid="{00000000-0005-0000-0000-0000740B0000}"/>
    <cellStyle name="Normal 111 6 2" xfId="2893" xr:uid="{00000000-0005-0000-0000-0000750B0000}"/>
    <cellStyle name="Normal 111 6 2 2" xfId="2894" xr:uid="{00000000-0005-0000-0000-0000760B0000}"/>
    <cellStyle name="Normal 111 6 2 2 2" xfId="7121" xr:uid="{00000000-0005-0000-0000-0000770B0000}"/>
    <cellStyle name="Normal 111 6 2 3" xfId="7122" xr:uid="{00000000-0005-0000-0000-0000780B0000}"/>
    <cellStyle name="Normal 111 6 3" xfId="2895" xr:uid="{00000000-0005-0000-0000-0000790B0000}"/>
    <cellStyle name="Normal 111 6 3 2" xfId="7123" xr:uid="{00000000-0005-0000-0000-00007A0B0000}"/>
    <cellStyle name="Normal 111 6 4" xfId="7124" xr:uid="{00000000-0005-0000-0000-00007B0B0000}"/>
    <cellStyle name="Normal 111 7" xfId="2896" xr:uid="{00000000-0005-0000-0000-00007C0B0000}"/>
    <cellStyle name="Normal 111 7 2" xfId="2897" xr:uid="{00000000-0005-0000-0000-00007D0B0000}"/>
    <cellStyle name="Normal 111 7 2 2" xfId="7125" xr:uid="{00000000-0005-0000-0000-00007E0B0000}"/>
    <cellStyle name="Normal 111 7 3" xfId="7126" xr:uid="{00000000-0005-0000-0000-00007F0B0000}"/>
    <cellStyle name="Normal 111 8" xfId="2898" xr:uid="{00000000-0005-0000-0000-0000800B0000}"/>
    <cellStyle name="Normal 111 8 2" xfId="7127" xr:uid="{00000000-0005-0000-0000-0000810B0000}"/>
    <cellStyle name="Normal 111 9" xfId="7128" xr:uid="{00000000-0005-0000-0000-0000820B0000}"/>
    <cellStyle name="Normal 112" xfId="2899" xr:uid="{00000000-0005-0000-0000-0000830B0000}"/>
    <cellStyle name="Normal 112 2" xfId="2900" xr:uid="{00000000-0005-0000-0000-0000840B0000}"/>
    <cellStyle name="Normal 112 2 2" xfId="2901" xr:uid="{00000000-0005-0000-0000-0000850B0000}"/>
    <cellStyle name="Normal 112 3" xfId="2902" xr:uid="{00000000-0005-0000-0000-0000860B0000}"/>
    <cellStyle name="Normal 112 3 2" xfId="2903" xr:uid="{00000000-0005-0000-0000-0000870B0000}"/>
    <cellStyle name="Normal 112 3 2 2" xfId="2904" xr:uid="{00000000-0005-0000-0000-0000880B0000}"/>
    <cellStyle name="Normal 112 3 2 2 2" xfId="2905" xr:uid="{00000000-0005-0000-0000-0000890B0000}"/>
    <cellStyle name="Normal 112 3 2 2 2 2" xfId="7129" xr:uid="{00000000-0005-0000-0000-00008A0B0000}"/>
    <cellStyle name="Normal 112 3 2 2 3" xfId="7130" xr:uid="{00000000-0005-0000-0000-00008B0B0000}"/>
    <cellStyle name="Normal 112 3 2 3" xfId="2906" xr:uid="{00000000-0005-0000-0000-00008C0B0000}"/>
    <cellStyle name="Normal 112 3 2 3 2" xfId="7131" xr:uid="{00000000-0005-0000-0000-00008D0B0000}"/>
    <cellStyle name="Normal 112 3 2 4" xfId="7132" xr:uid="{00000000-0005-0000-0000-00008E0B0000}"/>
    <cellStyle name="Normal 112 3 3" xfId="2907" xr:uid="{00000000-0005-0000-0000-00008F0B0000}"/>
    <cellStyle name="Normal 112 3 3 2" xfId="2908" xr:uid="{00000000-0005-0000-0000-0000900B0000}"/>
    <cellStyle name="Normal 112 3 3 2 2" xfId="7133" xr:uid="{00000000-0005-0000-0000-0000910B0000}"/>
    <cellStyle name="Normal 112 3 3 3" xfId="7134" xr:uid="{00000000-0005-0000-0000-0000920B0000}"/>
    <cellStyle name="Normal 112 3 4" xfId="2909" xr:uid="{00000000-0005-0000-0000-0000930B0000}"/>
    <cellStyle name="Normal 112 3 4 2" xfId="7135" xr:uid="{00000000-0005-0000-0000-0000940B0000}"/>
    <cellStyle name="Normal 112 3 5" xfId="2910" xr:uid="{00000000-0005-0000-0000-0000950B0000}"/>
    <cellStyle name="Normal 112 4" xfId="2911" xr:uid="{00000000-0005-0000-0000-0000960B0000}"/>
    <cellStyle name="Normal 112 4 2" xfId="2912" xr:uid="{00000000-0005-0000-0000-0000970B0000}"/>
    <cellStyle name="Normal 112 4 2 2" xfId="2913" xr:uid="{00000000-0005-0000-0000-0000980B0000}"/>
    <cellStyle name="Normal 112 4 2 2 2" xfId="2914" xr:uid="{00000000-0005-0000-0000-0000990B0000}"/>
    <cellStyle name="Normal 112 4 2 2 2 2" xfId="7136" xr:uid="{00000000-0005-0000-0000-00009A0B0000}"/>
    <cellStyle name="Normal 112 4 2 2 3" xfId="7137" xr:uid="{00000000-0005-0000-0000-00009B0B0000}"/>
    <cellStyle name="Normal 112 4 2 3" xfId="2915" xr:uid="{00000000-0005-0000-0000-00009C0B0000}"/>
    <cellStyle name="Normal 112 4 2 3 2" xfId="7138" xr:uid="{00000000-0005-0000-0000-00009D0B0000}"/>
    <cellStyle name="Normal 112 4 2 4" xfId="7139" xr:uid="{00000000-0005-0000-0000-00009E0B0000}"/>
    <cellStyle name="Normal 112 4 3" xfId="2916" xr:uid="{00000000-0005-0000-0000-00009F0B0000}"/>
    <cellStyle name="Normal 112 4 3 2" xfId="2917" xr:uid="{00000000-0005-0000-0000-0000A00B0000}"/>
    <cellStyle name="Normal 112 4 3 2 2" xfId="7140" xr:uid="{00000000-0005-0000-0000-0000A10B0000}"/>
    <cellStyle name="Normal 112 4 3 3" xfId="7141" xr:uid="{00000000-0005-0000-0000-0000A20B0000}"/>
    <cellStyle name="Normal 112 4 4" xfId="2918" xr:uid="{00000000-0005-0000-0000-0000A30B0000}"/>
    <cellStyle name="Normal 112 4 4 2" xfId="7142" xr:uid="{00000000-0005-0000-0000-0000A40B0000}"/>
    <cellStyle name="Normal 112 4 5" xfId="7143" xr:uid="{00000000-0005-0000-0000-0000A50B0000}"/>
    <cellStyle name="Normal 112 5" xfId="2919" xr:uid="{00000000-0005-0000-0000-0000A60B0000}"/>
    <cellStyle name="Normal 112 5 2" xfId="2920" xr:uid="{00000000-0005-0000-0000-0000A70B0000}"/>
    <cellStyle name="Normal 112 5 2 2" xfId="2921" xr:uid="{00000000-0005-0000-0000-0000A80B0000}"/>
    <cellStyle name="Normal 112 5 2 2 2" xfId="2922" xr:uid="{00000000-0005-0000-0000-0000A90B0000}"/>
    <cellStyle name="Normal 112 5 2 2 2 2" xfId="7144" xr:uid="{00000000-0005-0000-0000-0000AA0B0000}"/>
    <cellStyle name="Normal 112 5 2 2 3" xfId="7145" xr:uid="{00000000-0005-0000-0000-0000AB0B0000}"/>
    <cellStyle name="Normal 112 5 2 3" xfId="2923" xr:uid="{00000000-0005-0000-0000-0000AC0B0000}"/>
    <cellStyle name="Normal 112 5 2 3 2" xfId="7146" xr:uid="{00000000-0005-0000-0000-0000AD0B0000}"/>
    <cellStyle name="Normal 112 5 2 4" xfId="7147" xr:uid="{00000000-0005-0000-0000-0000AE0B0000}"/>
    <cellStyle name="Normal 112 5 3" xfId="2924" xr:uid="{00000000-0005-0000-0000-0000AF0B0000}"/>
    <cellStyle name="Normal 112 5 3 2" xfId="2925" xr:uid="{00000000-0005-0000-0000-0000B00B0000}"/>
    <cellStyle name="Normal 112 5 3 2 2" xfId="7148" xr:uid="{00000000-0005-0000-0000-0000B10B0000}"/>
    <cellStyle name="Normal 112 5 3 3" xfId="7149" xr:uid="{00000000-0005-0000-0000-0000B20B0000}"/>
    <cellStyle name="Normal 112 5 4" xfId="2926" xr:uid="{00000000-0005-0000-0000-0000B30B0000}"/>
    <cellStyle name="Normal 112 5 4 2" xfId="7150" xr:uid="{00000000-0005-0000-0000-0000B40B0000}"/>
    <cellStyle name="Normal 112 5 5" xfId="7151" xr:uid="{00000000-0005-0000-0000-0000B50B0000}"/>
    <cellStyle name="Normal 112 6" xfId="2927" xr:uid="{00000000-0005-0000-0000-0000B60B0000}"/>
    <cellStyle name="Normal 112 6 2" xfId="2928" xr:uid="{00000000-0005-0000-0000-0000B70B0000}"/>
    <cellStyle name="Normal 112 6 2 2" xfId="2929" xr:uid="{00000000-0005-0000-0000-0000B80B0000}"/>
    <cellStyle name="Normal 112 6 2 2 2" xfId="7152" xr:uid="{00000000-0005-0000-0000-0000B90B0000}"/>
    <cellStyle name="Normal 112 6 2 3" xfId="7153" xr:uid="{00000000-0005-0000-0000-0000BA0B0000}"/>
    <cellStyle name="Normal 112 6 3" xfId="2930" xr:uid="{00000000-0005-0000-0000-0000BB0B0000}"/>
    <cellStyle name="Normal 112 6 3 2" xfId="7154" xr:uid="{00000000-0005-0000-0000-0000BC0B0000}"/>
    <cellStyle name="Normal 112 6 4" xfId="7155" xr:uid="{00000000-0005-0000-0000-0000BD0B0000}"/>
    <cellStyle name="Normal 112 7" xfId="2931" xr:uid="{00000000-0005-0000-0000-0000BE0B0000}"/>
    <cellStyle name="Normal 112 7 2" xfId="2932" xr:uid="{00000000-0005-0000-0000-0000BF0B0000}"/>
    <cellStyle name="Normal 112 7 2 2" xfId="7156" xr:uid="{00000000-0005-0000-0000-0000C00B0000}"/>
    <cellStyle name="Normal 112 7 3" xfId="7157" xr:uid="{00000000-0005-0000-0000-0000C10B0000}"/>
    <cellStyle name="Normal 112 8" xfId="2933" xr:uid="{00000000-0005-0000-0000-0000C20B0000}"/>
    <cellStyle name="Normal 112 8 2" xfId="7158" xr:uid="{00000000-0005-0000-0000-0000C30B0000}"/>
    <cellStyle name="Normal 112 9" xfId="7159" xr:uid="{00000000-0005-0000-0000-0000C40B0000}"/>
    <cellStyle name="Normal 113" xfId="2934" xr:uid="{00000000-0005-0000-0000-0000C50B0000}"/>
    <cellStyle name="Normal 113 2" xfId="2935" xr:uid="{00000000-0005-0000-0000-0000C60B0000}"/>
    <cellStyle name="Normal 113 2 2" xfId="2936" xr:uid="{00000000-0005-0000-0000-0000C70B0000}"/>
    <cellStyle name="Normal 113 3" xfId="2937" xr:uid="{00000000-0005-0000-0000-0000C80B0000}"/>
    <cellStyle name="Normal 113 3 2" xfId="2938" xr:uid="{00000000-0005-0000-0000-0000C90B0000}"/>
    <cellStyle name="Normal 113 3 2 2" xfId="2939" xr:uid="{00000000-0005-0000-0000-0000CA0B0000}"/>
    <cellStyle name="Normal 113 3 2 2 2" xfId="2940" xr:uid="{00000000-0005-0000-0000-0000CB0B0000}"/>
    <cellStyle name="Normal 113 3 2 2 2 2" xfId="7160" xr:uid="{00000000-0005-0000-0000-0000CC0B0000}"/>
    <cellStyle name="Normal 113 3 2 2 3" xfId="7161" xr:uid="{00000000-0005-0000-0000-0000CD0B0000}"/>
    <cellStyle name="Normal 113 3 2 3" xfId="2941" xr:uid="{00000000-0005-0000-0000-0000CE0B0000}"/>
    <cellStyle name="Normal 113 3 2 3 2" xfId="7162" xr:uid="{00000000-0005-0000-0000-0000CF0B0000}"/>
    <cellStyle name="Normal 113 3 2 4" xfId="7163" xr:uid="{00000000-0005-0000-0000-0000D00B0000}"/>
    <cellStyle name="Normal 113 3 3" xfId="2942" xr:uid="{00000000-0005-0000-0000-0000D10B0000}"/>
    <cellStyle name="Normal 113 3 3 2" xfId="2943" xr:uid="{00000000-0005-0000-0000-0000D20B0000}"/>
    <cellStyle name="Normal 113 3 3 2 2" xfId="7164" xr:uid="{00000000-0005-0000-0000-0000D30B0000}"/>
    <cellStyle name="Normal 113 3 3 3" xfId="7165" xr:uid="{00000000-0005-0000-0000-0000D40B0000}"/>
    <cellStyle name="Normal 113 3 4" xfId="2944" xr:uid="{00000000-0005-0000-0000-0000D50B0000}"/>
    <cellStyle name="Normal 113 3 4 2" xfId="7166" xr:uid="{00000000-0005-0000-0000-0000D60B0000}"/>
    <cellStyle name="Normal 113 3 5" xfId="2945" xr:uid="{00000000-0005-0000-0000-0000D70B0000}"/>
    <cellStyle name="Normal 113 4" xfId="2946" xr:uid="{00000000-0005-0000-0000-0000D80B0000}"/>
    <cellStyle name="Normal 113 4 2" xfId="2947" xr:uid="{00000000-0005-0000-0000-0000D90B0000}"/>
    <cellStyle name="Normal 113 4 2 2" xfId="2948" xr:uid="{00000000-0005-0000-0000-0000DA0B0000}"/>
    <cellStyle name="Normal 113 4 2 2 2" xfId="2949" xr:uid="{00000000-0005-0000-0000-0000DB0B0000}"/>
    <cellStyle name="Normal 113 4 2 2 2 2" xfId="7167" xr:uid="{00000000-0005-0000-0000-0000DC0B0000}"/>
    <cellStyle name="Normal 113 4 2 2 3" xfId="7168" xr:uid="{00000000-0005-0000-0000-0000DD0B0000}"/>
    <cellStyle name="Normal 113 4 2 3" xfId="2950" xr:uid="{00000000-0005-0000-0000-0000DE0B0000}"/>
    <cellStyle name="Normal 113 4 2 3 2" xfId="7169" xr:uid="{00000000-0005-0000-0000-0000DF0B0000}"/>
    <cellStyle name="Normal 113 4 2 4" xfId="7170" xr:uid="{00000000-0005-0000-0000-0000E00B0000}"/>
    <cellStyle name="Normal 113 4 3" xfId="2951" xr:uid="{00000000-0005-0000-0000-0000E10B0000}"/>
    <cellStyle name="Normal 113 4 3 2" xfId="2952" xr:uid="{00000000-0005-0000-0000-0000E20B0000}"/>
    <cellStyle name="Normal 113 4 3 2 2" xfId="7171" xr:uid="{00000000-0005-0000-0000-0000E30B0000}"/>
    <cellStyle name="Normal 113 4 3 3" xfId="7172" xr:uid="{00000000-0005-0000-0000-0000E40B0000}"/>
    <cellStyle name="Normal 113 4 4" xfId="2953" xr:uid="{00000000-0005-0000-0000-0000E50B0000}"/>
    <cellStyle name="Normal 113 4 4 2" xfId="7173" xr:uid="{00000000-0005-0000-0000-0000E60B0000}"/>
    <cellStyle name="Normal 113 4 5" xfId="7174" xr:uid="{00000000-0005-0000-0000-0000E70B0000}"/>
    <cellStyle name="Normal 113 5" xfId="2954" xr:uid="{00000000-0005-0000-0000-0000E80B0000}"/>
    <cellStyle name="Normal 113 5 2" xfId="2955" xr:uid="{00000000-0005-0000-0000-0000E90B0000}"/>
    <cellStyle name="Normal 113 5 2 2" xfId="2956" xr:uid="{00000000-0005-0000-0000-0000EA0B0000}"/>
    <cellStyle name="Normal 113 5 2 2 2" xfId="2957" xr:uid="{00000000-0005-0000-0000-0000EB0B0000}"/>
    <cellStyle name="Normal 113 5 2 2 2 2" xfId="7175" xr:uid="{00000000-0005-0000-0000-0000EC0B0000}"/>
    <cellStyle name="Normal 113 5 2 2 3" xfId="7176" xr:uid="{00000000-0005-0000-0000-0000ED0B0000}"/>
    <cellStyle name="Normal 113 5 2 3" xfId="2958" xr:uid="{00000000-0005-0000-0000-0000EE0B0000}"/>
    <cellStyle name="Normal 113 5 2 3 2" xfId="7177" xr:uid="{00000000-0005-0000-0000-0000EF0B0000}"/>
    <cellStyle name="Normal 113 5 2 4" xfId="7178" xr:uid="{00000000-0005-0000-0000-0000F00B0000}"/>
    <cellStyle name="Normal 113 5 3" xfId="2959" xr:uid="{00000000-0005-0000-0000-0000F10B0000}"/>
    <cellStyle name="Normal 113 5 3 2" xfId="2960" xr:uid="{00000000-0005-0000-0000-0000F20B0000}"/>
    <cellStyle name="Normal 113 5 3 2 2" xfId="7179" xr:uid="{00000000-0005-0000-0000-0000F30B0000}"/>
    <cellStyle name="Normal 113 5 3 3" xfId="7180" xr:uid="{00000000-0005-0000-0000-0000F40B0000}"/>
    <cellStyle name="Normal 113 5 4" xfId="2961" xr:uid="{00000000-0005-0000-0000-0000F50B0000}"/>
    <cellStyle name="Normal 113 5 4 2" xfId="7181" xr:uid="{00000000-0005-0000-0000-0000F60B0000}"/>
    <cellStyle name="Normal 113 5 5" xfId="7182" xr:uid="{00000000-0005-0000-0000-0000F70B0000}"/>
    <cellStyle name="Normal 113 6" xfId="2962" xr:uid="{00000000-0005-0000-0000-0000F80B0000}"/>
    <cellStyle name="Normal 113 6 2" xfId="2963" xr:uid="{00000000-0005-0000-0000-0000F90B0000}"/>
    <cellStyle name="Normal 113 6 2 2" xfId="2964" xr:uid="{00000000-0005-0000-0000-0000FA0B0000}"/>
    <cellStyle name="Normal 113 6 2 2 2" xfId="7183" xr:uid="{00000000-0005-0000-0000-0000FB0B0000}"/>
    <cellStyle name="Normal 113 6 2 3" xfId="7184" xr:uid="{00000000-0005-0000-0000-0000FC0B0000}"/>
    <cellStyle name="Normal 113 6 3" xfId="2965" xr:uid="{00000000-0005-0000-0000-0000FD0B0000}"/>
    <cellStyle name="Normal 113 6 3 2" xfId="7185" xr:uid="{00000000-0005-0000-0000-0000FE0B0000}"/>
    <cellStyle name="Normal 113 6 4" xfId="7186" xr:uid="{00000000-0005-0000-0000-0000FF0B0000}"/>
    <cellStyle name="Normal 113 7" xfId="2966" xr:uid="{00000000-0005-0000-0000-0000000C0000}"/>
    <cellStyle name="Normal 113 7 2" xfId="2967" xr:uid="{00000000-0005-0000-0000-0000010C0000}"/>
    <cellStyle name="Normal 113 7 2 2" xfId="7187" xr:uid="{00000000-0005-0000-0000-0000020C0000}"/>
    <cellStyle name="Normal 113 7 3" xfId="7188" xr:uid="{00000000-0005-0000-0000-0000030C0000}"/>
    <cellStyle name="Normal 113 8" xfId="2968" xr:uid="{00000000-0005-0000-0000-0000040C0000}"/>
    <cellStyle name="Normal 113 8 2" xfId="7189" xr:uid="{00000000-0005-0000-0000-0000050C0000}"/>
    <cellStyle name="Normal 113 9" xfId="7190" xr:uid="{00000000-0005-0000-0000-0000060C0000}"/>
    <cellStyle name="Normal 114" xfId="2969" xr:uid="{00000000-0005-0000-0000-0000070C0000}"/>
    <cellStyle name="Normal 114 2" xfId="2970" xr:uid="{00000000-0005-0000-0000-0000080C0000}"/>
    <cellStyle name="Normal 114 2 2" xfId="2971" xr:uid="{00000000-0005-0000-0000-0000090C0000}"/>
    <cellStyle name="Normal 114 2 2 2" xfId="2972" xr:uid="{00000000-0005-0000-0000-00000A0C0000}"/>
    <cellStyle name="Normal 114 2 2 2 2" xfId="7191" xr:uid="{00000000-0005-0000-0000-00000B0C0000}"/>
    <cellStyle name="Normal 114 2 2 3" xfId="7192" xr:uid="{00000000-0005-0000-0000-00000C0C0000}"/>
    <cellStyle name="Normal 114 2 3" xfId="2973" xr:uid="{00000000-0005-0000-0000-00000D0C0000}"/>
    <cellStyle name="Normal 114 2 3 2" xfId="7193" xr:uid="{00000000-0005-0000-0000-00000E0C0000}"/>
    <cellStyle name="Normal 114 2 4" xfId="2974" xr:uid="{00000000-0005-0000-0000-00000F0C0000}"/>
    <cellStyle name="Normal 114 3" xfId="2975" xr:uid="{00000000-0005-0000-0000-0000100C0000}"/>
    <cellStyle name="Normal 114 3 2" xfId="2976" xr:uid="{00000000-0005-0000-0000-0000110C0000}"/>
    <cellStyle name="Normal 114 3 2 2" xfId="7194" xr:uid="{00000000-0005-0000-0000-0000120C0000}"/>
    <cellStyle name="Normal 114 3 3" xfId="7195" xr:uid="{00000000-0005-0000-0000-0000130C0000}"/>
    <cellStyle name="Normal 114 4" xfId="2977" xr:uid="{00000000-0005-0000-0000-0000140C0000}"/>
    <cellStyle name="Normal 114 4 2" xfId="7196" xr:uid="{00000000-0005-0000-0000-0000150C0000}"/>
    <cellStyle name="Normal 114 5" xfId="2978" xr:uid="{00000000-0005-0000-0000-0000160C0000}"/>
    <cellStyle name="Normal 114 6" xfId="7197" xr:uid="{00000000-0005-0000-0000-0000170C0000}"/>
    <cellStyle name="Normal 115" xfId="2979" xr:uid="{00000000-0005-0000-0000-0000180C0000}"/>
    <cellStyle name="Normal 115 2" xfId="2980" xr:uid="{00000000-0005-0000-0000-0000190C0000}"/>
    <cellStyle name="Normal 115 2 2" xfId="2981" xr:uid="{00000000-0005-0000-0000-00001A0C0000}"/>
    <cellStyle name="Normal 115 3" xfId="2982" xr:uid="{00000000-0005-0000-0000-00001B0C0000}"/>
    <cellStyle name="Normal 115 3 2" xfId="2983" xr:uid="{00000000-0005-0000-0000-00001C0C0000}"/>
    <cellStyle name="Normal 115 3 2 2" xfId="2984" xr:uid="{00000000-0005-0000-0000-00001D0C0000}"/>
    <cellStyle name="Normal 115 3 2 2 2" xfId="2985" xr:uid="{00000000-0005-0000-0000-00001E0C0000}"/>
    <cellStyle name="Normal 115 3 2 2 2 2" xfId="7198" xr:uid="{00000000-0005-0000-0000-00001F0C0000}"/>
    <cellStyle name="Normal 115 3 2 2 3" xfId="7199" xr:uid="{00000000-0005-0000-0000-0000200C0000}"/>
    <cellStyle name="Normal 115 3 2 3" xfId="2986" xr:uid="{00000000-0005-0000-0000-0000210C0000}"/>
    <cellStyle name="Normal 115 3 2 3 2" xfId="7200" xr:uid="{00000000-0005-0000-0000-0000220C0000}"/>
    <cellStyle name="Normal 115 3 2 4" xfId="7201" xr:uid="{00000000-0005-0000-0000-0000230C0000}"/>
    <cellStyle name="Normal 115 3 3" xfId="2987" xr:uid="{00000000-0005-0000-0000-0000240C0000}"/>
    <cellStyle name="Normal 115 3 3 2" xfId="2988" xr:uid="{00000000-0005-0000-0000-0000250C0000}"/>
    <cellStyle name="Normal 115 3 3 2 2" xfId="7202" xr:uid="{00000000-0005-0000-0000-0000260C0000}"/>
    <cellStyle name="Normal 115 3 3 3" xfId="7203" xr:uid="{00000000-0005-0000-0000-0000270C0000}"/>
    <cellStyle name="Normal 115 3 4" xfId="2989" xr:uid="{00000000-0005-0000-0000-0000280C0000}"/>
    <cellStyle name="Normal 115 3 4 2" xfId="7204" xr:uid="{00000000-0005-0000-0000-0000290C0000}"/>
    <cellStyle name="Normal 115 3 5" xfId="2990" xr:uid="{00000000-0005-0000-0000-00002A0C0000}"/>
    <cellStyle name="Normal 115 4" xfId="2991" xr:uid="{00000000-0005-0000-0000-00002B0C0000}"/>
    <cellStyle name="Normal 115 4 2" xfId="2992" xr:uid="{00000000-0005-0000-0000-00002C0C0000}"/>
    <cellStyle name="Normal 115 4 2 2" xfId="2993" xr:uid="{00000000-0005-0000-0000-00002D0C0000}"/>
    <cellStyle name="Normal 115 4 2 2 2" xfId="2994" xr:uid="{00000000-0005-0000-0000-00002E0C0000}"/>
    <cellStyle name="Normal 115 4 2 2 2 2" xfId="7205" xr:uid="{00000000-0005-0000-0000-00002F0C0000}"/>
    <cellStyle name="Normal 115 4 2 2 3" xfId="7206" xr:uid="{00000000-0005-0000-0000-0000300C0000}"/>
    <cellStyle name="Normal 115 4 2 3" xfId="2995" xr:uid="{00000000-0005-0000-0000-0000310C0000}"/>
    <cellStyle name="Normal 115 4 2 3 2" xfId="7207" xr:uid="{00000000-0005-0000-0000-0000320C0000}"/>
    <cellStyle name="Normal 115 4 2 4" xfId="7208" xr:uid="{00000000-0005-0000-0000-0000330C0000}"/>
    <cellStyle name="Normal 115 4 3" xfId="2996" xr:uid="{00000000-0005-0000-0000-0000340C0000}"/>
    <cellStyle name="Normal 115 4 3 2" xfId="2997" xr:uid="{00000000-0005-0000-0000-0000350C0000}"/>
    <cellStyle name="Normal 115 4 3 2 2" xfId="7209" xr:uid="{00000000-0005-0000-0000-0000360C0000}"/>
    <cellStyle name="Normal 115 4 3 3" xfId="7210" xr:uid="{00000000-0005-0000-0000-0000370C0000}"/>
    <cellStyle name="Normal 115 4 4" xfId="2998" xr:uid="{00000000-0005-0000-0000-0000380C0000}"/>
    <cellStyle name="Normal 115 4 4 2" xfId="7211" xr:uid="{00000000-0005-0000-0000-0000390C0000}"/>
    <cellStyle name="Normal 115 4 5" xfId="7212" xr:uid="{00000000-0005-0000-0000-00003A0C0000}"/>
    <cellStyle name="Normal 115 5" xfId="2999" xr:uid="{00000000-0005-0000-0000-00003B0C0000}"/>
    <cellStyle name="Normal 115 5 2" xfId="3000" xr:uid="{00000000-0005-0000-0000-00003C0C0000}"/>
    <cellStyle name="Normal 115 5 2 2" xfId="3001" xr:uid="{00000000-0005-0000-0000-00003D0C0000}"/>
    <cellStyle name="Normal 115 5 2 2 2" xfId="3002" xr:uid="{00000000-0005-0000-0000-00003E0C0000}"/>
    <cellStyle name="Normal 115 5 2 2 2 2" xfId="7213" xr:uid="{00000000-0005-0000-0000-00003F0C0000}"/>
    <cellStyle name="Normal 115 5 2 2 3" xfId="7214" xr:uid="{00000000-0005-0000-0000-0000400C0000}"/>
    <cellStyle name="Normal 115 5 2 3" xfId="3003" xr:uid="{00000000-0005-0000-0000-0000410C0000}"/>
    <cellStyle name="Normal 115 5 2 3 2" xfId="7215" xr:uid="{00000000-0005-0000-0000-0000420C0000}"/>
    <cellStyle name="Normal 115 5 2 4" xfId="7216" xr:uid="{00000000-0005-0000-0000-0000430C0000}"/>
    <cellStyle name="Normal 115 5 3" xfId="3004" xr:uid="{00000000-0005-0000-0000-0000440C0000}"/>
    <cellStyle name="Normal 115 5 3 2" xfId="3005" xr:uid="{00000000-0005-0000-0000-0000450C0000}"/>
    <cellStyle name="Normal 115 5 3 2 2" xfId="7217" xr:uid="{00000000-0005-0000-0000-0000460C0000}"/>
    <cellStyle name="Normal 115 5 3 3" xfId="7218" xr:uid="{00000000-0005-0000-0000-0000470C0000}"/>
    <cellStyle name="Normal 115 5 4" xfId="3006" xr:uid="{00000000-0005-0000-0000-0000480C0000}"/>
    <cellStyle name="Normal 115 5 4 2" xfId="7219" xr:uid="{00000000-0005-0000-0000-0000490C0000}"/>
    <cellStyle name="Normal 115 5 5" xfId="7220" xr:uid="{00000000-0005-0000-0000-00004A0C0000}"/>
    <cellStyle name="Normal 115 6" xfId="3007" xr:uid="{00000000-0005-0000-0000-00004B0C0000}"/>
    <cellStyle name="Normal 115 6 2" xfId="3008" xr:uid="{00000000-0005-0000-0000-00004C0C0000}"/>
    <cellStyle name="Normal 115 6 2 2" xfId="3009" xr:uid="{00000000-0005-0000-0000-00004D0C0000}"/>
    <cellStyle name="Normal 115 6 2 2 2" xfId="7221" xr:uid="{00000000-0005-0000-0000-00004E0C0000}"/>
    <cellStyle name="Normal 115 6 2 3" xfId="7222" xr:uid="{00000000-0005-0000-0000-00004F0C0000}"/>
    <cellStyle name="Normal 115 6 3" xfId="3010" xr:uid="{00000000-0005-0000-0000-0000500C0000}"/>
    <cellStyle name="Normal 115 6 3 2" xfId="7223" xr:uid="{00000000-0005-0000-0000-0000510C0000}"/>
    <cellStyle name="Normal 115 6 4" xfId="7224" xr:uid="{00000000-0005-0000-0000-0000520C0000}"/>
    <cellStyle name="Normal 115 7" xfId="3011" xr:uid="{00000000-0005-0000-0000-0000530C0000}"/>
    <cellStyle name="Normal 115 7 2" xfId="3012" xr:uid="{00000000-0005-0000-0000-0000540C0000}"/>
    <cellStyle name="Normal 115 7 2 2" xfId="7225" xr:uid="{00000000-0005-0000-0000-0000550C0000}"/>
    <cellStyle name="Normal 115 7 3" xfId="7226" xr:uid="{00000000-0005-0000-0000-0000560C0000}"/>
    <cellStyle name="Normal 115 8" xfId="3013" xr:uid="{00000000-0005-0000-0000-0000570C0000}"/>
    <cellStyle name="Normal 115 8 2" xfId="7227" xr:uid="{00000000-0005-0000-0000-0000580C0000}"/>
    <cellStyle name="Normal 115 9" xfId="7228" xr:uid="{00000000-0005-0000-0000-0000590C0000}"/>
    <cellStyle name="Normal 116" xfId="3014" xr:uid="{00000000-0005-0000-0000-00005A0C0000}"/>
    <cellStyle name="Normal 116 2" xfId="3015" xr:uid="{00000000-0005-0000-0000-00005B0C0000}"/>
    <cellStyle name="Normal 116 2 2" xfId="3016" xr:uid="{00000000-0005-0000-0000-00005C0C0000}"/>
    <cellStyle name="Normal 116 3" xfId="3017" xr:uid="{00000000-0005-0000-0000-00005D0C0000}"/>
    <cellStyle name="Normal 116 3 2" xfId="3018" xr:uid="{00000000-0005-0000-0000-00005E0C0000}"/>
    <cellStyle name="Normal 116 3 2 2" xfId="3019" xr:uid="{00000000-0005-0000-0000-00005F0C0000}"/>
    <cellStyle name="Normal 116 3 2 2 2" xfId="3020" xr:uid="{00000000-0005-0000-0000-0000600C0000}"/>
    <cellStyle name="Normal 116 3 2 2 2 2" xfId="7229" xr:uid="{00000000-0005-0000-0000-0000610C0000}"/>
    <cellStyle name="Normal 116 3 2 2 3" xfId="7230" xr:uid="{00000000-0005-0000-0000-0000620C0000}"/>
    <cellStyle name="Normal 116 3 2 3" xfId="3021" xr:uid="{00000000-0005-0000-0000-0000630C0000}"/>
    <cellStyle name="Normal 116 3 2 3 2" xfId="7231" xr:uid="{00000000-0005-0000-0000-0000640C0000}"/>
    <cellStyle name="Normal 116 3 2 4" xfId="7232" xr:uid="{00000000-0005-0000-0000-0000650C0000}"/>
    <cellStyle name="Normal 116 3 3" xfId="3022" xr:uid="{00000000-0005-0000-0000-0000660C0000}"/>
    <cellStyle name="Normal 116 3 3 2" xfId="3023" xr:uid="{00000000-0005-0000-0000-0000670C0000}"/>
    <cellStyle name="Normal 116 3 3 2 2" xfId="7233" xr:uid="{00000000-0005-0000-0000-0000680C0000}"/>
    <cellStyle name="Normal 116 3 3 3" xfId="7234" xr:uid="{00000000-0005-0000-0000-0000690C0000}"/>
    <cellStyle name="Normal 116 3 4" xfId="3024" xr:uid="{00000000-0005-0000-0000-00006A0C0000}"/>
    <cellStyle name="Normal 116 3 4 2" xfId="7235" xr:uid="{00000000-0005-0000-0000-00006B0C0000}"/>
    <cellStyle name="Normal 116 3 5" xfId="3025" xr:uid="{00000000-0005-0000-0000-00006C0C0000}"/>
    <cellStyle name="Normal 116 4" xfId="3026" xr:uid="{00000000-0005-0000-0000-00006D0C0000}"/>
    <cellStyle name="Normal 116 4 2" xfId="3027" xr:uid="{00000000-0005-0000-0000-00006E0C0000}"/>
    <cellStyle name="Normal 116 4 2 2" xfId="3028" xr:uid="{00000000-0005-0000-0000-00006F0C0000}"/>
    <cellStyle name="Normal 116 4 2 2 2" xfId="3029" xr:uid="{00000000-0005-0000-0000-0000700C0000}"/>
    <cellStyle name="Normal 116 4 2 2 2 2" xfId="7236" xr:uid="{00000000-0005-0000-0000-0000710C0000}"/>
    <cellStyle name="Normal 116 4 2 2 3" xfId="7237" xr:uid="{00000000-0005-0000-0000-0000720C0000}"/>
    <cellStyle name="Normal 116 4 2 3" xfId="3030" xr:uid="{00000000-0005-0000-0000-0000730C0000}"/>
    <cellStyle name="Normal 116 4 2 3 2" xfId="7238" xr:uid="{00000000-0005-0000-0000-0000740C0000}"/>
    <cellStyle name="Normal 116 4 2 4" xfId="7239" xr:uid="{00000000-0005-0000-0000-0000750C0000}"/>
    <cellStyle name="Normal 116 4 3" xfId="3031" xr:uid="{00000000-0005-0000-0000-0000760C0000}"/>
    <cellStyle name="Normal 116 4 3 2" xfId="3032" xr:uid="{00000000-0005-0000-0000-0000770C0000}"/>
    <cellStyle name="Normal 116 4 3 2 2" xfId="7240" xr:uid="{00000000-0005-0000-0000-0000780C0000}"/>
    <cellStyle name="Normal 116 4 3 3" xfId="7241" xr:uid="{00000000-0005-0000-0000-0000790C0000}"/>
    <cellStyle name="Normal 116 4 4" xfId="3033" xr:uid="{00000000-0005-0000-0000-00007A0C0000}"/>
    <cellStyle name="Normal 116 4 4 2" xfId="7242" xr:uid="{00000000-0005-0000-0000-00007B0C0000}"/>
    <cellStyle name="Normal 116 4 5" xfId="7243" xr:uid="{00000000-0005-0000-0000-00007C0C0000}"/>
    <cellStyle name="Normal 116 5" xfId="3034" xr:uid="{00000000-0005-0000-0000-00007D0C0000}"/>
    <cellStyle name="Normal 116 5 2" xfId="3035" xr:uid="{00000000-0005-0000-0000-00007E0C0000}"/>
    <cellStyle name="Normal 116 5 2 2" xfId="3036" xr:uid="{00000000-0005-0000-0000-00007F0C0000}"/>
    <cellStyle name="Normal 116 5 2 2 2" xfId="3037" xr:uid="{00000000-0005-0000-0000-0000800C0000}"/>
    <cellStyle name="Normal 116 5 2 2 2 2" xfId="7244" xr:uid="{00000000-0005-0000-0000-0000810C0000}"/>
    <cellStyle name="Normal 116 5 2 2 3" xfId="7245" xr:uid="{00000000-0005-0000-0000-0000820C0000}"/>
    <cellStyle name="Normal 116 5 2 3" xfId="3038" xr:uid="{00000000-0005-0000-0000-0000830C0000}"/>
    <cellStyle name="Normal 116 5 2 3 2" xfId="7246" xr:uid="{00000000-0005-0000-0000-0000840C0000}"/>
    <cellStyle name="Normal 116 5 2 4" xfId="7247" xr:uid="{00000000-0005-0000-0000-0000850C0000}"/>
    <cellStyle name="Normal 116 5 3" xfId="3039" xr:uid="{00000000-0005-0000-0000-0000860C0000}"/>
    <cellStyle name="Normal 116 5 3 2" xfId="3040" xr:uid="{00000000-0005-0000-0000-0000870C0000}"/>
    <cellStyle name="Normal 116 5 3 2 2" xfId="7248" xr:uid="{00000000-0005-0000-0000-0000880C0000}"/>
    <cellStyle name="Normal 116 5 3 3" xfId="7249" xr:uid="{00000000-0005-0000-0000-0000890C0000}"/>
    <cellStyle name="Normal 116 5 4" xfId="3041" xr:uid="{00000000-0005-0000-0000-00008A0C0000}"/>
    <cellStyle name="Normal 116 5 4 2" xfId="7250" xr:uid="{00000000-0005-0000-0000-00008B0C0000}"/>
    <cellStyle name="Normal 116 5 5" xfId="7251" xr:uid="{00000000-0005-0000-0000-00008C0C0000}"/>
    <cellStyle name="Normal 116 6" xfId="3042" xr:uid="{00000000-0005-0000-0000-00008D0C0000}"/>
    <cellStyle name="Normal 116 6 2" xfId="3043" xr:uid="{00000000-0005-0000-0000-00008E0C0000}"/>
    <cellStyle name="Normal 116 6 2 2" xfId="3044" xr:uid="{00000000-0005-0000-0000-00008F0C0000}"/>
    <cellStyle name="Normal 116 6 2 2 2" xfId="7252" xr:uid="{00000000-0005-0000-0000-0000900C0000}"/>
    <cellStyle name="Normal 116 6 2 3" xfId="7253" xr:uid="{00000000-0005-0000-0000-0000910C0000}"/>
    <cellStyle name="Normal 116 6 3" xfId="3045" xr:uid="{00000000-0005-0000-0000-0000920C0000}"/>
    <cellStyle name="Normal 116 6 3 2" xfId="7254" xr:uid="{00000000-0005-0000-0000-0000930C0000}"/>
    <cellStyle name="Normal 116 6 4" xfId="7255" xr:uid="{00000000-0005-0000-0000-0000940C0000}"/>
    <cellStyle name="Normal 116 7" xfId="3046" xr:uid="{00000000-0005-0000-0000-0000950C0000}"/>
    <cellStyle name="Normal 116 7 2" xfId="3047" xr:uid="{00000000-0005-0000-0000-0000960C0000}"/>
    <cellStyle name="Normal 116 7 2 2" xfId="7256" xr:uid="{00000000-0005-0000-0000-0000970C0000}"/>
    <cellStyle name="Normal 116 7 3" xfId="7257" xr:uid="{00000000-0005-0000-0000-0000980C0000}"/>
    <cellStyle name="Normal 116 8" xfId="3048" xr:uid="{00000000-0005-0000-0000-0000990C0000}"/>
    <cellStyle name="Normal 116 8 2" xfId="7258" xr:uid="{00000000-0005-0000-0000-00009A0C0000}"/>
    <cellStyle name="Normal 116 9" xfId="7259" xr:uid="{00000000-0005-0000-0000-00009B0C0000}"/>
    <cellStyle name="Normal 117" xfId="3049" xr:uid="{00000000-0005-0000-0000-00009C0C0000}"/>
    <cellStyle name="Normal 117 2" xfId="3050" xr:uid="{00000000-0005-0000-0000-00009D0C0000}"/>
    <cellStyle name="Normal 117 2 2" xfId="3051" xr:uid="{00000000-0005-0000-0000-00009E0C0000}"/>
    <cellStyle name="Normal 117 3" xfId="3052" xr:uid="{00000000-0005-0000-0000-00009F0C0000}"/>
    <cellStyle name="Normal 117 3 2" xfId="3053" xr:uid="{00000000-0005-0000-0000-0000A00C0000}"/>
    <cellStyle name="Normal 117 3 2 2" xfId="3054" xr:uid="{00000000-0005-0000-0000-0000A10C0000}"/>
    <cellStyle name="Normal 117 3 2 2 2" xfId="3055" xr:uid="{00000000-0005-0000-0000-0000A20C0000}"/>
    <cellStyle name="Normal 117 3 2 2 2 2" xfId="7260" xr:uid="{00000000-0005-0000-0000-0000A30C0000}"/>
    <cellStyle name="Normal 117 3 2 2 3" xfId="7261" xr:uid="{00000000-0005-0000-0000-0000A40C0000}"/>
    <cellStyle name="Normal 117 3 2 3" xfId="3056" xr:uid="{00000000-0005-0000-0000-0000A50C0000}"/>
    <cellStyle name="Normal 117 3 2 3 2" xfId="7262" xr:uid="{00000000-0005-0000-0000-0000A60C0000}"/>
    <cellStyle name="Normal 117 3 2 4" xfId="7263" xr:uid="{00000000-0005-0000-0000-0000A70C0000}"/>
    <cellStyle name="Normal 117 3 3" xfId="3057" xr:uid="{00000000-0005-0000-0000-0000A80C0000}"/>
    <cellStyle name="Normal 117 3 3 2" xfId="3058" xr:uid="{00000000-0005-0000-0000-0000A90C0000}"/>
    <cellStyle name="Normal 117 3 3 2 2" xfId="7264" xr:uid="{00000000-0005-0000-0000-0000AA0C0000}"/>
    <cellStyle name="Normal 117 3 3 3" xfId="7265" xr:uid="{00000000-0005-0000-0000-0000AB0C0000}"/>
    <cellStyle name="Normal 117 3 4" xfId="3059" xr:uid="{00000000-0005-0000-0000-0000AC0C0000}"/>
    <cellStyle name="Normal 117 3 4 2" xfId="7266" xr:uid="{00000000-0005-0000-0000-0000AD0C0000}"/>
    <cellStyle name="Normal 117 3 5" xfId="3060" xr:uid="{00000000-0005-0000-0000-0000AE0C0000}"/>
    <cellStyle name="Normal 117 4" xfId="3061" xr:uid="{00000000-0005-0000-0000-0000AF0C0000}"/>
    <cellStyle name="Normal 117 4 2" xfId="3062" xr:uid="{00000000-0005-0000-0000-0000B00C0000}"/>
    <cellStyle name="Normal 117 4 2 2" xfId="3063" xr:uid="{00000000-0005-0000-0000-0000B10C0000}"/>
    <cellStyle name="Normal 117 4 2 2 2" xfId="3064" xr:uid="{00000000-0005-0000-0000-0000B20C0000}"/>
    <cellStyle name="Normal 117 4 2 2 2 2" xfId="7267" xr:uid="{00000000-0005-0000-0000-0000B30C0000}"/>
    <cellStyle name="Normal 117 4 2 2 3" xfId="7268" xr:uid="{00000000-0005-0000-0000-0000B40C0000}"/>
    <cellStyle name="Normal 117 4 2 3" xfId="3065" xr:uid="{00000000-0005-0000-0000-0000B50C0000}"/>
    <cellStyle name="Normal 117 4 2 3 2" xfId="7269" xr:uid="{00000000-0005-0000-0000-0000B60C0000}"/>
    <cellStyle name="Normal 117 4 2 4" xfId="7270" xr:uid="{00000000-0005-0000-0000-0000B70C0000}"/>
    <cellStyle name="Normal 117 4 3" xfId="3066" xr:uid="{00000000-0005-0000-0000-0000B80C0000}"/>
    <cellStyle name="Normal 117 4 3 2" xfId="3067" xr:uid="{00000000-0005-0000-0000-0000B90C0000}"/>
    <cellStyle name="Normal 117 4 3 2 2" xfId="7271" xr:uid="{00000000-0005-0000-0000-0000BA0C0000}"/>
    <cellStyle name="Normal 117 4 3 3" xfId="7272" xr:uid="{00000000-0005-0000-0000-0000BB0C0000}"/>
    <cellStyle name="Normal 117 4 4" xfId="3068" xr:uid="{00000000-0005-0000-0000-0000BC0C0000}"/>
    <cellStyle name="Normal 117 4 4 2" xfId="7273" xr:uid="{00000000-0005-0000-0000-0000BD0C0000}"/>
    <cellStyle name="Normal 117 4 5" xfId="7274" xr:uid="{00000000-0005-0000-0000-0000BE0C0000}"/>
    <cellStyle name="Normal 117 5" xfId="3069" xr:uid="{00000000-0005-0000-0000-0000BF0C0000}"/>
    <cellStyle name="Normal 117 5 2" xfId="3070" xr:uid="{00000000-0005-0000-0000-0000C00C0000}"/>
    <cellStyle name="Normal 117 5 2 2" xfId="3071" xr:uid="{00000000-0005-0000-0000-0000C10C0000}"/>
    <cellStyle name="Normal 117 5 2 2 2" xfId="3072" xr:uid="{00000000-0005-0000-0000-0000C20C0000}"/>
    <cellStyle name="Normal 117 5 2 2 2 2" xfId="7275" xr:uid="{00000000-0005-0000-0000-0000C30C0000}"/>
    <cellStyle name="Normal 117 5 2 2 3" xfId="7276" xr:uid="{00000000-0005-0000-0000-0000C40C0000}"/>
    <cellStyle name="Normal 117 5 2 3" xfId="3073" xr:uid="{00000000-0005-0000-0000-0000C50C0000}"/>
    <cellStyle name="Normal 117 5 2 3 2" xfId="7277" xr:uid="{00000000-0005-0000-0000-0000C60C0000}"/>
    <cellStyle name="Normal 117 5 2 4" xfId="7278" xr:uid="{00000000-0005-0000-0000-0000C70C0000}"/>
    <cellStyle name="Normal 117 5 3" xfId="3074" xr:uid="{00000000-0005-0000-0000-0000C80C0000}"/>
    <cellStyle name="Normal 117 5 3 2" xfId="3075" xr:uid="{00000000-0005-0000-0000-0000C90C0000}"/>
    <cellStyle name="Normal 117 5 3 2 2" xfId="7279" xr:uid="{00000000-0005-0000-0000-0000CA0C0000}"/>
    <cellStyle name="Normal 117 5 3 3" xfId="7280" xr:uid="{00000000-0005-0000-0000-0000CB0C0000}"/>
    <cellStyle name="Normal 117 5 4" xfId="3076" xr:uid="{00000000-0005-0000-0000-0000CC0C0000}"/>
    <cellStyle name="Normal 117 5 4 2" xfId="7281" xr:uid="{00000000-0005-0000-0000-0000CD0C0000}"/>
    <cellStyle name="Normal 117 5 5" xfId="7282" xr:uid="{00000000-0005-0000-0000-0000CE0C0000}"/>
    <cellStyle name="Normal 117 6" xfId="3077" xr:uid="{00000000-0005-0000-0000-0000CF0C0000}"/>
    <cellStyle name="Normal 117 6 2" xfId="3078" xr:uid="{00000000-0005-0000-0000-0000D00C0000}"/>
    <cellStyle name="Normal 117 6 2 2" xfId="3079" xr:uid="{00000000-0005-0000-0000-0000D10C0000}"/>
    <cellStyle name="Normal 117 6 2 2 2" xfId="7283" xr:uid="{00000000-0005-0000-0000-0000D20C0000}"/>
    <cellStyle name="Normal 117 6 2 3" xfId="7284" xr:uid="{00000000-0005-0000-0000-0000D30C0000}"/>
    <cellStyle name="Normal 117 6 3" xfId="3080" xr:uid="{00000000-0005-0000-0000-0000D40C0000}"/>
    <cellStyle name="Normal 117 6 3 2" xfId="7285" xr:uid="{00000000-0005-0000-0000-0000D50C0000}"/>
    <cellStyle name="Normal 117 6 4" xfId="7286" xr:uid="{00000000-0005-0000-0000-0000D60C0000}"/>
    <cellStyle name="Normal 117 7" xfId="3081" xr:uid="{00000000-0005-0000-0000-0000D70C0000}"/>
    <cellStyle name="Normal 117 7 2" xfId="3082" xr:uid="{00000000-0005-0000-0000-0000D80C0000}"/>
    <cellStyle name="Normal 117 7 2 2" xfId="7287" xr:uid="{00000000-0005-0000-0000-0000D90C0000}"/>
    <cellStyle name="Normal 117 7 3" xfId="7288" xr:uid="{00000000-0005-0000-0000-0000DA0C0000}"/>
    <cellStyle name="Normal 117 8" xfId="3083" xr:uid="{00000000-0005-0000-0000-0000DB0C0000}"/>
    <cellStyle name="Normal 117 8 2" xfId="7289" xr:uid="{00000000-0005-0000-0000-0000DC0C0000}"/>
    <cellStyle name="Normal 117 9" xfId="7290" xr:uid="{00000000-0005-0000-0000-0000DD0C0000}"/>
    <cellStyle name="Normal 118" xfId="3084" xr:uid="{00000000-0005-0000-0000-0000DE0C0000}"/>
    <cellStyle name="Normal 118 2" xfId="3085" xr:uid="{00000000-0005-0000-0000-0000DF0C0000}"/>
    <cellStyle name="Normal 118 2 2" xfId="3086" xr:uid="{00000000-0005-0000-0000-0000E00C0000}"/>
    <cellStyle name="Normal 118 3" xfId="3087" xr:uid="{00000000-0005-0000-0000-0000E10C0000}"/>
    <cellStyle name="Normal 118 3 2" xfId="3088" xr:uid="{00000000-0005-0000-0000-0000E20C0000}"/>
    <cellStyle name="Normal 118 3 2 2" xfId="3089" xr:uid="{00000000-0005-0000-0000-0000E30C0000}"/>
    <cellStyle name="Normal 118 3 2 2 2" xfId="3090" xr:uid="{00000000-0005-0000-0000-0000E40C0000}"/>
    <cellStyle name="Normal 118 3 2 2 2 2" xfId="7291" xr:uid="{00000000-0005-0000-0000-0000E50C0000}"/>
    <cellStyle name="Normal 118 3 2 2 3" xfId="7292" xr:uid="{00000000-0005-0000-0000-0000E60C0000}"/>
    <cellStyle name="Normal 118 3 2 3" xfId="3091" xr:uid="{00000000-0005-0000-0000-0000E70C0000}"/>
    <cellStyle name="Normal 118 3 2 3 2" xfId="7293" xr:uid="{00000000-0005-0000-0000-0000E80C0000}"/>
    <cellStyle name="Normal 118 3 2 4" xfId="7294" xr:uid="{00000000-0005-0000-0000-0000E90C0000}"/>
    <cellStyle name="Normal 118 3 3" xfId="3092" xr:uid="{00000000-0005-0000-0000-0000EA0C0000}"/>
    <cellStyle name="Normal 118 3 3 2" xfId="3093" xr:uid="{00000000-0005-0000-0000-0000EB0C0000}"/>
    <cellStyle name="Normal 118 3 3 2 2" xfId="7295" xr:uid="{00000000-0005-0000-0000-0000EC0C0000}"/>
    <cellStyle name="Normal 118 3 3 3" xfId="7296" xr:uid="{00000000-0005-0000-0000-0000ED0C0000}"/>
    <cellStyle name="Normal 118 3 4" xfId="3094" xr:uid="{00000000-0005-0000-0000-0000EE0C0000}"/>
    <cellStyle name="Normal 118 3 4 2" xfId="7297" xr:uid="{00000000-0005-0000-0000-0000EF0C0000}"/>
    <cellStyle name="Normal 118 3 5" xfId="3095" xr:uid="{00000000-0005-0000-0000-0000F00C0000}"/>
    <cellStyle name="Normal 118 4" xfId="3096" xr:uid="{00000000-0005-0000-0000-0000F10C0000}"/>
    <cellStyle name="Normal 118 4 2" xfId="3097" xr:uid="{00000000-0005-0000-0000-0000F20C0000}"/>
    <cellStyle name="Normal 118 4 2 2" xfId="3098" xr:uid="{00000000-0005-0000-0000-0000F30C0000}"/>
    <cellStyle name="Normal 118 4 2 2 2" xfId="3099" xr:uid="{00000000-0005-0000-0000-0000F40C0000}"/>
    <cellStyle name="Normal 118 4 2 2 2 2" xfId="7298" xr:uid="{00000000-0005-0000-0000-0000F50C0000}"/>
    <cellStyle name="Normal 118 4 2 2 3" xfId="7299" xr:uid="{00000000-0005-0000-0000-0000F60C0000}"/>
    <cellStyle name="Normal 118 4 2 3" xfId="3100" xr:uid="{00000000-0005-0000-0000-0000F70C0000}"/>
    <cellStyle name="Normal 118 4 2 3 2" xfId="7300" xr:uid="{00000000-0005-0000-0000-0000F80C0000}"/>
    <cellStyle name="Normal 118 4 2 4" xfId="7301" xr:uid="{00000000-0005-0000-0000-0000F90C0000}"/>
    <cellStyle name="Normal 118 4 3" xfId="3101" xr:uid="{00000000-0005-0000-0000-0000FA0C0000}"/>
    <cellStyle name="Normal 118 4 3 2" xfId="3102" xr:uid="{00000000-0005-0000-0000-0000FB0C0000}"/>
    <cellStyle name="Normal 118 4 3 2 2" xfId="7302" xr:uid="{00000000-0005-0000-0000-0000FC0C0000}"/>
    <cellStyle name="Normal 118 4 3 3" xfId="7303" xr:uid="{00000000-0005-0000-0000-0000FD0C0000}"/>
    <cellStyle name="Normal 118 4 4" xfId="3103" xr:uid="{00000000-0005-0000-0000-0000FE0C0000}"/>
    <cellStyle name="Normal 118 4 4 2" xfId="7304" xr:uid="{00000000-0005-0000-0000-0000FF0C0000}"/>
    <cellStyle name="Normal 118 4 5" xfId="7305" xr:uid="{00000000-0005-0000-0000-0000000D0000}"/>
    <cellStyle name="Normal 118 5" xfId="3104" xr:uid="{00000000-0005-0000-0000-0000010D0000}"/>
    <cellStyle name="Normal 118 5 2" xfId="3105" xr:uid="{00000000-0005-0000-0000-0000020D0000}"/>
    <cellStyle name="Normal 118 5 2 2" xfId="3106" xr:uid="{00000000-0005-0000-0000-0000030D0000}"/>
    <cellStyle name="Normal 118 5 2 2 2" xfId="3107" xr:uid="{00000000-0005-0000-0000-0000040D0000}"/>
    <cellStyle name="Normal 118 5 2 2 2 2" xfId="7306" xr:uid="{00000000-0005-0000-0000-0000050D0000}"/>
    <cellStyle name="Normal 118 5 2 2 3" xfId="7307" xr:uid="{00000000-0005-0000-0000-0000060D0000}"/>
    <cellStyle name="Normal 118 5 2 3" xfId="3108" xr:uid="{00000000-0005-0000-0000-0000070D0000}"/>
    <cellStyle name="Normal 118 5 2 3 2" xfId="7308" xr:uid="{00000000-0005-0000-0000-0000080D0000}"/>
    <cellStyle name="Normal 118 5 2 4" xfId="7309" xr:uid="{00000000-0005-0000-0000-0000090D0000}"/>
    <cellStyle name="Normal 118 5 3" xfId="3109" xr:uid="{00000000-0005-0000-0000-00000A0D0000}"/>
    <cellStyle name="Normal 118 5 3 2" xfId="3110" xr:uid="{00000000-0005-0000-0000-00000B0D0000}"/>
    <cellStyle name="Normal 118 5 3 2 2" xfId="7310" xr:uid="{00000000-0005-0000-0000-00000C0D0000}"/>
    <cellStyle name="Normal 118 5 3 3" xfId="7311" xr:uid="{00000000-0005-0000-0000-00000D0D0000}"/>
    <cellStyle name="Normal 118 5 4" xfId="3111" xr:uid="{00000000-0005-0000-0000-00000E0D0000}"/>
    <cellStyle name="Normal 118 5 4 2" xfId="7312" xr:uid="{00000000-0005-0000-0000-00000F0D0000}"/>
    <cellStyle name="Normal 118 5 5" xfId="7313" xr:uid="{00000000-0005-0000-0000-0000100D0000}"/>
    <cellStyle name="Normal 118 6" xfId="3112" xr:uid="{00000000-0005-0000-0000-0000110D0000}"/>
    <cellStyle name="Normal 118 6 2" xfId="3113" xr:uid="{00000000-0005-0000-0000-0000120D0000}"/>
    <cellStyle name="Normal 118 6 2 2" xfId="3114" xr:uid="{00000000-0005-0000-0000-0000130D0000}"/>
    <cellStyle name="Normal 118 6 2 2 2" xfId="7314" xr:uid="{00000000-0005-0000-0000-0000140D0000}"/>
    <cellStyle name="Normal 118 6 2 3" xfId="7315" xr:uid="{00000000-0005-0000-0000-0000150D0000}"/>
    <cellStyle name="Normal 118 6 3" xfId="3115" xr:uid="{00000000-0005-0000-0000-0000160D0000}"/>
    <cellStyle name="Normal 118 6 3 2" xfId="7316" xr:uid="{00000000-0005-0000-0000-0000170D0000}"/>
    <cellStyle name="Normal 118 6 4" xfId="7317" xr:uid="{00000000-0005-0000-0000-0000180D0000}"/>
    <cellStyle name="Normal 118 7" xfId="3116" xr:uid="{00000000-0005-0000-0000-0000190D0000}"/>
    <cellStyle name="Normal 118 7 2" xfId="3117" xr:uid="{00000000-0005-0000-0000-00001A0D0000}"/>
    <cellStyle name="Normal 118 7 2 2" xfId="7318" xr:uid="{00000000-0005-0000-0000-00001B0D0000}"/>
    <cellStyle name="Normal 118 7 3" xfId="7319" xr:uid="{00000000-0005-0000-0000-00001C0D0000}"/>
    <cellStyle name="Normal 118 8" xfId="3118" xr:uid="{00000000-0005-0000-0000-00001D0D0000}"/>
    <cellStyle name="Normal 118 8 2" xfId="7320" xr:uid="{00000000-0005-0000-0000-00001E0D0000}"/>
    <cellStyle name="Normal 118 9" xfId="7321" xr:uid="{00000000-0005-0000-0000-00001F0D0000}"/>
    <cellStyle name="Normal 119" xfId="3119" xr:uid="{00000000-0005-0000-0000-0000200D0000}"/>
    <cellStyle name="Normal 119 2" xfId="3120" xr:uid="{00000000-0005-0000-0000-0000210D0000}"/>
    <cellStyle name="Normal 119 2 2" xfId="3121" xr:uid="{00000000-0005-0000-0000-0000220D0000}"/>
    <cellStyle name="Normal 119 3" xfId="3122" xr:uid="{00000000-0005-0000-0000-0000230D0000}"/>
    <cellStyle name="Normal 119 3 2" xfId="3123" xr:uid="{00000000-0005-0000-0000-0000240D0000}"/>
    <cellStyle name="Normal 119 3 2 2" xfId="3124" xr:uid="{00000000-0005-0000-0000-0000250D0000}"/>
    <cellStyle name="Normal 119 3 2 2 2" xfId="3125" xr:uid="{00000000-0005-0000-0000-0000260D0000}"/>
    <cellStyle name="Normal 119 3 2 2 2 2" xfId="7322" xr:uid="{00000000-0005-0000-0000-0000270D0000}"/>
    <cellStyle name="Normal 119 3 2 2 3" xfId="7323" xr:uid="{00000000-0005-0000-0000-0000280D0000}"/>
    <cellStyle name="Normal 119 3 2 3" xfId="3126" xr:uid="{00000000-0005-0000-0000-0000290D0000}"/>
    <cellStyle name="Normal 119 3 2 3 2" xfId="7324" xr:uid="{00000000-0005-0000-0000-00002A0D0000}"/>
    <cellStyle name="Normal 119 3 2 4" xfId="7325" xr:uid="{00000000-0005-0000-0000-00002B0D0000}"/>
    <cellStyle name="Normal 119 3 3" xfId="3127" xr:uid="{00000000-0005-0000-0000-00002C0D0000}"/>
    <cellStyle name="Normal 119 3 3 2" xfId="3128" xr:uid="{00000000-0005-0000-0000-00002D0D0000}"/>
    <cellStyle name="Normal 119 3 3 2 2" xfId="7326" xr:uid="{00000000-0005-0000-0000-00002E0D0000}"/>
    <cellStyle name="Normal 119 3 3 3" xfId="7327" xr:uid="{00000000-0005-0000-0000-00002F0D0000}"/>
    <cellStyle name="Normal 119 3 4" xfId="3129" xr:uid="{00000000-0005-0000-0000-0000300D0000}"/>
    <cellStyle name="Normal 119 3 4 2" xfId="7328" xr:uid="{00000000-0005-0000-0000-0000310D0000}"/>
    <cellStyle name="Normal 119 3 5" xfId="3130" xr:uid="{00000000-0005-0000-0000-0000320D0000}"/>
    <cellStyle name="Normal 119 4" xfId="3131" xr:uid="{00000000-0005-0000-0000-0000330D0000}"/>
    <cellStyle name="Normal 119 4 2" xfId="3132" xr:uid="{00000000-0005-0000-0000-0000340D0000}"/>
    <cellStyle name="Normal 119 4 2 2" xfId="3133" xr:uid="{00000000-0005-0000-0000-0000350D0000}"/>
    <cellStyle name="Normal 119 4 2 2 2" xfId="3134" xr:uid="{00000000-0005-0000-0000-0000360D0000}"/>
    <cellStyle name="Normal 119 4 2 2 2 2" xfId="7329" xr:uid="{00000000-0005-0000-0000-0000370D0000}"/>
    <cellStyle name="Normal 119 4 2 2 3" xfId="7330" xr:uid="{00000000-0005-0000-0000-0000380D0000}"/>
    <cellStyle name="Normal 119 4 2 3" xfId="3135" xr:uid="{00000000-0005-0000-0000-0000390D0000}"/>
    <cellStyle name="Normal 119 4 2 3 2" xfId="7331" xr:uid="{00000000-0005-0000-0000-00003A0D0000}"/>
    <cellStyle name="Normal 119 4 2 4" xfId="7332" xr:uid="{00000000-0005-0000-0000-00003B0D0000}"/>
    <cellStyle name="Normal 119 4 3" xfId="3136" xr:uid="{00000000-0005-0000-0000-00003C0D0000}"/>
    <cellStyle name="Normal 119 4 3 2" xfId="3137" xr:uid="{00000000-0005-0000-0000-00003D0D0000}"/>
    <cellStyle name="Normal 119 4 3 2 2" xfId="7333" xr:uid="{00000000-0005-0000-0000-00003E0D0000}"/>
    <cellStyle name="Normal 119 4 3 3" xfId="7334" xr:uid="{00000000-0005-0000-0000-00003F0D0000}"/>
    <cellStyle name="Normal 119 4 4" xfId="3138" xr:uid="{00000000-0005-0000-0000-0000400D0000}"/>
    <cellStyle name="Normal 119 4 4 2" xfId="7335" xr:uid="{00000000-0005-0000-0000-0000410D0000}"/>
    <cellStyle name="Normal 119 4 5" xfId="7336" xr:uid="{00000000-0005-0000-0000-0000420D0000}"/>
    <cellStyle name="Normal 119 5" xfId="3139" xr:uid="{00000000-0005-0000-0000-0000430D0000}"/>
    <cellStyle name="Normal 119 5 2" xfId="3140" xr:uid="{00000000-0005-0000-0000-0000440D0000}"/>
    <cellStyle name="Normal 119 5 2 2" xfId="3141" xr:uid="{00000000-0005-0000-0000-0000450D0000}"/>
    <cellStyle name="Normal 119 5 2 2 2" xfId="3142" xr:uid="{00000000-0005-0000-0000-0000460D0000}"/>
    <cellStyle name="Normal 119 5 2 2 2 2" xfId="7337" xr:uid="{00000000-0005-0000-0000-0000470D0000}"/>
    <cellStyle name="Normal 119 5 2 2 3" xfId="7338" xr:uid="{00000000-0005-0000-0000-0000480D0000}"/>
    <cellStyle name="Normal 119 5 2 3" xfId="3143" xr:uid="{00000000-0005-0000-0000-0000490D0000}"/>
    <cellStyle name="Normal 119 5 2 3 2" xfId="7339" xr:uid="{00000000-0005-0000-0000-00004A0D0000}"/>
    <cellStyle name="Normal 119 5 2 4" xfId="7340" xr:uid="{00000000-0005-0000-0000-00004B0D0000}"/>
    <cellStyle name="Normal 119 5 3" xfId="3144" xr:uid="{00000000-0005-0000-0000-00004C0D0000}"/>
    <cellStyle name="Normal 119 5 3 2" xfId="3145" xr:uid="{00000000-0005-0000-0000-00004D0D0000}"/>
    <cellStyle name="Normal 119 5 3 2 2" xfId="7341" xr:uid="{00000000-0005-0000-0000-00004E0D0000}"/>
    <cellStyle name="Normal 119 5 3 3" xfId="7342" xr:uid="{00000000-0005-0000-0000-00004F0D0000}"/>
    <cellStyle name="Normal 119 5 4" xfId="3146" xr:uid="{00000000-0005-0000-0000-0000500D0000}"/>
    <cellStyle name="Normal 119 5 4 2" xfId="7343" xr:uid="{00000000-0005-0000-0000-0000510D0000}"/>
    <cellStyle name="Normal 119 5 5" xfId="7344" xr:uid="{00000000-0005-0000-0000-0000520D0000}"/>
    <cellStyle name="Normal 119 6" xfId="3147" xr:uid="{00000000-0005-0000-0000-0000530D0000}"/>
    <cellStyle name="Normal 119 6 2" xfId="3148" xr:uid="{00000000-0005-0000-0000-0000540D0000}"/>
    <cellStyle name="Normal 119 6 2 2" xfId="3149" xr:uid="{00000000-0005-0000-0000-0000550D0000}"/>
    <cellStyle name="Normal 119 6 2 2 2" xfId="7345" xr:uid="{00000000-0005-0000-0000-0000560D0000}"/>
    <cellStyle name="Normal 119 6 2 3" xfId="7346" xr:uid="{00000000-0005-0000-0000-0000570D0000}"/>
    <cellStyle name="Normal 119 6 3" xfId="3150" xr:uid="{00000000-0005-0000-0000-0000580D0000}"/>
    <cellStyle name="Normal 119 6 3 2" xfId="7347" xr:uid="{00000000-0005-0000-0000-0000590D0000}"/>
    <cellStyle name="Normal 119 6 4" xfId="7348" xr:uid="{00000000-0005-0000-0000-00005A0D0000}"/>
    <cellStyle name="Normal 119 7" xfId="3151" xr:uid="{00000000-0005-0000-0000-00005B0D0000}"/>
    <cellStyle name="Normal 119 7 2" xfId="3152" xr:uid="{00000000-0005-0000-0000-00005C0D0000}"/>
    <cellStyle name="Normal 119 7 2 2" xfId="7349" xr:uid="{00000000-0005-0000-0000-00005D0D0000}"/>
    <cellStyle name="Normal 119 7 3" xfId="7350" xr:uid="{00000000-0005-0000-0000-00005E0D0000}"/>
    <cellStyle name="Normal 119 8" xfId="3153" xr:uid="{00000000-0005-0000-0000-00005F0D0000}"/>
    <cellStyle name="Normal 119 8 2" xfId="7351" xr:uid="{00000000-0005-0000-0000-0000600D0000}"/>
    <cellStyle name="Normal 119 9" xfId="7352" xr:uid="{00000000-0005-0000-0000-0000610D0000}"/>
    <cellStyle name="Normal 12" xfId="413" xr:uid="{00000000-0005-0000-0000-0000620D0000}"/>
    <cellStyle name="Normal 12 10" xfId="3154" xr:uid="{00000000-0005-0000-0000-0000630D0000}"/>
    <cellStyle name="Normal 12 2" xfId="1602" xr:uid="{00000000-0005-0000-0000-0000640D0000}"/>
    <cellStyle name="Normal 12 2 2" xfId="3156" xr:uid="{00000000-0005-0000-0000-0000650D0000}"/>
    <cellStyle name="Normal 12 2 3" xfId="3155" xr:uid="{00000000-0005-0000-0000-0000660D0000}"/>
    <cellStyle name="Normal 12 3" xfId="3157" xr:uid="{00000000-0005-0000-0000-0000670D0000}"/>
    <cellStyle name="Normal 12 3 2" xfId="3158" xr:uid="{00000000-0005-0000-0000-0000680D0000}"/>
    <cellStyle name="Normal 12 3 2 2" xfId="3159" xr:uid="{00000000-0005-0000-0000-0000690D0000}"/>
    <cellStyle name="Normal 12 3 2 2 2" xfId="3160" xr:uid="{00000000-0005-0000-0000-00006A0D0000}"/>
    <cellStyle name="Normal 12 3 2 2 2 2" xfId="3161" xr:uid="{00000000-0005-0000-0000-00006B0D0000}"/>
    <cellStyle name="Normal 12 3 2 2 3" xfId="7353" xr:uid="{00000000-0005-0000-0000-00006C0D0000}"/>
    <cellStyle name="Normal 12 3 2 3" xfId="3162" xr:uid="{00000000-0005-0000-0000-00006D0D0000}"/>
    <cellStyle name="Normal 12 3 2 3 2" xfId="7354" xr:uid="{00000000-0005-0000-0000-00006E0D0000}"/>
    <cellStyle name="Normal 12 3 2 4" xfId="7355" xr:uid="{00000000-0005-0000-0000-00006F0D0000}"/>
    <cellStyle name="Normal 12 3 3" xfId="3163" xr:uid="{00000000-0005-0000-0000-0000700D0000}"/>
    <cellStyle name="Normal 12 3 3 2" xfId="3164" xr:uid="{00000000-0005-0000-0000-0000710D0000}"/>
    <cellStyle name="Normal 12 3 3 2 2" xfId="7356" xr:uid="{00000000-0005-0000-0000-0000720D0000}"/>
    <cellStyle name="Normal 12 3 3 3" xfId="7357" xr:uid="{00000000-0005-0000-0000-0000730D0000}"/>
    <cellStyle name="Normal 12 3 4" xfId="3165" xr:uid="{00000000-0005-0000-0000-0000740D0000}"/>
    <cellStyle name="Normal 12 3 4 2" xfId="7358" xr:uid="{00000000-0005-0000-0000-0000750D0000}"/>
    <cellStyle name="Normal 12 3 5" xfId="7359" xr:uid="{00000000-0005-0000-0000-0000760D0000}"/>
    <cellStyle name="Normal 12 4" xfId="3166" xr:uid="{00000000-0005-0000-0000-0000770D0000}"/>
    <cellStyle name="Normal 12 4 2" xfId="3167" xr:uid="{00000000-0005-0000-0000-0000780D0000}"/>
    <cellStyle name="Normal 12 4 2 2" xfId="3168" xr:uid="{00000000-0005-0000-0000-0000790D0000}"/>
    <cellStyle name="Normal 12 4 2 2 2" xfId="3169" xr:uid="{00000000-0005-0000-0000-00007A0D0000}"/>
    <cellStyle name="Normal 12 4 2 2 2 2" xfId="7360" xr:uid="{00000000-0005-0000-0000-00007B0D0000}"/>
    <cellStyle name="Normal 12 4 2 2 3" xfId="7361" xr:uid="{00000000-0005-0000-0000-00007C0D0000}"/>
    <cellStyle name="Normal 12 4 2 3" xfId="3170" xr:uid="{00000000-0005-0000-0000-00007D0D0000}"/>
    <cellStyle name="Normal 12 4 2 3 2" xfId="7362" xr:uid="{00000000-0005-0000-0000-00007E0D0000}"/>
    <cellStyle name="Normal 12 4 2 4" xfId="7363" xr:uid="{00000000-0005-0000-0000-00007F0D0000}"/>
    <cellStyle name="Normal 12 4 3" xfId="3171" xr:uid="{00000000-0005-0000-0000-0000800D0000}"/>
    <cellStyle name="Normal 12 4 3 2" xfId="3172" xr:uid="{00000000-0005-0000-0000-0000810D0000}"/>
    <cellStyle name="Normal 12 4 3 2 2" xfId="7364" xr:uid="{00000000-0005-0000-0000-0000820D0000}"/>
    <cellStyle name="Normal 12 4 3 3" xfId="7365" xr:uid="{00000000-0005-0000-0000-0000830D0000}"/>
    <cellStyle name="Normal 12 4 4" xfId="3173" xr:uid="{00000000-0005-0000-0000-0000840D0000}"/>
    <cellStyle name="Normal 12 4 4 2" xfId="7366" xr:uid="{00000000-0005-0000-0000-0000850D0000}"/>
    <cellStyle name="Normal 12 4 5" xfId="7367" xr:uid="{00000000-0005-0000-0000-0000860D0000}"/>
    <cellStyle name="Normal 12 5" xfId="3174" xr:uid="{00000000-0005-0000-0000-0000870D0000}"/>
    <cellStyle name="Normal 12 5 2" xfId="3175" xr:uid="{00000000-0005-0000-0000-0000880D0000}"/>
    <cellStyle name="Normal 12 5 2 2" xfId="3176" xr:uid="{00000000-0005-0000-0000-0000890D0000}"/>
    <cellStyle name="Normal 12 5 2 2 2" xfId="3177" xr:uid="{00000000-0005-0000-0000-00008A0D0000}"/>
    <cellStyle name="Normal 12 5 2 2 2 2" xfId="7368" xr:uid="{00000000-0005-0000-0000-00008B0D0000}"/>
    <cellStyle name="Normal 12 5 2 2 3" xfId="7369" xr:uid="{00000000-0005-0000-0000-00008C0D0000}"/>
    <cellStyle name="Normal 12 5 2 3" xfId="3178" xr:uid="{00000000-0005-0000-0000-00008D0D0000}"/>
    <cellStyle name="Normal 12 5 2 3 2" xfId="7370" xr:uid="{00000000-0005-0000-0000-00008E0D0000}"/>
    <cellStyle name="Normal 12 5 2 4" xfId="7371" xr:uid="{00000000-0005-0000-0000-00008F0D0000}"/>
    <cellStyle name="Normal 12 5 3" xfId="3179" xr:uid="{00000000-0005-0000-0000-0000900D0000}"/>
    <cellStyle name="Normal 12 5 3 2" xfId="3180" xr:uid="{00000000-0005-0000-0000-0000910D0000}"/>
    <cellStyle name="Normal 12 5 3 2 2" xfId="7372" xr:uid="{00000000-0005-0000-0000-0000920D0000}"/>
    <cellStyle name="Normal 12 5 3 3" xfId="7373" xr:uid="{00000000-0005-0000-0000-0000930D0000}"/>
    <cellStyle name="Normal 12 5 4" xfId="3181" xr:uid="{00000000-0005-0000-0000-0000940D0000}"/>
    <cellStyle name="Normal 12 5 4 2" xfId="7374" xr:uid="{00000000-0005-0000-0000-0000950D0000}"/>
    <cellStyle name="Normal 12 5 5" xfId="7375" xr:uid="{00000000-0005-0000-0000-0000960D0000}"/>
    <cellStyle name="Normal 12 6" xfId="3182" xr:uid="{00000000-0005-0000-0000-0000970D0000}"/>
    <cellStyle name="Normal 12 6 2" xfId="3183" xr:uid="{00000000-0005-0000-0000-0000980D0000}"/>
    <cellStyle name="Normal 12 6 2 2" xfId="3184" xr:uid="{00000000-0005-0000-0000-0000990D0000}"/>
    <cellStyle name="Normal 12 6 2 2 2" xfId="7376" xr:uid="{00000000-0005-0000-0000-00009A0D0000}"/>
    <cellStyle name="Normal 12 6 2 3" xfId="7377" xr:uid="{00000000-0005-0000-0000-00009B0D0000}"/>
    <cellStyle name="Normal 12 6 3" xfId="3185" xr:uid="{00000000-0005-0000-0000-00009C0D0000}"/>
    <cellStyle name="Normal 12 6 3 2" xfId="7378" xr:uid="{00000000-0005-0000-0000-00009D0D0000}"/>
    <cellStyle name="Normal 12 6 4" xfId="7379" xr:uid="{00000000-0005-0000-0000-00009E0D0000}"/>
    <cellStyle name="Normal 12 7" xfId="3186" xr:uid="{00000000-0005-0000-0000-00009F0D0000}"/>
    <cellStyle name="Normal 12 7 2" xfId="3187" xr:uid="{00000000-0005-0000-0000-0000A00D0000}"/>
    <cellStyle name="Normal 12 7 2 2" xfId="7380" xr:uid="{00000000-0005-0000-0000-0000A10D0000}"/>
    <cellStyle name="Normal 12 7 3" xfId="7381" xr:uid="{00000000-0005-0000-0000-0000A20D0000}"/>
    <cellStyle name="Normal 12 8" xfId="3188" xr:uid="{00000000-0005-0000-0000-0000A30D0000}"/>
    <cellStyle name="Normal 12 8 2" xfId="7382" xr:uid="{00000000-0005-0000-0000-0000A40D0000}"/>
    <cellStyle name="Normal 12 9" xfId="7383" xr:uid="{00000000-0005-0000-0000-0000A50D0000}"/>
    <cellStyle name="Normal 120" xfId="3189" xr:uid="{00000000-0005-0000-0000-0000A60D0000}"/>
    <cellStyle name="Normal 120 2" xfId="3190" xr:uid="{00000000-0005-0000-0000-0000A70D0000}"/>
    <cellStyle name="Normal 120 2 2" xfId="3191" xr:uid="{00000000-0005-0000-0000-0000A80D0000}"/>
    <cellStyle name="Normal 120 3" xfId="3192" xr:uid="{00000000-0005-0000-0000-0000A90D0000}"/>
    <cellStyle name="Normal 120 3 2" xfId="3193" xr:uid="{00000000-0005-0000-0000-0000AA0D0000}"/>
    <cellStyle name="Normal 120 3 2 2" xfId="3194" xr:uid="{00000000-0005-0000-0000-0000AB0D0000}"/>
    <cellStyle name="Normal 120 3 2 2 2" xfId="3195" xr:uid="{00000000-0005-0000-0000-0000AC0D0000}"/>
    <cellStyle name="Normal 120 3 2 2 2 2" xfId="7384" xr:uid="{00000000-0005-0000-0000-0000AD0D0000}"/>
    <cellStyle name="Normal 120 3 2 2 3" xfId="7385" xr:uid="{00000000-0005-0000-0000-0000AE0D0000}"/>
    <cellStyle name="Normal 120 3 2 3" xfId="3196" xr:uid="{00000000-0005-0000-0000-0000AF0D0000}"/>
    <cellStyle name="Normal 120 3 2 3 2" xfId="7386" xr:uid="{00000000-0005-0000-0000-0000B00D0000}"/>
    <cellStyle name="Normal 120 3 2 4" xfId="7387" xr:uid="{00000000-0005-0000-0000-0000B10D0000}"/>
    <cellStyle name="Normal 120 3 3" xfId="3197" xr:uid="{00000000-0005-0000-0000-0000B20D0000}"/>
    <cellStyle name="Normal 120 3 3 2" xfId="3198" xr:uid="{00000000-0005-0000-0000-0000B30D0000}"/>
    <cellStyle name="Normal 120 3 3 2 2" xfId="7388" xr:uid="{00000000-0005-0000-0000-0000B40D0000}"/>
    <cellStyle name="Normal 120 3 3 3" xfId="7389" xr:uid="{00000000-0005-0000-0000-0000B50D0000}"/>
    <cellStyle name="Normal 120 3 4" xfId="3199" xr:uid="{00000000-0005-0000-0000-0000B60D0000}"/>
    <cellStyle name="Normal 120 3 4 2" xfId="7390" xr:uid="{00000000-0005-0000-0000-0000B70D0000}"/>
    <cellStyle name="Normal 120 3 5" xfId="3200" xr:uid="{00000000-0005-0000-0000-0000B80D0000}"/>
    <cellStyle name="Normal 120 4" xfId="3201" xr:uid="{00000000-0005-0000-0000-0000B90D0000}"/>
    <cellStyle name="Normal 120 4 2" xfId="3202" xr:uid="{00000000-0005-0000-0000-0000BA0D0000}"/>
    <cellStyle name="Normal 120 4 2 2" xfId="3203" xr:uid="{00000000-0005-0000-0000-0000BB0D0000}"/>
    <cellStyle name="Normal 120 4 2 2 2" xfId="3204" xr:uid="{00000000-0005-0000-0000-0000BC0D0000}"/>
    <cellStyle name="Normal 120 4 2 2 2 2" xfId="7391" xr:uid="{00000000-0005-0000-0000-0000BD0D0000}"/>
    <cellStyle name="Normal 120 4 2 2 3" xfId="7392" xr:uid="{00000000-0005-0000-0000-0000BE0D0000}"/>
    <cellStyle name="Normal 120 4 2 3" xfId="3205" xr:uid="{00000000-0005-0000-0000-0000BF0D0000}"/>
    <cellStyle name="Normal 120 4 2 3 2" xfId="7393" xr:uid="{00000000-0005-0000-0000-0000C00D0000}"/>
    <cellStyle name="Normal 120 4 2 4" xfId="7394" xr:uid="{00000000-0005-0000-0000-0000C10D0000}"/>
    <cellStyle name="Normal 120 4 3" xfId="3206" xr:uid="{00000000-0005-0000-0000-0000C20D0000}"/>
    <cellStyle name="Normal 120 4 3 2" xfId="3207" xr:uid="{00000000-0005-0000-0000-0000C30D0000}"/>
    <cellStyle name="Normal 120 4 3 2 2" xfId="7395" xr:uid="{00000000-0005-0000-0000-0000C40D0000}"/>
    <cellStyle name="Normal 120 4 3 3" xfId="7396" xr:uid="{00000000-0005-0000-0000-0000C50D0000}"/>
    <cellStyle name="Normal 120 4 4" xfId="3208" xr:uid="{00000000-0005-0000-0000-0000C60D0000}"/>
    <cellStyle name="Normal 120 4 4 2" xfId="7397" xr:uid="{00000000-0005-0000-0000-0000C70D0000}"/>
    <cellStyle name="Normal 120 4 5" xfId="7398" xr:uid="{00000000-0005-0000-0000-0000C80D0000}"/>
    <cellStyle name="Normal 120 5" xfId="3209" xr:uid="{00000000-0005-0000-0000-0000C90D0000}"/>
    <cellStyle name="Normal 120 5 2" xfId="3210" xr:uid="{00000000-0005-0000-0000-0000CA0D0000}"/>
    <cellStyle name="Normal 120 5 2 2" xfId="3211" xr:uid="{00000000-0005-0000-0000-0000CB0D0000}"/>
    <cellStyle name="Normal 120 5 2 2 2" xfId="3212" xr:uid="{00000000-0005-0000-0000-0000CC0D0000}"/>
    <cellStyle name="Normal 120 5 2 2 2 2" xfId="7399" xr:uid="{00000000-0005-0000-0000-0000CD0D0000}"/>
    <cellStyle name="Normal 120 5 2 2 3" xfId="7400" xr:uid="{00000000-0005-0000-0000-0000CE0D0000}"/>
    <cellStyle name="Normal 120 5 2 3" xfId="3213" xr:uid="{00000000-0005-0000-0000-0000CF0D0000}"/>
    <cellStyle name="Normal 120 5 2 3 2" xfId="7401" xr:uid="{00000000-0005-0000-0000-0000D00D0000}"/>
    <cellStyle name="Normal 120 5 2 4" xfId="7402" xr:uid="{00000000-0005-0000-0000-0000D10D0000}"/>
    <cellStyle name="Normal 120 5 3" xfId="3214" xr:uid="{00000000-0005-0000-0000-0000D20D0000}"/>
    <cellStyle name="Normal 120 5 3 2" xfId="3215" xr:uid="{00000000-0005-0000-0000-0000D30D0000}"/>
    <cellStyle name="Normal 120 5 3 2 2" xfId="7403" xr:uid="{00000000-0005-0000-0000-0000D40D0000}"/>
    <cellStyle name="Normal 120 5 3 3" xfId="7404" xr:uid="{00000000-0005-0000-0000-0000D50D0000}"/>
    <cellStyle name="Normal 120 5 4" xfId="3216" xr:uid="{00000000-0005-0000-0000-0000D60D0000}"/>
    <cellStyle name="Normal 120 5 4 2" xfId="7405" xr:uid="{00000000-0005-0000-0000-0000D70D0000}"/>
    <cellStyle name="Normal 120 5 5" xfId="7406" xr:uid="{00000000-0005-0000-0000-0000D80D0000}"/>
    <cellStyle name="Normal 120 6" xfId="3217" xr:uid="{00000000-0005-0000-0000-0000D90D0000}"/>
    <cellStyle name="Normal 120 6 2" xfId="3218" xr:uid="{00000000-0005-0000-0000-0000DA0D0000}"/>
    <cellStyle name="Normal 120 6 2 2" xfId="3219" xr:uid="{00000000-0005-0000-0000-0000DB0D0000}"/>
    <cellStyle name="Normal 120 6 2 2 2" xfId="7407" xr:uid="{00000000-0005-0000-0000-0000DC0D0000}"/>
    <cellStyle name="Normal 120 6 2 3" xfId="7408" xr:uid="{00000000-0005-0000-0000-0000DD0D0000}"/>
    <cellStyle name="Normal 120 6 3" xfId="3220" xr:uid="{00000000-0005-0000-0000-0000DE0D0000}"/>
    <cellStyle name="Normal 120 6 3 2" xfId="7409" xr:uid="{00000000-0005-0000-0000-0000DF0D0000}"/>
    <cellStyle name="Normal 120 6 4" xfId="7410" xr:uid="{00000000-0005-0000-0000-0000E00D0000}"/>
    <cellStyle name="Normal 120 7" xfId="3221" xr:uid="{00000000-0005-0000-0000-0000E10D0000}"/>
    <cellStyle name="Normal 120 7 2" xfId="3222" xr:uid="{00000000-0005-0000-0000-0000E20D0000}"/>
    <cellStyle name="Normal 120 7 2 2" xfId="7411" xr:uid="{00000000-0005-0000-0000-0000E30D0000}"/>
    <cellStyle name="Normal 120 7 3" xfId="7412" xr:uid="{00000000-0005-0000-0000-0000E40D0000}"/>
    <cellStyle name="Normal 120 8" xfId="3223" xr:uid="{00000000-0005-0000-0000-0000E50D0000}"/>
    <cellStyle name="Normal 120 8 2" xfId="7413" xr:uid="{00000000-0005-0000-0000-0000E60D0000}"/>
    <cellStyle name="Normal 120 9" xfId="7414" xr:uid="{00000000-0005-0000-0000-0000E70D0000}"/>
    <cellStyle name="Normal 121" xfId="3224" xr:uid="{00000000-0005-0000-0000-0000E80D0000}"/>
    <cellStyle name="Normal 121 2" xfId="3225" xr:uid="{00000000-0005-0000-0000-0000E90D0000}"/>
    <cellStyle name="Normal 121 2 2" xfId="3226" xr:uid="{00000000-0005-0000-0000-0000EA0D0000}"/>
    <cellStyle name="Normal 121 2 2 2" xfId="3227" xr:uid="{00000000-0005-0000-0000-0000EB0D0000}"/>
    <cellStyle name="Normal 121 2 2 2 2" xfId="7415" xr:uid="{00000000-0005-0000-0000-0000EC0D0000}"/>
    <cellStyle name="Normal 121 2 2 3" xfId="7416" xr:uid="{00000000-0005-0000-0000-0000ED0D0000}"/>
    <cellStyle name="Normal 121 2 3" xfId="3228" xr:uid="{00000000-0005-0000-0000-0000EE0D0000}"/>
    <cellStyle name="Normal 121 2 3 2" xfId="7417" xr:uid="{00000000-0005-0000-0000-0000EF0D0000}"/>
    <cellStyle name="Normal 121 2 4" xfId="7418" xr:uid="{00000000-0005-0000-0000-0000F00D0000}"/>
    <cellStyle name="Normal 121 3" xfId="3229" xr:uid="{00000000-0005-0000-0000-0000F10D0000}"/>
    <cellStyle name="Normal 121 3 2" xfId="3230" xr:uid="{00000000-0005-0000-0000-0000F20D0000}"/>
    <cellStyle name="Normal 121 3 2 2" xfId="7419" xr:uid="{00000000-0005-0000-0000-0000F30D0000}"/>
    <cellStyle name="Normal 121 3 3" xfId="7420" xr:uid="{00000000-0005-0000-0000-0000F40D0000}"/>
    <cellStyle name="Normal 121 4" xfId="3231" xr:uid="{00000000-0005-0000-0000-0000F50D0000}"/>
    <cellStyle name="Normal 121 4 2" xfId="7421" xr:uid="{00000000-0005-0000-0000-0000F60D0000}"/>
    <cellStyle name="Normal 121 5" xfId="7422" xr:uid="{00000000-0005-0000-0000-0000F70D0000}"/>
    <cellStyle name="Normal 122" xfId="3232" xr:uid="{00000000-0005-0000-0000-0000F80D0000}"/>
    <cellStyle name="Normal 122 2" xfId="3233" xr:uid="{00000000-0005-0000-0000-0000F90D0000}"/>
    <cellStyle name="Normal 122 2 2" xfId="3234" xr:uid="{00000000-0005-0000-0000-0000FA0D0000}"/>
    <cellStyle name="Normal 122 2 2 2" xfId="3235" xr:uid="{00000000-0005-0000-0000-0000FB0D0000}"/>
    <cellStyle name="Normal 122 2 2 2 2" xfId="7423" xr:uid="{00000000-0005-0000-0000-0000FC0D0000}"/>
    <cellStyle name="Normal 122 2 2 3" xfId="7424" xr:uid="{00000000-0005-0000-0000-0000FD0D0000}"/>
    <cellStyle name="Normal 122 2 3" xfId="3236" xr:uid="{00000000-0005-0000-0000-0000FE0D0000}"/>
    <cellStyle name="Normal 122 2 3 2" xfId="7425" xr:uid="{00000000-0005-0000-0000-0000FF0D0000}"/>
    <cellStyle name="Normal 122 2 4" xfId="7426" xr:uid="{00000000-0005-0000-0000-0000000E0000}"/>
    <cellStyle name="Normal 122 3" xfId="3237" xr:uid="{00000000-0005-0000-0000-0000010E0000}"/>
    <cellStyle name="Normal 122 3 2" xfId="3238" xr:uid="{00000000-0005-0000-0000-0000020E0000}"/>
    <cellStyle name="Normal 122 3 2 2" xfId="7427" xr:uid="{00000000-0005-0000-0000-0000030E0000}"/>
    <cellStyle name="Normal 122 3 3" xfId="7428" xr:uid="{00000000-0005-0000-0000-0000040E0000}"/>
    <cellStyle name="Normal 122 4" xfId="3239" xr:uid="{00000000-0005-0000-0000-0000050E0000}"/>
    <cellStyle name="Normal 122 4 2" xfId="7429" xr:uid="{00000000-0005-0000-0000-0000060E0000}"/>
    <cellStyle name="Normal 122 5" xfId="3240" xr:uid="{00000000-0005-0000-0000-0000070E0000}"/>
    <cellStyle name="Normal 123" xfId="3241" xr:uid="{00000000-0005-0000-0000-0000080E0000}"/>
    <cellStyle name="Normal 123 2" xfId="3242" xr:uid="{00000000-0005-0000-0000-0000090E0000}"/>
    <cellStyle name="Normal 123 2 2" xfId="7430" xr:uid="{00000000-0005-0000-0000-00000A0E0000}"/>
    <cellStyle name="Normal 123 3" xfId="3243" xr:uid="{00000000-0005-0000-0000-00000B0E0000}"/>
    <cellStyle name="Normal 124" xfId="3244" xr:uid="{00000000-0005-0000-0000-00000C0E0000}"/>
    <cellStyle name="Normal 124 2" xfId="3245" xr:uid="{00000000-0005-0000-0000-00000D0E0000}"/>
    <cellStyle name="Normal 125" xfId="3246" xr:uid="{00000000-0005-0000-0000-00000E0E0000}"/>
    <cellStyle name="Normal 125 2" xfId="7431" xr:uid="{00000000-0005-0000-0000-00000F0E0000}"/>
    <cellStyle name="Normal 126" xfId="3247" xr:uid="{00000000-0005-0000-0000-0000100E0000}"/>
    <cellStyle name="Normal 126 2" xfId="7432" xr:uid="{00000000-0005-0000-0000-0000110E0000}"/>
    <cellStyle name="Normal 127" xfId="3248" xr:uid="{00000000-0005-0000-0000-0000120E0000}"/>
    <cellStyle name="Normal 128" xfId="3249" xr:uid="{00000000-0005-0000-0000-0000130E0000}"/>
    <cellStyle name="Normal 129" xfId="3250" xr:uid="{00000000-0005-0000-0000-0000140E0000}"/>
    <cellStyle name="Normal 129 2" xfId="3251" xr:uid="{00000000-0005-0000-0000-0000150E0000}"/>
    <cellStyle name="Normal 129 3" xfId="7433" xr:uid="{00000000-0005-0000-0000-0000160E0000}"/>
    <cellStyle name="Normal 13" xfId="1562" xr:uid="{00000000-0005-0000-0000-0000170E0000}"/>
    <cellStyle name="Normal 13 10" xfId="3252" xr:uid="{00000000-0005-0000-0000-0000180E0000}"/>
    <cellStyle name="Normal 13 2" xfId="1609" xr:uid="{00000000-0005-0000-0000-0000190E0000}"/>
    <cellStyle name="Normal 13 2 2" xfId="3254" xr:uid="{00000000-0005-0000-0000-00001A0E0000}"/>
    <cellStyle name="Normal 13 2 3" xfId="3253" xr:uid="{00000000-0005-0000-0000-00001B0E0000}"/>
    <cellStyle name="Normal 13 3" xfId="3255" xr:uid="{00000000-0005-0000-0000-00001C0E0000}"/>
    <cellStyle name="Normal 13 3 2" xfId="3256" xr:uid="{00000000-0005-0000-0000-00001D0E0000}"/>
    <cellStyle name="Normal 13 3 2 2" xfId="3257" xr:uid="{00000000-0005-0000-0000-00001E0E0000}"/>
    <cellStyle name="Normal 13 3 2 2 2" xfId="3258" xr:uid="{00000000-0005-0000-0000-00001F0E0000}"/>
    <cellStyle name="Normal 13 3 2 2 2 2" xfId="3259" xr:uid="{00000000-0005-0000-0000-0000200E0000}"/>
    <cellStyle name="Normal 13 3 2 2 3" xfId="7434" xr:uid="{00000000-0005-0000-0000-0000210E0000}"/>
    <cellStyle name="Normal 13 3 2 3" xfId="3260" xr:uid="{00000000-0005-0000-0000-0000220E0000}"/>
    <cellStyle name="Normal 13 3 2 3 2" xfId="7435" xr:uid="{00000000-0005-0000-0000-0000230E0000}"/>
    <cellStyle name="Normal 13 3 2 4" xfId="7436" xr:uid="{00000000-0005-0000-0000-0000240E0000}"/>
    <cellStyle name="Normal 13 3 3" xfId="3261" xr:uid="{00000000-0005-0000-0000-0000250E0000}"/>
    <cellStyle name="Normal 13 3 3 2" xfId="3262" xr:uid="{00000000-0005-0000-0000-0000260E0000}"/>
    <cellStyle name="Normal 13 3 3 2 2" xfId="7437" xr:uid="{00000000-0005-0000-0000-0000270E0000}"/>
    <cellStyle name="Normal 13 3 3 3" xfId="7438" xr:uid="{00000000-0005-0000-0000-0000280E0000}"/>
    <cellStyle name="Normal 13 3 4" xfId="3263" xr:uid="{00000000-0005-0000-0000-0000290E0000}"/>
    <cellStyle name="Normal 13 3 4 2" xfId="7439" xr:uid="{00000000-0005-0000-0000-00002A0E0000}"/>
    <cellStyle name="Normal 13 3 5" xfId="7440" xr:uid="{00000000-0005-0000-0000-00002B0E0000}"/>
    <cellStyle name="Normal 13 4" xfId="3264" xr:uid="{00000000-0005-0000-0000-00002C0E0000}"/>
    <cellStyle name="Normal 13 4 2" xfId="3265" xr:uid="{00000000-0005-0000-0000-00002D0E0000}"/>
    <cellStyle name="Normal 13 4 2 2" xfId="3266" xr:uid="{00000000-0005-0000-0000-00002E0E0000}"/>
    <cellStyle name="Normal 13 4 2 2 2" xfId="3267" xr:uid="{00000000-0005-0000-0000-00002F0E0000}"/>
    <cellStyle name="Normal 13 4 2 2 2 2" xfId="7441" xr:uid="{00000000-0005-0000-0000-0000300E0000}"/>
    <cellStyle name="Normal 13 4 2 2 3" xfId="7442" xr:uid="{00000000-0005-0000-0000-0000310E0000}"/>
    <cellStyle name="Normal 13 4 2 3" xfId="3268" xr:uid="{00000000-0005-0000-0000-0000320E0000}"/>
    <cellStyle name="Normal 13 4 2 3 2" xfId="7443" xr:uid="{00000000-0005-0000-0000-0000330E0000}"/>
    <cellStyle name="Normal 13 4 2 4" xfId="7444" xr:uid="{00000000-0005-0000-0000-0000340E0000}"/>
    <cellStyle name="Normal 13 4 3" xfId="3269" xr:uid="{00000000-0005-0000-0000-0000350E0000}"/>
    <cellStyle name="Normal 13 4 3 2" xfId="3270" xr:uid="{00000000-0005-0000-0000-0000360E0000}"/>
    <cellStyle name="Normal 13 4 3 2 2" xfId="7445" xr:uid="{00000000-0005-0000-0000-0000370E0000}"/>
    <cellStyle name="Normal 13 4 3 3" xfId="7446" xr:uid="{00000000-0005-0000-0000-0000380E0000}"/>
    <cellStyle name="Normal 13 4 4" xfId="3271" xr:uid="{00000000-0005-0000-0000-0000390E0000}"/>
    <cellStyle name="Normal 13 4 4 2" xfId="7447" xr:uid="{00000000-0005-0000-0000-00003A0E0000}"/>
    <cellStyle name="Normal 13 4 5" xfId="7448" xr:uid="{00000000-0005-0000-0000-00003B0E0000}"/>
    <cellStyle name="Normal 13 5" xfId="3272" xr:uid="{00000000-0005-0000-0000-00003C0E0000}"/>
    <cellStyle name="Normal 13 5 2" xfId="3273" xr:uid="{00000000-0005-0000-0000-00003D0E0000}"/>
    <cellStyle name="Normal 13 5 2 2" xfId="3274" xr:uid="{00000000-0005-0000-0000-00003E0E0000}"/>
    <cellStyle name="Normal 13 5 2 2 2" xfId="3275" xr:uid="{00000000-0005-0000-0000-00003F0E0000}"/>
    <cellStyle name="Normal 13 5 2 2 2 2" xfId="7449" xr:uid="{00000000-0005-0000-0000-0000400E0000}"/>
    <cellStyle name="Normal 13 5 2 2 3" xfId="7450" xr:uid="{00000000-0005-0000-0000-0000410E0000}"/>
    <cellStyle name="Normal 13 5 2 3" xfId="3276" xr:uid="{00000000-0005-0000-0000-0000420E0000}"/>
    <cellStyle name="Normal 13 5 2 3 2" xfId="7451" xr:uid="{00000000-0005-0000-0000-0000430E0000}"/>
    <cellStyle name="Normal 13 5 2 4" xfId="7452" xr:uid="{00000000-0005-0000-0000-0000440E0000}"/>
    <cellStyle name="Normal 13 5 3" xfId="3277" xr:uid="{00000000-0005-0000-0000-0000450E0000}"/>
    <cellStyle name="Normal 13 5 3 2" xfId="3278" xr:uid="{00000000-0005-0000-0000-0000460E0000}"/>
    <cellStyle name="Normal 13 5 3 2 2" xfId="7453" xr:uid="{00000000-0005-0000-0000-0000470E0000}"/>
    <cellStyle name="Normal 13 5 3 3" xfId="7454" xr:uid="{00000000-0005-0000-0000-0000480E0000}"/>
    <cellStyle name="Normal 13 5 4" xfId="3279" xr:uid="{00000000-0005-0000-0000-0000490E0000}"/>
    <cellStyle name="Normal 13 5 4 2" xfId="7455" xr:uid="{00000000-0005-0000-0000-00004A0E0000}"/>
    <cellStyle name="Normal 13 5 5" xfId="7456" xr:uid="{00000000-0005-0000-0000-00004B0E0000}"/>
    <cellStyle name="Normal 13 6" xfId="3280" xr:uid="{00000000-0005-0000-0000-00004C0E0000}"/>
    <cellStyle name="Normal 13 6 2" xfId="3281" xr:uid="{00000000-0005-0000-0000-00004D0E0000}"/>
    <cellStyle name="Normal 13 6 2 2" xfId="3282" xr:uid="{00000000-0005-0000-0000-00004E0E0000}"/>
    <cellStyle name="Normal 13 6 2 2 2" xfId="7457" xr:uid="{00000000-0005-0000-0000-00004F0E0000}"/>
    <cellStyle name="Normal 13 6 2 3" xfId="7458" xr:uid="{00000000-0005-0000-0000-0000500E0000}"/>
    <cellStyle name="Normal 13 6 3" xfId="3283" xr:uid="{00000000-0005-0000-0000-0000510E0000}"/>
    <cellStyle name="Normal 13 6 3 2" xfId="7459" xr:uid="{00000000-0005-0000-0000-0000520E0000}"/>
    <cellStyle name="Normal 13 6 4" xfId="7460" xr:uid="{00000000-0005-0000-0000-0000530E0000}"/>
    <cellStyle name="Normal 13 7" xfId="3284" xr:uid="{00000000-0005-0000-0000-0000540E0000}"/>
    <cellStyle name="Normal 13 7 2" xfId="3285" xr:uid="{00000000-0005-0000-0000-0000550E0000}"/>
    <cellStyle name="Normal 13 7 2 2" xfId="7461" xr:uid="{00000000-0005-0000-0000-0000560E0000}"/>
    <cellStyle name="Normal 13 7 3" xfId="7462" xr:uid="{00000000-0005-0000-0000-0000570E0000}"/>
    <cellStyle name="Normal 13 8" xfId="3286" xr:uid="{00000000-0005-0000-0000-0000580E0000}"/>
    <cellStyle name="Normal 13 8 2" xfId="7463" xr:uid="{00000000-0005-0000-0000-0000590E0000}"/>
    <cellStyle name="Normal 13 9" xfId="7464" xr:uid="{00000000-0005-0000-0000-00005A0E0000}"/>
    <cellStyle name="Normal 130" xfId="7465" xr:uid="{00000000-0005-0000-0000-00005B0E0000}"/>
    <cellStyle name="Normal 131" xfId="7466" xr:uid="{00000000-0005-0000-0000-00005C0E0000}"/>
    <cellStyle name="Normal 132" xfId="6616" xr:uid="{00000000-0005-0000-0000-00005D0E0000}"/>
    <cellStyle name="Normal 132 2" xfId="6625" xr:uid="{00000000-0005-0000-0000-00005E0E0000}"/>
    <cellStyle name="Normal 133" xfId="6621" xr:uid="{00000000-0005-0000-0000-00005F0E0000}"/>
    <cellStyle name="Normal 134" xfId="2005" xr:uid="{00000000-0005-0000-0000-0000600E0000}"/>
    <cellStyle name="Normal 135" xfId="10405" xr:uid="{00000000-0005-0000-0000-0000610E0000}"/>
    <cellStyle name="Normal 136" xfId="10417" xr:uid="{00000000-0005-0000-0000-0000620E0000}"/>
    <cellStyle name="Normal 137" xfId="10420" xr:uid="{00000000-0005-0000-0000-0000630E0000}"/>
    <cellStyle name="Normal 138" xfId="10423" xr:uid="{00000000-0005-0000-0000-0000640E0000}"/>
    <cellStyle name="Normal 139" xfId="10426" xr:uid="{00000000-0005-0000-0000-0000650E0000}"/>
    <cellStyle name="Normal 14" xfId="1582" xr:uid="{00000000-0005-0000-0000-0000660E0000}"/>
    <cellStyle name="Normal 14 10" xfId="3287" xr:uid="{00000000-0005-0000-0000-0000670E0000}"/>
    <cellStyle name="Normal 14 2" xfId="1611" xr:uid="{00000000-0005-0000-0000-0000680E0000}"/>
    <cellStyle name="Normal 14 2 2" xfId="3289" xr:uid="{00000000-0005-0000-0000-0000690E0000}"/>
    <cellStyle name="Normal 14 2 3" xfId="3288" xr:uid="{00000000-0005-0000-0000-00006A0E0000}"/>
    <cellStyle name="Normal 14 3" xfId="3290" xr:uid="{00000000-0005-0000-0000-00006B0E0000}"/>
    <cellStyle name="Normal 14 3 2" xfId="3291" xr:uid="{00000000-0005-0000-0000-00006C0E0000}"/>
    <cellStyle name="Normal 14 3 2 2" xfId="3292" xr:uid="{00000000-0005-0000-0000-00006D0E0000}"/>
    <cellStyle name="Normal 14 3 2 2 2" xfId="3293" xr:uid="{00000000-0005-0000-0000-00006E0E0000}"/>
    <cellStyle name="Normal 14 3 2 2 2 2" xfId="7467" xr:uid="{00000000-0005-0000-0000-00006F0E0000}"/>
    <cellStyle name="Normal 14 3 2 2 3" xfId="7468" xr:uid="{00000000-0005-0000-0000-0000700E0000}"/>
    <cellStyle name="Normal 14 3 2 3" xfId="3294" xr:uid="{00000000-0005-0000-0000-0000710E0000}"/>
    <cellStyle name="Normal 14 3 2 3 2" xfId="7469" xr:uid="{00000000-0005-0000-0000-0000720E0000}"/>
    <cellStyle name="Normal 14 3 2 4" xfId="7470" xr:uid="{00000000-0005-0000-0000-0000730E0000}"/>
    <cellStyle name="Normal 14 3 3" xfId="3295" xr:uid="{00000000-0005-0000-0000-0000740E0000}"/>
    <cellStyle name="Normal 14 3 3 2" xfId="3296" xr:uid="{00000000-0005-0000-0000-0000750E0000}"/>
    <cellStyle name="Normal 14 3 3 2 2" xfId="7471" xr:uid="{00000000-0005-0000-0000-0000760E0000}"/>
    <cellStyle name="Normal 14 3 3 3" xfId="7472" xr:uid="{00000000-0005-0000-0000-0000770E0000}"/>
    <cellStyle name="Normal 14 3 4" xfId="3297" xr:uid="{00000000-0005-0000-0000-0000780E0000}"/>
    <cellStyle name="Normal 14 3 4 2" xfId="7473" xr:uid="{00000000-0005-0000-0000-0000790E0000}"/>
    <cellStyle name="Normal 14 3 5" xfId="3298" xr:uid="{00000000-0005-0000-0000-00007A0E0000}"/>
    <cellStyle name="Normal 14 4" xfId="3299" xr:uid="{00000000-0005-0000-0000-00007B0E0000}"/>
    <cellStyle name="Normal 14 4 2" xfId="3300" xr:uid="{00000000-0005-0000-0000-00007C0E0000}"/>
    <cellStyle name="Normal 14 4 2 2" xfId="3301" xr:uid="{00000000-0005-0000-0000-00007D0E0000}"/>
    <cellStyle name="Normal 14 4 2 2 2" xfId="3302" xr:uid="{00000000-0005-0000-0000-00007E0E0000}"/>
    <cellStyle name="Normal 14 4 2 2 2 2" xfId="7474" xr:uid="{00000000-0005-0000-0000-00007F0E0000}"/>
    <cellStyle name="Normal 14 4 2 2 3" xfId="7475" xr:uid="{00000000-0005-0000-0000-0000800E0000}"/>
    <cellStyle name="Normal 14 4 2 3" xfId="3303" xr:uid="{00000000-0005-0000-0000-0000810E0000}"/>
    <cellStyle name="Normal 14 4 2 3 2" xfId="7476" xr:uid="{00000000-0005-0000-0000-0000820E0000}"/>
    <cellStyle name="Normal 14 4 2 4" xfId="7477" xr:uid="{00000000-0005-0000-0000-0000830E0000}"/>
    <cellStyle name="Normal 14 4 3" xfId="3304" xr:uid="{00000000-0005-0000-0000-0000840E0000}"/>
    <cellStyle name="Normal 14 4 3 2" xfId="3305" xr:uid="{00000000-0005-0000-0000-0000850E0000}"/>
    <cellStyle name="Normal 14 4 3 2 2" xfId="7478" xr:uid="{00000000-0005-0000-0000-0000860E0000}"/>
    <cellStyle name="Normal 14 4 3 3" xfId="7479" xr:uid="{00000000-0005-0000-0000-0000870E0000}"/>
    <cellStyle name="Normal 14 4 4" xfId="3306" xr:uid="{00000000-0005-0000-0000-0000880E0000}"/>
    <cellStyle name="Normal 14 4 4 2" xfId="7480" xr:uid="{00000000-0005-0000-0000-0000890E0000}"/>
    <cellStyle name="Normal 14 4 5" xfId="7481" xr:uid="{00000000-0005-0000-0000-00008A0E0000}"/>
    <cellStyle name="Normal 14 5" xfId="3307" xr:uid="{00000000-0005-0000-0000-00008B0E0000}"/>
    <cellStyle name="Normal 14 5 2" xfId="3308" xr:uid="{00000000-0005-0000-0000-00008C0E0000}"/>
    <cellStyle name="Normal 14 5 2 2" xfId="3309" xr:uid="{00000000-0005-0000-0000-00008D0E0000}"/>
    <cellStyle name="Normal 14 5 2 2 2" xfId="3310" xr:uid="{00000000-0005-0000-0000-00008E0E0000}"/>
    <cellStyle name="Normal 14 5 2 2 2 2" xfId="7482" xr:uid="{00000000-0005-0000-0000-00008F0E0000}"/>
    <cellStyle name="Normal 14 5 2 2 3" xfId="7483" xr:uid="{00000000-0005-0000-0000-0000900E0000}"/>
    <cellStyle name="Normal 14 5 2 3" xfId="3311" xr:uid="{00000000-0005-0000-0000-0000910E0000}"/>
    <cellStyle name="Normal 14 5 2 3 2" xfId="7484" xr:uid="{00000000-0005-0000-0000-0000920E0000}"/>
    <cellStyle name="Normal 14 5 2 4" xfId="7485" xr:uid="{00000000-0005-0000-0000-0000930E0000}"/>
    <cellStyle name="Normal 14 5 3" xfId="3312" xr:uid="{00000000-0005-0000-0000-0000940E0000}"/>
    <cellStyle name="Normal 14 5 3 2" xfId="3313" xr:uid="{00000000-0005-0000-0000-0000950E0000}"/>
    <cellStyle name="Normal 14 5 3 2 2" xfId="7486" xr:uid="{00000000-0005-0000-0000-0000960E0000}"/>
    <cellStyle name="Normal 14 5 3 3" xfId="7487" xr:uid="{00000000-0005-0000-0000-0000970E0000}"/>
    <cellStyle name="Normal 14 5 4" xfId="3314" xr:uid="{00000000-0005-0000-0000-0000980E0000}"/>
    <cellStyle name="Normal 14 5 4 2" xfId="7488" xr:uid="{00000000-0005-0000-0000-0000990E0000}"/>
    <cellStyle name="Normal 14 5 5" xfId="7489" xr:uid="{00000000-0005-0000-0000-00009A0E0000}"/>
    <cellStyle name="Normal 14 6" xfId="3315" xr:uid="{00000000-0005-0000-0000-00009B0E0000}"/>
    <cellStyle name="Normal 14 6 2" xfId="3316" xr:uid="{00000000-0005-0000-0000-00009C0E0000}"/>
    <cellStyle name="Normal 14 6 2 2" xfId="3317" xr:uid="{00000000-0005-0000-0000-00009D0E0000}"/>
    <cellStyle name="Normal 14 6 2 2 2" xfId="7490" xr:uid="{00000000-0005-0000-0000-00009E0E0000}"/>
    <cellStyle name="Normal 14 6 2 3" xfId="7491" xr:uid="{00000000-0005-0000-0000-00009F0E0000}"/>
    <cellStyle name="Normal 14 6 3" xfId="3318" xr:uid="{00000000-0005-0000-0000-0000A00E0000}"/>
    <cellStyle name="Normal 14 6 3 2" xfId="7492" xr:uid="{00000000-0005-0000-0000-0000A10E0000}"/>
    <cellStyle name="Normal 14 6 4" xfId="7493" xr:uid="{00000000-0005-0000-0000-0000A20E0000}"/>
    <cellStyle name="Normal 14 7" xfId="3319" xr:uid="{00000000-0005-0000-0000-0000A30E0000}"/>
    <cellStyle name="Normal 14 7 2" xfId="3320" xr:uid="{00000000-0005-0000-0000-0000A40E0000}"/>
    <cellStyle name="Normal 14 7 2 2" xfId="7494" xr:uid="{00000000-0005-0000-0000-0000A50E0000}"/>
    <cellStyle name="Normal 14 7 3" xfId="7495" xr:uid="{00000000-0005-0000-0000-0000A60E0000}"/>
    <cellStyle name="Normal 14 8" xfId="3321" xr:uid="{00000000-0005-0000-0000-0000A70E0000}"/>
    <cellStyle name="Normal 14 8 2" xfId="7496" xr:uid="{00000000-0005-0000-0000-0000A80E0000}"/>
    <cellStyle name="Normal 14 9" xfId="7497" xr:uid="{00000000-0005-0000-0000-0000A90E0000}"/>
    <cellStyle name="Normal 140" xfId="10429" xr:uid="{00000000-0005-0000-0000-0000AA0E0000}"/>
    <cellStyle name="Normal 141" xfId="10432" xr:uid="{00000000-0005-0000-0000-0000AB0E0000}"/>
    <cellStyle name="Normal 142" xfId="10435" xr:uid="{00000000-0005-0000-0000-0000AC0E0000}"/>
    <cellStyle name="Normal 143" xfId="10438" xr:uid="{00000000-0005-0000-0000-0000AD0E0000}"/>
    <cellStyle name="Normal 144" xfId="10441" xr:uid="{00000000-0005-0000-0000-0000AE0E0000}"/>
    <cellStyle name="Normal 145" xfId="10444" xr:uid="{00000000-0005-0000-0000-0000AF0E0000}"/>
    <cellStyle name="Normal 146" xfId="10447" xr:uid="{00000000-0005-0000-0000-0000B00E0000}"/>
    <cellStyle name="Normal 147" xfId="10450" xr:uid="{00000000-0005-0000-0000-0000B10E0000}"/>
    <cellStyle name="Normal 148" xfId="10453" xr:uid="{00000000-0005-0000-0000-0000B20E0000}"/>
    <cellStyle name="Normal 149" xfId="10456" xr:uid="{00000000-0005-0000-0000-0000B30E0000}"/>
    <cellStyle name="Normal 15" xfId="1580" xr:uid="{00000000-0005-0000-0000-0000B40E0000}"/>
    <cellStyle name="Normal 15 10" xfId="3322" xr:uid="{00000000-0005-0000-0000-0000B50E0000}"/>
    <cellStyle name="Normal 15 2" xfId="1610" xr:uid="{00000000-0005-0000-0000-0000B60E0000}"/>
    <cellStyle name="Normal 15 2 2" xfId="3324" xr:uid="{00000000-0005-0000-0000-0000B70E0000}"/>
    <cellStyle name="Normal 15 2 3" xfId="3323" xr:uid="{00000000-0005-0000-0000-0000B80E0000}"/>
    <cellStyle name="Normal 15 3" xfId="3325" xr:uid="{00000000-0005-0000-0000-0000B90E0000}"/>
    <cellStyle name="Normal 15 3 2" xfId="3326" xr:uid="{00000000-0005-0000-0000-0000BA0E0000}"/>
    <cellStyle name="Normal 15 3 2 2" xfId="3327" xr:uid="{00000000-0005-0000-0000-0000BB0E0000}"/>
    <cellStyle name="Normal 15 3 2 2 2" xfId="3328" xr:uid="{00000000-0005-0000-0000-0000BC0E0000}"/>
    <cellStyle name="Normal 15 3 2 2 2 2" xfId="7498" xr:uid="{00000000-0005-0000-0000-0000BD0E0000}"/>
    <cellStyle name="Normal 15 3 2 2 3" xfId="7499" xr:uid="{00000000-0005-0000-0000-0000BE0E0000}"/>
    <cellStyle name="Normal 15 3 2 3" xfId="3329" xr:uid="{00000000-0005-0000-0000-0000BF0E0000}"/>
    <cellStyle name="Normal 15 3 2 3 2" xfId="7500" xr:uid="{00000000-0005-0000-0000-0000C00E0000}"/>
    <cellStyle name="Normal 15 3 2 4" xfId="7501" xr:uid="{00000000-0005-0000-0000-0000C10E0000}"/>
    <cellStyle name="Normal 15 3 3" xfId="3330" xr:uid="{00000000-0005-0000-0000-0000C20E0000}"/>
    <cellStyle name="Normal 15 3 3 2" xfId="3331" xr:uid="{00000000-0005-0000-0000-0000C30E0000}"/>
    <cellStyle name="Normal 15 3 3 2 2" xfId="7502" xr:uid="{00000000-0005-0000-0000-0000C40E0000}"/>
    <cellStyle name="Normal 15 3 3 3" xfId="7503" xr:uid="{00000000-0005-0000-0000-0000C50E0000}"/>
    <cellStyle name="Normal 15 3 4" xfId="3332" xr:uid="{00000000-0005-0000-0000-0000C60E0000}"/>
    <cellStyle name="Normal 15 3 4 2" xfId="7504" xr:uid="{00000000-0005-0000-0000-0000C70E0000}"/>
    <cellStyle name="Normal 15 3 5" xfId="3333" xr:uid="{00000000-0005-0000-0000-0000C80E0000}"/>
    <cellStyle name="Normal 15 4" xfId="3334" xr:uid="{00000000-0005-0000-0000-0000C90E0000}"/>
    <cellStyle name="Normal 15 4 2" xfId="3335" xr:uid="{00000000-0005-0000-0000-0000CA0E0000}"/>
    <cellStyle name="Normal 15 4 2 2" xfId="3336" xr:uid="{00000000-0005-0000-0000-0000CB0E0000}"/>
    <cellStyle name="Normal 15 4 2 2 2" xfId="3337" xr:uid="{00000000-0005-0000-0000-0000CC0E0000}"/>
    <cellStyle name="Normal 15 4 2 2 2 2" xfId="7505" xr:uid="{00000000-0005-0000-0000-0000CD0E0000}"/>
    <cellStyle name="Normal 15 4 2 2 3" xfId="7506" xr:uid="{00000000-0005-0000-0000-0000CE0E0000}"/>
    <cellStyle name="Normal 15 4 2 3" xfId="3338" xr:uid="{00000000-0005-0000-0000-0000CF0E0000}"/>
    <cellStyle name="Normal 15 4 2 3 2" xfId="7507" xr:uid="{00000000-0005-0000-0000-0000D00E0000}"/>
    <cellStyle name="Normal 15 4 2 4" xfId="7508" xr:uid="{00000000-0005-0000-0000-0000D10E0000}"/>
    <cellStyle name="Normal 15 4 3" xfId="3339" xr:uid="{00000000-0005-0000-0000-0000D20E0000}"/>
    <cellStyle name="Normal 15 4 3 2" xfId="3340" xr:uid="{00000000-0005-0000-0000-0000D30E0000}"/>
    <cellStyle name="Normal 15 4 3 2 2" xfId="7509" xr:uid="{00000000-0005-0000-0000-0000D40E0000}"/>
    <cellStyle name="Normal 15 4 3 3" xfId="7510" xr:uid="{00000000-0005-0000-0000-0000D50E0000}"/>
    <cellStyle name="Normal 15 4 4" xfId="3341" xr:uid="{00000000-0005-0000-0000-0000D60E0000}"/>
    <cellStyle name="Normal 15 4 4 2" xfId="7511" xr:uid="{00000000-0005-0000-0000-0000D70E0000}"/>
    <cellStyle name="Normal 15 4 5" xfId="7512" xr:uid="{00000000-0005-0000-0000-0000D80E0000}"/>
    <cellStyle name="Normal 15 5" xfId="3342" xr:uid="{00000000-0005-0000-0000-0000D90E0000}"/>
    <cellStyle name="Normal 15 5 2" xfId="3343" xr:uid="{00000000-0005-0000-0000-0000DA0E0000}"/>
    <cellStyle name="Normal 15 5 2 2" xfId="3344" xr:uid="{00000000-0005-0000-0000-0000DB0E0000}"/>
    <cellStyle name="Normal 15 5 2 2 2" xfId="3345" xr:uid="{00000000-0005-0000-0000-0000DC0E0000}"/>
    <cellStyle name="Normal 15 5 2 2 2 2" xfId="7513" xr:uid="{00000000-0005-0000-0000-0000DD0E0000}"/>
    <cellStyle name="Normal 15 5 2 2 3" xfId="7514" xr:uid="{00000000-0005-0000-0000-0000DE0E0000}"/>
    <cellStyle name="Normal 15 5 2 3" xfId="3346" xr:uid="{00000000-0005-0000-0000-0000DF0E0000}"/>
    <cellStyle name="Normal 15 5 2 3 2" xfId="7515" xr:uid="{00000000-0005-0000-0000-0000E00E0000}"/>
    <cellStyle name="Normal 15 5 2 4" xfId="7516" xr:uid="{00000000-0005-0000-0000-0000E10E0000}"/>
    <cellStyle name="Normal 15 5 3" xfId="3347" xr:uid="{00000000-0005-0000-0000-0000E20E0000}"/>
    <cellStyle name="Normal 15 5 3 2" xfId="3348" xr:uid="{00000000-0005-0000-0000-0000E30E0000}"/>
    <cellStyle name="Normal 15 5 3 2 2" xfId="7517" xr:uid="{00000000-0005-0000-0000-0000E40E0000}"/>
    <cellStyle name="Normal 15 5 3 3" xfId="7518" xr:uid="{00000000-0005-0000-0000-0000E50E0000}"/>
    <cellStyle name="Normal 15 5 4" xfId="3349" xr:uid="{00000000-0005-0000-0000-0000E60E0000}"/>
    <cellStyle name="Normal 15 5 4 2" xfId="7519" xr:uid="{00000000-0005-0000-0000-0000E70E0000}"/>
    <cellStyle name="Normal 15 5 5" xfId="7520" xr:uid="{00000000-0005-0000-0000-0000E80E0000}"/>
    <cellStyle name="Normal 15 6" xfId="3350" xr:uid="{00000000-0005-0000-0000-0000E90E0000}"/>
    <cellStyle name="Normal 15 6 2" xfId="3351" xr:uid="{00000000-0005-0000-0000-0000EA0E0000}"/>
    <cellStyle name="Normal 15 6 2 2" xfId="3352" xr:uid="{00000000-0005-0000-0000-0000EB0E0000}"/>
    <cellStyle name="Normal 15 6 2 2 2" xfId="7521" xr:uid="{00000000-0005-0000-0000-0000EC0E0000}"/>
    <cellStyle name="Normal 15 6 2 3" xfId="7522" xr:uid="{00000000-0005-0000-0000-0000ED0E0000}"/>
    <cellStyle name="Normal 15 6 3" xfId="3353" xr:uid="{00000000-0005-0000-0000-0000EE0E0000}"/>
    <cellStyle name="Normal 15 6 3 2" xfId="7523" xr:uid="{00000000-0005-0000-0000-0000EF0E0000}"/>
    <cellStyle name="Normal 15 6 4" xfId="7524" xr:uid="{00000000-0005-0000-0000-0000F00E0000}"/>
    <cellStyle name="Normal 15 7" xfId="3354" xr:uid="{00000000-0005-0000-0000-0000F10E0000}"/>
    <cellStyle name="Normal 15 7 2" xfId="3355" xr:uid="{00000000-0005-0000-0000-0000F20E0000}"/>
    <cellStyle name="Normal 15 7 2 2" xfId="7525" xr:uid="{00000000-0005-0000-0000-0000F30E0000}"/>
    <cellStyle name="Normal 15 7 3" xfId="7526" xr:uid="{00000000-0005-0000-0000-0000F40E0000}"/>
    <cellStyle name="Normal 15 8" xfId="3356" xr:uid="{00000000-0005-0000-0000-0000F50E0000}"/>
    <cellStyle name="Normal 15 8 2" xfId="7527" xr:uid="{00000000-0005-0000-0000-0000F60E0000}"/>
    <cellStyle name="Normal 15 9" xfId="7528" xr:uid="{00000000-0005-0000-0000-0000F70E0000}"/>
    <cellStyle name="Normal 150" xfId="10459" xr:uid="{00000000-0005-0000-0000-0000F80E0000}"/>
    <cellStyle name="Normal 151" xfId="10462" xr:uid="{00000000-0005-0000-0000-0000F90E0000}"/>
    <cellStyle name="Normal 152" xfId="10465" xr:uid="{00000000-0005-0000-0000-0000FA0E0000}"/>
    <cellStyle name="Normal 153" xfId="10468" xr:uid="{00000000-0005-0000-0000-0000FB0E0000}"/>
    <cellStyle name="Normal 154" xfId="10471" xr:uid="{00000000-0005-0000-0000-0000FC0E0000}"/>
    <cellStyle name="Normal 155" xfId="10474" xr:uid="{00000000-0005-0000-0000-0000FD0E0000}"/>
    <cellStyle name="Normal 156" xfId="10477" xr:uid="{00000000-0005-0000-0000-0000FE0E0000}"/>
    <cellStyle name="Normal 157" xfId="10480" xr:uid="{00000000-0005-0000-0000-0000FF0E0000}"/>
    <cellStyle name="Normal 158" xfId="10483" xr:uid="{00000000-0005-0000-0000-0000000F0000}"/>
    <cellStyle name="Normal 159" xfId="10486" xr:uid="{00000000-0005-0000-0000-0000010F0000}"/>
    <cellStyle name="Normal 16" xfId="1670" xr:uid="{00000000-0005-0000-0000-0000020F0000}"/>
    <cellStyle name="Normal 16 10" xfId="3357" xr:uid="{00000000-0005-0000-0000-0000030F0000}"/>
    <cellStyle name="Normal 16 2" xfId="3358" xr:uid="{00000000-0005-0000-0000-0000040F0000}"/>
    <cellStyle name="Normal 16 2 2" xfId="3359" xr:uid="{00000000-0005-0000-0000-0000050F0000}"/>
    <cellStyle name="Normal 16 3" xfId="3360" xr:uid="{00000000-0005-0000-0000-0000060F0000}"/>
    <cellStyle name="Normal 16 3 2" xfId="3361" xr:uid="{00000000-0005-0000-0000-0000070F0000}"/>
    <cellStyle name="Normal 16 3 2 2" xfId="3362" xr:uid="{00000000-0005-0000-0000-0000080F0000}"/>
    <cellStyle name="Normal 16 3 2 2 2" xfId="3363" xr:uid="{00000000-0005-0000-0000-0000090F0000}"/>
    <cellStyle name="Normal 16 3 2 2 2 2" xfId="7529" xr:uid="{00000000-0005-0000-0000-00000A0F0000}"/>
    <cellStyle name="Normal 16 3 2 2 3" xfId="7530" xr:uid="{00000000-0005-0000-0000-00000B0F0000}"/>
    <cellStyle name="Normal 16 3 2 3" xfId="3364" xr:uid="{00000000-0005-0000-0000-00000C0F0000}"/>
    <cellStyle name="Normal 16 3 2 3 2" xfId="7531" xr:uid="{00000000-0005-0000-0000-00000D0F0000}"/>
    <cellStyle name="Normal 16 3 2 4" xfId="7532" xr:uid="{00000000-0005-0000-0000-00000E0F0000}"/>
    <cellStyle name="Normal 16 3 3" xfId="3365" xr:uid="{00000000-0005-0000-0000-00000F0F0000}"/>
    <cellStyle name="Normal 16 3 3 2" xfId="3366" xr:uid="{00000000-0005-0000-0000-0000100F0000}"/>
    <cellStyle name="Normal 16 3 3 2 2" xfId="7533" xr:uid="{00000000-0005-0000-0000-0000110F0000}"/>
    <cellStyle name="Normal 16 3 3 3" xfId="7534" xr:uid="{00000000-0005-0000-0000-0000120F0000}"/>
    <cellStyle name="Normal 16 3 4" xfId="3367" xr:uid="{00000000-0005-0000-0000-0000130F0000}"/>
    <cellStyle name="Normal 16 3 4 2" xfId="7535" xr:uid="{00000000-0005-0000-0000-0000140F0000}"/>
    <cellStyle name="Normal 16 3 5" xfId="3368" xr:uid="{00000000-0005-0000-0000-0000150F0000}"/>
    <cellStyle name="Normal 16 4" xfId="3369" xr:uid="{00000000-0005-0000-0000-0000160F0000}"/>
    <cellStyle name="Normal 16 4 2" xfId="3370" xr:uid="{00000000-0005-0000-0000-0000170F0000}"/>
    <cellStyle name="Normal 16 4 2 2" xfId="3371" xr:uid="{00000000-0005-0000-0000-0000180F0000}"/>
    <cellStyle name="Normal 16 4 2 2 2" xfId="3372" xr:uid="{00000000-0005-0000-0000-0000190F0000}"/>
    <cellStyle name="Normal 16 4 2 2 2 2" xfId="7536" xr:uid="{00000000-0005-0000-0000-00001A0F0000}"/>
    <cellStyle name="Normal 16 4 2 2 3" xfId="7537" xr:uid="{00000000-0005-0000-0000-00001B0F0000}"/>
    <cellStyle name="Normal 16 4 2 3" xfId="3373" xr:uid="{00000000-0005-0000-0000-00001C0F0000}"/>
    <cellStyle name="Normal 16 4 2 3 2" xfId="7538" xr:uid="{00000000-0005-0000-0000-00001D0F0000}"/>
    <cellStyle name="Normal 16 4 2 4" xfId="7539" xr:uid="{00000000-0005-0000-0000-00001E0F0000}"/>
    <cellStyle name="Normal 16 4 3" xfId="3374" xr:uid="{00000000-0005-0000-0000-00001F0F0000}"/>
    <cellStyle name="Normal 16 4 3 2" xfId="3375" xr:uid="{00000000-0005-0000-0000-0000200F0000}"/>
    <cellStyle name="Normal 16 4 3 2 2" xfId="7540" xr:uid="{00000000-0005-0000-0000-0000210F0000}"/>
    <cellStyle name="Normal 16 4 3 3" xfId="7541" xr:uid="{00000000-0005-0000-0000-0000220F0000}"/>
    <cellStyle name="Normal 16 4 4" xfId="3376" xr:uid="{00000000-0005-0000-0000-0000230F0000}"/>
    <cellStyle name="Normal 16 4 4 2" xfId="7542" xr:uid="{00000000-0005-0000-0000-0000240F0000}"/>
    <cellStyle name="Normal 16 4 5" xfId="7543" xr:uid="{00000000-0005-0000-0000-0000250F0000}"/>
    <cellStyle name="Normal 16 5" xfId="3377" xr:uid="{00000000-0005-0000-0000-0000260F0000}"/>
    <cellStyle name="Normal 16 5 2" xfId="3378" xr:uid="{00000000-0005-0000-0000-0000270F0000}"/>
    <cellStyle name="Normal 16 5 2 2" xfId="3379" xr:uid="{00000000-0005-0000-0000-0000280F0000}"/>
    <cellStyle name="Normal 16 5 2 2 2" xfId="3380" xr:uid="{00000000-0005-0000-0000-0000290F0000}"/>
    <cellStyle name="Normal 16 5 2 2 2 2" xfId="7544" xr:uid="{00000000-0005-0000-0000-00002A0F0000}"/>
    <cellStyle name="Normal 16 5 2 2 3" xfId="7545" xr:uid="{00000000-0005-0000-0000-00002B0F0000}"/>
    <cellStyle name="Normal 16 5 2 3" xfId="3381" xr:uid="{00000000-0005-0000-0000-00002C0F0000}"/>
    <cellStyle name="Normal 16 5 2 3 2" xfId="7546" xr:uid="{00000000-0005-0000-0000-00002D0F0000}"/>
    <cellStyle name="Normal 16 5 2 4" xfId="7547" xr:uid="{00000000-0005-0000-0000-00002E0F0000}"/>
    <cellStyle name="Normal 16 5 3" xfId="3382" xr:uid="{00000000-0005-0000-0000-00002F0F0000}"/>
    <cellStyle name="Normal 16 5 3 2" xfId="3383" xr:uid="{00000000-0005-0000-0000-0000300F0000}"/>
    <cellStyle name="Normal 16 5 3 2 2" xfId="7548" xr:uid="{00000000-0005-0000-0000-0000310F0000}"/>
    <cellStyle name="Normal 16 5 3 3" xfId="7549" xr:uid="{00000000-0005-0000-0000-0000320F0000}"/>
    <cellStyle name="Normal 16 5 4" xfId="3384" xr:uid="{00000000-0005-0000-0000-0000330F0000}"/>
    <cellStyle name="Normal 16 5 4 2" xfId="7550" xr:uid="{00000000-0005-0000-0000-0000340F0000}"/>
    <cellStyle name="Normal 16 5 5" xfId="7551" xr:uid="{00000000-0005-0000-0000-0000350F0000}"/>
    <cellStyle name="Normal 16 6" xfId="3385" xr:uid="{00000000-0005-0000-0000-0000360F0000}"/>
    <cellStyle name="Normal 16 6 2" xfId="3386" xr:uid="{00000000-0005-0000-0000-0000370F0000}"/>
    <cellStyle name="Normal 16 6 2 2" xfId="3387" xr:uid="{00000000-0005-0000-0000-0000380F0000}"/>
    <cellStyle name="Normal 16 6 2 2 2" xfId="7552" xr:uid="{00000000-0005-0000-0000-0000390F0000}"/>
    <cellStyle name="Normal 16 6 2 3" xfId="7553" xr:uid="{00000000-0005-0000-0000-00003A0F0000}"/>
    <cellStyle name="Normal 16 6 3" xfId="3388" xr:uid="{00000000-0005-0000-0000-00003B0F0000}"/>
    <cellStyle name="Normal 16 6 3 2" xfId="7554" xr:uid="{00000000-0005-0000-0000-00003C0F0000}"/>
    <cellStyle name="Normal 16 6 4" xfId="7555" xr:uid="{00000000-0005-0000-0000-00003D0F0000}"/>
    <cellStyle name="Normal 16 7" xfId="3389" xr:uid="{00000000-0005-0000-0000-00003E0F0000}"/>
    <cellStyle name="Normal 16 7 2" xfId="3390" xr:uid="{00000000-0005-0000-0000-00003F0F0000}"/>
    <cellStyle name="Normal 16 7 2 2" xfId="7556" xr:uid="{00000000-0005-0000-0000-0000400F0000}"/>
    <cellStyle name="Normal 16 7 3" xfId="7557" xr:uid="{00000000-0005-0000-0000-0000410F0000}"/>
    <cellStyle name="Normal 16 8" xfId="3391" xr:uid="{00000000-0005-0000-0000-0000420F0000}"/>
    <cellStyle name="Normal 16 8 2" xfId="7558" xr:uid="{00000000-0005-0000-0000-0000430F0000}"/>
    <cellStyle name="Normal 16 9" xfId="7559" xr:uid="{00000000-0005-0000-0000-0000440F0000}"/>
    <cellStyle name="Normal 160" xfId="10489" xr:uid="{00000000-0005-0000-0000-0000450F0000}"/>
    <cellStyle name="Normal 161" xfId="10492" xr:uid="{00000000-0005-0000-0000-0000460F0000}"/>
    <cellStyle name="Normal 162" xfId="10495" xr:uid="{00000000-0005-0000-0000-0000470F0000}"/>
    <cellStyle name="Normal 163" xfId="10498" xr:uid="{00000000-0005-0000-0000-0000480F0000}"/>
    <cellStyle name="Normal 164" xfId="10501" xr:uid="{00000000-0005-0000-0000-0000490F0000}"/>
    <cellStyle name="Normal 165" xfId="10504" xr:uid="{00000000-0005-0000-0000-00004A0F0000}"/>
    <cellStyle name="Normal 166" xfId="10507" xr:uid="{00000000-0005-0000-0000-00004B0F0000}"/>
    <cellStyle name="Normal 167" xfId="10510" xr:uid="{00000000-0005-0000-0000-00004C0F0000}"/>
    <cellStyle name="Normal 168" xfId="10513" xr:uid="{00000000-0005-0000-0000-00004D0F0000}"/>
    <cellStyle name="Normal 169" xfId="10516" xr:uid="{00000000-0005-0000-0000-00004E0F0000}"/>
    <cellStyle name="Normal 17" xfId="1698" xr:uid="{00000000-0005-0000-0000-00004F0F0000}"/>
    <cellStyle name="Normal 17 10" xfId="3392" xr:uid="{00000000-0005-0000-0000-0000500F0000}"/>
    <cellStyle name="Normal 17 2" xfId="3393" xr:uid="{00000000-0005-0000-0000-0000510F0000}"/>
    <cellStyle name="Normal 17 2 2" xfId="3394" xr:uid="{00000000-0005-0000-0000-0000520F0000}"/>
    <cellStyle name="Normal 17 3" xfId="3395" xr:uid="{00000000-0005-0000-0000-0000530F0000}"/>
    <cellStyle name="Normal 17 3 2" xfId="3396" xr:uid="{00000000-0005-0000-0000-0000540F0000}"/>
    <cellStyle name="Normal 17 3 2 2" xfId="3397" xr:uid="{00000000-0005-0000-0000-0000550F0000}"/>
    <cellStyle name="Normal 17 3 2 2 2" xfId="3398" xr:uid="{00000000-0005-0000-0000-0000560F0000}"/>
    <cellStyle name="Normal 17 3 2 2 2 2" xfId="7560" xr:uid="{00000000-0005-0000-0000-0000570F0000}"/>
    <cellStyle name="Normal 17 3 2 2 3" xfId="7561" xr:uid="{00000000-0005-0000-0000-0000580F0000}"/>
    <cellStyle name="Normal 17 3 2 3" xfId="3399" xr:uid="{00000000-0005-0000-0000-0000590F0000}"/>
    <cellStyle name="Normal 17 3 2 3 2" xfId="7562" xr:uid="{00000000-0005-0000-0000-00005A0F0000}"/>
    <cellStyle name="Normal 17 3 2 4" xfId="7563" xr:uid="{00000000-0005-0000-0000-00005B0F0000}"/>
    <cellStyle name="Normal 17 3 3" xfId="3400" xr:uid="{00000000-0005-0000-0000-00005C0F0000}"/>
    <cellStyle name="Normal 17 3 3 2" xfId="3401" xr:uid="{00000000-0005-0000-0000-00005D0F0000}"/>
    <cellStyle name="Normal 17 3 3 2 2" xfId="7564" xr:uid="{00000000-0005-0000-0000-00005E0F0000}"/>
    <cellStyle name="Normal 17 3 3 3" xfId="7565" xr:uid="{00000000-0005-0000-0000-00005F0F0000}"/>
    <cellStyle name="Normal 17 3 4" xfId="3402" xr:uid="{00000000-0005-0000-0000-0000600F0000}"/>
    <cellStyle name="Normal 17 3 4 2" xfId="7566" xr:uid="{00000000-0005-0000-0000-0000610F0000}"/>
    <cellStyle name="Normal 17 3 5" xfId="3403" xr:uid="{00000000-0005-0000-0000-0000620F0000}"/>
    <cellStyle name="Normal 17 4" xfId="3404" xr:uid="{00000000-0005-0000-0000-0000630F0000}"/>
    <cellStyle name="Normal 17 4 2" xfId="3405" xr:uid="{00000000-0005-0000-0000-0000640F0000}"/>
    <cellStyle name="Normal 17 4 2 2" xfId="3406" xr:uid="{00000000-0005-0000-0000-0000650F0000}"/>
    <cellStyle name="Normal 17 4 2 2 2" xfId="3407" xr:uid="{00000000-0005-0000-0000-0000660F0000}"/>
    <cellStyle name="Normal 17 4 2 2 2 2" xfId="7567" xr:uid="{00000000-0005-0000-0000-0000670F0000}"/>
    <cellStyle name="Normal 17 4 2 2 3" xfId="7568" xr:uid="{00000000-0005-0000-0000-0000680F0000}"/>
    <cellStyle name="Normal 17 4 2 3" xfId="3408" xr:uid="{00000000-0005-0000-0000-0000690F0000}"/>
    <cellStyle name="Normal 17 4 2 3 2" xfId="7569" xr:uid="{00000000-0005-0000-0000-00006A0F0000}"/>
    <cellStyle name="Normal 17 4 2 4" xfId="7570" xr:uid="{00000000-0005-0000-0000-00006B0F0000}"/>
    <cellStyle name="Normal 17 4 3" xfId="3409" xr:uid="{00000000-0005-0000-0000-00006C0F0000}"/>
    <cellStyle name="Normal 17 4 3 2" xfId="3410" xr:uid="{00000000-0005-0000-0000-00006D0F0000}"/>
    <cellStyle name="Normal 17 4 3 2 2" xfId="7571" xr:uid="{00000000-0005-0000-0000-00006E0F0000}"/>
    <cellStyle name="Normal 17 4 3 3" xfId="7572" xr:uid="{00000000-0005-0000-0000-00006F0F0000}"/>
    <cellStyle name="Normal 17 4 4" xfId="3411" xr:uid="{00000000-0005-0000-0000-0000700F0000}"/>
    <cellStyle name="Normal 17 4 4 2" xfId="7573" xr:uid="{00000000-0005-0000-0000-0000710F0000}"/>
    <cellStyle name="Normal 17 4 5" xfId="7574" xr:uid="{00000000-0005-0000-0000-0000720F0000}"/>
    <cellStyle name="Normal 17 5" xfId="3412" xr:uid="{00000000-0005-0000-0000-0000730F0000}"/>
    <cellStyle name="Normal 17 5 2" xfId="3413" xr:uid="{00000000-0005-0000-0000-0000740F0000}"/>
    <cellStyle name="Normal 17 5 2 2" xfId="3414" xr:uid="{00000000-0005-0000-0000-0000750F0000}"/>
    <cellStyle name="Normal 17 5 2 2 2" xfId="3415" xr:uid="{00000000-0005-0000-0000-0000760F0000}"/>
    <cellStyle name="Normal 17 5 2 2 2 2" xfId="7575" xr:uid="{00000000-0005-0000-0000-0000770F0000}"/>
    <cellStyle name="Normal 17 5 2 2 3" xfId="7576" xr:uid="{00000000-0005-0000-0000-0000780F0000}"/>
    <cellStyle name="Normal 17 5 2 3" xfId="3416" xr:uid="{00000000-0005-0000-0000-0000790F0000}"/>
    <cellStyle name="Normal 17 5 2 3 2" xfId="7577" xr:uid="{00000000-0005-0000-0000-00007A0F0000}"/>
    <cellStyle name="Normal 17 5 2 4" xfId="7578" xr:uid="{00000000-0005-0000-0000-00007B0F0000}"/>
    <cellStyle name="Normal 17 5 3" xfId="3417" xr:uid="{00000000-0005-0000-0000-00007C0F0000}"/>
    <cellStyle name="Normal 17 5 3 2" xfId="3418" xr:uid="{00000000-0005-0000-0000-00007D0F0000}"/>
    <cellStyle name="Normal 17 5 3 2 2" xfId="7579" xr:uid="{00000000-0005-0000-0000-00007E0F0000}"/>
    <cellStyle name="Normal 17 5 3 3" xfId="7580" xr:uid="{00000000-0005-0000-0000-00007F0F0000}"/>
    <cellStyle name="Normal 17 5 4" xfId="3419" xr:uid="{00000000-0005-0000-0000-0000800F0000}"/>
    <cellStyle name="Normal 17 5 4 2" xfId="7581" xr:uid="{00000000-0005-0000-0000-0000810F0000}"/>
    <cellStyle name="Normal 17 5 5" xfId="7582" xr:uid="{00000000-0005-0000-0000-0000820F0000}"/>
    <cellStyle name="Normal 17 6" xfId="3420" xr:uid="{00000000-0005-0000-0000-0000830F0000}"/>
    <cellStyle name="Normal 17 6 2" xfId="3421" xr:uid="{00000000-0005-0000-0000-0000840F0000}"/>
    <cellStyle name="Normal 17 6 2 2" xfId="3422" xr:uid="{00000000-0005-0000-0000-0000850F0000}"/>
    <cellStyle name="Normal 17 6 2 2 2" xfId="7583" xr:uid="{00000000-0005-0000-0000-0000860F0000}"/>
    <cellStyle name="Normal 17 6 2 3" xfId="7584" xr:uid="{00000000-0005-0000-0000-0000870F0000}"/>
    <cellStyle name="Normal 17 6 3" xfId="3423" xr:uid="{00000000-0005-0000-0000-0000880F0000}"/>
    <cellStyle name="Normal 17 6 3 2" xfId="7585" xr:uid="{00000000-0005-0000-0000-0000890F0000}"/>
    <cellStyle name="Normal 17 6 4" xfId="7586" xr:uid="{00000000-0005-0000-0000-00008A0F0000}"/>
    <cellStyle name="Normal 17 7" xfId="3424" xr:uid="{00000000-0005-0000-0000-00008B0F0000}"/>
    <cellStyle name="Normal 17 7 2" xfId="3425" xr:uid="{00000000-0005-0000-0000-00008C0F0000}"/>
    <cellStyle name="Normal 17 7 2 2" xfId="7587" xr:uid="{00000000-0005-0000-0000-00008D0F0000}"/>
    <cellStyle name="Normal 17 7 3" xfId="7588" xr:uid="{00000000-0005-0000-0000-00008E0F0000}"/>
    <cellStyle name="Normal 17 8" xfId="3426" xr:uid="{00000000-0005-0000-0000-00008F0F0000}"/>
    <cellStyle name="Normal 17 8 2" xfId="7589" xr:uid="{00000000-0005-0000-0000-0000900F0000}"/>
    <cellStyle name="Normal 17 9" xfId="7590" xr:uid="{00000000-0005-0000-0000-0000910F0000}"/>
    <cellStyle name="Normal 170" xfId="10519" xr:uid="{00000000-0005-0000-0000-0000920F0000}"/>
    <cellStyle name="Normal 171" xfId="10522" xr:uid="{00000000-0005-0000-0000-0000930F0000}"/>
    <cellStyle name="Normal 172" xfId="10525" xr:uid="{00000000-0005-0000-0000-0000940F0000}"/>
    <cellStyle name="Normal 173" xfId="10528" xr:uid="{00000000-0005-0000-0000-0000950F0000}"/>
    <cellStyle name="Normal 174" xfId="10531" xr:uid="{00000000-0005-0000-0000-0000960F0000}"/>
    <cellStyle name="Normal 175" xfId="10534" xr:uid="{00000000-0005-0000-0000-0000970F0000}"/>
    <cellStyle name="Normal 176" xfId="10537" xr:uid="{00000000-0005-0000-0000-0000980F0000}"/>
    <cellStyle name="Normal 177" xfId="10540" xr:uid="{00000000-0005-0000-0000-0000990F0000}"/>
    <cellStyle name="Normal 178" xfId="10543" xr:uid="{00000000-0005-0000-0000-00009A0F0000}"/>
    <cellStyle name="Normal 179" xfId="10546" xr:uid="{00000000-0005-0000-0000-00009B0F0000}"/>
    <cellStyle name="Normal 18" xfId="1739" xr:uid="{00000000-0005-0000-0000-00009C0F0000}"/>
    <cellStyle name="Normal 18 10" xfId="3427" xr:uid="{00000000-0005-0000-0000-00009D0F0000}"/>
    <cellStyle name="Normal 18 2" xfId="3428" xr:uid="{00000000-0005-0000-0000-00009E0F0000}"/>
    <cellStyle name="Normal 18 2 2" xfId="3429" xr:uid="{00000000-0005-0000-0000-00009F0F0000}"/>
    <cellStyle name="Normal 18 3" xfId="3430" xr:uid="{00000000-0005-0000-0000-0000A00F0000}"/>
    <cellStyle name="Normal 18 3 2" xfId="3431" xr:uid="{00000000-0005-0000-0000-0000A10F0000}"/>
    <cellStyle name="Normal 18 3 2 2" xfId="3432" xr:uid="{00000000-0005-0000-0000-0000A20F0000}"/>
    <cellStyle name="Normal 18 3 2 2 2" xfId="3433" xr:uid="{00000000-0005-0000-0000-0000A30F0000}"/>
    <cellStyle name="Normal 18 3 2 2 2 2" xfId="7591" xr:uid="{00000000-0005-0000-0000-0000A40F0000}"/>
    <cellStyle name="Normal 18 3 2 2 3" xfId="7592" xr:uid="{00000000-0005-0000-0000-0000A50F0000}"/>
    <cellStyle name="Normal 18 3 2 3" xfId="3434" xr:uid="{00000000-0005-0000-0000-0000A60F0000}"/>
    <cellStyle name="Normal 18 3 2 3 2" xfId="7593" xr:uid="{00000000-0005-0000-0000-0000A70F0000}"/>
    <cellStyle name="Normal 18 3 2 4" xfId="7594" xr:uid="{00000000-0005-0000-0000-0000A80F0000}"/>
    <cellStyle name="Normal 18 3 3" xfId="3435" xr:uid="{00000000-0005-0000-0000-0000A90F0000}"/>
    <cellStyle name="Normal 18 3 3 2" xfId="3436" xr:uid="{00000000-0005-0000-0000-0000AA0F0000}"/>
    <cellStyle name="Normal 18 3 3 2 2" xfId="7595" xr:uid="{00000000-0005-0000-0000-0000AB0F0000}"/>
    <cellStyle name="Normal 18 3 3 3" xfId="7596" xr:uid="{00000000-0005-0000-0000-0000AC0F0000}"/>
    <cellStyle name="Normal 18 3 4" xfId="3437" xr:uid="{00000000-0005-0000-0000-0000AD0F0000}"/>
    <cellStyle name="Normal 18 3 4 2" xfId="7597" xr:uid="{00000000-0005-0000-0000-0000AE0F0000}"/>
    <cellStyle name="Normal 18 3 5" xfId="3438" xr:uid="{00000000-0005-0000-0000-0000AF0F0000}"/>
    <cellStyle name="Normal 18 4" xfId="3439" xr:uid="{00000000-0005-0000-0000-0000B00F0000}"/>
    <cellStyle name="Normal 18 4 2" xfId="3440" xr:uid="{00000000-0005-0000-0000-0000B10F0000}"/>
    <cellStyle name="Normal 18 4 2 2" xfId="3441" xr:uid="{00000000-0005-0000-0000-0000B20F0000}"/>
    <cellStyle name="Normal 18 4 2 2 2" xfId="3442" xr:uid="{00000000-0005-0000-0000-0000B30F0000}"/>
    <cellStyle name="Normal 18 4 2 2 2 2" xfId="7598" xr:uid="{00000000-0005-0000-0000-0000B40F0000}"/>
    <cellStyle name="Normal 18 4 2 2 3" xfId="7599" xr:uid="{00000000-0005-0000-0000-0000B50F0000}"/>
    <cellStyle name="Normal 18 4 2 3" xfId="3443" xr:uid="{00000000-0005-0000-0000-0000B60F0000}"/>
    <cellStyle name="Normal 18 4 2 3 2" xfId="7600" xr:uid="{00000000-0005-0000-0000-0000B70F0000}"/>
    <cellStyle name="Normal 18 4 2 4" xfId="7601" xr:uid="{00000000-0005-0000-0000-0000B80F0000}"/>
    <cellStyle name="Normal 18 4 3" xfId="3444" xr:uid="{00000000-0005-0000-0000-0000B90F0000}"/>
    <cellStyle name="Normal 18 4 3 2" xfId="3445" xr:uid="{00000000-0005-0000-0000-0000BA0F0000}"/>
    <cellStyle name="Normal 18 4 3 2 2" xfId="7602" xr:uid="{00000000-0005-0000-0000-0000BB0F0000}"/>
    <cellStyle name="Normal 18 4 3 3" xfId="7603" xr:uid="{00000000-0005-0000-0000-0000BC0F0000}"/>
    <cellStyle name="Normal 18 4 4" xfId="3446" xr:uid="{00000000-0005-0000-0000-0000BD0F0000}"/>
    <cellStyle name="Normal 18 4 4 2" xfId="7604" xr:uid="{00000000-0005-0000-0000-0000BE0F0000}"/>
    <cellStyle name="Normal 18 4 5" xfId="7605" xr:uid="{00000000-0005-0000-0000-0000BF0F0000}"/>
    <cellStyle name="Normal 18 5" xfId="3447" xr:uid="{00000000-0005-0000-0000-0000C00F0000}"/>
    <cellStyle name="Normal 18 5 2" xfId="3448" xr:uid="{00000000-0005-0000-0000-0000C10F0000}"/>
    <cellStyle name="Normal 18 5 2 2" xfId="3449" xr:uid="{00000000-0005-0000-0000-0000C20F0000}"/>
    <cellStyle name="Normal 18 5 2 2 2" xfId="3450" xr:uid="{00000000-0005-0000-0000-0000C30F0000}"/>
    <cellStyle name="Normal 18 5 2 2 2 2" xfId="7606" xr:uid="{00000000-0005-0000-0000-0000C40F0000}"/>
    <cellStyle name="Normal 18 5 2 2 3" xfId="7607" xr:uid="{00000000-0005-0000-0000-0000C50F0000}"/>
    <cellStyle name="Normal 18 5 2 3" xfId="3451" xr:uid="{00000000-0005-0000-0000-0000C60F0000}"/>
    <cellStyle name="Normal 18 5 2 3 2" xfId="7608" xr:uid="{00000000-0005-0000-0000-0000C70F0000}"/>
    <cellStyle name="Normal 18 5 2 4" xfId="7609" xr:uid="{00000000-0005-0000-0000-0000C80F0000}"/>
    <cellStyle name="Normal 18 5 3" xfId="3452" xr:uid="{00000000-0005-0000-0000-0000C90F0000}"/>
    <cellStyle name="Normal 18 5 3 2" xfId="3453" xr:uid="{00000000-0005-0000-0000-0000CA0F0000}"/>
    <cellStyle name="Normal 18 5 3 2 2" xfId="7610" xr:uid="{00000000-0005-0000-0000-0000CB0F0000}"/>
    <cellStyle name="Normal 18 5 3 3" xfId="7611" xr:uid="{00000000-0005-0000-0000-0000CC0F0000}"/>
    <cellStyle name="Normal 18 5 4" xfId="3454" xr:uid="{00000000-0005-0000-0000-0000CD0F0000}"/>
    <cellStyle name="Normal 18 5 4 2" xfId="7612" xr:uid="{00000000-0005-0000-0000-0000CE0F0000}"/>
    <cellStyle name="Normal 18 5 5" xfId="7613" xr:uid="{00000000-0005-0000-0000-0000CF0F0000}"/>
    <cellStyle name="Normal 18 6" xfId="3455" xr:uid="{00000000-0005-0000-0000-0000D00F0000}"/>
    <cellStyle name="Normal 18 6 2" xfId="3456" xr:uid="{00000000-0005-0000-0000-0000D10F0000}"/>
    <cellStyle name="Normal 18 6 2 2" xfId="3457" xr:uid="{00000000-0005-0000-0000-0000D20F0000}"/>
    <cellStyle name="Normal 18 6 2 2 2" xfId="7614" xr:uid="{00000000-0005-0000-0000-0000D30F0000}"/>
    <cellStyle name="Normal 18 6 2 3" xfId="7615" xr:uid="{00000000-0005-0000-0000-0000D40F0000}"/>
    <cellStyle name="Normal 18 6 3" xfId="3458" xr:uid="{00000000-0005-0000-0000-0000D50F0000}"/>
    <cellStyle name="Normal 18 6 3 2" xfId="7616" xr:uid="{00000000-0005-0000-0000-0000D60F0000}"/>
    <cellStyle name="Normal 18 6 4" xfId="7617" xr:uid="{00000000-0005-0000-0000-0000D70F0000}"/>
    <cellStyle name="Normal 18 7" xfId="3459" xr:uid="{00000000-0005-0000-0000-0000D80F0000}"/>
    <cellStyle name="Normal 18 7 2" xfId="3460" xr:uid="{00000000-0005-0000-0000-0000D90F0000}"/>
    <cellStyle name="Normal 18 7 2 2" xfId="7618" xr:uid="{00000000-0005-0000-0000-0000DA0F0000}"/>
    <cellStyle name="Normal 18 7 3" xfId="7619" xr:uid="{00000000-0005-0000-0000-0000DB0F0000}"/>
    <cellStyle name="Normal 18 8" xfId="3461" xr:uid="{00000000-0005-0000-0000-0000DC0F0000}"/>
    <cellStyle name="Normal 18 8 2" xfId="7620" xr:uid="{00000000-0005-0000-0000-0000DD0F0000}"/>
    <cellStyle name="Normal 18 9" xfId="7621" xr:uid="{00000000-0005-0000-0000-0000DE0F0000}"/>
    <cellStyle name="Normal 180" xfId="10549" xr:uid="{00000000-0005-0000-0000-0000DF0F0000}"/>
    <cellStyle name="Normal 181" xfId="10552" xr:uid="{00000000-0005-0000-0000-0000E00F0000}"/>
    <cellStyle name="Normal 182" xfId="10555" xr:uid="{00000000-0005-0000-0000-0000E10F0000}"/>
    <cellStyle name="Normal 183" xfId="10558" xr:uid="{00000000-0005-0000-0000-0000E20F0000}"/>
    <cellStyle name="Normal 184" xfId="10561" xr:uid="{00000000-0005-0000-0000-0000E30F0000}"/>
    <cellStyle name="Normal 185" xfId="10564" xr:uid="{00000000-0005-0000-0000-0000E40F0000}"/>
    <cellStyle name="Normal 186" xfId="10567" xr:uid="{00000000-0005-0000-0000-0000E50F0000}"/>
    <cellStyle name="Normal 187" xfId="10570" xr:uid="{00000000-0005-0000-0000-0000E60F0000}"/>
    <cellStyle name="Normal 188" xfId="10573" xr:uid="{00000000-0005-0000-0000-0000E70F0000}"/>
    <cellStyle name="Normal 189" xfId="10576" xr:uid="{00000000-0005-0000-0000-0000E80F0000}"/>
    <cellStyle name="Normal 19" xfId="3462" xr:uid="{00000000-0005-0000-0000-0000E90F0000}"/>
    <cellStyle name="Normal 19 2" xfId="3463" xr:uid="{00000000-0005-0000-0000-0000EA0F0000}"/>
    <cellStyle name="Normal 19 2 2" xfId="3464" xr:uid="{00000000-0005-0000-0000-0000EB0F0000}"/>
    <cellStyle name="Normal 19 3" xfId="3465" xr:uid="{00000000-0005-0000-0000-0000EC0F0000}"/>
    <cellStyle name="Normal 19 3 2" xfId="3466" xr:uid="{00000000-0005-0000-0000-0000ED0F0000}"/>
    <cellStyle name="Normal 19 3 2 2" xfId="3467" xr:uid="{00000000-0005-0000-0000-0000EE0F0000}"/>
    <cellStyle name="Normal 19 3 2 2 2" xfId="3468" xr:uid="{00000000-0005-0000-0000-0000EF0F0000}"/>
    <cellStyle name="Normal 19 3 2 2 2 2" xfId="7622" xr:uid="{00000000-0005-0000-0000-0000F00F0000}"/>
    <cellStyle name="Normal 19 3 2 2 3" xfId="7623" xr:uid="{00000000-0005-0000-0000-0000F10F0000}"/>
    <cellStyle name="Normal 19 3 2 3" xfId="3469" xr:uid="{00000000-0005-0000-0000-0000F20F0000}"/>
    <cellStyle name="Normal 19 3 2 3 2" xfId="7624" xr:uid="{00000000-0005-0000-0000-0000F30F0000}"/>
    <cellStyle name="Normal 19 3 2 4" xfId="7625" xr:uid="{00000000-0005-0000-0000-0000F40F0000}"/>
    <cellStyle name="Normal 19 3 3" xfId="3470" xr:uid="{00000000-0005-0000-0000-0000F50F0000}"/>
    <cellStyle name="Normal 19 3 3 2" xfId="3471" xr:uid="{00000000-0005-0000-0000-0000F60F0000}"/>
    <cellStyle name="Normal 19 3 3 2 2" xfId="7626" xr:uid="{00000000-0005-0000-0000-0000F70F0000}"/>
    <cellStyle name="Normal 19 3 3 3" xfId="7627" xr:uid="{00000000-0005-0000-0000-0000F80F0000}"/>
    <cellStyle name="Normal 19 3 4" xfId="3472" xr:uid="{00000000-0005-0000-0000-0000F90F0000}"/>
    <cellStyle name="Normal 19 3 4 2" xfId="7628" xr:uid="{00000000-0005-0000-0000-0000FA0F0000}"/>
    <cellStyle name="Normal 19 3 5" xfId="3473" xr:uid="{00000000-0005-0000-0000-0000FB0F0000}"/>
    <cellStyle name="Normal 19 4" xfId="3474" xr:uid="{00000000-0005-0000-0000-0000FC0F0000}"/>
    <cellStyle name="Normal 19 4 2" xfId="3475" xr:uid="{00000000-0005-0000-0000-0000FD0F0000}"/>
    <cellStyle name="Normal 19 4 2 2" xfId="3476" xr:uid="{00000000-0005-0000-0000-0000FE0F0000}"/>
    <cellStyle name="Normal 19 4 2 2 2" xfId="3477" xr:uid="{00000000-0005-0000-0000-0000FF0F0000}"/>
    <cellStyle name="Normal 19 4 2 2 2 2" xfId="7629" xr:uid="{00000000-0005-0000-0000-000000100000}"/>
    <cellStyle name="Normal 19 4 2 2 3" xfId="7630" xr:uid="{00000000-0005-0000-0000-000001100000}"/>
    <cellStyle name="Normal 19 4 2 3" xfId="3478" xr:uid="{00000000-0005-0000-0000-000002100000}"/>
    <cellStyle name="Normal 19 4 2 3 2" xfId="7631" xr:uid="{00000000-0005-0000-0000-000003100000}"/>
    <cellStyle name="Normal 19 4 2 4" xfId="7632" xr:uid="{00000000-0005-0000-0000-000004100000}"/>
    <cellStyle name="Normal 19 4 3" xfId="3479" xr:uid="{00000000-0005-0000-0000-000005100000}"/>
    <cellStyle name="Normal 19 4 3 2" xfId="3480" xr:uid="{00000000-0005-0000-0000-000006100000}"/>
    <cellStyle name="Normal 19 4 3 2 2" xfId="7633" xr:uid="{00000000-0005-0000-0000-000007100000}"/>
    <cellStyle name="Normal 19 4 3 3" xfId="7634" xr:uid="{00000000-0005-0000-0000-000008100000}"/>
    <cellStyle name="Normal 19 4 4" xfId="3481" xr:uid="{00000000-0005-0000-0000-000009100000}"/>
    <cellStyle name="Normal 19 4 4 2" xfId="7635" xr:uid="{00000000-0005-0000-0000-00000A100000}"/>
    <cellStyle name="Normal 19 4 5" xfId="7636" xr:uid="{00000000-0005-0000-0000-00000B100000}"/>
    <cellStyle name="Normal 19 5" xfId="3482" xr:uid="{00000000-0005-0000-0000-00000C100000}"/>
    <cellStyle name="Normal 19 5 2" xfId="3483" xr:uid="{00000000-0005-0000-0000-00000D100000}"/>
    <cellStyle name="Normal 19 5 2 2" xfId="3484" xr:uid="{00000000-0005-0000-0000-00000E100000}"/>
    <cellStyle name="Normal 19 5 2 2 2" xfId="3485" xr:uid="{00000000-0005-0000-0000-00000F100000}"/>
    <cellStyle name="Normal 19 5 2 2 2 2" xfId="7637" xr:uid="{00000000-0005-0000-0000-000010100000}"/>
    <cellStyle name="Normal 19 5 2 2 3" xfId="7638" xr:uid="{00000000-0005-0000-0000-000011100000}"/>
    <cellStyle name="Normal 19 5 2 3" xfId="3486" xr:uid="{00000000-0005-0000-0000-000012100000}"/>
    <cellStyle name="Normal 19 5 2 3 2" xfId="7639" xr:uid="{00000000-0005-0000-0000-000013100000}"/>
    <cellStyle name="Normal 19 5 2 4" xfId="7640" xr:uid="{00000000-0005-0000-0000-000014100000}"/>
    <cellStyle name="Normal 19 5 3" xfId="3487" xr:uid="{00000000-0005-0000-0000-000015100000}"/>
    <cellStyle name="Normal 19 5 3 2" xfId="3488" xr:uid="{00000000-0005-0000-0000-000016100000}"/>
    <cellStyle name="Normal 19 5 3 2 2" xfId="7641" xr:uid="{00000000-0005-0000-0000-000017100000}"/>
    <cellStyle name="Normal 19 5 3 3" xfId="7642" xr:uid="{00000000-0005-0000-0000-000018100000}"/>
    <cellStyle name="Normal 19 5 4" xfId="3489" xr:uid="{00000000-0005-0000-0000-000019100000}"/>
    <cellStyle name="Normal 19 5 4 2" xfId="7643" xr:uid="{00000000-0005-0000-0000-00001A100000}"/>
    <cellStyle name="Normal 19 5 5" xfId="7644" xr:uid="{00000000-0005-0000-0000-00001B100000}"/>
    <cellStyle name="Normal 19 6" xfId="3490" xr:uid="{00000000-0005-0000-0000-00001C100000}"/>
    <cellStyle name="Normal 19 6 2" xfId="3491" xr:uid="{00000000-0005-0000-0000-00001D100000}"/>
    <cellStyle name="Normal 19 6 2 2" xfId="3492" xr:uid="{00000000-0005-0000-0000-00001E100000}"/>
    <cellStyle name="Normal 19 6 2 2 2" xfId="7645" xr:uid="{00000000-0005-0000-0000-00001F100000}"/>
    <cellStyle name="Normal 19 6 2 3" xfId="7646" xr:uid="{00000000-0005-0000-0000-000020100000}"/>
    <cellStyle name="Normal 19 6 3" xfId="3493" xr:uid="{00000000-0005-0000-0000-000021100000}"/>
    <cellStyle name="Normal 19 6 3 2" xfId="7647" xr:uid="{00000000-0005-0000-0000-000022100000}"/>
    <cellStyle name="Normal 19 6 4" xfId="7648" xr:uid="{00000000-0005-0000-0000-000023100000}"/>
    <cellStyle name="Normal 19 7" xfId="3494" xr:uid="{00000000-0005-0000-0000-000024100000}"/>
    <cellStyle name="Normal 19 7 2" xfId="3495" xr:uid="{00000000-0005-0000-0000-000025100000}"/>
    <cellStyle name="Normal 19 7 2 2" xfId="7649" xr:uid="{00000000-0005-0000-0000-000026100000}"/>
    <cellStyle name="Normal 19 7 3" xfId="7650" xr:uid="{00000000-0005-0000-0000-000027100000}"/>
    <cellStyle name="Normal 19 8" xfId="3496" xr:uid="{00000000-0005-0000-0000-000028100000}"/>
    <cellStyle name="Normal 19 8 2" xfId="7651" xr:uid="{00000000-0005-0000-0000-000029100000}"/>
    <cellStyle name="Normal 19 9" xfId="7652" xr:uid="{00000000-0005-0000-0000-00002A100000}"/>
    <cellStyle name="Normal 190" xfId="10579" xr:uid="{00000000-0005-0000-0000-00002B100000}"/>
    <cellStyle name="Normal 191" xfId="10582" xr:uid="{00000000-0005-0000-0000-00002C100000}"/>
    <cellStyle name="Normal 192" xfId="10585" xr:uid="{00000000-0005-0000-0000-00002D100000}"/>
    <cellStyle name="Normal 193" xfId="10588" xr:uid="{00000000-0005-0000-0000-00002E100000}"/>
    <cellStyle name="Normal 194" xfId="10591" xr:uid="{00000000-0005-0000-0000-00002F100000}"/>
    <cellStyle name="Normal 195" xfId="10594" xr:uid="{00000000-0005-0000-0000-000030100000}"/>
    <cellStyle name="Normal 196" xfId="10597" xr:uid="{00000000-0005-0000-0000-000031100000}"/>
    <cellStyle name="Normal 197" xfId="10600" xr:uid="{00000000-0005-0000-0000-000032100000}"/>
    <cellStyle name="Normal 198" xfId="10603" xr:uid="{00000000-0005-0000-0000-000033100000}"/>
    <cellStyle name="Normal 199" xfId="10606" xr:uid="{00000000-0005-0000-0000-000034100000}"/>
    <cellStyle name="Normal 2" xfId="17" xr:uid="{00000000-0005-0000-0000-000035100000}"/>
    <cellStyle name="Normal 2 10" xfId="1678" xr:uid="{00000000-0005-0000-0000-000036100000}"/>
    <cellStyle name="Normal 2 10 2" xfId="3498" xr:uid="{00000000-0005-0000-0000-000037100000}"/>
    <cellStyle name="Normal 2 11" xfId="3499" xr:uid="{00000000-0005-0000-0000-000038100000}"/>
    <cellStyle name="Normal 2 12" xfId="3497" xr:uid="{00000000-0005-0000-0000-000039100000}"/>
    <cellStyle name="Normal 2 13" xfId="2257" xr:uid="{00000000-0005-0000-0000-00003A100000}"/>
    <cellStyle name="Normal 2 14" xfId="1937" xr:uid="{00000000-0005-0000-0000-00003B100000}"/>
    <cellStyle name="Normal 2 2" xfId="210" xr:uid="{00000000-0005-0000-0000-00003C100000}"/>
    <cellStyle name="Normal 2 2 10" xfId="3501" xr:uid="{00000000-0005-0000-0000-00003D100000}"/>
    <cellStyle name="Normal 2 2 10 2" xfId="7653" xr:uid="{00000000-0005-0000-0000-00003E100000}"/>
    <cellStyle name="Normal 2 2 11" xfId="7654" xr:uid="{00000000-0005-0000-0000-00003F100000}"/>
    <cellStyle name="Normal 2 2 12" xfId="3500" xr:uid="{00000000-0005-0000-0000-000040100000}"/>
    <cellStyle name="Normal 2 2 13" xfId="10903" xr:uid="{00000000-0005-0000-0000-000041100000}"/>
    <cellStyle name="Normal 2 2 14" xfId="1988" xr:uid="{00000000-0005-0000-0000-000042100000}"/>
    <cellStyle name="Normal 2 2 2" xfId="211" xr:uid="{00000000-0005-0000-0000-000043100000}"/>
    <cellStyle name="Normal 2 2 2 10" xfId="3502" xr:uid="{00000000-0005-0000-0000-000044100000}"/>
    <cellStyle name="Normal 2 2 2 2" xfId="212" xr:uid="{00000000-0005-0000-0000-000045100000}"/>
    <cellStyle name="Normal 2 2 2 2 2" xfId="3504" xr:uid="{00000000-0005-0000-0000-000046100000}"/>
    <cellStyle name="Normal 2 2 2 2 2 2" xfId="3505" xr:uid="{00000000-0005-0000-0000-000047100000}"/>
    <cellStyle name="Normal 2 2 2 2 3" xfId="3506" xr:uid="{00000000-0005-0000-0000-000048100000}"/>
    <cellStyle name="Normal 2 2 2 2 3 2" xfId="3507" xr:uid="{00000000-0005-0000-0000-000049100000}"/>
    <cellStyle name="Normal 2 2 2 2 4" xfId="3508" xr:uid="{00000000-0005-0000-0000-00004A100000}"/>
    <cellStyle name="Normal 2 2 2 2 5" xfId="3503" xr:uid="{00000000-0005-0000-0000-00004B100000}"/>
    <cellStyle name="Normal 2 2 2 3" xfId="3509" xr:uid="{00000000-0005-0000-0000-00004C100000}"/>
    <cellStyle name="Normal 2 2 2 3 2" xfId="3510" xr:uid="{00000000-0005-0000-0000-00004D100000}"/>
    <cellStyle name="Normal 2 2 2 3 2 2" xfId="3511" xr:uid="{00000000-0005-0000-0000-00004E100000}"/>
    <cellStyle name="Normal 2 2 2 3 2 2 2" xfId="3512" xr:uid="{00000000-0005-0000-0000-00004F100000}"/>
    <cellStyle name="Normal 2 2 2 3 2 2 2 2" xfId="7655" xr:uid="{00000000-0005-0000-0000-000050100000}"/>
    <cellStyle name="Normal 2 2 2 3 2 2 3" xfId="7656" xr:uid="{00000000-0005-0000-0000-000051100000}"/>
    <cellStyle name="Normal 2 2 2 3 2 3" xfId="3513" xr:uid="{00000000-0005-0000-0000-000052100000}"/>
    <cellStyle name="Normal 2 2 2 3 2 3 2" xfId="7657" xr:uid="{00000000-0005-0000-0000-000053100000}"/>
    <cellStyle name="Normal 2 2 2 3 2 4" xfId="7658" xr:uid="{00000000-0005-0000-0000-000054100000}"/>
    <cellStyle name="Normal 2 2 2 3 3" xfId="3514" xr:uid="{00000000-0005-0000-0000-000055100000}"/>
    <cellStyle name="Normal 2 2 2 3 3 2" xfId="3515" xr:uid="{00000000-0005-0000-0000-000056100000}"/>
    <cellStyle name="Normal 2 2 2 3 3 2 2" xfId="7659" xr:uid="{00000000-0005-0000-0000-000057100000}"/>
    <cellStyle name="Normal 2 2 2 3 3 3" xfId="7660" xr:uid="{00000000-0005-0000-0000-000058100000}"/>
    <cellStyle name="Normal 2 2 2 3 4" xfId="3516" xr:uid="{00000000-0005-0000-0000-000059100000}"/>
    <cellStyle name="Normal 2 2 2 3 4 2" xfId="7661" xr:uid="{00000000-0005-0000-0000-00005A100000}"/>
    <cellStyle name="Normal 2 2 2 3 5" xfId="3517" xr:uid="{00000000-0005-0000-0000-00005B100000}"/>
    <cellStyle name="Normal 2 2 2 4" xfId="3518" xr:uid="{00000000-0005-0000-0000-00005C100000}"/>
    <cellStyle name="Normal 2 2 2 4 2" xfId="3519" xr:uid="{00000000-0005-0000-0000-00005D100000}"/>
    <cellStyle name="Normal 2 2 2 4 2 2" xfId="3520" xr:uid="{00000000-0005-0000-0000-00005E100000}"/>
    <cellStyle name="Normal 2 2 2 4 2 2 2" xfId="3521" xr:uid="{00000000-0005-0000-0000-00005F100000}"/>
    <cellStyle name="Normal 2 2 2 4 2 2 2 2" xfId="7662" xr:uid="{00000000-0005-0000-0000-000060100000}"/>
    <cellStyle name="Normal 2 2 2 4 2 2 3" xfId="7663" xr:uid="{00000000-0005-0000-0000-000061100000}"/>
    <cellStyle name="Normal 2 2 2 4 2 3" xfId="3522" xr:uid="{00000000-0005-0000-0000-000062100000}"/>
    <cellStyle name="Normal 2 2 2 4 2 3 2" xfId="7664" xr:uid="{00000000-0005-0000-0000-000063100000}"/>
    <cellStyle name="Normal 2 2 2 4 2 4" xfId="7665" xr:uid="{00000000-0005-0000-0000-000064100000}"/>
    <cellStyle name="Normal 2 2 2 4 3" xfId="3523" xr:uid="{00000000-0005-0000-0000-000065100000}"/>
    <cellStyle name="Normal 2 2 2 4 3 2" xfId="3524" xr:uid="{00000000-0005-0000-0000-000066100000}"/>
    <cellStyle name="Normal 2 2 2 4 3 2 2" xfId="7666" xr:uid="{00000000-0005-0000-0000-000067100000}"/>
    <cellStyle name="Normal 2 2 2 4 3 3" xfId="7667" xr:uid="{00000000-0005-0000-0000-000068100000}"/>
    <cellStyle name="Normal 2 2 2 4 4" xfId="3525" xr:uid="{00000000-0005-0000-0000-000069100000}"/>
    <cellStyle name="Normal 2 2 2 4 4 2" xfId="7668" xr:uid="{00000000-0005-0000-0000-00006A100000}"/>
    <cellStyle name="Normal 2 2 2 4 5" xfId="7669" xr:uid="{00000000-0005-0000-0000-00006B100000}"/>
    <cellStyle name="Normal 2 2 2 5" xfId="3526" xr:uid="{00000000-0005-0000-0000-00006C100000}"/>
    <cellStyle name="Normal 2 2 2 5 2" xfId="3527" xr:uid="{00000000-0005-0000-0000-00006D100000}"/>
    <cellStyle name="Normal 2 2 2 5 2 2" xfId="3528" xr:uid="{00000000-0005-0000-0000-00006E100000}"/>
    <cellStyle name="Normal 2 2 2 5 2 2 2" xfId="3529" xr:uid="{00000000-0005-0000-0000-00006F100000}"/>
    <cellStyle name="Normal 2 2 2 5 2 2 2 2" xfId="7670" xr:uid="{00000000-0005-0000-0000-000070100000}"/>
    <cellStyle name="Normal 2 2 2 5 2 2 3" xfId="7671" xr:uid="{00000000-0005-0000-0000-000071100000}"/>
    <cellStyle name="Normal 2 2 2 5 2 3" xfId="3530" xr:uid="{00000000-0005-0000-0000-000072100000}"/>
    <cellStyle name="Normal 2 2 2 5 2 3 2" xfId="7672" xr:uid="{00000000-0005-0000-0000-000073100000}"/>
    <cellStyle name="Normal 2 2 2 5 2 4" xfId="7673" xr:uid="{00000000-0005-0000-0000-000074100000}"/>
    <cellStyle name="Normal 2 2 2 5 3" xfId="3531" xr:uid="{00000000-0005-0000-0000-000075100000}"/>
    <cellStyle name="Normal 2 2 2 5 3 2" xfId="3532" xr:uid="{00000000-0005-0000-0000-000076100000}"/>
    <cellStyle name="Normal 2 2 2 5 3 2 2" xfId="7674" xr:uid="{00000000-0005-0000-0000-000077100000}"/>
    <cellStyle name="Normal 2 2 2 5 3 3" xfId="7675" xr:uid="{00000000-0005-0000-0000-000078100000}"/>
    <cellStyle name="Normal 2 2 2 5 4" xfId="3533" xr:uid="{00000000-0005-0000-0000-000079100000}"/>
    <cellStyle name="Normal 2 2 2 5 4 2" xfId="7676" xr:uid="{00000000-0005-0000-0000-00007A100000}"/>
    <cellStyle name="Normal 2 2 2 5 5" xfId="7677" xr:uid="{00000000-0005-0000-0000-00007B100000}"/>
    <cellStyle name="Normal 2 2 2 6" xfId="3534" xr:uid="{00000000-0005-0000-0000-00007C100000}"/>
    <cellStyle name="Normal 2 2 2 6 2" xfId="3535" xr:uid="{00000000-0005-0000-0000-00007D100000}"/>
    <cellStyle name="Normal 2 2 2 6 2 2" xfId="3536" xr:uid="{00000000-0005-0000-0000-00007E100000}"/>
    <cellStyle name="Normal 2 2 2 6 2 2 2" xfId="7678" xr:uid="{00000000-0005-0000-0000-00007F100000}"/>
    <cellStyle name="Normal 2 2 2 6 2 3" xfId="7679" xr:uid="{00000000-0005-0000-0000-000080100000}"/>
    <cellStyle name="Normal 2 2 2 6 3" xfId="3537" xr:uid="{00000000-0005-0000-0000-000081100000}"/>
    <cellStyle name="Normal 2 2 2 6 3 2" xfId="7680" xr:uid="{00000000-0005-0000-0000-000082100000}"/>
    <cellStyle name="Normal 2 2 2 6 4" xfId="7681" xr:uid="{00000000-0005-0000-0000-000083100000}"/>
    <cellStyle name="Normal 2 2 2 7" xfId="3538" xr:uid="{00000000-0005-0000-0000-000084100000}"/>
    <cellStyle name="Normal 2 2 2 7 2" xfId="3539" xr:uid="{00000000-0005-0000-0000-000085100000}"/>
    <cellStyle name="Normal 2 2 2 7 2 2" xfId="7682" xr:uid="{00000000-0005-0000-0000-000086100000}"/>
    <cellStyle name="Normal 2 2 2 7 3" xfId="7683" xr:uid="{00000000-0005-0000-0000-000087100000}"/>
    <cellStyle name="Normal 2 2 2 8" xfId="3540" xr:uid="{00000000-0005-0000-0000-000088100000}"/>
    <cellStyle name="Normal 2 2 2 8 2" xfId="7684" xr:uid="{00000000-0005-0000-0000-000089100000}"/>
    <cellStyle name="Normal 2 2 2 9" xfId="7685" xr:uid="{00000000-0005-0000-0000-00008A100000}"/>
    <cellStyle name="Normal 2 2 3" xfId="5" xr:uid="{00000000-0005-0000-0000-00008B100000}"/>
    <cellStyle name="Normal 2 2 3 10" xfId="10406" xr:uid="{00000000-0005-0000-0000-00008C100000}"/>
    <cellStyle name="Normal 2 2 3 11" xfId="3541" xr:uid="{00000000-0005-0000-0000-00008D100000}"/>
    <cellStyle name="Normal 2 2 3 2" xfId="213" xr:uid="{00000000-0005-0000-0000-00008E100000}"/>
    <cellStyle name="Normal 2 2 3 2 2" xfId="3543" xr:uid="{00000000-0005-0000-0000-00008F100000}"/>
    <cellStyle name="Normal 2 2 3 2 3" xfId="3542" xr:uid="{00000000-0005-0000-0000-000090100000}"/>
    <cellStyle name="Normal 2 2 3 3" xfId="3544" xr:uid="{00000000-0005-0000-0000-000091100000}"/>
    <cellStyle name="Normal 2 2 3 3 2" xfId="3545" xr:uid="{00000000-0005-0000-0000-000092100000}"/>
    <cellStyle name="Normal 2 2 3 3 2 2" xfId="3546" xr:uid="{00000000-0005-0000-0000-000093100000}"/>
    <cellStyle name="Normal 2 2 3 3 2 2 2" xfId="3547" xr:uid="{00000000-0005-0000-0000-000094100000}"/>
    <cellStyle name="Normal 2 2 3 3 2 2 2 2" xfId="7686" xr:uid="{00000000-0005-0000-0000-000095100000}"/>
    <cellStyle name="Normal 2 2 3 3 2 2 3" xfId="7687" xr:uid="{00000000-0005-0000-0000-000096100000}"/>
    <cellStyle name="Normal 2 2 3 3 2 3" xfId="3548" xr:uid="{00000000-0005-0000-0000-000097100000}"/>
    <cellStyle name="Normal 2 2 3 3 2 3 2" xfId="7688" xr:uid="{00000000-0005-0000-0000-000098100000}"/>
    <cellStyle name="Normal 2 2 3 3 2 4" xfId="7689" xr:uid="{00000000-0005-0000-0000-000099100000}"/>
    <cellStyle name="Normal 2 2 3 3 3" xfId="3549" xr:uid="{00000000-0005-0000-0000-00009A100000}"/>
    <cellStyle name="Normal 2 2 3 3 3 2" xfId="3550" xr:uid="{00000000-0005-0000-0000-00009B100000}"/>
    <cellStyle name="Normal 2 2 3 3 3 2 2" xfId="7690" xr:uid="{00000000-0005-0000-0000-00009C100000}"/>
    <cellStyle name="Normal 2 2 3 3 3 3" xfId="7691" xr:uid="{00000000-0005-0000-0000-00009D100000}"/>
    <cellStyle name="Normal 2 2 3 3 4" xfId="3551" xr:uid="{00000000-0005-0000-0000-00009E100000}"/>
    <cellStyle name="Normal 2 2 3 3 4 2" xfId="7692" xr:uid="{00000000-0005-0000-0000-00009F100000}"/>
    <cellStyle name="Normal 2 2 3 3 5" xfId="3552" xr:uid="{00000000-0005-0000-0000-0000A0100000}"/>
    <cellStyle name="Normal 2 2 3 4" xfId="3553" xr:uid="{00000000-0005-0000-0000-0000A1100000}"/>
    <cellStyle name="Normal 2 2 3 4 2" xfId="3554" xr:uid="{00000000-0005-0000-0000-0000A2100000}"/>
    <cellStyle name="Normal 2 2 3 4 2 2" xfId="3555" xr:uid="{00000000-0005-0000-0000-0000A3100000}"/>
    <cellStyle name="Normal 2 2 3 4 2 2 2" xfId="3556" xr:uid="{00000000-0005-0000-0000-0000A4100000}"/>
    <cellStyle name="Normal 2 2 3 4 2 2 2 2" xfId="7693" xr:uid="{00000000-0005-0000-0000-0000A5100000}"/>
    <cellStyle name="Normal 2 2 3 4 2 2 3" xfId="7694" xr:uid="{00000000-0005-0000-0000-0000A6100000}"/>
    <cellStyle name="Normal 2 2 3 4 2 3" xfId="3557" xr:uid="{00000000-0005-0000-0000-0000A7100000}"/>
    <cellStyle name="Normal 2 2 3 4 2 3 2" xfId="7695" xr:uid="{00000000-0005-0000-0000-0000A8100000}"/>
    <cellStyle name="Normal 2 2 3 4 2 4" xfId="7696" xr:uid="{00000000-0005-0000-0000-0000A9100000}"/>
    <cellStyle name="Normal 2 2 3 4 3" xfId="3558" xr:uid="{00000000-0005-0000-0000-0000AA100000}"/>
    <cellStyle name="Normal 2 2 3 4 3 2" xfId="3559" xr:uid="{00000000-0005-0000-0000-0000AB100000}"/>
    <cellStyle name="Normal 2 2 3 4 3 2 2" xfId="7697" xr:uid="{00000000-0005-0000-0000-0000AC100000}"/>
    <cellStyle name="Normal 2 2 3 4 3 3" xfId="7698" xr:uid="{00000000-0005-0000-0000-0000AD100000}"/>
    <cellStyle name="Normal 2 2 3 4 4" xfId="3560" xr:uid="{00000000-0005-0000-0000-0000AE100000}"/>
    <cellStyle name="Normal 2 2 3 4 4 2" xfId="7699" xr:uid="{00000000-0005-0000-0000-0000AF100000}"/>
    <cellStyle name="Normal 2 2 3 4 5" xfId="7700" xr:uid="{00000000-0005-0000-0000-0000B0100000}"/>
    <cellStyle name="Normal 2 2 3 5" xfId="3561" xr:uid="{00000000-0005-0000-0000-0000B1100000}"/>
    <cellStyle name="Normal 2 2 3 5 2" xfId="3562" xr:uid="{00000000-0005-0000-0000-0000B2100000}"/>
    <cellStyle name="Normal 2 2 3 5 2 2" xfId="3563" xr:uid="{00000000-0005-0000-0000-0000B3100000}"/>
    <cellStyle name="Normal 2 2 3 5 2 2 2" xfId="3564" xr:uid="{00000000-0005-0000-0000-0000B4100000}"/>
    <cellStyle name="Normal 2 2 3 5 2 2 2 2" xfId="7701" xr:uid="{00000000-0005-0000-0000-0000B5100000}"/>
    <cellStyle name="Normal 2 2 3 5 2 2 3" xfId="7702" xr:uid="{00000000-0005-0000-0000-0000B6100000}"/>
    <cellStyle name="Normal 2 2 3 5 2 3" xfId="3565" xr:uid="{00000000-0005-0000-0000-0000B7100000}"/>
    <cellStyle name="Normal 2 2 3 5 2 3 2" xfId="7703" xr:uid="{00000000-0005-0000-0000-0000B8100000}"/>
    <cellStyle name="Normal 2 2 3 5 2 4" xfId="7704" xr:uid="{00000000-0005-0000-0000-0000B9100000}"/>
    <cellStyle name="Normal 2 2 3 5 3" xfId="3566" xr:uid="{00000000-0005-0000-0000-0000BA100000}"/>
    <cellStyle name="Normal 2 2 3 5 3 2" xfId="3567" xr:uid="{00000000-0005-0000-0000-0000BB100000}"/>
    <cellStyle name="Normal 2 2 3 5 3 2 2" xfId="7705" xr:uid="{00000000-0005-0000-0000-0000BC100000}"/>
    <cellStyle name="Normal 2 2 3 5 3 3" xfId="7706" xr:uid="{00000000-0005-0000-0000-0000BD100000}"/>
    <cellStyle name="Normal 2 2 3 5 4" xfId="3568" xr:uid="{00000000-0005-0000-0000-0000BE100000}"/>
    <cellStyle name="Normal 2 2 3 5 4 2" xfId="7707" xr:uid="{00000000-0005-0000-0000-0000BF100000}"/>
    <cellStyle name="Normal 2 2 3 5 5" xfId="7708" xr:uid="{00000000-0005-0000-0000-0000C0100000}"/>
    <cellStyle name="Normal 2 2 3 6" xfId="3569" xr:uid="{00000000-0005-0000-0000-0000C1100000}"/>
    <cellStyle name="Normal 2 2 3 6 2" xfId="3570" xr:uid="{00000000-0005-0000-0000-0000C2100000}"/>
    <cellStyle name="Normal 2 2 3 6 2 2" xfId="3571" xr:uid="{00000000-0005-0000-0000-0000C3100000}"/>
    <cellStyle name="Normal 2 2 3 6 2 2 2" xfId="7709" xr:uid="{00000000-0005-0000-0000-0000C4100000}"/>
    <cellStyle name="Normal 2 2 3 6 2 3" xfId="7710" xr:uid="{00000000-0005-0000-0000-0000C5100000}"/>
    <cellStyle name="Normal 2 2 3 6 3" xfId="3572" xr:uid="{00000000-0005-0000-0000-0000C6100000}"/>
    <cellStyle name="Normal 2 2 3 6 3 2" xfId="7711" xr:uid="{00000000-0005-0000-0000-0000C7100000}"/>
    <cellStyle name="Normal 2 2 3 6 4" xfId="7712" xr:uid="{00000000-0005-0000-0000-0000C8100000}"/>
    <cellStyle name="Normal 2 2 3 7" xfId="3573" xr:uid="{00000000-0005-0000-0000-0000C9100000}"/>
    <cellStyle name="Normal 2 2 3 7 2" xfId="3574" xr:uid="{00000000-0005-0000-0000-0000CA100000}"/>
    <cellStyle name="Normal 2 2 3 7 2 2" xfId="7713" xr:uid="{00000000-0005-0000-0000-0000CB100000}"/>
    <cellStyle name="Normal 2 2 3 7 3" xfId="7714" xr:uid="{00000000-0005-0000-0000-0000CC100000}"/>
    <cellStyle name="Normal 2 2 3 8" xfId="3575" xr:uid="{00000000-0005-0000-0000-0000CD100000}"/>
    <cellStyle name="Normal 2 2 3 8 2" xfId="7715" xr:uid="{00000000-0005-0000-0000-0000CE100000}"/>
    <cellStyle name="Normal 2 2 3 9" xfId="7716" xr:uid="{00000000-0005-0000-0000-0000CF100000}"/>
    <cellStyle name="Normal 2 2 4" xfId="214" xr:uid="{00000000-0005-0000-0000-0000D0100000}"/>
    <cellStyle name="Normal 2 2 4 2" xfId="215" xr:uid="{00000000-0005-0000-0000-0000D1100000}"/>
    <cellStyle name="Normal 2 2 4 2 2" xfId="3576" xr:uid="{00000000-0005-0000-0000-0000D2100000}"/>
    <cellStyle name="Normal 2 2 5" xfId="216" xr:uid="{00000000-0005-0000-0000-0000D3100000}"/>
    <cellStyle name="Normal 2 2 5 2" xfId="3578" xr:uid="{00000000-0005-0000-0000-0000D4100000}"/>
    <cellStyle name="Normal 2 2 5 2 2" xfId="3579" xr:uid="{00000000-0005-0000-0000-0000D5100000}"/>
    <cellStyle name="Normal 2 2 5 2 2 2" xfId="3580" xr:uid="{00000000-0005-0000-0000-0000D6100000}"/>
    <cellStyle name="Normal 2 2 5 2 2 2 2" xfId="7717" xr:uid="{00000000-0005-0000-0000-0000D7100000}"/>
    <cellStyle name="Normal 2 2 5 2 2 3" xfId="7718" xr:uid="{00000000-0005-0000-0000-0000D8100000}"/>
    <cellStyle name="Normal 2 2 5 2 3" xfId="3581" xr:uid="{00000000-0005-0000-0000-0000D9100000}"/>
    <cellStyle name="Normal 2 2 5 2 3 2" xfId="7719" xr:uid="{00000000-0005-0000-0000-0000DA100000}"/>
    <cellStyle name="Normal 2 2 5 2 4" xfId="7720" xr:uid="{00000000-0005-0000-0000-0000DB100000}"/>
    <cellStyle name="Normal 2 2 5 3" xfId="3582" xr:uid="{00000000-0005-0000-0000-0000DC100000}"/>
    <cellStyle name="Normal 2 2 5 3 2" xfId="3583" xr:uid="{00000000-0005-0000-0000-0000DD100000}"/>
    <cellStyle name="Normal 2 2 5 3 2 2" xfId="7721" xr:uid="{00000000-0005-0000-0000-0000DE100000}"/>
    <cellStyle name="Normal 2 2 5 3 3" xfId="7722" xr:uid="{00000000-0005-0000-0000-0000DF100000}"/>
    <cellStyle name="Normal 2 2 5 4" xfId="3584" xr:uid="{00000000-0005-0000-0000-0000E0100000}"/>
    <cellStyle name="Normal 2 2 5 4 2" xfId="7723" xr:uid="{00000000-0005-0000-0000-0000E1100000}"/>
    <cellStyle name="Normal 2 2 5 5" xfId="7724" xr:uid="{00000000-0005-0000-0000-0000E2100000}"/>
    <cellStyle name="Normal 2 2 5 6" xfId="3577" xr:uid="{00000000-0005-0000-0000-0000E3100000}"/>
    <cellStyle name="Normal 2 2 6" xfId="380" xr:uid="{00000000-0005-0000-0000-0000E4100000}"/>
    <cellStyle name="Normal 2 2 6 2" xfId="3586" xr:uid="{00000000-0005-0000-0000-0000E5100000}"/>
    <cellStyle name="Normal 2 2 6 2 2" xfId="3587" xr:uid="{00000000-0005-0000-0000-0000E6100000}"/>
    <cellStyle name="Normal 2 2 6 2 2 2" xfId="3588" xr:uid="{00000000-0005-0000-0000-0000E7100000}"/>
    <cellStyle name="Normal 2 2 6 2 2 2 2" xfId="7725" xr:uid="{00000000-0005-0000-0000-0000E8100000}"/>
    <cellStyle name="Normal 2 2 6 2 2 3" xfId="7726" xr:uid="{00000000-0005-0000-0000-0000E9100000}"/>
    <cellStyle name="Normal 2 2 6 2 3" xfId="3589" xr:uid="{00000000-0005-0000-0000-0000EA100000}"/>
    <cellStyle name="Normal 2 2 6 2 3 2" xfId="7727" xr:uid="{00000000-0005-0000-0000-0000EB100000}"/>
    <cellStyle name="Normal 2 2 6 2 4" xfId="7728" xr:uid="{00000000-0005-0000-0000-0000EC100000}"/>
    <cellStyle name="Normal 2 2 6 3" xfId="3590" xr:uid="{00000000-0005-0000-0000-0000ED100000}"/>
    <cellStyle name="Normal 2 2 6 3 2" xfId="3591" xr:uid="{00000000-0005-0000-0000-0000EE100000}"/>
    <cellStyle name="Normal 2 2 6 3 2 2" xfId="7729" xr:uid="{00000000-0005-0000-0000-0000EF100000}"/>
    <cellStyle name="Normal 2 2 6 3 3" xfId="7730" xr:uid="{00000000-0005-0000-0000-0000F0100000}"/>
    <cellStyle name="Normal 2 2 6 4" xfId="3592" xr:uid="{00000000-0005-0000-0000-0000F1100000}"/>
    <cellStyle name="Normal 2 2 6 4 2" xfId="7731" xr:uid="{00000000-0005-0000-0000-0000F2100000}"/>
    <cellStyle name="Normal 2 2 6 5" xfId="3593" xr:uid="{00000000-0005-0000-0000-0000F3100000}"/>
    <cellStyle name="Normal 2 2 6 6" xfId="3585" xr:uid="{00000000-0005-0000-0000-0000F4100000}"/>
    <cellStyle name="Normal 2 2 7" xfId="1721" xr:uid="{00000000-0005-0000-0000-0000F5100000}"/>
    <cellStyle name="Normal 2 2 7 2" xfId="3595" xr:uid="{00000000-0005-0000-0000-0000F6100000}"/>
    <cellStyle name="Normal 2 2 7 2 2" xfId="3596" xr:uid="{00000000-0005-0000-0000-0000F7100000}"/>
    <cellStyle name="Normal 2 2 7 2 2 2" xfId="3597" xr:uid="{00000000-0005-0000-0000-0000F8100000}"/>
    <cellStyle name="Normal 2 2 7 2 2 2 2" xfId="7732" xr:uid="{00000000-0005-0000-0000-0000F9100000}"/>
    <cellStyle name="Normal 2 2 7 2 2 3" xfId="7733" xr:uid="{00000000-0005-0000-0000-0000FA100000}"/>
    <cellStyle name="Normal 2 2 7 2 3" xfId="3598" xr:uid="{00000000-0005-0000-0000-0000FB100000}"/>
    <cellStyle name="Normal 2 2 7 2 3 2" xfId="7734" xr:uid="{00000000-0005-0000-0000-0000FC100000}"/>
    <cellStyle name="Normal 2 2 7 2 4" xfId="7735" xr:uid="{00000000-0005-0000-0000-0000FD100000}"/>
    <cellStyle name="Normal 2 2 7 3" xfId="3599" xr:uid="{00000000-0005-0000-0000-0000FE100000}"/>
    <cellStyle name="Normal 2 2 7 3 2" xfId="3600" xr:uid="{00000000-0005-0000-0000-0000FF100000}"/>
    <cellStyle name="Normal 2 2 7 3 2 2" xfId="7736" xr:uid="{00000000-0005-0000-0000-000000110000}"/>
    <cellStyle name="Normal 2 2 7 3 3" xfId="7737" xr:uid="{00000000-0005-0000-0000-000001110000}"/>
    <cellStyle name="Normal 2 2 7 4" xfId="3601" xr:uid="{00000000-0005-0000-0000-000002110000}"/>
    <cellStyle name="Normal 2 2 7 4 2" xfId="7738" xr:uid="{00000000-0005-0000-0000-000003110000}"/>
    <cellStyle name="Normal 2 2 7 5" xfId="7739" xr:uid="{00000000-0005-0000-0000-000004110000}"/>
    <cellStyle name="Normal 2 2 7 6" xfId="3594" xr:uid="{00000000-0005-0000-0000-000005110000}"/>
    <cellStyle name="Normal 2 2 8" xfId="1679" xr:uid="{00000000-0005-0000-0000-000006110000}"/>
    <cellStyle name="Normal 2 2 8 2" xfId="3603" xr:uid="{00000000-0005-0000-0000-000007110000}"/>
    <cellStyle name="Normal 2 2 8 2 2" xfId="3604" xr:uid="{00000000-0005-0000-0000-000008110000}"/>
    <cellStyle name="Normal 2 2 8 2 2 2" xfId="7740" xr:uid="{00000000-0005-0000-0000-000009110000}"/>
    <cellStyle name="Normal 2 2 8 2 3" xfId="7741" xr:uid="{00000000-0005-0000-0000-00000A110000}"/>
    <cellStyle name="Normal 2 2 8 3" xfId="3605" xr:uid="{00000000-0005-0000-0000-00000B110000}"/>
    <cellStyle name="Normal 2 2 8 3 2" xfId="7742" xr:uid="{00000000-0005-0000-0000-00000C110000}"/>
    <cellStyle name="Normal 2 2 8 4" xfId="7743" xr:uid="{00000000-0005-0000-0000-00000D110000}"/>
    <cellStyle name="Normal 2 2 8 5" xfId="3602" xr:uid="{00000000-0005-0000-0000-00000E110000}"/>
    <cellStyle name="Normal 2 2 9" xfId="3606" xr:uid="{00000000-0005-0000-0000-00000F110000}"/>
    <cellStyle name="Normal 2 2 9 2" xfId="3607" xr:uid="{00000000-0005-0000-0000-000010110000}"/>
    <cellStyle name="Normal 2 2 9 2 2" xfId="7744" xr:uid="{00000000-0005-0000-0000-000011110000}"/>
    <cellStyle name="Normal 2 2 9 3" xfId="7745" xr:uid="{00000000-0005-0000-0000-000012110000}"/>
    <cellStyle name="Normal 2 2_Consultant and Outside Services - Nov 2011" xfId="217" xr:uid="{00000000-0005-0000-0000-000013110000}"/>
    <cellStyle name="Normal 2 3" xfId="218" xr:uid="{00000000-0005-0000-0000-000014110000}"/>
    <cellStyle name="Normal 2 3 2" xfId="219" xr:uid="{00000000-0005-0000-0000-000015110000}"/>
    <cellStyle name="Normal 2 3 2 2" xfId="381" xr:uid="{00000000-0005-0000-0000-000016110000}"/>
    <cellStyle name="Normal 2 3 3" xfId="382" xr:uid="{00000000-0005-0000-0000-000017110000}"/>
    <cellStyle name="Normal 2 3 3 2" xfId="3609" xr:uid="{00000000-0005-0000-0000-000018110000}"/>
    <cellStyle name="Normal 2 3 4" xfId="1722" xr:uid="{00000000-0005-0000-0000-000019110000}"/>
    <cellStyle name="Normal 2 3 5" xfId="3608" xr:uid="{00000000-0005-0000-0000-00001A110000}"/>
    <cellStyle name="Normal 2 3 6" xfId="10904" xr:uid="{00000000-0005-0000-0000-00001B110000}"/>
    <cellStyle name="Normal 2 3 7" xfId="2066" xr:uid="{00000000-0005-0000-0000-00001C110000}"/>
    <cellStyle name="Normal 2 4" xfId="220" xr:uid="{00000000-0005-0000-0000-00001D110000}"/>
    <cellStyle name="Normal 2 4 2" xfId="221" xr:uid="{00000000-0005-0000-0000-00001E110000}"/>
    <cellStyle name="Normal 2 4 2 2" xfId="3610" xr:uid="{00000000-0005-0000-0000-00001F110000}"/>
    <cellStyle name="Normal 2 4 3" xfId="3611" xr:uid="{00000000-0005-0000-0000-000020110000}"/>
    <cellStyle name="Normal 2 5" xfId="24" xr:uid="{00000000-0005-0000-0000-000021110000}"/>
    <cellStyle name="Normal 2 5 2" xfId="3613" xr:uid="{00000000-0005-0000-0000-000022110000}"/>
    <cellStyle name="Normal 2 5 3" xfId="3614" xr:uid="{00000000-0005-0000-0000-000023110000}"/>
    <cellStyle name="Normal 2 5 4" xfId="3612" xr:uid="{00000000-0005-0000-0000-000024110000}"/>
    <cellStyle name="Normal 2 6" xfId="20" xr:uid="{00000000-0005-0000-0000-000025110000}"/>
    <cellStyle name="Normal 2 6 2" xfId="3616" xr:uid="{00000000-0005-0000-0000-000026110000}"/>
    <cellStyle name="Normal 2 6 3" xfId="3617" xr:uid="{00000000-0005-0000-0000-000027110000}"/>
    <cellStyle name="Normal 2 6 4" xfId="3615" xr:uid="{00000000-0005-0000-0000-000028110000}"/>
    <cellStyle name="Normal 2 7" xfId="333" xr:uid="{00000000-0005-0000-0000-000029110000}"/>
    <cellStyle name="Normal 2 7 2" xfId="3619" xr:uid="{00000000-0005-0000-0000-00002A110000}"/>
    <cellStyle name="Normal 2 7 3" xfId="3618" xr:uid="{00000000-0005-0000-0000-00002B110000}"/>
    <cellStyle name="Normal 2 8" xfId="383" xr:uid="{00000000-0005-0000-0000-00002C110000}"/>
    <cellStyle name="Normal 2 8 2" xfId="3620" xr:uid="{00000000-0005-0000-0000-00002D110000}"/>
    <cellStyle name="Normal 2 9" xfId="384" xr:uid="{00000000-0005-0000-0000-00002E110000}"/>
    <cellStyle name="Normal 2 9 2" xfId="3621" xr:uid="{00000000-0005-0000-0000-00002F110000}"/>
    <cellStyle name="Normal 2_BOD Financials_11.15.11" xfId="222" xr:uid="{00000000-0005-0000-0000-000030110000}"/>
    <cellStyle name="Normal 20" xfId="3622" xr:uid="{00000000-0005-0000-0000-000031110000}"/>
    <cellStyle name="Normal 20 2" xfId="3623" xr:uid="{00000000-0005-0000-0000-000032110000}"/>
    <cellStyle name="Normal 20 2 2" xfId="3624" xr:uid="{00000000-0005-0000-0000-000033110000}"/>
    <cellStyle name="Normal 20 3" xfId="3625" xr:uid="{00000000-0005-0000-0000-000034110000}"/>
    <cellStyle name="Normal 20 3 2" xfId="3626" xr:uid="{00000000-0005-0000-0000-000035110000}"/>
    <cellStyle name="Normal 20 3 2 2" xfId="3627" xr:uid="{00000000-0005-0000-0000-000036110000}"/>
    <cellStyle name="Normal 20 3 2 2 2" xfId="3628" xr:uid="{00000000-0005-0000-0000-000037110000}"/>
    <cellStyle name="Normal 20 3 2 2 2 2" xfId="7746" xr:uid="{00000000-0005-0000-0000-000038110000}"/>
    <cellStyle name="Normal 20 3 2 2 3" xfId="7747" xr:uid="{00000000-0005-0000-0000-000039110000}"/>
    <cellStyle name="Normal 20 3 2 3" xfId="3629" xr:uid="{00000000-0005-0000-0000-00003A110000}"/>
    <cellStyle name="Normal 20 3 2 3 2" xfId="7748" xr:uid="{00000000-0005-0000-0000-00003B110000}"/>
    <cellStyle name="Normal 20 3 2 4" xfId="7749" xr:uid="{00000000-0005-0000-0000-00003C110000}"/>
    <cellStyle name="Normal 20 3 3" xfId="3630" xr:uid="{00000000-0005-0000-0000-00003D110000}"/>
    <cellStyle name="Normal 20 3 3 2" xfId="3631" xr:uid="{00000000-0005-0000-0000-00003E110000}"/>
    <cellStyle name="Normal 20 3 3 2 2" xfId="7750" xr:uid="{00000000-0005-0000-0000-00003F110000}"/>
    <cellStyle name="Normal 20 3 3 3" xfId="7751" xr:uid="{00000000-0005-0000-0000-000040110000}"/>
    <cellStyle name="Normal 20 3 4" xfId="3632" xr:uid="{00000000-0005-0000-0000-000041110000}"/>
    <cellStyle name="Normal 20 3 4 2" xfId="7752" xr:uid="{00000000-0005-0000-0000-000042110000}"/>
    <cellStyle name="Normal 20 3 5" xfId="3633" xr:uid="{00000000-0005-0000-0000-000043110000}"/>
    <cellStyle name="Normal 20 4" xfId="3634" xr:uid="{00000000-0005-0000-0000-000044110000}"/>
    <cellStyle name="Normal 20 4 2" xfId="3635" xr:uid="{00000000-0005-0000-0000-000045110000}"/>
    <cellStyle name="Normal 20 4 2 2" xfId="3636" xr:uid="{00000000-0005-0000-0000-000046110000}"/>
    <cellStyle name="Normal 20 4 2 2 2" xfId="3637" xr:uid="{00000000-0005-0000-0000-000047110000}"/>
    <cellStyle name="Normal 20 4 2 2 2 2" xfId="7753" xr:uid="{00000000-0005-0000-0000-000048110000}"/>
    <cellStyle name="Normal 20 4 2 2 3" xfId="7754" xr:uid="{00000000-0005-0000-0000-000049110000}"/>
    <cellStyle name="Normal 20 4 2 3" xfId="3638" xr:uid="{00000000-0005-0000-0000-00004A110000}"/>
    <cellStyle name="Normal 20 4 2 3 2" xfId="7755" xr:uid="{00000000-0005-0000-0000-00004B110000}"/>
    <cellStyle name="Normal 20 4 2 4" xfId="7756" xr:uid="{00000000-0005-0000-0000-00004C110000}"/>
    <cellStyle name="Normal 20 4 3" xfId="3639" xr:uid="{00000000-0005-0000-0000-00004D110000}"/>
    <cellStyle name="Normal 20 4 3 2" xfId="3640" xr:uid="{00000000-0005-0000-0000-00004E110000}"/>
    <cellStyle name="Normal 20 4 3 2 2" xfId="7757" xr:uid="{00000000-0005-0000-0000-00004F110000}"/>
    <cellStyle name="Normal 20 4 3 3" xfId="7758" xr:uid="{00000000-0005-0000-0000-000050110000}"/>
    <cellStyle name="Normal 20 4 4" xfId="3641" xr:uid="{00000000-0005-0000-0000-000051110000}"/>
    <cellStyle name="Normal 20 4 4 2" xfId="7759" xr:uid="{00000000-0005-0000-0000-000052110000}"/>
    <cellStyle name="Normal 20 4 5" xfId="7760" xr:uid="{00000000-0005-0000-0000-000053110000}"/>
    <cellStyle name="Normal 20 5" xfId="3642" xr:uid="{00000000-0005-0000-0000-000054110000}"/>
    <cellStyle name="Normal 20 5 2" xfId="3643" xr:uid="{00000000-0005-0000-0000-000055110000}"/>
    <cellStyle name="Normal 20 5 2 2" xfId="3644" xr:uid="{00000000-0005-0000-0000-000056110000}"/>
    <cellStyle name="Normal 20 5 2 2 2" xfId="3645" xr:uid="{00000000-0005-0000-0000-000057110000}"/>
    <cellStyle name="Normal 20 5 2 2 2 2" xfId="7761" xr:uid="{00000000-0005-0000-0000-000058110000}"/>
    <cellStyle name="Normal 20 5 2 2 3" xfId="7762" xr:uid="{00000000-0005-0000-0000-000059110000}"/>
    <cellStyle name="Normal 20 5 2 3" xfId="3646" xr:uid="{00000000-0005-0000-0000-00005A110000}"/>
    <cellStyle name="Normal 20 5 2 3 2" xfId="7763" xr:uid="{00000000-0005-0000-0000-00005B110000}"/>
    <cellStyle name="Normal 20 5 2 4" xfId="7764" xr:uid="{00000000-0005-0000-0000-00005C110000}"/>
    <cellStyle name="Normal 20 5 3" xfId="3647" xr:uid="{00000000-0005-0000-0000-00005D110000}"/>
    <cellStyle name="Normal 20 5 3 2" xfId="3648" xr:uid="{00000000-0005-0000-0000-00005E110000}"/>
    <cellStyle name="Normal 20 5 3 2 2" xfId="7765" xr:uid="{00000000-0005-0000-0000-00005F110000}"/>
    <cellStyle name="Normal 20 5 3 3" xfId="7766" xr:uid="{00000000-0005-0000-0000-000060110000}"/>
    <cellStyle name="Normal 20 5 4" xfId="3649" xr:uid="{00000000-0005-0000-0000-000061110000}"/>
    <cellStyle name="Normal 20 5 4 2" xfId="7767" xr:uid="{00000000-0005-0000-0000-000062110000}"/>
    <cellStyle name="Normal 20 5 5" xfId="7768" xr:uid="{00000000-0005-0000-0000-000063110000}"/>
    <cellStyle name="Normal 20 6" xfId="3650" xr:uid="{00000000-0005-0000-0000-000064110000}"/>
    <cellStyle name="Normal 20 6 2" xfId="3651" xr:uid="{00000000-0005-0000-0000-000065110000}"/>
    <cellStyle name="Normal 20 6 2 2" xfId="3652" xr:uid="{00000000-0005-0000-0000-000066110000}"/>
    <cellStyle name="Normal 20 6 2 2 2" xfId="7769" xr:uid="{00000000-0005-0000-0000-000067110000}"/>
    <cellStyle name="Normal 20 6 2 3" xfId="7770" xr:uid="{00000000-0005-0000-0000-000068110000}"/>
    <cellStyle name="Normal 20 6 3" xfId="3653" xr:uid="{00000000-0005-0000-0000-000069110000}"/>
    <cellStyle name="Normal 20 6 3 2" xfId="7771" xr:uid="{00000000-0005-0000-0000-00006A110000}"/>
    <cellStyle name="Normal 20 6 4" xfId="7772" xr:uid="{00000000-0005-0000-0000-00006B110000}"/>
    <cellStyle name="Normal 20 7" xfId="3654" xr:uid="{00000000-0005-0000-0000-00006C110000}"/>
    <cellStyle name="Normal 20 7 2" xfId="3655" xr:uid="{00000000-0005-0000-0000-00006D110000}"/>
    <cellStyle name="Normal 20 7 2 2" xfId="7773" xr:uid="{00000000-0005-0000-0000-00006E110000}"/>
    <cellStyle name="Normal 20 7 3" xfId="7774" xr:uid="{00000000-0005-0000-0000-00006F110000}"/>
    <cellStyle name="Normal 20 8" xfId="3656" xr:uid="{00000000-0005-0000-0000-000070110000}"/>
    <cellStyle name="Normal 20 8 2" xfId="7775" xr:uid="{00000000-0005-0000-0000-000071110000}"/>
    <cellStyle name="Normal 20 9" xfId="7776" xr:uid="{00000000-0005-0000-0000-000072110000}"/>
    <cellStyle name="Normal 200" xfId="10609" xr:uid="{00000000-0005-0000-0000-000073110000}"/>
    <cellStyle name="Normal 201" xfId="10612" xr:uid="{00000000-0005-0000-0000-000074110000}"/>
    <cellStyle name="Normal 202" xfId="10615" xr:uid="{00000000-0005-0000-0000-000075110000}"/>
    <cellStyle name="Normal 203" xfId="10618" xr:uid="{00000000-0005-0000-0000-000076110000}"/>
    <cellStyle name="Normal 204" xfId="10621" xr:uid="{00000000-0005-0000-0000-000077110000}"/>
    <cellStyle name="Normal 205" xfId="10624" xr:uid="{00000000-0005-0000-0000-000078110000}"/>
    <cellStyle name="Normal 206" xfId="10627" xr:uid="{00000000-0005-0000-0000-000079110000}"/>
    <cellStyle name="Normal 207" xfId="10630" xr:uid="{00000000-0005-0000-0000-00007A110000}"/>
    <cellStyle name="Normal 208" xfId="10633" xr:uid="{00000000-0005-0000-0000-00007B110000}"/>
    <cellStyle name="Normal 209" xfId="10636" xr:uid="{00000000-0005-0000-0000-00007C110000}"/>
    <cellStyle name="Normal 21" xfId="3657" xr:uid="{00000000-0005-0000-0000-00007D110000}"/>
    <cellStyle name="Normal 21 2" xfId="3658" xr:uid="{00000000-0005-0000-0000-00007E110000}"/>
    <cellStyle name="Normal 21 2 2" xfId="3659" xr:uid="{00000000-0005-0000-0000-00007F110000}"/>
    <cellStyle name="Normal 21 3" xfId="3660" xr:uid="{00000000-0005-0000-0000-000080110000}"/>
    <cellStyle name="Normal 21 3 2" xfId="3661" xr:uid="{00000000-0005-0000-0000-000081110000}"/>
    <cellStyle name="Normal 21 3 2 2" xfId="3662" xr:uid="{00000000-0005-0000-0000-000082110000}"/>
    <cellStyle name="Normal 21 3 2 2 2" xfId="3663" xr:uid="{00000000-0005-0000-0000-000083110000}"/>
    <cellStyle name="Normal 21 3 2 2 2 2" xfId="7777" xr:uid="{00000000-0005-0000-0000-000084110000}"/>
    <cellStyle name="Normal 21 3 2 2 3" xfId="7778" xr:uid="{00000000-0005-0000-0000-000085110000}"/>
    <cellStyle name="Normal 21 3 2 3" xfId="3664" xr:uid="{00000000-0005-0000-0000-000086110000}"/>
    <cellStyle name="Normal 21 3 2 3 2" xfId="7779" xr:uid="{00000000-0005-0000-0000-000087110000}"/>
    <cellStyle name="Normal 21 3 2 4" xfId="7780" xr:uid="{00000000-0005-0000-0000-000088110000}"/>
    <cellStyle name="Normal 21 3 3" xfId="3665" xr:uid="{00000000-0005-0000-0000-000089110000}"/>
    <cellStyle name="Normal 21 3 3 2" xfId="3666" xr:uid="{00000000-0005-0000-0000-00008A110000}"/>
    <cellStyle name="Normal 21 3 3 2 2" xfId="7781" xr:uid="{00000000-0005-0000-0000-00008B110000}"/>
    <cellStyle name="Normal 21 3 3 3" xfId="7782" xr:uid="{00000000-0005-0000-0000-00008C110000}"/>
    <cellStyle name="Normal 21 3 4" xfId="3667" xr:uid="{00000000-0005-0000-0000-00008D110000}"/>
    <cellStyle name="Normal 21 3 4 2" xfId="7783" xr:uid="{00000000-0005-0000-0000-00008E110000}"/>
    <cellStyle name="Normal 21 3 5" xfId="3668" xr:uid="{00000000-0005-0000-0000-00008F110000}"/>
    <cellStyle name="Normal 21 4" xfId="3669" xr:uid="{00000000-0005-0000-0000-000090110000}"/>
    <cellStyle name="Normal 21 4 2" xfId="3670" xr:uid="{00000000-0005-0000-0000-000091110000}"/>
    <cellStyle name="Normal 21 4 2 2" xfId="3671" xr:uid="{00000000-0005-0000-0000-000092110000}"/>
    <cellStyle name="Normal 21 4 2 2 2" xfId="3672" xr:uid="{00000000-0005-0000-0000-000093110000}"/>
    <cellStyle name="Normal 21 4 2 2 2 2" xfId="7784" xr:uid="{00000000-0005-0000-0000-000094110000}"/>
    <cellStyle name="Normal 21 4 2 2 3" xfId="7785" xr:uid="{00000000-0005-0000-0000-000095110000}"/>
    <cellStyle name="Normal 21 4 2 3" xfId="3673" xr:uid="{00000000-0005-0000-0000-000096110000}"/>
    <cellStyle name="Normal 21 4 2 3 2" xfId="7786" xr:uid="{00000000-0005-0000-0000-000097110000}"/>
    <cellStyle name="Normal 21 4 2 4" xfId="7787" xr:uid="{00000000-0005-0000-0000-000098110000}"/>
    <cellStyle name="Normal 21 4 3" xfId="3674" xr:uid="{00000000-0005-0000-0000-000099110000}"/>
    <cellStyle name="Normal 21 4 3 2" xfId="3675" xr:uid="{00000000-0005-0000-0000-00009A110000}"/>
    <cellStyle name="Normal 21 4 3 2 2" xfId="7788" xr:uid="{00000000-0005-0000-0000-00009B110000}"/>
    <cellStyle name="Normal 21 4 3 3" xfId="7789" xr:uid="{00000000-0005-0000-0000-00009C110000}"/>
    <cellStyle name="Normal 21 4 4" xfId="3676" xr:uid="{00000000-0005-0000-0000-00009D110000}"/>
    <cellStyle name="Normal 21 4 4 2" xfId="7790" xr:uid="{00000000-0005-0000-0000-00009E110000}"/>
    <cellStyle name="Normal 21 4 5" xfId="7791" xr:uid="{00000000-0005-0000-0000-00009F110000}"/>
    <cellStyle name="Normal 21 5" xfId="3677" xr:uid="{00000000-0005-0000-0000-0000A0110000}"/>
    <cellStyle name="Normal 21 5 2" xfId="3678" xr:uid="{00000000-0005-0000-0000-0000A1110000}"/>
    <cellStyle name="Normal 21 5 2 2" xfId="3679" xr:uid="{00000000-0005-0000-0000-0000A2110000}"/>
    <cellStyle name="Normal 21 5 2 2 2" xfId="3680" xr:uid="{00000000-0005-0000-0000-0000A3110000}"/>
    <cellStyle name="Normal 21 5 2 2 2 2" xfId="7792" xr:uid="{00000000-0005-0000-0000-0000A4110000}"/>
    <cellStyle name="Normal 21 5 2 2 3" xfId="7793" xr:uid="{00000000-0005-0000-0000-0000A5110000}"/>
    <cellStyle name="Normal 21 5 2 3" xfId="3681" xr:uid="{00000000-0005-0000-0000-0000A6110000}"/>
    <cellStyle name="Normal 21 5 2 3 2" xfId="7794" xr:uid="{00000000-0005-0000-0000-0000A7110000}"/>
    <cellStyle name="Normal 21 5 2 4" xfId="7795" xr:uid="{00000000-0005-0000-0000-0000A8110000}"/>
    <cellStyle name="Normal 21 5 3" xfId="3682" xr:uid="{00000000-0005-0000-0000-0000A9110000}"/>
    <cellStyle name="Normal 21 5 3 2" xfId="3683" xr:uid="{00000000-0005-0000-0000-0000AA110000}"/>
    <cellStyle name="Normal 21 5 3 2 2" xfId="7796" xr:uid="{00000000-0005-0000-0000-0000AB110000}"/>
    <cellStyle name="Normal 21 5 3 3" xfId="7797" xr:uid="{00000000-0005-0000-0000-0000AC110000}"/>
    <cellStyle name="Normal 21 5 4" xfId="3684" xr:uid="{00000000-0005-0000-0000-0000AD110000}"/>
    <cellStyle name="Normal 21 5 4 2" xfId="7798" xr:uid="{00000000-0005-0000-0000-0000AE110000}"/>
    <cellStyle name="Normal 21 5 5" xfId="7799" xr:uid="{00000000-0005-0000-0000-0000AF110000}"/>
    <cellStyle name="Normal 21 6" xfId="3685" xr:uid="{00000000-0005-0000-0000-0000B0110000}"/>
    <cellStyle name="Normal 21 6 2" xfId="3686" xr:uid="{00000000-0005-0000-0000-0000B1110000}"/>
    <cellStyle name="Normal 21 6 2 2" xfId="3687" xr:uid="{00000000-0005-0000-0000-0000B2110000}"/>
    <cellStyle name="Normal 21 6 2 2 2" xfId="7800" xr:uid="{00000000-0005-0000-0000-0000B3110000}"/>
    <cellStyle name="Normal 21 6 2 3" xfId="7801" xr:uid="{00000000-0005-0000-0000-0000B4110000}"/>
    <cellStyle name="Normal 21 6 3" xfId="3688" xr:uid="{00000000-0005-0000-0000-0000B5110000}"/>
    <cellStyle name="Normal 21 6 3 2" xfId="7802" xr:uid="{00000000-0005-0000-0000-0000B6110000}"/>
    <cellStyle name="Normal 21 6 4" xfId="7803" xr:uid="{00000000-0005-0000-0000-0000B7110000}"/>
    <cellStyle name="Normal 21 7" xfId="3689" xr:uid="{00000000-0005-0000-0000-0000B8110000}"/>
    <cellStyle name="Normal 21 7 2" xfId="3690" xr:uid="{00000000-0005-0000-0000-0000B9110000}"/>
    <cellStyle name="Normal 21 7 2 2" xfId="7804" xr:uid="{00000000-0005-0000-0000-0000BA110000}"/>
    <cellStyle name="Normal 21 7 3" xfId="7805" xr:uid="{00000000-0005-0000-0000-0000BB110000}"/>
    <cellStyle name="Normal 21 8" xfId="3691" xr:uid="{00000000-0005-0000-0000-0000BC110000}"/>
    <cellStyle name="Normal 21 8 2" xfId="7806" xr:uid="{00000000-0005-0000-0000-0000BD110000}"/>
    <cellStyle name="Normal 21 9" xfId="7807" xr:uid="{00000000-0005-0000-0000-0000BE110000}"/>
    <cellStyle name="Normal 210" xfId="10639" xr:uid="{00000000-0005-0000-0000-0000BF110000}"/>
    <cellStyle name="Normal 211" xfId="10642" xr:uid="{00000000-0005-0000-0000-0000C0110000}"/>
    <cellStyle name="Normal 212" xfId="10645" xr:uid="{00000000-0005-0000-0000-0000C1110000}"/>
    <cellStyle name="Normal 213" xfId="10648" xr:uid="{00000000-0005-0000-0000-0000C2110000}"/>
    <cellStyle name="Normal 214" xfId="10651" xr:uid="{00000000-0005-0000-0000-0000C3110000}"/>
    <cellStyle name="Normal 215" xfId="10654" xr:uid="{00000000-0005-0000-0000-0000C4110000}"/>
    <cellStyle name="Normal 216" xfId="10657" xr:uid="{00000000-0005-0000-0000-0000C5110000}"/>
    <cellStyle name="Normal 217" xfId="10660" xr:uid="{00000000-0005-0000-0000-0000C6110000}"/>
    <cellStyle name="Normal 218" xfId="10663" xr:uid="{00000000-0005-0000-0000-0000C7110000}"/>
    <cellStyle name="Normal 219" xfId="10666" xr:uid="{00000000-0005-0000-0000-0000C8110000}"/>
    <cellStyle name="Normal 22" xfId="3692" xr:uid="{00000000-0005-0000-0000-0000C9110000}"/>
    <cellStyle name="Normal 22 2" xfId="3693" xr:uid="{00000000-0005-0000-0000-0000CA110000}"/>
    <cellStyle name="Normal 22 2 2" xfId="3694" xr:uid="{00000000-0005-0000-0000-0000CB110000}"/>
    <cellStyle name="Normal 22 3" xfId="3695" xr:uid="{00000000-0005-0000-0000-0000CC110000}"/>
    <cellStyle name="Normal 22 3 2" xfId="3696" xr:uid="{00000000-0005-0000-0000-0000CD110000}"/>
    <cellStyle name="Normal 22 3 2 2" xfId="3697" xr:uid="{00000000-0005-0000-0000-0000CE110000}"/>
    <cellStyle name="Normal 22 3 2 2 2" xfId="3698" xr:uid="{00000000-0005-0000-0000-0000CF110000}"/>
    <cellStyle name="Normal 22 3 2 2 2 2" xfId="7808" xr:uid="{00000000-0005-0000-0000-0000D0110000}"/>
    <cellStyle name="Normal 22 3 2 2 3" xfId="7809" xr:uid="{00000000-0005-0000-0000-0000D1110000}"/>
    <cellStyle name="Normal 22 3 2 3" xfId="3699" xr:uid="{00000000-0005-0000-0000-0000D2110000}"/>
    <cellStyle name="Normal 22 3 2 3 2" xfId="7810" xr:uid="{00000000-0005-0000-0000-0000D3110000}"/>
    <cellStyle name="Normal 22 3 2 4" xfId="7811" xr:uid="{00000000-0005-0000-0000-0000D4110000}"/>
    <cellStyle name="Normal 22 3 3" xfId="3700" xr:uid="{00000000-0005-0000-0000-0000D5110000}"/>
    <cellStyle name="Normal 22 3 3 2" xfId="3701" xr:uid="{00000000-0005-0000-0000-0000D6110000}"/>
    <cellStyle name="Normal 22 3 3 2 2" xfId="7812" xr:uid="{00000000-0005-0000-0000-0000D7110000}"/>
    <cellStyle name="Normal 22 3 3 3" xfId="7813" xr:uid="{00000000-0005-0000-0000-0000D8110000}"/>
    <cellStyle name="Normal 22 3 4" xfId="3702" xr:uid="{00000000-0005-0000-0000-0000D9110000}"/>
    <cellStyle name="Normal 22 3 4 2" xfId="7814" xr:uid="{00000000-0005-0000-0000-0000DA110000}"/>
    <cellStyle name="Normal 22 3 5" xfId="3703" xr:uid="{00000000-0005-0000-0000-0000DB110000}"/>
    <cellStyle name="Normal 22 4" xfId="3704" xr:uid="{00000000-0005-0000-0000-0000DC110000}"/>
    <cellStyle name="Normal 22 4 2" xfId="3705" xr:uid="{00000000-0005-0000-0000-0000DD110000}"/>
    <cellStyle name="Normal 22 4 2 2" xfId="3706" xr:uid="{00000000-0005-0000-0000-0000DE110000}"/>
    <cellStyle name="Normal 22 4 2 2 2" xfId="3707" xr:uid="{00000000-0005-0000-0000-0000DF110000}"/>
    <cellStyle name="Normal 22 4 2 2 2 2" xfId="7815" xr:uid="{00000000-0005-0000-0000-0000E0110000}"/>
    <cellStyle name="Normal 22 4 2 2 3" xfId="7816" xr:uid="{00000000-0005-0000-0000-0000E1110000}"/>
    <cellStyle name="Normal 22 4 2 3" xfId="3708" xr:uid="{00000000-0005-0000-0000-0000E2110000}"/>
    <cellStyle name="Normal 22 4 2 3 2" xfId="7817" xr:uid="{00000000-0005-0000-0000-0000E3110000}"/>
    <cellStyle name="Normal 22 4 2 4" xfId="7818" xr:uid="{00000000-0005-0000-0000-0000E4110000}"/>
    <cellStyle name="Normal 22 4 3" xfId="3709" xr:uid="{00000000-0005-0000-0000-0000E5110000}"/>
    <cellStyle name="Normal 22 4 3 2" xfId="3710" xr:uid="{00000000-0005-0000-0000-0000E6110000}"/>
    <cellStyle name="Normal 22 4 3 2 2" xfId="7819" xr:uid="{00000000-0005-0000-0000-0000E7110000}"/>
    <cellStyle name="Normal 22 4 3 3" xfId="7820" xr:uid="{00000000-0005-0000-0000-0000E8110000}"/>
    <cellStyle name="Normal 22 4 4" xfId="3711" xr:uid="{00000000-0005-0000-0000-0000E9110000}"/>
    <cellStyle name="Normal 22 4 4 2" xfId="7821" xr:uid="{00000000-0005-0000-0000-0000EA110000}"/>
    <cellStyle name="Normal 22 4 5" xfId="7822" xr:uid="{00000000-0005-0000-0000-0000EB110000}"/>
    <cellStyle name="Normal 22 5" xfId="3712" xr:uid="{00000000-0005-0000-0000-0000EC110000}"/>
    <cellStyle name="Normal 22 5 2" xfId="3713" xr:uid="{00000000-0005-0000-0000-0000ED110000}"/>
    <cellStyle name="Normal 22 5 2 2" xfId="3714" xr:uid="{00000000-0005-0000-0000-0000EE110000}"/>
    <cellStyle name="Normal 22 5 2 2 2" xfId="3715" xr:uid="{00000000-0005-0000-0000-0000EF110000}"/>
    <cellStyle name="Normal 22 5 2 2 2 2" xfId="7823" xr:uid="{00000000-0005-0000-0000-0000F0110000}"/>
    <cellStyle name="Normal 22 5 2 2 3" xfId="7824" xr:uid="{00000000-0005-0000-0000-0000F1110000}"/>
    <cellStyle name="Normal 22 5 2 3" xfId="3716" xr:uid="{00000000-0005-0000-0000-0000F2110000}"/>
    <cellStyle name="Normal 22 5 2 3 2" xfId="7825" xr:uid="{00000000-0005-0000-0000-0000F3110000}"/>
    <cellStyle name="Normal 22 5 2 4" xfId="7826" xr:uid="{00000000-0005-0000-0000-0000F4110000}"/>
    <cellStyle name="Normal 22 5 3" xfId="3717" xr:uid="{00000000-0005-0000-0000-0000F5110000}"/>
    <cellStyle name="Normal 22 5 3 2" xfId="3718" xr:uid="{00000000-0005-0000-0000-0000F6110000}"/>
    <cellStyle name="Normal 22 5 3 2 2" xfId="7827" xr:uid="{00000000-0005-0000-0000-0000F7110000}"/>
    <cellStyle name="Normal 22 5 3 3" xfId="7828" xr:uid="{00000000-0005-0000-0000-0000F8110000}"/>
    <cellStyle name="Normal 22 5 4" xfId="3719" xr:uid="{00000000-0005-0000-0000-0000F9110000}"/>
    <cellStyle name="Normal 22 5 4 2" xfId="7829" xr:uid="{00000000-0005-0000-0000-0000FA110000}"/>
    <cellStyle name="Normal 22 5 5" xfId="7830" xr:uid="{00000000-0005-0000-0000-0000FB110000}"/>
    <cellStyle name="Normal 22 6" xfId="3720" xr:uid="{00000000-0005-0000-0000-0000FC110000}"/>
    <cellStyle name="Normal 22 6 2" xfId="3721" xr:uid="{00000000-0005-0000-0000-0000FD110000}"/>
    <cellStyle name="Normal 22 6 2 2" xfId="3722" xr:uid="{00000000-0005-0000-0000-0000FE110000}"/>
    <cellStyle name="Normal 22 6 2 2 2" xfId="7831" xr:uid="{00000000-0005-0000-0000-0000FF110000}"/>
    <cellStyle name="Normal 22 6 2 3" xfId="7832" xr:uid="{00000000-0005-0000-0000-000000120000}"/>
    <cellStyle name="Normal 22 6 3" xfId="3723" xr:uid="{00000000-0005-0000-0000-000001120000}"/>
    <cellStyle name="Normal 22 6 3 2" xfId="7833" xr:uid="{00000000-0005-0000-0000-000002120000}"/>
    <cellStyle name="Normal 22 6 4" xfId="7834" xr:uid="{00000000-0005-0000-0000-000003120000}"/>
    <cellStyle name="Normal 22 7" xfId="3724" xr:uid="{00000000-0005-0000-0000-000004120000}"/>
    <cellStyle name="Normal 22 7 2" xfId="3725" xr:uid="{00000000-0005-0000-0000-000005120000}"/>
    <cellStyle name="Normal 22 7 2 2" xfId="7835" xr:uid="{00000000-0005-0000-0000-000006120000}"/>
    <cellStyle name="Normal 22 7 3" xfId="7836" xr:uid="{00000000-0005-0000-0000-000007120000}"/>
    <cellStyle name="Normal 22 8" xfId="3726" xr:uid="{00000000-0005-0000-0000-000008120000}"/>
    <cellStyle name="Normal 22 8 2" xfId="7837" xr:uid="{00000000-0005-0000-0000-000009120000}"/>
    <cellStyle name="Normal 22 9" xfId="7838" xr:uid="{00000000-0005-0000-0000-00000A120000}"/>
    <cellStyle name="Normal 220" xfId="10669" xr:uid="{00000000-0005-0000-0000-00000B120000}"/>
    <cellStyle name="Normal 221" xfId="10672" xr:uid="{00000000-0005-0000-0000-00000C120000}"/>
    <cellStyle name="Normal 222" xfId="10675" xr:uid="{00000000-0005-0000-0000-00000D120000}"/>
    <cellStyle name="Normal 223" xfId="10678" xr:uid="{00000000-0005-0000-0000-00000E120000}"/>
    <cellStyle name="Normal 224" xfId="10681" xr:uid="{00000000-0005-0000-0000-00000F120000}"/>
    <cellStyle name="Normal 225" xfId="10684" xr:uid="{00000000-0005-0000-0000-000010120000}"/>
    <cellStyle name="Normal 226" xfId="10687" xr:uid="{00000000-0005-0000-0000-000011120000}"/>
    <cellStyle name="Normal 227" xfId="10690" xr:uid="{00000000-0005-0000-0000-000012120000}"/>
    <cellStyle name="Normal 228" xfId="10693" xr:uid="{00000000-0005-0000-0000-000013120000}"/>
    <cellStyle name="Normal 229" xfId="10696" xr:uid="{00000000-0005-0000-0000-000014120000}"/>
    <cellStyle name="Normal 23" xfId="3727" xr:uid="{00000000-0005-0000-0000-000015120000}"/>
    <cellStyle name="Normal 23 2" xfId="3728" xr:uid="{00000000-0005-0000-0000-000016120000}"/>
    <cellStyle name="Normal 23 2 2" xfId="3729" xr:uid="{00000000-0005-0000-0000-000017120000}"/>
    <cellStyle name="Normal 23 3" xfId="3730" xr:uid="{00000000-0005-0000-0000-000018120000}"/>
    <cellStyle name="Normal 23 3 2" xfId="3731" xr:uid="{00000000-0005-0000-0000-000019120000}"/>
    <cellStyle name="Normal 23 3 2 2" xfId="3732" xr:uid="{00000000-0005-0000-0000-00001A120000}"/>
    <cellStyle name="Normal 23 3 2 2 2" xfId="3733" xr:uid="{00000000-0005-0000-0000-00001B120000}"/>
    <cellStyle name="Normal 23 3 2 2 2 2" xfId="7839" xr:uid="{00000000-0005-0000-0000-00001C120000}"/>
    <cellStyle name="Normal 23 3 2 2 3" xfId="7840" xr:uid="{00000000-0005-0000-0000-00001D120000}"/>
    <cellStyle name="Normal 23 3 2 3" xfId="3734" xr:uid="{00000000-0005-0000-0000-00001E120000}"/>
    <cellStyle name="Normal 23 3 2 3 2" xfId="7841" xr:uid="{00000000-0005-0000-0000-00001F120000}"/>
    <cellStyle name="Normal 23 3 2 4" xfId="7842" xr:uid="{00000000-0005-0000-0000-000020120000}"/>
    <cellStyle name="Normal 23 3 3" xfId="3735" xr:uid="{00000000-0005-0000-0000-000021120000}"/>
    <cellStyle name="Normal 23 3 3 2" xfId="3736" xr:uid="{00000000-0005-0000-0000-000022120000}"/>
    <cellStyle name="Normal 23 3 3 2 2" xfId="7843" xr:uid="{00000000-0005-0000-0000-000023120000}"/>
    <cellStyle name="Normal 23 3 3 3" xfId="7844" xr:uid="{00000000-0005-0000-0000-000024120000}"/>
    <cellStyle name="Normal 23 3 4" xfId="3737" xr:uid="{00000000-0005-0000-0000-000025120000}"/>
    <cellStyle name="Normal 23 3 4 2" xfId="7845" xr:uid="{00000000-0005-0000-0000-000026120000}"/>
    <cellStyle name="Normal 23 3 5" xfId="3738" xr:uid="{00000000-0005-0000-0000-000027120000}"/>
    <cellStyle name="Normal 23 4" xfId="3739" xr:uid="{00000000-0005-0000-0000-000028120000}"/>
    <cellStyle name="Normal 23 4 2" xfId="3740" xr:uid="{00000000-0005-0000-0000-000029120000}"/>
    <cellStyle name="Normal 23 4 2 2" xfId="3741" xr:uid="{00000000-0005-0000-0000-00002A120000}"/>
    <cellStyle name="Normal 23 4 2 2 2" xfId="3742" xr:uid="{00000000-0005-0000-0000-00002B120000}"/>
    <cellStyle name="Normal 23 4 2 2 2 2" xfId="7846" xr:uid="{00000000-0005-0000-0000-00002C120000}"/>
    <cellStyle name="Normal 23 4 2 2 3" xfId="7847" xr:uid="{00000000-0005-0000-0000-00002D120000}"/>
    <cellStyle name="Normal 23 4 2 3" xfId="3743" xr:uid="{00000000-0005-0000-0000-00002E120000}"/>
    <cellStyle name="Normal 23 4 2 3 2" xfId="7848" xr:uid="{00000000-0005-0000-0000-00002F120000}"/>
    <cellStyle name="Normal 23 4 2 4" xfId="7849" xr:uid="{00000000-0005-0000-0000-000030120000}"/>
    <cellStyle name="Normal 23 4 3" xfId="3744" xr:uid="{00000000-0005-0000-0000-000031120000}"/>
    <cellStyle name="Normal 23 4 3 2" xfId="3745" xr:uid="{00000000-0005-0000-0000-000032120000}"/>
    <cellStyle name="Normal 23 4 3 2 2" xfId="7850" xr:uid="{00000000-0005-0000-0000-000033120000}"/>
    <cellStyle name="Normal 23 4 3 3" xfId="7851" xr:uid="{00000000-0005-0000-0000-000034120000}"/>
    <cellStyle name="Normal 23 4 4" xfId="3746" xr:uid="{00000000-0005-0000-0000-000035120000}"/>
    <cellStyle name="Normal 23 4 4 2" xfId="7852" xr:uid="{00000000-0005-0000-0000-000036120000}"/>
    <cellStyle name="Normal 23 4 5" xfId="7853" xr:uid="{00000000-0005-0000-0000-000037120000}"/>
    <cellStyle name="Normal 23 5" xfId="3747" xr:uid="{00000000-0005-0000-0000-000038120000}"/>
    <cellStyle name="Normal 23 5 2" xfId="3748" xr:uid="{00000000-0005-0000-0000-000039120000}"/>
    <cellStyle name="Normal 23 5 2 2" xfId="3749" xr:uid="{00000000-0005-0000-0000-00003A120000}"/>
    <cellStyle name="Normal 23 5 2 2 2" xfId="3750" xr:uid="{00000000-0005-0000-0000-00003B120000}"/>
    <cellStyle name="Normal 23 5 2 2 2 2" xfId="7854" xr:uid="{00000000-0005-0000-0000-00003C120000}"/>
    <cellStyle name="Normal 23 5 2 2 3" xfId="7855" xr:uid="{00000000-0005-0000-0000-00003D120000}"/>
    <cellStyle name="Normal 23 5 2 3" xfId="3751" xr:uid="{00000000-0005-0000-0000-00003E120000}"/>
    <cellStyle name="Normal 23 5 2 3 2" xfId="7856" xr:uid="{00000000-0005-0000-0000-00003F120000}"/>
    <cellStyle name="Normal 23 5 2 4" xfId="7857" xr:uid="{00000000-0005-0000-0000-000040120000}"/>
    <cellStyle name="Normal 23 5 3" xfId="3752" xr:uid="{00000000-0005-0000-0000-000041120000}"/>
    <cellStyle name="Normal 23 5 3 2" xfId="3753" xr:uid="{00000000-0005-0000-0000-000042120000}"/>
    <cellStyle name="Normal 23 5 3 2 2" xfId="7858" xr:uid="{00000000-0005-0000-0000-000043120000}"/>
    <cellStyle name="Normal 23 5 3 3" xfId="7859" xr:uid="{00000000-0005-0000-0000-000044120000}"/>
    <cellStyle name="Normal 23 5 4" xfId="3754" xr:uid="{00000000-0005-0000-0000-000045120000}"/>
    <cellStyle name="Normal 23 5 4 2" xfId="7860" xr:uid="{00000000-0005-0000-0000-000046120000}"/>
    <cellStyle name="Normal 23 5 5" xfId="7861" xr:uid="{00000000-0005-0000-0000-000047120000}"/>
    <cellStyle name="Normal 23 6" xfId="3755" xr:uid="{00000000-0005-0000-0000-000048120000}"/>
    <cellStyle name="Normal 23 6 2" xfId="3756" xr:uid="{00000000-0005-0000-0000-000049120000}"/>
    <cellStyle name="Normal 23 6 2 2" xfId="3757" xr:uid="{00000000-0005-0000-0000-00004A120000}"/>
    <cellStyle name="Normal 23 6 2 2 2" xfId="7862" xr:uid="{00000000-0005-0000-0000-00004B120000}"/>
    <cellStyle name="Normal 23 6 2 3" xfId="7863" xr:uid="{00000000-0005-0000-0000-00004C120000}"/>
    <cellStyle name="Normal 23 6 3" xfId="3758" xr:uid="{00000000-0005-0000-0000-00004D120000}"/>
    <cellStyle name="Normal 23 6 3 2" xfId="7864" xr:uid="{00000000-0005-0000-0000-00004E120000}"/>
    <cellStyle name="Normal 23 6 4" xfId="7865" xr:uid="{00000000-0005-0000-0000-00004F120000}"/>
    <cellStyle name="Normal 23 7" xfId="3759" xr:uid="{00000000-0005-0000-0000-000050120000}"/>
    <cellStyle name="Normal 23 7 2" xfId="3760" xr:uid="{00000000-0005-0000-0000-000051120000}"/>
    <cellStyle name="Normal 23 7 2 2" xfId="7866" xr:uid="{00000000-0005-0000-0000-000052120000}"/>
    <cellStyle name="Normal 23 7 3" xfId="7867" xr:uid="{00000000-0005-0000-0000-000053120000}"/>
    <cellStyle name="Normal 23 8" xfId="3761" xr:uid="{00000000-0005-0000-0000-000054120000}"/>
    <cellStyle name="Normal 23 8 2" xfId="7868" xr:uid="{00000000-0005-0000-0000-000055120000}"/>
    <cellStyle name="Normal 23 9" xfId="7869" xr:uid="{00000000-0005-0000-0000-000056120000}"/>
    <cellStyle name="Normal 230" xfId="10699" xr:uid="{00000000-0005-0000-0000-000057120000}"/>
    <cellStyle name="Normal 231" xfId="10702" xr:uid="{00000000-0005-0000-0000-000058120000}"/>
    <cellStyle name="Normal 232" xfId="10705" xr:uid="{00000000-0005-0000-0000-000059120000}"/>
    <cellStyle name="Normal 233" xfId="10708" xr:uid="{00000000-0005-0000-0000-00005A120000}"/>
    <cellStyle name="Normal 234" xfId="10711" xr:uid="{00000000-0005-0000-0000-00005B120000}"/>
    <cellStyle name="Normal 235" xfId="10714" xr:uid="{00000000-0005-0000-0000-00005C120000}"/>
    <cellStyle name="Normal 236" xfId="10717" xr:uid="{00000000-0005-0000-0000-00005D120000}"/>
    <cellStyle name="Normal 237" xfId="10720" xr:uid="{00000000-0005-0000-0000-00005E120000}"/>
    <cellStyle name="Normal 238" xfId="10723" xr:uid="{00000000-0005-0000-0000-00005F120000}"/>
    <cellStyle name="Normal 239" xfId="10726" xr:uid="{00000000-0005-0000-0000-000060120000}"/>
    <cellStyle name="Normal 24" xfId="3762" xr:uid="{00000000-0005-0000-0000-000061120000}"/>
    <cellStyle name="Normal 24 2" xfId="3763" xr:uid="{00000000-0005-0000-0000-000062120000}"/>
    <cellStyle name="Normal 24 2 2" xfId="3764" xr:uid="{00000000-0005-0000-0000-000063120000}"/>
    <cellStyle name="Normal 24 3" xfId="3765" xr:uid="{00000000-0005-0000-0000-000064120000}"/>
    <cellStyle name="Normal 24 3 2" xfId="3766" xr:uid="{00000000-0005-0000-0000-000065120000}"/>
    <cellStyle name="Normal 24 3 2 2" xfId="3767" xr:uid="{00000000-0005-0000-0000-000066120000}"/>
    <cellStyle name="Normal 24 3 2 2 2" xfId="3768" xr:uid="{00000000-0005-0000-0000-000067120000}"/>
    <cellStyle name="Normal 24 3 2 2 2 2" xfId="7870" xr:uid="{00000000-0005-0000-0000-000068120000}"/>
    <cellStyle name="Normal 24 3 2 2 3" xfId="7871" xr:uid="{00000000-0005-0000-0000-000069120000}"/>
    <cellStyle name="Normal 24 3 2 3" xfId="3769" xr:uid="{00000000-0005-0000-0000-00006A120000}"/>
    <cellStyle name="Normal 24 3 2 3 2" xfId="7872" xr:uid="{00000000-0005-0000-0000-00006B120000}"/>
    <cellStyle name="Normal 24 3 2 4" xfId="7873" xr:uid="{00000000-0005-0000-0000-00006C120000}"/>
    <cellStyle name="Normal 24 3 3" xfId="3770" xr:uid="{00000000-0005-0000-0000-00006D120000}"/>
    <cellStyle name="Normal 24 3 3 2" xfId="3771" xr:uid="{00000000-0005-0000-0000-00006E120000}"/>
    <cellStyle name="Normal 24 3 3 2 2" xfId="7874" xr:uid="{00000000-0005-0000-0000-00006F120000}"/>
    <cellStyle name="Normal 24 3 3 3" xfId="7875" xr:uid="{00000000-0005-0000-0000-000070120000}"/>
    <cellStyle name="Normal 24 3 4" xfId="3772" xr:uid="{00000000-0005-0000-0000-000071120000}"/>
    <cellStyle name="Normal 24 3 4 2" xfId="7876" xr:uid="{00000000-0005-0000-0000-000072120000}"/>
    <cellStyle name="Normal 24 3 5" xfId="3773" xr:uid="{00000000-0005-0000-0000-000073120000}"/>
    <cellStyle name="Normal 24 4" xfId="3774" xr:uid="{00000000-0005-0000-0000-000074120000}"/>
    <cellStyle name="Normal 24 4 2" xfId="3775" xr:uid="{00000000-0005-0000-0000-000075120000}"/>
    <cellStyle name="Normal 24 4 2 2" xfId="3776" xr:uid="{00000000-0005-0000-0000-000076120000}"/>
    <cellStyle name="Normal 24 4 2 2 2" xfId="3777" xr:uid="{00000000-0005-0000-0000-000077120000}"/>
    <cellStyle name="Normal 24 4 2 2 2 2" xfId="7877" xr:uid="{00000000-0005-0000-0000-000078120000}"/>
    <cellStyle name="Normal 24 4 2 2 3" xfId="7878" xr:uid="{00000000-0005-0000-0000-000079120000}"/>
    <cellStyle name="Normal 24 4 2 3" xfId="3778" xr:uid="{00000000-0005-0000-0000-00007A120000}"/>
    <cellStyle name="Normal 24 4 2 3 2" xfId="7879" xr:uid="{00000000-0005-0000-0000-00007B120000}"/>
    <cellStyle name="Normal 24 4 2 4" xfId="7880" xr:uid="{00000000-0005-0000-0000-00007C120000}"/>
    <cellStyle name="Normal 24 4 3" xfId="3779" xr:uid="{00000000-0005-0000-0000-00007D120000}"/>
    <cellStyle name="Normal 24 4 3 2" xfId="3780" xr:uid="{00000000-0005-0000-0000-00007E120000}"/>
    <cellStyle name="Normal 24 4 3 2 2" xfId="7881" xr:uid="{00000000-0005-0000-0000-00007F120000}"/>
    <cellStyle name="Normal 24 4 3 3" xfId="7882" xr:uid="{00000000-0005-0000-0000-000080120000}"/>
    <cellStyle name="Normal 24 4 4" xfId="3781" xr:uid="{00000000-0005-0000-0000-000081120000}"/>
    <cellStyle name="Normal 24 4 4 2" xfId="7883" xr:uid="{00000000-0005-0000-0000-000082120000}"/>
    <cellStyle name="Normal 24 4 5" xfId="7884" xr:uid="{00000000-0005-0000-0000-000083120000}"/>
    <cellStyle name="Normal 24 5" xfId="3782" xr:uid="{00000000-0005-0000-0000-000084120000}"/>
    <cellStyle name="Normal 24 5 2" xfId="3783" xr:uid="{00000000-0005-0000-0000-000085120000}"/>
    <cellStyle name="Normal 24 5 2 2" xfId="3784" xr:uid="{00000000-0005-0000-0000-000086120000}"/>
    <cellStyle name="Normal 24 5 2 2 2" xfId="3785" xr:uid="{00000000-0005-0000-0000-000087120000}"/>
    <cellStyle name="Normal 24 5 2 2 2 2" xfId="7885" xr:uid="{00000000-0005-0000-0000-000088120000}"/>
    <cellStyle name="Normal 24 5 2 2 3" xfId="7886" xr:uid="{00000000-0005-0000-0000-000089120000}"/>
    <cellStyle name="Normal 24 5 2 3" xfId="3786" xr:uid="{00000000-0005-0000-0000-00008A120000}"/>
    <cellStyle name="Normal 24 5 2 3 2" xfId="7887" xr:uid="{00000000-0005-0000-0000-00008B120000}"/>
    <cellStyle name="Normal 24 5 2 4" xfId="7888" xr:uid="{00000000-0005-0000-0000-00008C120000}"/>
    <cellStyle name="Normal 24 5 3" xfId="3787" xr:uid="{00000000-0005-0000-0000-00008D120000}"/>
    <cellStyle name="Normal 24 5 3 2" xfId="3788" xr:uid="{00000000-0005-0000-0000-00008E120000}"/>
    <cellStyle name="Normal 24 5 3 2 2" xfId="7889" xr:uid="{00000000-0005-0000-0000-00008F120000}"/>
    <cellStyle name="Normal 24 5 3 3" xfId="7890" xr:uid="{00000000-0005-0000-0000-000090120000}"/>
    <cellStyle name="Normal 24 5 4" xfId="3789" xr:uid="{00000000-0005-0000-0000-000091120000}"/>
    <cellStyle name="Normal 24 5 4 2" xfId="7891" xr:uid="{00000000-0005-0000-0000-000092120000}"/>
    <cellStyle name="Normal 24 5 5" xfId="7892" xr:uid="{00000000-0005-0000-0000-000093120000}"/>
    <cellStyle name="Normal 24 6" xfId="3790" xr:uid="{00000000-0005-0000-0000-000094120000}"/>
    <cellStyle name="Normal 24 6 2" xfId="3791" xr:uid="{00000000-0005-0000-0000-000095120000}"/>
    <cellStyle name="Normal 24 6 2 2" xfId="3792" xr:uid="{00000000-0005-0000-0000-000096120000}"/>
    <cellStyle name="Normal 24 6 2 2 2" xfId="7893" xr:uid="{00000000-0005-0000-0000-000097120000}"/>
    <cellStyle name="Normal 24 6 2 3" xfId="7894" xr:uid="{00000000-0005-0000-0000-000098120000}"/>
    <cellStyle name="Normal 24 6 3" xfId="3793" xr:uid="{00000000-0005-0000-0000-000099120000}"/>
    <cellStyle name="Normal 24 6 3 2" xfId="7895" xr:uid="{00000000-0005-0000-0000-00009A120000}"/>
    <cellStyle name="Normal 24 6 4" xfId="7896" xr:uid="{00000000-0005-0000-0000-00009B120000}"/>
    <cellStyle name="Normal 24 7" xfId="3794" xr:uid="{00000000-0005-0000-0000-00009C120000}"/>
    <cellStyle name="Normal 24 7 2" xfId="3795" xr:uid="{00000000-0005-0000-0000-00009D120000}"/>
    <cellStyle name="Normal 24 7 2 2" xfId="7897" xr:uid="{00000000-0005-0000-0000-00009E120000}"/>
    <cellStyle name="Normal 24 7 3" xfId="7898" xr:uid="{00000000-0005-0000-0000-00009F120000}"/>
    <cellStyle name="Normal 24 8" xfId="3796" xr:uid="{00000000-0005-0000-0000-0000A0120000}"/>
    <cellStyle name="Normal 24 8 2" xfId="7899" xr:uid="{00000000-0005-0000-0000-0000A1120000}"/>
    <cellStyle name="Normal 24 9" xfId="7900" xr:uid="{00000000-0005-0000-0000-0000A2120000}"/>
    <cellStyle name="Normal 240" xfId="10729" xr:uid="{00000000-0005-0000-0000-0000A3120000}"/>
    <cellStyle name="Normal 241" xfId="10732" xr:uid="{00000000-0005-0000-0000-0000A4120000}"/>
    <cellStyle name="Normal 242" xfId="10735" xr:uid="{00000000-0005-0000-0000-0000A5120000}"/>
    <cellStyle name="Normal 243" xfId="10738" xr:uid="{00000000-0005-0000-0000-0000A6120000}"/>
    <cellStyle name="Normal 244" xfId="10741" xr:uid="{00000000-0005-0000-0000-0000A7120000}"/>
    <cellStyle name="Normal 245" xfId="10744" xr:uid="{00000000-0005-0000-0000-0000A8120000}"/>
    <cellStyle name="Normal 246" xfId="10747" xr:uid="{00000000-0005-0000-0000-0000A9120000}"/>
    <cellStyle name="Normal 247" xfId="10750" xr:uid="{00000000-0005-0000-0000-0000AA120000}"/>
    <cellStyle name="Normal 248" xfId="10753" xr:uid="{00000000-0005-0000-0000-0000AB120000}"/>
    <cellStyle name="Normal 249" xfId="10756" xr:uid="{00000000-0005-0000-0000-0000AC120000}"/>
    <cellStyle name="Normal 25" xfId="3797" xr:uid="{00000000-0005-0000-0000-0000AD120000}"/>
    <cellStyle name="Normal 25 2" xfId="3798" xr:uid="{00000000-0005-0000-0000-0000AE120000}"/>
    <cellStyle name="Normal 25 2 2" xfId="3799" xr:uid="{00000000-0005-0000-0000-0000AF120000}"/>
    <cellStyle name="Normal 25 3" xfId="3800" xr:uid="{00000000-0005-0000-0000-0000B0120000}"/>
    <cellStyle name="Normal 25 3 2" xfId="3801" xr:uid="{00000000-0005-0000-0000-0000B1120000}"/>
    <cellStyle name="Normal 25 3 2 2" xfId="3802" xr:uid="{00000000-0005-0000-0000-0000B2120000}"/>
    <cellStyle name="Normal 25 3 2 2 2" xfId="3803" xr:uid="{00000000-0005-0000-0000-0000B3120000}"/>
    <cellStyle name="Normal 25 3 2 2 2 2" xfId="7901" xr:uid="{00000000-0005-0000-0000-0000B4120000}"/>
    <cellStyle name="Normal 25 3 2 2 3" xfId="7902" xr:uid="{00000000-0005-0000-0000-0000B5120000}"/>
    <cellStyle name="Normal 25 3 2 3" xfId="3804" xr:uid="{00000000-0005-0000-0000-0000B6120000}"/>
    <cellStyle name="Normal 25 3 2 3 2" xfId="7903" xr:uid="{00000000-0005-0000-0000-0000B7120000}"/>
    <cellStyle name="Normal 25 3 2 4" xfId="7904" xr:uid="{00000000-0005-0000-0000-0000B8120000}"/>
    <cellStyle name="Normal 25 3 3" xfId="3805" xr:uid="{00000000-0005-0000-0000-0000B9120000}"/>
    <cellStyle name="Normal 25 3 3 2" xfId="3806" xr:uid="{00000000-0005-0000-0000-0000BA120000}"/>
    <cellStyle name="Normal 25 3 3 2 2" xfId="7905" xr:uid="{00000000-0005-0000-0000-0000BB120000}"/>
    <cellStyle name="Normal 25 3 3 3" xfId="7906" xr:uid="{00000000-0005-0000-0000-0000BC120000}"/>
    <cellStyle name="Normal 25 3 4" xfId="3807" xr:uid="{00000000-0005-0000-0000-0000BD120000}"/>
    <cellStyle name="Normal 25 3 4 2" xfId="7907" xr:uid="{00000000-0005-0000-0000-0000BE120000}"/>
    <cellStyle name="Normal 25 3 5" xfId="3808" xr:uid="{00000000-0005-0000-0000-0000BF120000}"/>
    <cellStyle name="Normal 25 4" xfId="3809" xr:uid="{00000000-0005-0000-0000-0000C0120000}"/>
    <cellStyle name="Normal 25 4 2" xfId="3810" xr:uid="{00000000-0005-0000-0000-0000C1120000}"/>
    <cellStyle name="Normal 25 4 2 2" xfId="3811" xr:uid="{00000000-0005-0000-0000-0000C2120000}"/>
    <cellStyle name="Normal 25 4 2 2 2" xfId="3812" xr:uid="{00000000-0005-0000-0000-0000C3120000}"/>
    <cellStyle name="Normal 25 4 2 2 2 2" xfId="7908" xr:uid="{00000000-0005-0000-0000-0000C4120000}"/>
    <cellStyle name="Normal 25 4 2 2 3" xfId="7909" xr:uid="{00000000-0005-0000-0000-0000C5120000}"/>
    <cellStyle name="Normal 25 4 2 3" xfId="3813" xr:uid="{00000000-0005-0000-0000-0000C6120000}"/>
    <cellStyle name="Normal 25 4 2 3 2" xfId="7910" xr:uid="{00000000-0005-0000-0000-0000C7120000}"/>
    <cellStyle name="Normal 25 4 2 4" xfId="7911" xr:uid="{00000000-0005-0000-0000-0000C8120000}"/>
    <cellStyle name="Normal 25 4 3" xfId="3814" xr:uid="{00000000-0005-0000-0000-0000C9120000}"/>
    <cellStyle name="Normal 25 4 3 2" xfId="3815" xr:uid="{00000000-0005-0000-0000-0000CA120000}"/>
    <cellStyle name="Normal 25 4 3 2 2" xfId="7912" xr:uid="{00000000-0005-0000-0000-0000CB120000}"/>
    <cellStyle name="Normal 25 4 3 3" xfId="7913" xr:uid="{00000000-0005-0000-0000-0000CC120000}"/>
    <cellStyle name="Normal 25 4 4" xfId="3816" xr:uid="{00000000-0005-0000-0000-0000CD120000}"/>
    <cellStyle name="Normal 25 4 4 2" xfId="7914" xr:uid="{00000000-0005-0000-0000-0000CE120000}"/>
    <cellStyle name="Normal 25 4 5" xfId="7915" xr:uid="{00000000-0005-0000-0000-0000CF120000}"/>
    <cellStyle name="Normal 25 5" xfId="3817" xr:uid="{00000000-0005-0000-0000-0000D0120000}"/>
    <cellStyle name="Normal 25 5 2" xfId="3818" xr:uid="{00000000-0005-0000-0000-0000D1120000}"/>
    <cellStyle name="Normal 25 5 2 2" xfId="3819" xr:uid="{00000000-0005-0000-0000-0000D2120000}"/>
    <cellStyle name="Normal 25 5 2 2 2" xfId="3820" xr:uid="{00000000-0005-0000-0000-0000D3120000}"/>
    <cellStyle name="Normal 25 5 2 2 2 2" xfId="7916" xr:uid="{00000000-0005-0000-0000-0000D4120000}"/>
    <cellStyle name="Normal 25 5 2 2 3" xfId="7917" xr:uid="{00000000-0005-0000-0000-0000D5120000}"/>
    <cellStyle name="Normal 25 5 2 3" xfId="3821" xr:uid="{00000000-0005-0000-0000-0000D6120000}"/>
    <cellStyle name="Normal 25 5 2 3 2" xfId="7918" xr:uid="{00000000-0005-0000-0000-0000D7120000}"/>
    <cellStyle name="Normal 25 5 2 4" xfId="7919" xr:uid="{00000000-0005-0000-0000-0000D8120000}"/>
    <cellStyle name="Normal 25 5 3" xfId="3822" xr:uid="{00000000-0005-0000-0000-0000D9120000}"/>
    <cellStyle name="Normal 25 5 3 2" xfId="3823" xr:uid="{00000000-0005-0000-0000-0000DA120000}"/>
    <cellStyle name="Normal 25 5 3 2 2" xfId="7920" xr:uid="{00000000-0005-0000-0000-0000DB120000}"/>
    <cellStyle name="Normal 25 5 3 3" xfId="7921" xr:uid="{00000000-0005-0000-0000-0000DC120000}"/>
    <cellStyle name="Normal 25 5 4" xfId="3824" xr:uid="{00000000-0005-0000-0000-0000DD120000}"/>
    <cellStyle name="Normal 25 5 4 2" xfId="7922" xr:uid="{00000000-0005-0000-0000-0000DE120000}"/>
    <cellStyle name="Normal 25 5 5" xfId="7923" xr:uid="{00000000-0005-0000-0000-0000DF120000}"/>
    <cellStyle name="Normal 25 6" xfId="3825" xr:uid="{00000000-0005-0000-0000-0000E0120000}"/>
    <cellStyle name="Normal 25 6 2" xfId="3826" xr:uid="{00000000-0005-0000-0000-0000E1120000}"/>
    <cellStyle name="Normal 25 6 2 2" xfId="3827" xr:uid="{00000000-0005-0000-0000-0000E2120000}"/>
    <cellStyle name="Normal 25 6 2 2 2" xfId="7924" xr:uid="{00000000-0005-0000-0000-0000E3120000}"/>
    <cellStyle name="Normal 25 6 2 3" xfId="7925" xr:uid="{00000000-0005-0000-0000-0000E4120000}"/>
    <cellStyle name="Normal 25 6 3" xfId="3828" xr:uid="{00000000-0005-0000-0000-0000E5120000}"/>
    <cellStyle name="Normal 25 6 3 2" xfId="7926" xr:uid="{00000000-0005-0000-0000-0000E6120000}"/>
    <cellStyle name="Normal 25 6 4" xfId="7927" xr:uid="{00000000-0005-0000-0000-0000E7120000}"/>
    <cellStyle name="Normal 25 7" xfId="3829" xr:uid="{00000000-0005-0000-0000-0000E8120000}"/>
    <cellStyle name="Normal 25 7 2" xfId="3830" xr:uid="{00000000-0005-0000-0000-0000E9120000}"/>
    <cellStyle name="Normal 25 7 2 2" xfId="7928" xr:uid="{00000000-0005-0000-0000-0000EA120000}"/>
    <cellStyle name="Normal 25 7 3" xfId="7929" xr:uid="{00000000-0005-0000-0000-0000EB120000}"/>
    <cellStyle name="Normal 25 8" xfId="3831" xr:uid="{00000000-0005-0000-0000-0000EC120000}"/>
    <cellStyle name="Normal 25 8 2" xfId="7930" xr:uid="{00000000-0005-0000-0000-0000ED120000}"/>
    <cellStyle name="Normal 25 9" xfId="7931" xr:uid="{00000000-0005-0000-0000-0000EE120000}"/>
    <cellStyle name="Normal 250" xfId="10759" xr:uid="{00000000-0005-0000-0000-0000EF120000}"/>
    <cellStyle name="Normal 251" xfId="10762" xr:uid="{00000000-0005-0000-0000-0000F0120000}"/>
    <cellStyle name="Normal 252" xfId="10765" xr:uid="{00000000-0005-0000-0000-0000F1120000}"/>
    <cellStyle name="Normal 253" xfId="10768" xr:uid="{00000000-0005-0000-0000-0000F2120000}"/>
    <cellStyle name="Normal 254" xfId="10771" xr:uid="{00000000-0005-0000-0000-0000F3120000}"/>
    <cellStyle name="Normal 255" xfId="10774" xr:uid="{00000000-0005-0000-0000-0000F4120000}"/>
    <cellStyle name="Normal 256" xfId="10777" xr:uid="{00000000-0005-0000-0000-0000F5120000}"/>
    <cellStyle name="Normal 257" xfId="10780" xr:uid="{00000000-0005-0000-0000-0000F6120000}"/>
    <cellStyle name="Normal 258" xfId="10783" xr:uid="{00000000-0005-0000-0000-0000F7120000}"/>
    <cellStyle name="Normal 259" xfId="10786" xr:uid="{00000000-0005-0000-0000-0000F8120000}"/>
    <cellStyle name="Normal 26" xfId="3832" xr:uid="{00000000-0005-0000-0000-0000F9120000}"/>
    <cellStyle name="Normal 26 2" xfId="3833" xr:uid="{00000000-0005-0000-0000-0000FA120000}"/>
    <cellStyle name="Normal 26 2 2" xfId="3834" xr:uid="{00000000-0005-0000-0000-0000FB120000}"/>
    <cellStyle name="Normal 26 3" xfId="3835" xr:uid="{00000000-0005-0000-0000-0000FC120000}"/>
    <cellStyle name="Normal 26 3 2" xfId="3836" xr:uid="{00000000-0005-0000-0000-0000FD120000}"/>
    <cellStyle name="Normal 26 3 2 2" xfId="3837" xr:uid="{00000000-0005-0000-0000-0000FE120000}"/>
    <cellStyle name="Normal 26 3 2 2 2" xfId="3838" xr:uid="{00000000-0005-0000-0000-0000FF120000}"/>
    <cellStyle name="Normal 26 3 2 2 2 2" xfId="7932" xr:uid="{00000000-0005-0000-0000-000000130000}"/>
    <cellStyle name="Normal 26 3 2 2 3" xfId="7933" xr:uid="{00000000-0005-0000-0000-000001130000}"/>
    <cellStyle name="Normal 26 3 2 3" xfId="3839" xr:uid="{00000000-0005-0000-0000-000002130000}"/>
    <cellStyle name="Normal 26 3 2 3 2" xfId="7934" xr:uid="{00000000-0005-0000-0000-000003130000}"/>
    <cellStyle name="Normal 26 3 2 4" xfId="7935" xr:uid="{00000000-0005-0000-0000-000004130000}"/>
    <cellStyle name="Normal 26 3 3" xfId="3840" xr:uid="{00000000-0005-0000-0000-000005130000}"/>
    <cellStyle name="Normal 26 3 3 2" xfId="3841" xr:uid="{00000000-0005-0000-0000-000006130000}"/>
    <cellStyle name="Normal 26 3 3 2 2" xfId="7936" xr:uid="{00000000-0005-0000-0000-000007130000}"/>
    <cellStyle name="Normal 26 3 3 3" xfId="7937" xr:uid="{00000000-0005-0000-0000-000008130000}"/>
    <cellStyle name="Normal 26 3 4" xfId="3842" xr:uid="{00000000-0005-0000-0000-000009130000}"/>
    <cellStyle name="Normal 26 3 4 2" xfId="7938" xr:uid="{00000000-0005-0000-0000-00000A130000}"/>
    <cellStyle name="Normal 26 3 5" xfId="3843" xr:uid="{00000000-0005-0000-0000-00000B130000}"/>
    <cellStyle name="Normal 26 4" xfId="3844" xr:uid="{00000000-0005-0000-0000-00000C130000}"/>
    <cellStyle name="Normal 26 4 2" xfId="3845" xr:uid="{00000000-0005-0000-0000-00000D130000}"/>
    <cellStyle name="Normal 26 4 2 2" xfId="3846" xr:uid="{00000000-0005-0000-0000-00000E130000}"/>
    <cellStyle name="Normal 26 4 2 2 2" xfId="3847" xr:uid="{00000000-0005-0000-0000-00000F130000}"/>
    <cellStyle name="Normal 26 4 2 2 2 2" xfId="7939" xr:uid="{00000000-0005-0000-0000-000010130000}"/>
    <cellStyle name="Normal 26 4 2 2 3" xfId="7940" xr:uid="{00000000-0005-0000-0000-000011130000}"/>
    <cellStyle name="Normal 26 4 2 3" xfId="3848" xr:uid="{00000000-0005-0000-0000-000012130000}"/>
    <cellStyle name="Normal 26 4 2 3 2" xfId="7941" xr:uid="{00000000-0005-0000-0000-000013130000}"/>
    <cellStyle name="Normal 26 4 2 4" xfId="7942" xr:uid="{00000000-0005-0000-0000-000014130000}"/>
    <cellStyle name="Normal 26 4 3" xfId="3849" xr:uid="{00000000-0005-0000-0000-000015130000}"/>
    <cellStyle name="Normal 26 4 3 2" xfId="3850" xr:uid="{00000000-0005-0000-0000-000016130000}"/>
    <cellStyle name="Normal 26 4 3 2 2" xfId="7943" xr:uid="{00000000-0005-0000-0000-000017130000}"/>
    <cellStyle name="Normal 26 4 3 3" xfId="7944" xr:uid="{00000000-0005-0000-0000-000018130000}"/>
    <cellStyle name="Normal 26 4 4" xfId="3851" xr:uid="{00000000-0005-0000-0000-000019130000}"/>
    <cellStyle name="Normal 26 4 4 2" xfId="7945" xr:uid="{00000000-0005-0000-0000-00001A130000}"/>
    <cellStyle name="Normal 26 4 5" xfId="7946" xr:uid="{00000000-0005-0000-0000-00001B130000}"/>
    <cellStyle name="Normal 26 5" xfId="3852" xr:uid="{00000000-0005-0000-0000-00001C130000}"/>
    <cellStyle name="Normal 26 5 2" xfId="3853" xr:uid="{00000000-0005-0000-0000-00001D130000}"/>
    <cellStyle name="Normal 26 5 2 2" xfId="3854" xr:uid="{00000000-0005-0000-0000-00001E130000}"/>
    <cellStyle name="Normal 26 5 2 2 2" xfId="3855" xr:uid="{00000000-0005-0000-0000-00001F130000}"/>
    <cellStyle name="Normal 26 5 2 2 2 2" xfId="7947" xr:uid="{00000000-0005-0000-0000-000020130000}"/>
    <cellStyle name="Normal 26 5 2 2 3" xfId="7948" xr:uid="{00000000-0005-0000-0000-000021130000}"/>
    <cellStyle name="Normal 26 5 2 3" xfId="3856" xr:uid="{00000000-0005-0000-0000-000022130000}"/>
    <cellStyle name="Normal 26 5 2 3 2" xfId="7949" xr:uid="{00000000-0005-0000-0000-000023130000}"/>
    <cellStyle name="Normal 26 5 2 4" xfId="7950" xr:uid="{00000000-0005-0000-0000-000024130000}"/>
    <cellStyle name="Normal 26 5 3" xfId="3857" xr:uid="{00000000-0005-0000-0000-000025130000}"/>
    <cellStyle name="Normal 26 5 3 2" xfId="3858" xr:uid="{00000000-0005-0000-0000-000026130000}"/>
    <cellStyle name="Normal 26 5 3 2 2" xfId="7951" xr:uid="{00000000-0005-0000-0000-000027130000}"/>
    <cellStyle name="Normal 26 5 3 3" xfId="7952" xr:uid="{00000000-0005-0000-0000-000028130000}"/>
    <cellStyle name="Normal 26 5 4" xfId="3859" xr:uid="{00000000-0005-0000-0000-000029130000}"/>
    <cellStyle name="Normal 26 5 4 2" xfId="7953" xr:uid="{00000000-0005-0000-0000-00002A130000}"/>
    <cellStyle name="Normal 26 5 5" xfId="7954" xr:uid="{00000000-0005-0000-0000-00002B130000}"/>
    <cellStyle name="Normal 26 6" xfId="3860" xr:uid="{00000000-0005-0000-0000-00002C130000}"/>
    <cellStyle name="Normal 26 6 2" xfId="3861" xr:uid="{00000000-0005-0000-0000-00002D130000}"/>
    <cellStyle name="Normal 26 6 2 2" xfId="3862" xr:uid="{00000000-0005-0000-0000-00002E130000}"/>
    <cellStyle name="Normal 26 6 2 2 2" xfId="7955" xr:uid="{00000000-0005-0000-0000-00002F130000}"/>
    <cellStyle name="Normal 26 6 2 3" xfId="7956" xr:uid="{00000000-0005-0000-0000-000030130000}"/>
    <cellStyle name="Normal 26 6 3" xfId="3863" xr:uid="{00000000-0005-0000-0000-000031130000}"/>
    <cellStyle name="Normal 26 6 3 2" xfId="7957" xr:uid="{00000000-0005-0000-0000-000032130000}"/>
    <cellStyle name="Normal 26 6 4" xfId="7958" xr:uid="{00000000-0005-0000-0000-000033130000}"/>
    <cellStyle name="Normal 26 7" xfId="3864" xr:uid="{00000000-0005-0000-0000-000034130000}"/>
    <cellStyle name="Normal 26 7 2" xfId="3865" xr:uid="{00000000-0005-0000-0000-000035130000}"/>
    <cellStyle name="Normal 26 7 2 2" xfId="7959" xr:uid="{00000000-0005-0000-0000-000036130000}"/>
    <cellStyle name="Normal 26 7 3" xfId="7960" xr:uid="{00000000-0005-0000-0000-000037130000}"/>
    <cellStyle name="Normal 26 8" xfId="3866" xr:uid="{00000000-0005-0000-0000-000038130000}"/>
    <cellStyle name="Normal 26 8 2" xfId="7961" xr:uid="{00000000-0005-0000-0000-000039130000}"/>
    <cellStyle name="Normal 26 9" xfId="7962" xr:uid="{00000000-0005-0000-0000-00003A130000}"/>
    <cellStyle name="Normal 260" xfId="10789" xr:uid="{00000000-0005-0000-0000-00003B130000}"/>
    <cellStyle name="Normal 261" xfId="10792" xr:uid="{00000000-0005-0000-0000-00003C130000}"/>
    <cellStyle name="Normal 262" xfId="10795" xr:uid="{00000000-0005-0000-0000-00003D130000}"/>
    <cellStyle name="Normal 263" xfId="10798" xr:uid="{00000000-0005-0000-0000-00003E130000}"/>
    <cellStyle name="Normal 264" xfId="10801" xr:uid="{00000000-0005-0000-0000-00003F130000}"/>
    <cellStyle name="Normal 265" xfId="10804" xr:uid="{00000000-0005-0000-0000-000040130000}"/>
    <cellStyle name="Normal 266" xfId="10807" xr:uid="{00000000-0005-0000-0000-000041130000}"/>
    <cellStyle name="Normal 267" xfId="10810" xr:uid="{00000000-0005-0000-0000-000042130000}"/>
    <cellStyle name="Normal 268" xfId="10813" xr:uid="{00000000-0005-0000-0000-000043130000}"/>
    <cellStyle name="Normal 269" xfId="10816" xr:uid="{00000000-0005-0000-0000-000044130000}"/>
    <cellStyle name="Normal 27" xfId="3867" xr:uid="{00000000-0005-0000-0000-000045130000}"/>
    <cellStyle name="Normal 27 2" xfId="3868" xr:uid="{00000000-0005-0000-0000-000046130000}"/>
    <cellStyle name="Normal 27 2 2" xfId="3869" xr:uid="{00000000-0005-0000-0000-000047130000}"/>
    <cellStyle name="Normal 27 3" xfId="3870" xr:uid="{00000000-0005-0000-0000-000048130000}"/>
    <cellStyle name="Normal 27 3 2" xfId="3871" xr:uid="{00000000-0005-0000-0000-000049130000}"/>
    <cellStyle name="Normal 27 3 2 2" xfId="3872" xr:uid="{00000000-0005-0000-0000-00004A130000}"/>
    <cellStyle name="Normal 27 3 2 2 2" xfId="3873" xr:uid="{00000000-0005-0000-0000-00004B130000}"/>
    <cellStyle name="Normal 27 3 2 2 2 2" xfId="7963" xr:uid="{00000000-0005-0000-0000-00004C130000}"/>
    <cellStyle name="Normal 27 3 2 2 3" xfId="7964" xr:uid="{00000000-0005-0000-0000-00004D130000}"/>
    <cellStyle name="Normal 27 3 2 3" xfId="3874" xr:uid="{00000000-0005-0000-0000-00004E130000}"/>
    <cellStyle name="Normal 27 3 2 3 2" xfId="7965" xr:uid="{00000000-0005-0000-0000-00004F130000}"/>
    <cellStyle name="Normal 27 3 2 4" xfId="7966" xr:uid="{00000000-0005-0000-0000-000050130000}"/>
    <cellStyle name="Normal 27 3 3" xfId="3875" xr:uid="{00000000-0005-0000-0000-000051130000}"/>
    <cellStyle name="Normal 27 3 3 2" xfId="3876" xr:uid="{00000000-0005-0000-0000-000052130000}"/>
    <cellStyle name="Normal 27 3 3 2 2" xfId="7967" xr:uid="{00000000-0005-0000-0000-000053130000}"/>
    <cellStyle name="Normal 27 3 3 3" xfId="7968" xr:uid="{00000000-0005-0000-0000-000054130000}"/>
    <cellStyle name="Normal 27 3 4" xfId="3877" xr:uid="{00000000-0005-0000-0000-000055130000}"/>
    <cellStyle name="Normal 27 3 4 2" xfId="7969" xr:uid="{00000000-0005-0000-0000-000056130000}"/>
    <cellStyle name="Normal 27 3 5" xfId="3878" xr:uid="{00000000-0005-0000-0000-000057130000}"/>
    <cellStyle name="Normal 27 4" xfId="3879" xr:uid="{00000000-0005-0000-0000-000058130000}"/>
    <cellStyle name="Normal 27 4 2" xfId="3880" xr:uid="{00000000-0005-0000-0000-000059130000}"/>
    <cellStyle name="Normal 27 4 2 2" xfId="3881" xr:uid="{00000000-0005-0000-0000-00005A130000}"/>
    <cellStyle name="Normal 27 4 2 2 2" xfId="3882" xr:uid="{00000000-0005-0000-0000-00005B130000}"/>
    <cellStyle name="Normal 27 4 2 2 2 2" xfId="7970" xr:uid="{00000000-0005-0000-0000-00005C130000}"/>
    <cellStyle name="Normal 27 4 2 2 3" xfId="7971" xr:uid="{00000000-0005-0000-0000-00005D130000}"/>
    <cellStyle name="Normal 27 4 2 3" xfId="3883" xr:uid="{00000000-0005-0000-0000-00005E130000}"/>
    <cellStyle name="Normal 27 4 2 3 2" xfId="7972" xr:uid="{00000000-0005-0000-0000-00005F130000}"/>
    <cellStyle name="Normal 27 4 2 4" xfId="7973" xr:uid="{00000000-0005-0000-0000-000060130000}"/>
    <cellStyle name="Normal 27 4 3" xfId="3884" xr:uid="{00000000-0005-0000-0000-000061130000}"/>
    <cellStyle name="Normal 27 4 3 2" xfId="3885" xr:uid="{00000000-0005-0000-0000-000062130000}"/>
    <cellStyle name="Normal 27 4 3 2 2" xfId="7974" xr:uid="{00000000-0005-0000-0000-000063130000}"/>
    <cellStyle name="Normal 27 4 3 3" xfId="7975" xr:uid="{00000000-0005-0000-0000-000064130000}"/>
    <cellStyle name="Normal 27 4 4" xfId="3886" xr:uid="{00000000-0005-0000-0000-000065130000}"/>
    <cellStyle name="Normal 27 4 4 2" xfId="7976" xr:uid="{00000000-0005-0000-0000-000066130000}"/>
    <cellStyle name="Normal 27 4 5" xfId="7977" xr:uid="{00000000-0005-0000-0000-000067130000}"/>
    <cellStyle name="Normal 27 5" xfId="3887" xr:uid="{00000000-0005-0000-0000-000068130000}"/>
    <cellStyle name="Normal 27 5 2" xfId="3888" xr:uid="{00000000-0005-0000-0000-000069130000}"/>
    <cellStyle name="Normal 27 5 2 2" xfId="3889" xr:uid="{00000000-0005-0000-0000-00006A130000}"/>
    <cellStyle name="Normal 27 5 2 2 2" xfId="3890" xr:uid="{00000000-0005-0000-0000-00006B130000}"/>
    <cellStyle name="Normal 27 5 2 2 2 2" xfId="7978" xr:uid="{00000000-0005-0000-0000-00006C130000}"/>
    <cellStyle name="Normal 27 5 2 2 3" xfId="7979" xr:uid="{00000000-0005-0000-0000-00006D130000}"/>
    <cellStyle name="Normal 27 5 2 3" xfId="3891" xr:uid="{00000000-0005-0000-0000-00006E130000}"/>
    <cellStyle name="Normal 27 5 2 3 2" xfId="7980" xr:uid="{00000000-0005-0000-0000-00006F130000}"/>
    <cellStyle name="Normal 27 5 2 4" xfId="7981" xr:uid="{00000000-0005-0000-0000-000070130000}"/>
    <cellStyle name="Normal 27 5 3" xfId="3892" xr:uid="{00000000-0005-0000-0000-000071130000}"/>
    <cellStyle name="Normal 27 5 3 2" xfId="3893" xr:uid="{00000000-0005-0000-0000-000072130000}"/>
    <cellStyle name="Normal 27 5 3 2 2" xfId="7982" xr:uid="{00000000-0005-0000-0000-000073130000}"/>
    <cellStyle name="Normal 27 5 3 3" xfId="7983" xr:uid="{00000000-0005-0000-0000-000074130000}"/>
    <cellStyle name="Normal 27 5 4" xfId="3894" xr:uid="{00000000-0005-0000-0000-000075130000}"/>
    <cellStyle name="Normal 27 5 4 2" xfId="7984" xr:uid="{00000000-0005-0000-0000-000076130000}"/>
    <cellStyle name="Normal 27 5 5" xfId="7985" xr:uid="{00000000-0005-0000-0000-000077130000}"/>
    <cellStyle name="Normal 27 6" xfId="3895" xr:uid="{00000000-0005-0000-0000-000078130000}"/>
    <cellStyle name="Normal 27 6 2" xfId="3896" xr:uid="{00000000-0005-0000-0000-000079130000}"/>
    <cellStyle name="Normal 27 6 2 2" xfId="3897" xr:uid="{00000000-0005-0000-0000-00007A130000}"/>
    <cellStyle name="Normal 27 6 2 2 2" xfId="7986" xr:uid="{00000000-0005-0000-0000-00007B130000}"/>
    <cellStyle name="Normal 27 6 2 3" xfId="7987" xr:uid="{00000000-0005-0000-0000-00007C130000}"/>
    <cellStyle name="Normal 27 6 3" xfId="3898" xr:uid="{00000000-0005-0000-0000-00007D130000}"/>
    <cellStyle name="Normal 27 6 3 2" xfId="7988" xr:uid="{00000000-0005-0000-0000-00007E130000}"/>
    <cellStyle name="Normal 27 6 4" xfId="7989" xr:uid="{00000000-0005-0000-0000-00007F130000}"/>
    <cellStyle name="Normal 27 7" xfId="3899" xr:uid="{00000000-0005-0000-0000-000080130000}"/>
    <cellStyle name="Normal 27 7 2" xfId="3900" xr:uid="{00000000-0005-0000-0000-000081130000}"/>
    <cellStyle name="Normal 27 7 2 2" xfId="7990" xr:uid="{00000000-0005-0000-0000-000082130000}"/>
    <cellStyle name="Normal 27 7 3" xfId="7991" xr:uid="{00000000-0005-0000-0000-000083130000}"/>
    <cellStyle name="Normal 27 8" xfId="3901" xr:uid="{00000000-0005-0000-0000-000084130000}"/>
    <cellStyle name="Normal 27 8 2" xfId="7992" xr:uid="{00000000-0005-0000-0000-000085130000}"/>
    <cellStyle name="Normal 27 9" xfId="7993" xr:uid="{00000000-0005-0000-0000-000086130000}"/>
    <cellStyle name="Normal 270" xfId="10819" xr:uid="{00000000-0005-0000-0000-000087130000}"/>
    <cellStyle name="Normal 271" xfId="10822" xr:uid="{00000000-0005-0000-0000-000088130000}"/>
    <cellStyle name="Normal 272" xfId="10825" xr:uid="{00000000-0005-0000-0000-000089130000}"/>
    <cellStyle name="Normal 273" xfId="10828" xr:uid="{00000000-0005-0000-0000-00008A130000}"/>
    <cellStyle name="Normal 274" xfId="10831" xr:uid="{00000000-0005-0000-0000-00008B130000}"/>
    <cellStyle name="Normal 275" xfId="10834" xr:uid="{00000000-0005-0000-0000-00008C130000}"/>
    <cellStyle name="Normal 276" xfId="10837" xr:uid="{00000000-0005-0000-0000-00008D130000}"/>
    <cellStyle name="Normal 277" xfId="10840" xr:uid="{00000000-0005-0000-0000-00008E130000}"/>
    <cellStyle name="Normal 278" xfId="10843" xr:uid="{00000000-0005-0000-0000-00008F130000}"/>
    <cellStyle name="Normal 279" xfId="10846" xr:uid="{00000000-0005-0000-0000-000090130000}"/>
    <cellStyle name="Normal 28" xfId="3902" xr:uid="{00000000-0005-0000-0000-000091130000}"/>
    <cellStyle name="Normal 28 2" xfId="3903" xr:uid="{00000000-0005-0000-0000-000092130000}"/>
    <cellStyle name="Normal 28 2 2" xfId="3904" xr:uid="{00000000-0005-0000-0000-000093130000}"/>
    <cellStyle name="Normal 28 3" xfId="3905" xr:uid="{00000000-0005-0000-0000-000094130000}"/>
    <cellStyle name="Normal 28 3 2" xfId="3906" xr:uid="{00000000-0005-0000-0000-000095130000}"/>
    <cellStyle name="Normal 28 3 2 2" xfId="3907" xr:uid="{00000000-0005-0000-0000-000096130000}"/>
    <cellStyle name="Normal 28 3 2 2 2" xfId="3908" xr:uid="{00000000-0005-0000-0000-000097130000}"/>
    <cellStyle name="Normal 28 3 2 2 2 2" xfId="7994" xr:uid="{00000000-0005-0000-0000-000098130000}"/>
    <cellStyle name="Normal 28 3 2 2 3" xfId="7995" xr:uid="{00000000-0005-0000-0000-000099130000}"/>
    <cellStyle name="Normal 28 3 2 3" xfId="3909" xr:uid="{00000000-0005-0000-0000-00009A130000}"/>
    <cellStyle name="Normal 28 3 2 3 2" xfId="7996" xr:uid="{00000000-0005-0000-0000-00009B130000}"/>
    <cellStyle name="Normal 28 3 2 4" xfId="7997" xr:uid="{00000000-0005-0000-0000-00009C130000}"/>
    <cellStyle name="Normal 28 3 3" xfId="3910" xr:uid="{00000000-0005-0000-0000-00009D130000}"/>
    <cellStyle name="Normal 28 3 3 2" xfId="3911" xr:uid="{00000000-0005-0000-0000-00009E130000}"/>
    <cellStyle name="Normal 28 3 3 2 2" xfId="7998" xr:uid="{00000000-0005-0000-0000-00009F130000}"/>
    <cellStyle name="Normal 28 3 3 3" xfId="7999" xr:uid="{00000000-0005-0000-0000-0000A0130000}"/>
    <cellStyle name="Normal 28 3 4" xfId="3912" xr:uid="{00000000-0005-0000-0000-0000A1130000}"/>
    <cellStyle name="Normal 28 3 4 2" xfId="8000" xr:uid="{00000000-0005-0000-0000-0000A2130000}"/>
    <cellStyle name="Normal 28 3 5" xfId="3913" xr:uid="{00000000-0005-0000-0000-0000A3130000}"/>
    <cellStyle name="Normal 28 4" xfId="3914" xr:uid="{00000000-0005-0000-0000-0000A4130000}"/>
    <cellStyle name="Normal 28 4 2" xfId="3915" xr:uid="{00000000-0005-0000-0000-0000A5130000}"/>
    <cellStyle name="Normal 28 4 2 2" xfId="3916" xr:uid="{00000000-0005-0000-0000-0000A6130000}"/>
    <cellStyle name="Normal 28 4 2 2 2" xfId="3917" xr:uid="{00000000-0005-0000-0000-0000A7130000}"/>
    <cellStyle name="Normal 28 4 2 2 2 2" xfId="8001" xr:uid="{00000000-0005-0000-0000-0000A8130000}"/>
    <cellStyle name="Normal 28 4 2 2 3" xfId="8002" xr:uid="{00000000-0005-0000-0000-0000A9130000}"/>
    <cellStyle name="Normal 28 4 2 3" xfId="3918" xr:uid="{00000000-0005-0000-0000-0000AA130000}"/>
    <cellStyle name="Normal 28 4 2 3 2" xfId="8003" xr:uid="{00000000-0005-0000-0000-0000AB130000}"/>
    <cellStyle name="Normal 28 4 2 4" xfId="8004" xr:uid="{00000000-0005-0000-0000-0000AC130000}"/>
    <cellStyle name="Normal 28 4 3" xfId="3919" xr:uid="{00000000-0005-0000-0000-0000AD130000}"/>
    <cellStyle name="Normal 28 4 3 2" xfId="3920" xr:uid="{00000000-0005-0000-0000-0000AE130000}"/>
    <cellStyle name="Normal 28 4 3 2 2" xfId="8005" xr:uid="{00000000-0005-0000-0000-0000AF130000}"/>
    <cellStyle name="Normal 28 4 3 3" xfId="8006" xr:uid="{00000000-0005-0000-0000-0000B0130000}"/>
    <cellStyle name="Normal 28 4 4" xfId="3921" xr:uid="{00000000-0005-0000-0000-0000B1130000}"/>
    <cellStyle name="Normal 28 4 4 2" xfId="8007" xr:uid="{00000000-0005-0000-0000-0000B2130000}"/>
    <cellStyle name="Normal 28 4 5" xfId="8008" xr:uid="{00000000-0005-0000-0000-0000B3130000}"/>
    <cellStyle name="Normal 28 5" xfId="3922" xr:uid="{00000000-0005-0000-0000-0000B4130000}"/>
    <cellStyle name="Normal 28 5 2" xfId="3923" xr:uid="{00000000-0005-0000-0000-0000B5130000}"/>
    <cellStyle name="Normal 28 5 2 2" xfId="3924" xr:uid="{00000000-0005-0000-0000-0000B6130000}"/>
    <cellStyle name="Normal 28 5 2 2 2" xfId="3925" xr:uid="{00000000-0005-0000-0000-0000B7130000}"/>
    <cellStyle name="Normal 28 5 2 2 2 2" xfId="8009" xr:uid="{00000000-0005-0000-0000-0000B8130000}"/>
    <cellStyle name="Normal 28 5 2 2 3" xfId="8010" xr:uid="{00000000-0005-0000-0000-0000B9130000}"/>
    <cellStyle name="Normal 28 5 2 3" xfId="3926" xr:uid="{00000000-0005-0000-0000-0000BA130000}"/>
    <cellStyle name="Normal 28 5 2 3 2" xfId="8011" xr:uid="{00000000-0005-0000-0000-0000BB130000}"/>
    <cellStyle name="Normal 28 5 2 4" xfId="8012" xr:uid="{00000000-0005-0000-0000-0000BC130000}"/>
    <cellStyle name="Normal 28 5 3" xfId="3927" xr:uid="{00000000-0005-0000-0000-0000BD130000}"/>
    <cellStyle name="Normal 28 5 3 2" xfId="3928" xr:uid="{00000000-0005-0000-0000-0000BE130000}"/>
    <cellStyle name="Normal 28 5 3 2 2" xfId="8013" xr:uid="{00000000-0005-0000-0000-0000BF130000}"/>
    <cellStyle name="Normal 28 5 3 3" xfId="8014" xr:uid="{00000000-0005-0000-0000-0000C0130000}"/>
    <cellStyle name="Normal 28 5 4" xfId="3929" xr:uid="{00000000-0005-0000-0000-0000C1130000}"/>
    <cellStyle name="Normal 28 5 4 2" xfId="8015" xr:uid="{00000000-0005-0000-0000-0000C2130000}"/>
    <cellStyle name="Normal 28 5 5" xfId="8016" xr:uid="{00000000-0005-0000-0000-0000C3130000}"/>
    <cellStyle name="Normal 28 6" xfId="3930" xr:uid="{00000000-0005-0000-0000-0000C4130000}"/>
    <cellStyle name="Normal 28 6 2" xfId="3931" xr:uid="{00000000-0005-0000-0000-0000C5130000}"/>
    <cellStyle name="Normal 28 6 2 2" xfId="3932" xr:uid="{00000000-0005-0000-0000-0000C6130000}"/>
    <cellStyle name="Normal 28 6 2 2 2" xfId="8017" xr:uid="{00000000-0005-0000-0000-0000C7130000}"/>
    <cellStyle name="Normal 28 6 2 3" xfId="8018" xr:uid="{00000000-0005-0000-0000-0000C8130000}"/>
    <cellStyle name="Normal 28 6 3" xfId="3933" xr:uid="{00000000-0005-0000-0000-0000C9130000}"/>
    <cellStyle name="Normal 28 6 3 2" xfId="8019" xr:uid="{00000000-0005-0000-0000-0000CA130000}"/>
    <cellStyle name="Normal 28 6 4" xfId="8020" xr:uid="{00000000-0005-0000-0000-0000CB130000}"/>
    <cellStyle name="Normal 28 7" xfId="3934" xr:uid="{00000000-0005-0000-0000-0000CC130000}"/>
    <cellStyle name="Normal 28 7 2" xfId="3935" xr:uid="{00000000-0005-0000-0000-0000CD130000}"/>
    <cellStyle name="Normal 28 7 2 2" xfId="8021" xr:uid="{00000000-0005-0000-0000-0000CE130000}"/>
    <cellStyle name="Normal 28 7 3" xfId="8022" xr:uid="{00000000-0005-0000-0000-0000CF130000}"/>
    <cellStyle name="Normal 28 8" xfId="3936" xr:uid="{00000000-0005-0000-0000-0000D0130000}"/>
    <cellStyle name="Normal 28 8 2" xfId="8023" xr:uid="{00000000-0005-0000-0000-0000D1130000}"/>
    <cellStyle name="Normal 28 9" xfId="8024" xr:uid="{00000000-0005-0000-0000-0000D2130000}"/>
    <cellStyle name="Normal 280" xfId="10849" xr:uid="{00000000-0005-0000-0000-0000D3130000}"/>
    <cellStyle name="Normal 281" xfId="10852" xr:uid="{00000000-0005-0000-0000-0000D4130000}"/>
    <cellStyle name="Normal 282" xfId="10855" xr:uid="{00000000-0005-0000-0000-0000D5130000}"/>
    <cellStyle name="Normal 283" xfId="10858" xr:uid="{00000000-0005-0000-0000-0000D6130000}"/>
    <cellStyle name="Normal 284" xfId="10861" xr:uid="{00000000-0005-0000-0000-0000D7130000}"/>
    <cellStyle name="Normal 285" xfId="10864" xr:uid="{00000000-0005-0000-0000-0000D8130000}"/>
    <cellStyle name="Normal 286" xfId="10867" xr:uid="{00000000-0005-0000-0000-0000D9130000}"/>
    <cellStyle name="Normal 287" xfId="10870" xr:uid="{00000000-0005-0000-0000-0000DA130000}"/>
    <cellStyle name="Normal 288" xfId="10873" xr:uid="{00000000-0005-0000-0000-0000DB130000}"/>
    <cellStyle name="Normal 289" xfId="10876" xr:uid="{00000000-0005-0000-0000-0000DC130000}"/>
    <cellStyle name="Normal 29" xfId="3937" xr:uid="{00000000-0005-0000-0000-0000DD130000}"/>
    <cellStyle name="Normal 29 2" xfId="3938" xr:uid="{00000000-0005-0000-0000-0000DE130000}"/>
    <cellStyle name="Normal 29 2 2" xfId="3939" xr:uid="{00000000-0005-0000-0000-0000DF130000}"/>
    <cellStyle name="Normal 29 3" xfId="3940" xr:uid="{00000000-0005-0000-0000-0000E0130000}"/>
    <cellStyle name="Normal 29 3 2" xfId="3941" xr:uid="{00000000-0005-0000-0000-0000E1130000}"/>
    <cellStyle name="Normal 29 3 2 2" xfId="3942" xr:uid="{00000000-0005-0000-0000-0000E2130000}"/>
    <cellStyle name="Normal 29 3 2 2 2" xfId="3943" xr:uid="{00000000-0005-0000-0000-0000E3130000}"/>
    <cellStyle name="Normal 29 3 2 2 2 2" xfId="8025" xr:uid="{00000000-0005-0000-0000-0000E4130000}"/>
    <cellStyle name="Normal 29 3 2 2 3" xfId="8026" xr:uid="{00000000-0005-0000-0000-0000E5130000}"/>
    <cellStyle name="Normal 29 3 2 3" xfId="3944" xr:uid="{00000000-0005-0000-0000-0000E6130000}"/>
    <cellStyle name="Normal 29 3 2 3 2" xfId="8027" xr:uid="{00000000-0005-0000-0000-0000E7130000}"/>
    <cellStyle name="Normal 29 3 2 4" xfId="8028" xr:uid="{00000000-0005-0000-0000-0000E8130000}"/>
    <cellStyle name="Normal 29 3 3" xfId="3945" xr:uid="{00000000-0005-0000-0000-0000E9130000}"/>
    <cellStyle name="Normal 29 3 3 2" xfId="3946" xr:uid="{00000000-0005-0000-0000-0000EA130000}"/>
    <cellStyle name="Normal 29 3 3 2 2" xfId="8029" xr:uid="{00000000-0005-0000-0000-0000EB130000}"/>
    <cellStyle name="Normal 29 3 3 3" xfId="8030" xr:uid="{00000000-0005-0000-0000-0000EC130000}"/>
    <cellStyle name="Normal 29 3 4" xfId="3947" xr:uid="{00000000-0005-0000-0000-0000ED130000}"/>
    <cellStyle name="Normal 29 3 4 2" xfId="8031" xr:uid="{00000000-0005-0000-0000-0000EE130000}"/>
    <cellStyle name="Normal 29 3 5" xfId="3948" xr:uid="{00000000-0005-0000-0000-0000EF130000}"/>
    <cellStyle name="Normal 29 4" xfId="3949" xr:uid="{00000000-0005-0000-0000-0000F0130000}"/>
    <cellStyle name="Normal 29 4 2" xfId="3950" xr:uid="{00000000-0005-0000-0000-0000F1130000}"/>
    <cellStyle name="Normal 29 4 2 2" xfId="3951" xr:uid="{00000000-0005-0000-0000-0000F2130000}"/>
    <cellStyle name="Normal 29 4 2 2 2" xfId="3952" xr:uid="{00000000-0005-0000-0000-0000F3130000}"/>
    <cellStyle name="Normal 29 4 2 2 2 2" xfId="8032" xr:uid="{00000000-0005-0000-0000-0000F4130000}"/>
    <cellStyle name="Normal 29 4 2 2 3" xfId="8033" xr:uid="{00000000-0005-0000-0000-0000F5130000}"/>
    <cellStyle name="Normal 29 4 2 3" xfId="3953" xr:uid="{00000000-0005-0000-0000-0000F6130000}"/>
    <cellStyle name="Normal 29 4 2 3 2" xfId="8034" xr:uid="{00000000-0005-0000-0000-0000F7130000}"/>
    <cellStyle name="Normal 29 4 2 4" xfId="8035" xr:uid="{00000000-0005-0000-0000-0000F8130000}"/>
    <cellStyle name="Normal 29 4 3" xfId="3954" xr:uid="{00000000-0005-0000-0000-0000F9130000}"/>
    <cellStyle name="Normal 29 4 3 2" xfId="3955" xr:uid="{00000000-0005-0000-0000-0000FA130000}"/>
    <cellStyle name="Normal 29 4 3 2 2" xfId="8036" xr:uid="{00000000-0005-0000-0000-0000FB130000}"/>
    <cellStyle name="Normal 29 4 3 3" xfId="8037" xr:uid="{00000000-0005-0000-0000-0000FC130000}"/>
    <cellStyle name="Normal 29 4 4" xfId="3956" xr:uid="{00000000-0005-0000-0000-0000FD130000}"/>
    <cellStyle name="Normal 29 4 4 2" xfId="8038" xr:uid="{00000000-0005-0000-0000-0000FE130000}"/>
    <cellStyle name="Normal 29 4 5" xfId="8039" xr:uid="{00000000-0005-0000-0000-0000FF130000}"/>
    <cellStyle name="Normal 29 5" xfId="3957" xr:uid="{00000000-0005-0000-0000-000000140000}"/>
    <cellStyle name="Normal 29 5 2" xfId="3958" xr:uid="{00000000-0005-0000-0000-000001140000}"/>
    <cellStyle name="Normal 29 5 2 2" xfId="3959" xr:uid="{00000000-0005-0000-0000-000002140000}"/>
    <cellStyle name="Normal 29 5 2 2 2" xfId="3960" xr:uid="{00000000-0005-0000-0000-000003140000}"/>
    <cellStyle name="Normal 29 5 2 2 2 2" xfId="8040" xr:uid="{00000000-0005-0000-0000-000004140000}"/>
    <cellStyle name="Normal 29 5 2 2 3" xfId="8041" xr:uid="{00000000-0005-0000-0000-000005140000}"/>
    <cellStyle name="Normal 29 5 2 3" xfId="3961" xr:uid="{00000000-0005-0000-0000-000006140000}"/>
    <cellStyle name="Normal 29 5 2 3 2" xfId="8042" xr:uid="{00000000-0005-0000-0000-000007140000}"/>
    <cellStyle name="Normal 29 5 2 4" xfId="8043" xr:uid="{00000000-0005-0000-0000-000008140000}"/>
    <cellStyle name="Normal 29 5 3" xfId="3962" xr:uid="{00000000-0005-0000-0000-000009140000}"/>
    <cellStyle name="Normal 29 5 3 2" xfId="3963" xr:uid="{00000000-0005-0000-0000-00000A140000}"/>
    <cellStyle name="Normal 29 5 3 2 2" xfId="8044" xr:uid="{00000000-0005-0000-0000-00000B140000}"/>
    <cellStyle name="Normal 29 5 3 3" xfId="8045" xr:uid="{00000000-0005-0000-0000-00000C140000}"/>
    <cellStyle name="Normal 29 5 4" xfId="3964" xr:uid="{00000000-0005-0000-0000-00000D140000}"/>
    <cellStyle name="Normal 29 5 4 2" xfId="8046" xr:uid="{00000000-0005-0000-0000-00000E140000}"/>
    <cellStyle name="Normal 29 5 5" xfId="8047" xr:uid="{00000000-0005-0000-0000-00000F140000}"/>
    <cellStyle name="Normal 29 6" xfId="3965" xr:uid="{00000000-0005-0000-0000-000010140000}"/>
    <cellStyle name="Normal 29 6 2" xfId="3966" xr:uid="{00000000-0005-0000-0000-000011140000}"/>
    <cellStyle name="Normal 29 6 2 2" xfId="3967" xr:uid="{00000000-0005-0000-0000-000012140000}"/>
    <cellStyle name="Normal 29 6 2 2 2" xfId="8048" xr:uid="{00000000-0005-0000-0000-000013140000}"/>
    <cellStyle name="Normal 29 6 2 3" xfId="8049" xr:uid="{00000000-0005-0000-0000-000014140000}"/>
    <cellStyle name="Normal 29 6 3" xfId="3968" xr:uid="{00000000-0005-0000-0000-000015140000}"/>
    <cellStyle name="Normal 29 6 3 2" xfId="8050" xr:uid="{00000000-0005-0000-0000-000016140000}"/>
    <cellStyle name="Normal 29 6 4" xfId="8051" xr:uid="{00000000-0005-0000-0000-000017140000}"/>
    <cellStyle name="Normal 29 7" xfId="3969" xr:uid="{00000000-0005-0000-0000-000018140000}"/>
    <cellStyle name="Normal 29 7 2" xfId="3970" xr:uid="{00000000-0005-0000-0000-000019140000}"/>
    <cellStyle name="Normal 29 7 2 2" xfId="8052" xr:uid="{00000000-0005-0000-0000-00001A140000}"/>
    <cellStyle name="Normal 29 7 3" xfId="8053" xr:uid="{00000000-0005-0000-0000-00001B140000}"/>
    <cellStyle name="Normal 29 8" xfId="3971" xr:uid="{00000000-0005-0000-0000-00001C140000}"/>
    <cellStyle name="Normal 29 8 2" xfId="8054" xr:uid="{00000000-0005-0000-0000-00001D140000}"/>
    <cellStyle name="Normal 29 9" xfId="8055" xr:uid="{00000000-0005-0000-0000-00001E140000}"/>
    <cellStyle name="Normal 290" xfId="10879" xr:uid="{00000000-0005-0000-0000-00001F140000}"/>
    <cellStyle name="Normal 291" xfId="10882" xr:uid="{00000000-0005-0000-0000-000020140000}"/>
    <cellStyle name="Normal 292" xfId="10905" xr:uid="{00000000-0005-0000-0000-000021140000}"/>
    <cellStyle name="Normal 293" xfId="10924" xr:uid="{00000000-0005-0000-0000-000022140000}"/>
    <cellStyle name="Normal 294" xfId="10898" xr:uid="{00000000-0005-0000-0000-000023140000}"/>
    <cellStyle name="Normal 295" xfId="10923" xr:uid="{00000000-0005-0000-0000-000024140000}"/>
    <cellStyle name="Normal 296" xfId="10916" xr:uid="{00000000-0005-0000-0000-000025140000}"/>
    <cellStyle name="Normal 297" xfId="10922" xr:uid="{00000000-0005-0000-0000-000026140000}"/>
    <cellStyle name="Normal 298" xfId="10918" xr:uid="{00000000-0005-0000-0000-000027140000}"/>
    <cellStyle name="Normal 299" xfId="10921" xr:uid="{00000000-0005-0000-0000-000028140000}"/>
    <cellStyle name="Normal 3" xfId="28" xr:uid="{00000000-0005-0000-0000-000029140000}"/>
    <cellStyle name="Normal 3 2" xfId="10" xr:uid="{00000000-0005-0000-0000-00002A140000}"/>
    <cellStyle name="Normal 3 2 2" xfId="223" xr:uid="{00000000-0005-0000-0000-00002B140000}"/>
    <cellStyle name="Normal 3 2 2 2" xfId="8056" xr:uid="{00000000-0005-0000-0000-00002C140000}"/>
    <cellStyle name="Normal 3 2 2 3" xfId="3973" xr:uid="{00000000-0005-0000-0000-00002D140000}"/>
    <cellStyle name="Normal 3 2 3" xfId="82" xr:uid="{00000000-0005-0000-0000-00002E140000}"/>
    <cellStyle name="Normal 3 2 3 2" xfId="10906" xr:uid="{00000000-0005-0000-0000-00002F140000}"/>
    <cellStyle name="Normal 3 3" xfId="224" xr:uid="{00000000-0005-0000-0000-000030140000}"/>
    <cellStyle name="Normal 3 3 2" xfId="225" xr:uid="{00000000-0005-0000-0000-000031140000}"/>
    <cellStyle name="Normal 3 3 2 2" xfId="3975" xr:uid="{00000000-0005-0000-0000-000032140000}"/>
    <cellStyle name="Normal 3 3 3" xfId="6636" xr:uid="{00000000-0005-0000-0000-000033140000}"/>
    <cellStyle name="Normal 3 3 4" xfId="3974" xr:uid="{00000000-0005-0000-0000-000034140000}"/>
    <cellStyle name="Normal 3 4" xfId="226" xr:uid="{00000000-0005-0000-0000-000035140000}"/>
    <cellStyle name="Normal 3 4 2" xfId="227" xr:uid="{00000000-0005-0000-0000-000036140000}"/>
    <cellStyle name="Normal 3 4 3" xfId="3972" xr:uid="{00000000-0005-0000-0000-000037140000}"/>
    <cellStyle name="Normal 3 5" xfId="228" xr:uid="{00000000-0005-0000-0000-000038140000}"/>
    <cellStyle name="Normal 3 6" xfId="385" xr:uid="{00000000-0005-0000-0000-000039140000}"/>
    <cellStyle name="Normal 3 6 2" xfId="2146" xr:uid="{00000000-0005-0000-0000-00003A140000}"/>
    <cellStyle name="Normal 3 7" xfId="1680" xr:uid="{00000000-0005-0000-0000-00003B140000}"/>
    <cellStyle name="Normal 3 8" xfId="1938" xr:uid="{00000000-0005-0000-0000-00003C140000}"/>
    <cellStyle name="Normal 30" xfId="3976" xr:uid="{00000000-0005-0000-0000-00003D140000}"/>
    <cellStyle name="Normal 30 2" xfId="3977" xr:uid="{00000000-0005-0000-0000-00003E140000}"/>
    <cellStyle name="Normal 30 2 2" xfId="3978" xr:uid="{00000000-0005-0000-0000-00003F140000}"/>
    <cellStyle name="Normal 30 3" xfId="3979" xr:uid="{00000000-0005-0000-0000-000040140000}"/>
    <cellStyle name="Normal 30 3 2" xfId="3980" xr:uid="{00000000-0005-0000-0000-000041140000}"/>
    <cellStyle name="Normal 30 3 2 2" xfId="3981" xr:uid="{00000000-0005-0000-0000-000042140000}"/>
    <cellStyle name="Normal 30 3 2 2 2" xfId="3982" xr:uid="{00000000-0005-0000-0000-000043140000}"/>
    <cellStyle name="Normal 30 3 2 2 2 2" xfId="8057" xr:uid="{00000000-0005-0000-0000-000044140000}"/>
    <cellStyle name="Normal 30 3 2 2 3" xfId="8058" xr:uid="{00000000-0005-0000-0000-000045140000}"/>
    <cellStyle name="Normal 30 3 2 3" xfId="3983" xr:uid="{00000000-0005-0000-0000-000046140000}"/>
    <cellStyle name="Normal 30 3 2 3 2" xfId="8059" xr:uid="{00000000-0005-0000-0000-000047140000}"/>
    <cellStyle name="Normal 30 3 2 4" xfId="8060" xr:uid="{00000000-0005-0000-0000-000048140000}"/>
    <cellStyle name="Normal 30 3 3" xfId="3984" xr:uid="{00000000-0005-0000-0000-000049140000}"/>
    <cellStyle name="Normal 30 3 3 2" xfId="3985" xr:uid="{00000000-0005-0000-0000-00004A140000}"/>
    <cellStyle name="Normal 30 3 3 2 2" xfId="8061" xr:uid="{00000000-0005-0000-0000-00004B140000}"/>
    <cellStyle name="Normal 30 3 3 3" xfId="8062" xr:uid="{00000000-0005-0000-0000-00004C140000}"/>
    <cellStyle name="Normal 30 3 4" xfId="3986" xr:uid="{00000000-0005-0000-0000-00004D140000}"/>
    <cellStyle name="Normal 30 3 4 2" xfId="8063" xr:uid="{00000000-0005-0000-0000-00004E140000}"/>
    <cellStyle name="Normal 30 3 5" xfId="3987" xr:uid="{00000000-0005-0000-0000-00004F140000}"/>
    <cellStyle name="Normal 30 4" xfId="3988" xr:uid="{00000000-0005-0000-0000-000050140000}"/>
    <cellStyle name="Normal 30 4 2" xfId="3989" xr:uid="{00000000-0005-0000-0000-000051140000}"/>
    <cellStyle name="Normal 30 4 2 2" xfId="3990" xr:uid="{00000000-0005-0000-0000-000052140000}"/>
    <cellStyle name="Normal 30 4 2 2 2" xfId="3991" xr:uid="{00000000-0005-0000-0000-000053140000}"/>
    <cellStyle name="Normal 30 4 2 2 2 2" xfId="8064" xr:uid="{00000000-0005-0000-0000-000054140000}"/>
    <cellStyle name="Normal 30 4 2 2 3" xfId="8065" xr:uid="{00000000-0005-0000-0000-000055140000}"/>
    <cellStyle name="Normal 30 4 2 3" xfId="3992" xr:uid="{00000000-0005-0000-0000-000056140000}"/>
    <cellStyle name="Normal 30 4 2 3 2" xfId="8066" xr:uid="{00000000-0005-0000-0000-000057140000}"/>
    <cellStyle name="Normal 30 4 2 4" xfId="8067" xr:uid="{00000000-0005-0000-0000-000058140000}"/>
    <cellStyle name="Normal 30 4 3" xfId="3993" xr:uid="{00000000-0005-0000-0000-000059140000}"/>
    <cellStyle name="Normal 30 4 3 2" xfId="3994" xr:uid="{00000000-0005-0000-0000-00005A140000}"/>
    <cellStyle name="Normal 30 4 3 2 2" xfId="8068" xr:uid="{00000000-0005-0000-0000-00005B140000}"/>
    <cellStyle name="Normal 30 4 3 3" xfId="8069" xr:uid="{00000000-0005-0000-0000-00005C140000}"/>
    <cellStyle name="Normal 30 4 4" xfId="3995" xr:uid="{00000000-0005-0000-0000-00005D140000}"/>
    <cellStyle name="Normal 30 4 4 2" xfId="8070" xr:uid="{00000000-0005-0000-0000-00005E140000}"/>
    <cellStyle name="Normal 30 4 5" xfId="8071" xr:uid="{00000000-0005-0000-0000-00005F140000}"/>
    <cellStyle name="Normal 30 5" xfId="3996" xr:uid="{00000000-0005-0000-0000-000060140000}"/>
    <cellStyle name="Normal 30 5 2" xfId="3997" xr:uid="{00000000-0005-0000-0000-000061140000}"/>
    <cellStyle name="Normal 30 5 2 2" xfId="3998" xr:uid="{00000000-0005-0000-0000-000062140000}"/>
    <cellStyle name="Normal 30 5 2 2 2" xfId="3999" xr:uid="{00000000-0005-0000-0000-000063140000}"/>
    <cellStyle name="Normal 30 5 2 2 2 2" xfId="8072" xr:uid="{00000000-0005-0000-0000-000064140000}"/>
    <cellStyle name="Normal 30 5 2 2 3" xfId="8073" xr:uid="{00000000-0005-0000-0000-000065140000}"/>
    <cellStyle name="Normal 30 5 2 3" xfId="4000" xr:uid="{00000000-0005-0000-0000-000066140000}"/>
    <cellStyle name="Normal 30 5 2 3 2" xfId="8074" xr:uid="{00000000-0005-0000-0000-000067140000}"/>
    <cellStyle name="Normal 30 5 2 4" xfId="8075" xr:uid="{00000000-0005-0000-0000-000068140000}"/>
    <cellStyle name="Normal 30 5 3" xfId="4001" xr:uid="{00000000-0005-0000-0000-000069140000}"/>
    <cellStyle name="Normal 30 5 3 2" xfId="4002" xr:uid="{00000000-0005-0000-0000-00006A140000}"/>
    <cellStyle name="Normal 30 5 3 2 2" xfId="8076" xr:uid="{00000000-0005-0000-0000-00006B140000}"/>
    <cellStyle name="Normal 30 5 3 3" xfId="8077" xr:uid="{00000000-0005-0000-0000-00006C140000}"/>
    <cellStyle name="Normal 30 5 4" xfId="4003" xr:uid="{00000000-0005-0000-0000-00006D140000}"/>
    <cellStyle name="Normal 30 5 4 2" xfId="8078" xr:uid="{00000000-0005-0000-0000-00006E140000}"/>
    <cellStyle name="Normal 30 5 5" xfId="8079" xr:uid="{00000000-0005-0000-0000-00006F140000}"/>
    <cellStyle name="Normal 30 6" xfId="4004" xr:uid="{00000000-0005-0000-0000-000070140000}"/>
    <cellStyle name="Normal 30 6 2" xfId="4005" xr:uid="{00000000-0005-0000-0000-000071140000}"/>
    <cellStyle name="Normal 30 6 2 2" xfId="4006" xr:uid="{00000000-0005-0000-0000-000072140000}"/>
    <cellStyle name="Normal 30 6 2 2 2" xfId="8080" xr:uid="{00000000-0005-0000-0000-000073140000}"/>
    <cellStyle name="Normal 30 6 2 3" xfId="8081" xr:uid="{00000000-0005-0000-0000-000074140000}"/>
    <cellStyle name="Normal 30 6 3" xfId="4007" xr:uid="{00000000-0005-0000-0000-000075140000}"/>
    <cellStyle name="Normal 30 6 3 2" xfId="8082" xr:uid="{00000000-0005-0000-0000-000076140000}"/>
    <cellStyle name="Normal 30 6 4" xfId="8083" xr:uid="{00000000-0005-0000-0000-000077140000}"/>
    <cellStyle name="Normal 30 7" xfId="4008" xr:uid="{00000000-0005-0000-0000-000078140000}"/>
    <cellStyle name="Normal 30 7 2" xfId="4009" xr:uid="{00000000-0005-0000-0000-000079140000}"/>
    <cellStyle name="Normal 30 7 2 2" xfId="8084" xr:uid="{00000000-0005-0000-0000-00007A140000}"/>
    <cellStyle name="Normal 30 7 3" xfId="8085" xr:uid="{00000000-0005-0000-0000-00007B140000}"/>
    <cellStyle name="Normal 30 8" xfId="4010" xr:uid="{00000000-0005-0000-0000-00007C140000}"/>
    <cellStyle name="Normal 30 8 2" xfId="8086" xr:uid="{00000000-0005-0000-0000-00007D140000}"/>
    <cellStyle name="Normal 30 9" xfId="8087" xr:uid="{00000000-0005-0000-0000-00007E140000}"/>
    <cellStyle name="Normal 300" xfId="10920" xr:uid="{00000000-0005-0000-0000-00007F140000}"/>
    <cellStyle name="Normal 301" xfId="10948" xr:uid="{00000000-0005-0000-0000-000080140000}"/>
    <cellStyle name="Normal 302" xfId="10951" xr:uid="{00000000-0005-0000-0000-000081140000}"/>
    <cellStyle name="Normal 303" xfId="10954" xr:uid="{00000000-0005-0000-0000-000082140000}"/>
    <cellStyle name="Normal 304" xfId="10957" xr:uid="{00000000-0005-0000-0000-000083140000}"/>
    <cellStyle name="Normal 305" xfId="10960" xr:uid="{00000000-0005-0000-0000-000084140000}"/>
    <cellStyle name="Normal 306" xfId="10963" xr:uid="{00000000-0005-0000-0000-000085140000}"/>
    <cellStyle name="Normal 307" xfId="10966" xr:uid="{00000000-0005-0000-0000-000086140000}"/>
    <cellStyle name="Normal 308" xfId="10969" xr:uid="{00000000-0005-0000-0000-000087140000}"/>
    <cellStyle name="Normal 309" xfId="10972" xr:uid="{00000000-0005-0000-0000-000088140000}"/>
    <cellStyle name="Normal 31" xfId="4011" xr:uid="{00000000-0005-0000-0000-000089140000}"/>
    <cellStyle name="Normal 31 2" xfId="4012" xr:uid="{00000000-0005-0000-0000-00008A140000}"/>
    <cellStyle name="Normal 31 2 2" xfId="4013" xr:uid="{00000000-0005-0000-0000-00008B140000}"/>
    <cellStyle name="Normal 31 3" xfId="4014" xr:uid="{00000000-0005-0000-0000-00008C140000}"/>
    <cellStyle name="Normal 31 3 2" xfId="4015" xr:uid="{00000000-0005-0000-0000-00008D140000}"/>
    <cellStyle name="Normal 31 3 2 2" xfId="4016" xr:uid="{00000000-0005-0000-0000-00008E140000}"/>
    <cellStyle name="Normal 31 3 2 2 2" xfId="4017" xr:uid="{00000000-0005-0000-0000-00008F140000}"/>
    <cellStyle name="Normal 31 3 2 2 2 2" xfId="8088" xr:uid="{00000000-0005-0000-0000-000090140000}"/>
    <cellStyle name="Normal 31 3 2 2 3" xfId="8089" xr:uid="{00000000-0005-0000-0000-000091140000}"/>
    <cellStyle name="Normal 31 3 2 3" xfId="4018" xr:uid="{00000000-0005-0000-0000-000092140000}"/>
    <cellStyle name="Normal 31 3 2 3 2" xfId="8090" xr:uid="{00000000-0005-0000-0000-000093140000}"/>
    <cellStyle name="Normal 31 3 2 4" xfId="8091" xr:uid="{00000000-0005-0000-0000-000094140000}"/>
    <cellStyle name="Normal 31 3 3" xfId="4019" xr:uid="{00000000-0005-0000-0000-000095140000}"/>
    <cellStyle name="Normal 31 3 3 2" xfId="4020" xr:uid="{00000000-0005-0000-0000-000096140000}"/>
    <cellStyle name="Normal 31 3 3 2 2" xfId="8092" xr:uid="{00000000-0005-0000-0000-000097140000}"/>
    <cellStyle name="Normal 31 3 3 3" xfId="8093" xr:uid="{00000000-0005-0000-0000-000098140000}"/>
    <cellStyle name="Normal 31 3 4" xfId="4021" xr:uid="{00000000-0005-0000-0000-000099140000}"/>
    <cellStyle name="Normal 31 3 4 2" xfId="8094" xr:uid="{00000000-0005-0000-0000-00009A140000}"/>
    <cellStyle name="Normal 31 3 5" xfId="4022" xr:uid="{00000000-0005-0000-0000-00009B140000}"/>
    <cellStyle name="Normal 31 4" xfId="4023" xr:uid="{00000000-0005-0000-0000-00009C140000}"/>
    <cellStyle name="Normal 31 4 2" xfId="4024" xr:uid="{00000000-0005-0000-0000-00009D140000}"/>
    <cellStyle name="Normal 31 4 2 2" xfId="4025" xr:uid="{00000000-0005-0000-0000-00009E140000}"/>
    <cellStyle name="Normal 31 4 2 2 2" xfId="4026" xr:uid="{00000000-0005-0000-0000-00009F140000}"/>
    <cellStyle name="Normal 31 4 2 2 2 2" xfId="8095" xr:uid="{00000000-0005-0000-0000-0000A0140000}"/>
    <cellStyle name="Normal 31 4 2 2 3" xfId="8096" xr:uid="{00000000-0005-0000-0000-0000A1140000}"/>
    <cellStyle name="Normal 31 4 2 3" xfId="4027" xr:uid="{00000000-0005-0000-0000-0000A2140000}"/>
    <cellStyle name="Normal 31 4 2 3 2" xfId="8097" xr:uid="{00000000-0005-0000-0000-0000A3140000}"/>
    <cellStyle name="Normal 31 4 2 4" xfId="8098" xr:uid="{00000000-0005-0000-0000-0000A4140000}"/>
    <cellStyle name="Normal 31 4 3" xfId="4028" xr:uid="{00000000-0005-0000-0000-0000A5140000}"/>
    <cellStyle name="Normal 31 4 3 2" xfId="4029" xr:uid="{00000000-0005-0000-0000-0000A6140000}"/>
    <cellStyle name="Normal 31 4 3 2 2" xfId="8099" xr:uid="{00000000-0005-0000-0000-0000A7140000}"/>
    <cellStyle name="Normal 31 4 3 3" xfId="8100" xr:uid="{00000000-0005-0000-0000-0000A8140000}"/>
    <cellStyle name="Normal 31 4 4" xfId="4030" xr:uid="{00000000-0005-0000-0000-0000A9140000}"/>
    <cellStyle name="Normal 31 4 4 2" xfId="8101" xr:uid="{00000000-0005-0000-0000-0000AA140000}"/>
    <cellStyle name="Normal 31 4 5" xfId="8102" xr:uid="{00000000-0005-0000-0000-0000AB140000}"/>
    <cellStyle name="Normal 31 5" xfId="4031" xr:uid="{00000000-0005-0000-0000-0000AC140000}"/>
    <cellStyle name="Normal 31 5 2" xfId="4032" xr:uid="{00000000-0005-0000-0000-0000AD140000}"/>
    <cellStyle name="Normal 31 5 2 2" xfId="4033" xr:uid="{00000000-0005-0000-0000-0000AE140000}"/>
    <cellStyle name="Normal 31 5 2 2 2" xfId="4034" xr:uid="{00000000-0005-0000-0000-0000AF140000}"/>
    <cellStyle name="Normal 31 5 2 2 2 2" xfId="8103" xr:uid="{00000000-0005-0000-0000-0000B0140000}"/>
    <cellStyle name="Normal 31 5 2 2 3" xfId="8104" xr:uid="{00000000-0005-0000-0000-0000B1140000}"/>
    <cellStyle name="Normal 31 5 2 3" xfId="4035" xr:uid="{00000000-0005-0000-0000-0000B2140000}"/>
    <cellStyle name="Normal 31 5 2 3 2" xfId="8105" xr:uid="{00000000-0005-0000-0000-0000B3140000}"/>
    <cellStyle name="Normal 31 5 2 4" xfId="8106" xr:uid="{00000000-0005-0000-0000-0000B4140000}"/>
    <cellStyle name="Normal 31 5 3" xfId="4036" xr:uid="{00000000-0005-0000-0000-0000B5140000}"/>
    <cellStyle name="Normal 31 5 3 2" xfId="4037" xr:uid="{00000000-0005-0000-0000-0000B6140000}"/>
    <cellStyle name="Normal 31 5 3 2 2" xfId="8107" xr:uid="{00000000-0005-0000-0000-0000B7140000}"/>
    <cellStyle name="Normal 31 5 3 3" xfId="8108" xr:uid="{00000000-0005-0000-0000-0000B8140000}"/>
    <cellStyle name="Normal 31 5 4" xfId="4038" xr:uid="{00000000-0005-0000-0000-0000B9140000}"/>
    <cellStyle name="Normal 31 5 4 2" xfId="8109" xr:uid="{00000000-0005-0000-0000-0000BA140000}"/>
    <cellStyle name="Normal 31 5 5" xfId="8110" xr:uid="{00000000-0005-0000-0000-0000BB140000}"/>
    <cellStyle name="Normal 31 6" xfId="4039" xr:uid="{00000000-0005-0000-0000-0000BC140000}"/>
    <cellStyle name="Normal 31 6 2" xfId="4040" xr:uid="{00000000-0005-0000-0000-0000BD140000}"/>
    <cellStyle name="Normal 31 6 2 2" xfId="4041" xr:uid="{00000000-0005-0000-0000-0000BE140000}"/>
    <cellStyle name="Normal 31 6 2 2 2" xfId="8111" xr:uid="{00000000-0005-0000-0000-0000BF140000}"/>
    <cellStyle name="Normal 31 6 2 3" xfId="8112" xr:uid="{00000000-0005-0000-0000-0000C0140000}"/>
    <cellStyle name="Normal 31 6 3" xfId="4042" xr:uid="{00000000-0005-0000-0000-0000C1140000}"/>
    <cellStyle name="Normal 31 6 3 2" xfId="8113" xr:uid="{00000000-0005-0000-0000-0000C2140000}"/>
    <cellStyle name="Normal 31 6 4" xfId="8114" xr:uid="{00000000-0005-0000-0000-0000C3140000}"/>
    <cellStyle name="Normal 31 7" xfId="4043" xr:uid="{00000000-0005-0000-0000-0000C4140000}"/>
    <cellStyle name="Normal 31 7 2" xfId="4044" xr:uid="{00000000-0005-0000-0000-0000C5140000}"/>
    <cellStyle name="Normal 31 7 2 2" xfId="8115" xr:uid="{00000000-0005-0000-0000-0000C6140000}"/>
    <cellStyle name="Normal 31 7 3" xfId="8116" xr:uid="{00000000-0005-0000-0000-0000C7140000}"/>
    <cellStyle name="Normal 31 8" xfId="4045" xr:uid="{00000000-0005-0000-0000-0000C8140000}"/>
    <cellStyle name="Normal 31 8 2" xfId="8117" xr:uid="{00000000-0005-0000-0000-0000C9140000}"/>
    <cellStyle name="Normal 31 9" xfId="8118" xr:uid="{00000000-0005-0000-0000-0000CA140000}"/>
    <cellStyle name="Normal 310" xfId="10975" xr:uid="{00000000-0005-0000-0000-0000CB140000}"/>
    <cellStyle name="Normal 311" xfId="10978" xr:uid="{00000000-0005-0000-0000-0000CC140000}"/>
    <cellStyle name="Normal 312" xfId="10981" xr:uid="{00000000-0005-0000-0000-0000CD140000}"/>
    <cellStyle name="Normal 313" xfId="10984" xr:uid="{00000000-0005-0000-0000-0000CE140000}"/>
    <cellStyle name="Normal 314" xfId="10987" xr:uid="{00000000-0005-0000-0000-0000CF140000}"/>
    <cellStyle name="Normal 315" xfId="10990" xr:uid="{00000000-0005-0000-0000-0000D0140000}"/>
    <cellStyle name="Normal 316" xfId="10993" xr:uid="{00000000-0005-0000-0000-0000D1140000}"/>
    <cellStyle name="Normal 317" xfId="10996" xr:uid="{00000000-0005-0000-0000-0000D2140000}"/>
    <cellStyle name="Normal 318" xfId="10999" xr:uid="{00000000-0005-0000-0000-0000D3140000}"/>
    <cellStyle name="Normal 319" xfId="11002" xr:uid="{00000000-0005-0000-0000-0000D4140000}"/>
    <cellStyle name="Normal 32" xfId="4046" xr:uid="{00000000-0005-0000-0000-0000D5140000}"/>
    <cellStyle name="Normal 32 2" xfId="4047" xr:uid="{00000000-0005-0000-0000-0000D6140000}"/>
    <cellStyle name="Normal 32 2 2" xfId="4048" xr:uid="{00000000-0005-0000-0000-0000D7140000}"/>
    <cellStyle name="Normal 32 3" xfId="4049" xr:uid="{00000000-0005-0000-0000-0000D8140000}"/>
    <cellStyle name="Normal 32 3 2" xfId="4050" xr:uid="{00000000-0005-0000-0000-0000D9140000}"/>
    <cellStyle name="Normal 32 3 2 2" xfId="4051" xr:uid="{00000000-0005-0000-0000-0000DA140000}"/>
    <cellStyle name="Normal 32 3 2 2 2" xfId="4052" xr:uid="{00000000-0005-0000-0000-0000DB140000}"/>
    <cellStyle name="Normal 32 3 2 2 2 2" xfId="8119" xr:uid="{00000000-0005-0000-0000-0000DC140000}"/>
    <cellStyle name="Normal 32 3 2 2 3" xfId="8120" xr:uid="{00000000-0005-0000-0000-0000DD140000}"/>
    <cellStyle name="Normal 32 3 2 3" xfId="4053" xr:uid="{00000000-0005-0000-0000-0000DE140000}"/>
    <cellStyle name="Normal 32 3 2 3 2" xfId="8121" xr:uid="{00000000-0005-0000-0000-0000DF140000}"/>
    <cellStyle name="Normal 32 3 2 4" xfId="8122" xr:uid="{00000000-0005-0000-0000-0000E0140000}"/>
    <cellStyle name="Normal 32 3 3" xfId="4054" xr:uid="{00000000-0005-0000-0000-0000E1140000}"/>
    <cellStyle name="Normal 32 3 3 2" xfId="4055" xr:uid="{00000000-0005-0000-0000-0000E2140000}"/>
    <cellStyle name="Normal 32 3 3 2 2" xfId="8123" xr:uid="{00000000-0005-0000-0000-0000E3140000}"/>
    <cellStyle name="Normal 32 3 3 3" xfId="8124" xr:uid="{00000000-0005-0000-0000-0000E4140000}"/>
    <cellStyle name="Normal 32 3 4" xfId="4056" xr:uid="{00000000-0005-0000-0000-0000E5140000}"/>
    <cellStyle name="Normal 32 3 4 2" xfId="8125" xr:uid="{00000000-0005-0000-0000-0000E6140000}"/>
    <cellStyle name="Normal 32 3 5" xfId="4057" xr:uid="{00000000-0005-0000-0000-0000E7140000}"/>
    <cellStyle name="Normal 32 4" xfId="4058" xr:uid="{00000000-0005-0000-0000-0000E8140000}"/>
    <cellStyle name="Normal 32 4 2" xfId="4059" xr:uid="{00000000-0005-0000-0000-0000E9140000}"/>
    <cellStyle name="Normal 32 4 2 2" xfId="4060" xr:uid="{00000000-0005-0000-0000-0000EA140000}"/>
    <cellStyle name="Normal 32 4 2 2 2" xfId="4061" xr:uid="{00000000-0005-0000-0000-0000EB140000}"/>
    <cellStyle name="Normal 32 4 2 2 2 2" xfId="8126" xr:uid="{00000000-0005-0000-0000-0000EC140000}"/>
    <cellStyle name="Normal 32 4 2 2 3" xfId="8127" xr:uid="{00000000-0005-0000-0000-0000ED140000}"/>
    <cellStyle name="Normal 32 4 2 3" xfId="4062" xr:uid="{00000000-0005-0000-0000-0000EE140000}"/>
    <cellStyle name="Normal 32 4 2 3 2" xfId="8128" xr:uid="{00000000-0005-0000-0000-0000EF140000}"/>
    <cellStyle name="Normal 32 4 2 4" xfId="8129" xr:uid="{00000000-0005-0000-0000-0000F0140000}"/>
    <cellStyle name="Normal 32 4 3" xfId="4063" xr:uid="{00000000-0005-0000-0000-0000F1140000}"/>
    <cellStyle name="Normal 32 4 3 2" xfId="4064" xr:uid="{00000000-0005-0000-0000-0000F2140000}"/>
    <cellStyle name="Normal 32 4 3 2 2" xfId="8130" xr:uid="{00000000-0005-0000-0000-0000F3140000}"/>
    <cellStyle name="Normal 32 4 3 3" xfId="8131" xr:uid="{00000000-0005-0000-0000-0000F4140000}"/>
    <cellStyle name="Normal 32 4 4" xfId="4065" xr:uid="{00000000-0005-0000-0000-0000F5140000}"/>
    <cellStyle name="Normal 32 4 4 2" xfId="8132" xr:uid="{00000000-0005-0000-0000-0000F6140000}"/>
    <cellStyle name="Normal 32 4 5" xfId="8133" xr:uid="{00000000-0005-0000-0000-0000F7140000}"/>
    <cellStyle name="Normal 32 5" xfId="4066" xr:uid="{00000000-0005-0000-0000-0000F8140000}"/>
    <cellStyle name="Normal 32 5 2" xfId="4067" xr:uid="{00000000-0005-0000-0000-0000F9140000}"/>
    <cellStyle name="Normal 32 5 2 2" xfId="4068" xr:uid="{00000000-0005-0000-0000-0000FA140000}"/>
    <cellStyle name="Normal 32 5 2 2 2" xfId="4069" xr:uid="{00000000-0005-0000-0000-0000FB140000}"/>
    <cellStyle name="Normal 32 5 2 2 2 2" xfId="8134" xr:uid="{00000000-0005-0000-0000-0000FC140000}"/>
    <cellStyle name="Normal 32 5 2 2 3" xfId="8135" xr:uid="{00000000-0005-0000-0000-0000FD140000}"/>
    <cellStyle name="Normal 32 5 2 3" xfId="4070" xr:uid="{00000000-0005-0000-0000-0000FE140000}"/>
    <cellStyle name="Normal 32 5 2 3 2" xfId="8136" xr:uid="{00000000-0005-0000-0000-0000FF140000}"/>
    <cellStyle name="Normal 32 5 2 4" xfId="8137" xr:uid="{00000000-0005-0000-0000-000000150000}"/>
    <cellStyle name="Normal 32 5 3" xfId="4071" xr:uid="{00000000-0005-0000-0000-000001150000}"/>
    <cellStyle name="Normal 32 5 3 2" xfId="4072" xr:uid="{00000000-0005-0000-0000-000002150000}"/>
    <cellStyle name="Normal 32 5 3 2 2" xfId="8138" xr:uid="{00000000-0005-0000-0000-000003150000}"/>
    <cellStyle name="Normal 32 5 3 3" xfId="8139" xr:uid="{00000000-0005-0000-0000-000004150000}"/>
    <cellStyle name="Normal 32 5 4" xfId="4073" xr:uid="{00000000-0005-0000-0000-000005150000}"/>
    <cellStyle name="Normal 32 5 4 2" xfId="8140" xr:uid="{00000000-0005-0000-0000-000006150000}"/>
    <cellStyle name="Normal 32 5 5" xfId="8141" xr:uid="{00000000-0005-0000-0000-000007150000}"/>
    <cellStyle name="Normal 32 6" xfId="4074" xr:uid="{00000000-0005-0000-0000-000008150000}"/>
    <cellStyle name="Normal 32 6 2" xfId="4075" xr:uid="{00000000-0005-0000-0000-000009150000}"/>
    <cellStyle name="Normal 32 6 2 2" xfId="4076" xr:uid="{00000000-0005-0000-0000-00000A150000}"/>
    <cellStyle name="Normal 32 6 2 2 2" xfId="8142" xr:uid="{00000000-0005-0000-0000-00000B150000}"/>
    <cellStyle name="Normal 32 6 2 3" xfId="8143" xr:uid="{00000000-0005-0000-0000-00000C150000}"/>
    <cellStyle name="Normal 32 6 3" xfId="4077" xr:uid="{00000000-0005-0000-0000-00000D150000}"/>
    <cellStyle name="Normal 32 6 3 2" xfId="8144" xr:uid="{00000000-0005-0000-0000-00000E150000}"/>
    <cellStyle name="Normal 32 6 4" xfId="8145" xr:uid="{00000000-0005-0000-0000-00000F150000}"/>
    <cellStyle name="Normal 32 7" xfId="4078" xr:uid="{00000000-0005-0000-0000-000010150000}"/>
    <cellStyle name="Normal 32 7 2" xfId="4079" xr:uid="{00000000-0005-0000-0000-000011150000}"/>
    <cellStyle name="Normal 32 7 2 2" xfId="8146" xr:uid="{00000000-0005-0000-0000-000012150000}"/>
    <cellStyle name="Normal 32 7 3" xfId="8147" xr:uid="{00000000-0005-0000-0000-000013150000}"/>
    <cellStyle name="Normal 32 8" xfId="4080" xr:uid="{00000000-0005-0000-0000-000014150000}"/>
    <cellStyle name="Normal 32 8 2" xfId="8148" xr:uid="{00000000-0005-0000-0000-000015150000}"/>
    <cellStyle name="Normal 32 9" xfId="8149" xr:uid="{00000000-0005-0000-0000-000016150000}"/>
    <cellStyle name="Normal 320" xfId="11005" xr:uid="{00000000-0005-0000-0000-000017150000}"/>
    <cellStyle name="Normal 321" xfId="11008" xr:uid="{00000000-0005-0000-0000-000018150000}"/>
    <cellStyle name="Normal 322" xfId="11011" xr:uid="{00000000-0005-0000-0000-000019150000}"/>
    <cellStyle name="Normal 323" xfId="11014" xr:uid="{00000000-0005-0000-0000-00001A150000}"/>
    <cellStyle name="Normal 324" xfId="11017" xr:uid="{00000000-0005-0000-0000-00001B150000}"/>
    <cellStyle name="Normal 325" xfId="11020" xr:uid="{00000000-0005-0000-0000-00001C150000}"/>
    <cellStyle name="Normal 326" xfId="11023" xr:uid="{00000000-0005-0000-0000-00001D150000}"/>
    <cellStyle name="Normal 327" xfId="11026" xr:uid="{00000000-0005-0000-0000-00001E150000}"/>
    <cellStyle name="Normal 328" xfId="11029" xr:uid="{00000000-0005-0000-0000-00001F150000}"/>
    <cellStyle name="Normal 329" xfId="11032" xr:uid="{00000000-0005-0000-0000-000020150000}"/>
    <cellStyle name="Normal 33" xfId="4081" xr:uid="{00000000-0005-0000-0000-000021150000}"/>
    <cellStyle name="Normal 33 2" xfId="4082" xr:uid="{00000000-0005-0000-0000-000022150000}"/>
    <cellStyle name="Normal 33 2 2" xfId="4083" xr:uid="{00000000-0005-0000-0000-000023150000}"/>
    <cellStyle name="Normal 33 3" xfId="4084" xr:uid="{00000000-0005-0000-0000-000024150000}"/>
    <cellStyle name="Normal 33 3 2" xfId="4085" xr:uid="{00000000-0005-0000-0000-000025150000}"/>
    <cellStyle name="Normal 33 3 2 2" xfId="4086" xr:uid="{00000000-0005-0000-0000-000026150000}"/>
    <cellStyle name="Normal 33 3 2 2 2" xfId="4087" xr:uid="{00000000-0005-0000-0000-000027150000}"/>
    <cellStyle name="Normal 33 3 2 2 2 2" xfId="8150" xr:uid="{00000000-0005-0000-0000-000028150000}"/>
    <cellStyle name="Normal 33 3 2 2 3" xfId="8151" xr:uid="{00000000-0005-0000-0000-000029150000}"/>
    <cellStyle name="Normal 33 3 2 3" xfId="4088" xr:uid="{00000000-0005-0000-0000-00002A150000}"/>
    <cellStyle name="Normal 33 3 2 3 2" xfId="8152" xr:uid="{00000000-0005-0000-0000-00002B150000}"/>
    <cellStyle name="Normal 33 3 2 4" xfId="8153" xr:uid="{00000000-0005-0000-0000-00002C150000}"/>
    <cellStyle name="Normal 33 3 3" xfId="4089" xr:uid="{00000000-0005-0000-0000-00002D150000}"/>
    <cellStyle name="Normal 33 3 3 2" xfId="4090" xr:uid="{00000000-0005-0000-0000-00002E150000}"/>
    <cellStyle name="Normal 33 3 3 2 2" xfId="8154" xr:uid="{00000000-0005-0000-0000-00002F150000}"/>
    <cellStyle name="Normal 33 3 3 3" xfId="8155" xr:uid="{00000000-0005-0000-0000-000030150000}"/>
    <cellStyle name="Normal 33 3 4" xfId="4091" xr:uid="{00000000-0005-0000-0000-000031150000}"/>
    <cellStyle name="Normal 33 3 4 2" xfId="8156" xr:uid="{00000000-0005-0000-0000-000032150000}"/>
    <cellStyle name="Normal 33 3 5" xfId="4092" xr:uid="{00000000-0005-0000-0000-000033150000}"/>
    <cellStyle name="Normal 33 4" xfId="4093" xr:uid="{00000000-0005-0000-0000-000034150000}"/>
    <cellStyle name="Normal 33 4 2" xfId="4094" xr:uid="{00000000-0005-0000-0000-000035150000}"/>
    <cellStyle name="Normal 33 4 2 2" xfId="4095" xr:uid="{00000000-0005-0000-0000-000036150000}"/>
    <cellStyle name="Normal 33 4 2 2 2" xfId="4096" xr:uid="{00000000-0005-0000-0000-000037150000}"/>
    <cellStyle name="Normal 33 4 2 2 2 2" xfId="8157" xr:uid="{00000000-0005-0000-0000-000038150000}"/>
    <cellStyle name="Normal 33 4 2 2 3" xfId="8158" xr:uid="{00000000-0005-0000-0000-000039150000}"/>
    <cellStyle name="Normal 33 4 2 3" xfId="4097" xr:uid="{00000000-0005-0000-0000-00003A150000}"/>
    <cellStyle name="Normal 33 4 2 3 2" xfId="8159" xr:uid="{00000000-0005-0000-0000-00003B150000}"/>
    <cellStyle name="Normal 33 4 2 4" xfId="8160" xr:uid="{00000000-0005-0000-0000-00003C150000}"/>
    <cellStyle name="Normal 33 4 3" xfId="4098" xr:uid="{00000000-0005-0000-0000-00003D150000}"/>
    <cellStyle name="Normal 33 4 3 2" xfId="4099" xr:uid="{00000000-0005-0000-0000-00003E150000}"/>
    <cellStyle name="Normal 33 4 3 2 2" xfId="8161" xr:uid="{00000000-0005-0000-0000-00003F150000}"/>
    <cellStyle name="Normal 33 4 3 3" xfId="8162" xr:uid="{00000000-0005-0000-0000-000040150000}"/>
    <cellStyle name="Normal 33 4 4" xfId="4100" xr:uid="{00000000-0005-0000-0000-000041150000}"/>
    <cellStyle name="Normal 33 4 4 2" xfId="8163" xr:uid="{00000000-0005-0000-0000-000042150000}"/>
    <cellStyle name="Normal 33 4 5" xfId="8164" xr:uid="{00000000-0005-0000-0000-000043150000}"/>
    <cellStyle name="Normal 33 5" xfId="4101" xr:uid="{00000000-0005-0000-0000-000044150000}"/>
    <cellStyle name="Normal 33 5 2" xfId="4102" xr:uid="{00000000-0005-0000-0000-000045150000}"/>
    <cellStyle name="Normal 33 5 2 2" xfId="4103" xr:uid="{00000000-0005-0000-0000-000046150000}"/>
    <cellStyle name="Normal 33 5 2 2 2" xfId="4104" xr:uid="{00000000-0005-0000-0000-000047150000}"/>
    <cellStyle name="Normal 33 5 2 2 2 2" xfId="8165" xr:uid="{00000000-0005-0000-0000-000048150000}"/>
    <cellStyle name="Normal 33 5 2 2 3" xfId="8166" xr:uid="{00000000-0005-0000-0000-000049150000}"/>
    <cellStyle name="Normal 33 5 2 3" xfId="4105" xr:uid="{00000000-0005-0000-0000-00004A150000}"/>
    <cellStyle name="Normal 33 5 2 3 2" xfId="8167" xr:uid="{00000000-0005-0000-0000-00004B150000}"/>
    <cellStyle name="Normal 33 5 2 4" xfId="8168" xr:uid="{00000000-0005-0000-0000-00004C150000}"/>
    <cellStyle name="Normal 33 5 3" xfId="4106" xr:uid="{00000000-0005-0000-0000-00004D150000}"/>
    <cellStyle name="Normal 33 5 3 2" xfId="4107" xr:uid="{00000000-0005-0000-0000-00004E150000}"/>
    <cellStyle name="Normal 33 5 3 2 2" xfId="8169" xr:uid="{00000000-0005-0000-0000-00004F150000}"/>
    <cellStyle name="Normal 33 5 3 3" xfId="8170" xr:uid="{00000000-0005-0000-0000-000050150000}"/>
    <cellStyle name="Normal 33 5 4" xfId="4108" xr:uid="{00000000-0005-0000-0000-000051150000}"/>
    <cellStyle name="Normal 33 5 4 2" xfId="8171" xr:uid="{00000000-0005-0000-0000-000052150000}"/>
    <cellStyle name="Normal 33 5 5" xfId="8172" xr:uid="{00000000-0005-0000-0000-000053150000}"/>
    <cellStyle name="Normal 33 6" xfId="4109" xr:uid="{00000000-0005-0000-0000-000054150000}"/>
    <cellStyle name="Normal 33 6 2" xfId="4110" xr:uid="{00000000-0005-0000-0000-000055150000}"/>
    <cellStyle name="Normal 33 6 2 2" xfId="4111" xr:uid="{00000000-0005-0000-0000-000056150000}"/>
    <cellStyle name="Normal 33 6 2 2 2" xfId="8173" xr:uid="{00000000-0005-0000-0000-000057150000}"/>
    <cellStyle name="Normal 33 6 2 3" xfId="8174" xr:uid="{00000000-0005-0000-0000-000058150000}"/>
    <cellStyle name="Normal 33 6 3" xfId="4112" xr:uid="{00000000-0005-0000-0000-000059150000}"/>
    <cellStyle name="Normal 33 6 3 2" xfId="8175" xr:uid="{00000000-0005-0000-0000-00005A150000}"/>
    <cellStyle name="Normal 33 6 4" xfId="8176" xr:uid="{00000000-0005-0000-0000-00005B150000}"/>
    <cellStyle name="Normal 33 7" xfId="4113" xr:uid="{00000000-0005-0000-0000-00005C150000}"/>
    <cellStyle name="Normal 33 7 2" xfId="4114" xr:uid="{00000000-0005-0000-0000-00005D150000}"/>
    <cellStyle name="Normal 33 7 2 2" xfId="8177" xr:uid="{00000000-0005-0000-0000-00005E150000}"/>
    <cellStyle name="Normal 33 7 3" xfId="8178" xr:uid="{00000000-0005-0000-0000-00005F150000}"/>
    <cellStyle name="Normal 33 8" xfId="4115" xr:uid="{00000000-0005-0000-0000-000060150000}"/>
    <cellStyle name="Normal 33 8 2" xfId="8179" xr:uid="{00000000-0005-0000-0000-000061150000}"/>
    <cellStyle name="Normal 33 9" xfId="8180" xr:uid="{00000000-0005-0000-0000-000062150000}"/>
    <cellStyle name="Normal 330" xfId="11035" xr:uid="{00000000-0005-0000-0000-000063150000}"/>
    <cellStyle name="Normal 331" xfId="11038" xr:uid="{00000000-0005-0000-0000-000064150000}"/>
    <cellStyle name="Normal 332" xfId="11041" xr:uid="{00000000-0005-0000-0000-000065150000}"/>
    <cellStyle name="Normal 333" xfId="11044" xr:uid="{00000000-0005-0000-0000-000066150000}"/>
    <cellStyle name="Normal 334" xfId="11047" xr:uid="{00000000-0005-0000-0000-000067150000}"/>
    <cellStyle name="Normal 335" xfId="11050" xr:uid="{00000000-0005-0000-0000-000068150000}"/>
    <cellStyle name="Normal 336" xfId="11053" xr:uid="{00000000-0005-0000-0000-000069150000}"/>
    <cellStyle name="Normal 337" xfId="11055" xr:uid="{00000000-0005-0000-0000-00006A150000}"/>
    <cellStyle name="Normal 338" xfId="1784" xr:uid="{00000000-0005-0000-0000-00006B150000}"/>
    <cellStyle name="Normal 339" xfId="10947" xr:uid="{00000000-0005-0000-0000-00006C150000}"/>
    <cellStyle name="Normal 34" xfId="4116" xr:uid="{00000000-0005-0000-0000-00006D150000}"/>
    <cellStyle name="Normal 34 2" xfId="4117" xr:uid="{00000000-0005-0000-0000-00006E150000}"/>
    <cellStyle name="Normal 34 2 2" xfId="4118" xr:uid="{00000000-0005-0000-0000-00006F150000}"/>
    <cellStyle name="Normal 34 3" xfId="4119" xr:uid="{00000000-0005-0000-0000-000070150000}"/>
    <cellStyle name="Normal 34 3 2" xfId="4120" xr:uid="{00000000-0005-0000-0000-000071150000}"/>
    <cellStyle name="Normal 34 3 2 2" xfId="4121" xr:uid="{00000000-0005-0000-0000-000072150000}"/>
    <cellStyle name="Normal 34 3 2 2 2" xfId="4122" xr:uid="{00000000-0005-0000-0000-000073150000}"/>
    <cellStyle name="Normal 34 3 2 2 2 2" xfId="8181" xr:uid="{00000000-0005-0000-0000-000074150000}"/>
    <cellStyle name="Normal 34 3 2 2 3" xfId="8182" xr:uid="{00000000-0005-0000-0000-000075150000}"/>
    <cellStyle name="Normal 34 3 2 3" xfId="4123" xr:uid="{00000000-0005-0000-0000-000076150000}"/>
    <cellStyle name="Normal 34 3 2 3 2" xfId="8183" xr:uid="{00000000-0005-0000-0000-000077150000}"/>
    <cellStyle name="Normal 34 3 2 4" xfId="8184" xr:uid="{00000000-0005-0000-0000-000078150000}"/>
    <cellStyle name="Normal 34 3 3" xfId="4124" xr:uid="{00000000-0005-0000-0000-000079150000}"/>
    <cellStyle name="Normal 34 3 3 2" xfId="4125" xr:uid="{00000000-0005-0000-0000-00007A150000}"/>
    <cellStyle name="Normal 34 3 3 2 2" xfId="8185" xr:uid="{00000000-0005-0000-0000-00007B150000}"/>
    <cellStyle name="Normal 34 3 3 3" xfId="8186" xr:uid="{00000000-0005-0000-0000-00007C150000}"/>
    <cellStyle name="Normal 34 3 4" xfId="4126" xr:uid="{00000000-0005-0000-0000-00007D150000}"/>
    <cellStyle name="Normal 34 3 4 2" xfId="8187" xr:uid="{00000000-0005-0000-0000-00007E150000}"/>
    <cellStyle name="Normal 34 3 5" xfId="4127" xr:uid="{00000000-0005-0000-0000-00007F150000}"/>
    <cellStyle name="Normal 34 4" xfId="4128" xr:uid="{00000000-0005-0000-0000-000080150000}"/>
    <cellStyle name="Normal 34 4 2" xfId="4129" xr:uid="{00000000-0005-0000-0000-000081150000}"/>
    <cellStyle name="Normal 34 4 2 2" xfId="4130" xr:uid="{00000000-0005-0000-0000-000082150000}"/>
    <cellStyle name="Normal 34 4 2 2 2" xfId="4131" xr:uid="{00000000-0005-0000-0000-000083150000}"/>
    <cellStyle name="Normal 34 4 2 2 2 2" xfId="8188" xr:uid="{00000000-0005-0000-0000-000084150000}"/>
    <cellStyle name="Normal 34 4 2 2 3" xfId="8189" xr:uid="{00000000-0005-0000-0000-000085150000}"/>
    <cellStyle name="Normal 34 4 2 3" xfId="4132" xr:uid="{00000000-0005-0000-0000-000086150000}"/>
    <cellStyle name="Normal 34 4 2 3 2" xfId="8190" xr:uid="{00000000-0005-0000-0000-000087150000}"/>
    <cellStyle name="Normal 34 4 2 4" xfId="8191" xr:uid="{00000000-0005-0000-0000-000088150000}"/>
    <cellStyle name="Normal 34 4 3" xfId="4133" xr:uid="{00000000-0005-0000-0000-000089150000}"/>
    <cellStyle name="Normal 34 4 3 2" xfId="4134" xr:uid="{00000000-0005-0000-0000-00008A150000}"/>
    <cellStyle name="Normal 34 4 3 2 2" xfId="8192" xr:uid="{00000000-0005-0000-0000-00008B150000}"/>
    <cellStyle name="Normal 34 4 3 3" xfId="8193" xr:uid="{00000000-0005-0000-0000-00008C150000}"/>
    <cellStyle name="Normal 34 4 4" xfId="4135" xr:uid="{00000000-0005-0000-0000-00008D150000}"/>
    <cellStyle name="Normal 34 4 4 2" xfId="8194" xr:uid="{00000000-0005-0000-0000-00008E150000}"/>
    <cellStyle name="Normal 34 4 5" xfId="8195" xr:uid="{00000000-0005-0000-0000-00008F150000}"/>
    <cellStyle name="Normal 34 5" xfId="4136" xr:uid="{00000000-0005-0000-0000-000090150000}"/>
    <cellStyle name="Normal 34 5 2" xfId="4137" xr:uid="{00000000-0005-0000-0000-000091150000}"/>
    <cellStyle name="Normal 34 5 2 2" xfId="4138" xr:uid="{00000000-0005-0000-0000-000092150000}"/>
    <cellStyle name="Normal 34 5 2 2 2" xfId="4139" xr:uid="{00000000-0005-0000-0000-000093150000}"/>
    <cellStyle name="Normal 34 5 2 2 2 2" xfId="8196" xr:uid="{00000000-0005-0000-0000-000094150000}"/>
    <cellStyle name="Normal 34 5 2 2 3" xfId="8197" xr:uid="{00000000-0005-0000-0000-000095150000}"/>
    <cellStyle name="Normal 34 5 2 3" xfId="4140" xr:uid="{00000000-0005-0000-0000-000096150000}"/>
    <cellStyle name="Normal 34 5 2 3 2" xfId="8198" xr:uid="{00000000-0005-0000-0000-000097150000}"/>
    <cellStyle name="Normal 34 5 2 4" xfId="8199" xr:uid="{00000000-0005-0000-0000-000098150000}"/>
    <cellStyle name="Normal 34 5 3" xfId="4141" xr:uid="{00000000-0005-0000-0000-000099150000}"/>
    <cellStyle name="Normal 34 5 3 2" xfId="4142" xr:uid="{00000000-0005-0000-0000-00009A150000}"/>
    <cellStyle name="Normal 34 5 3 2 2" xfId="8200" xr:uid="{00000000-0005-0000-0000-00009B150000}"/>
    <cellStyle name="Normal 34 5 3 3" xfId="8201" xr:uid="{00000000-0005-0000-0000-00009C150000}"/>
    <cellStyle name="Normal 34 5 4" xfId="4143" xr:uid="{00000000-0005-0000-0000-00009D150000}"/>
    <cellStyle name="Normal 34 5 4 2" xfId="8202" xr:uid="{00000000-0005-0000-0000-00009E150000}"/>
    <cellStyle name="Normal 34 5 5" xfId="8203" xr:uid="{00000000-0005-0000-0000-00009F150000}"/>
    <cellStyle name="Normal 34 6" xfId="4144" xr:uid="{00000000-0005-0000-0000-0000A0150000}"/>
    <cellStyle name="Normal 34 6 2" xfId="4145" xr:uid="{00000000-0005-0000-0000-0000A1150000}"/>
    <cellStyle name="Normal 34 6 2 2" xfId="4146" xr:uid="{00000000-0005-0000-0000-0000A2150000}"/>
    <cellStyle name="Normal 34 6 2 2 2" xfId="8204" xr:uid="{00000000-0005-0000-0000-0000A3150000}"/>
    <cellStyle name="Normal 34 6 2 3" xfId="8205" xr:uid="{00000000-0005-0000-0000-0000A4150000}"/>
    <cellStyle name="Normal 34 6 3" xfId="4147" xr:uid="{00000000-0005-0000-0000-0000A5150000}"/>
    <cellStyle name="Normal 34 6 3 2" xfId="8206" xr:uid="{00000000-0005-0000-0000-0000A6150000}"/>
    <cellStyle name="Normal 34 6 4" xfId="8207" xr:uid="{00000000-0005-0000-0000-0000A7150000}"/>
    <cellStyle name="Normal 34 7" xfId="4148" xr:uid="{00000000-0005-0000-0000-0000A8150000}"/>
    <cellStyle name="Normal 34 7 2" xfId="4149" xr:uid="{00000000-0005-0000-0000-0000A9150000}"/>
    <cellStyle name="Normal 34 7 2 2" xfId="8208" xr:uid="{00000000-0005-0000-0000-0000AA150000}"/>
    <cellStyle name="Normal 34 7 3" xfId="8209" xr:uid="{00000000-0005-0000-0000-0000AB150000}"/>
    <cellStyle name="Normal 34 8" xfId="4150" xr:uid="{00000000-0005-0000-0000-0000AC150000}"/>
    <cellStyle name="Normal 34 8 2" xfId="8210" xr:uid="{00000000-0005-0000-0000-0000AD150000}"/>
    <cellStyle name="Normal 34 9" xfId="8211" xr:uid="{00000000-0005-0000-0000-0000AE150000}"/>
    <cellStyle name="Normal 340" xfId="11082" xr:uid="{00000000-0005-0000-0000-0000AF150000}"/>
    <cellStyle name="Normal 342" xfId="11119" xr:uid="{2CA2F4DC-C7C1-44FA-AAF4-AD5B10B35711}"/>
    <cellStyle name="Normal 35" xfId="4151" xr:uid="{00000000-0005-0000-0000-0000B0150000}"/>
    <cellStyle name="Normal 35 2" xfId="4152" xr:uid="{00000000-0005-0000-0000-0000B1150000}"/>
    <cellStyle name="Normal 35 2 2" xfId="4153" xr:uid="{00000000-0005-0000-0000-0000B2150000}"/>
    <cellStyle name="Normal 35 3" xfId="4154" xr:uid="{00000000-0005-0000-0000-0000B3150000}"/>
    <cellStyle name="Normal 35 3 2" xfId="4155" xr:uid="{00000000-0005-0000-0000-0000B4150000}"/>
    <cellStyle name="Normal 35 3 2 2" xfId="4156" xr:uid="{00000000-0005-0000-0000-0000B5150000}"/>
    <cellStyle name="Normal 35 3 2 2 2" xfId="4157" xr:uid="{00000000-0005-0000-0000-0000B6150000}"/>
    <cellStyle name="Normal 35 3 2 2 2 2" xfId="8212" xr:uid="{00000000-0005-0000-0000-0000B7150000}"/>
    <cellStyle name="Normal 35 3 2 2 3" xfId="8213" xr:uid="{00000000-0005-0000-0000-0000B8150000}"/>
    <cellStyle name="Normal 35 3 2 3" xfId="4158" xr:uid="{00000000-0005-0000-0000-0000B9150000}"/>
    <cellStyle name="Normal 35 3 2 3 2" xfId="8214" xr:uid="{00000000-0005-0000-0000-0000BA150000}"/>
    <cellStyle name="Normal 35 3 2 4" xfId="8215" xr:uid="{00000000-0005-0000-0000-0000BB150000}"/>
    <cellStyle name="Normal 35 3 3" xfId="4159" xr:uid="{00000000-0005-0000-0000-0000BC150000}"/>
    <cellStyle name="Normal 35 3 3 2" xfId="4160" xr:uid="{00000000-0005-0000-0000-0000BD150000}"/>
    <cellStyle name="Normal 35 3 3 2 2" xfId="8216" xr:uid="{00000000-0005-0000-0000-0000BE150000}"/>
    <cellStyle name="Normal 35 3 3 3" xfId="8217" xr:uid="{00000000-0005-0000-0000-0000BF150000}"/>
    <cellStyle name="Normal 35 3 4" xfId="4161" xr:uid="{00000000-0005-0000-0000-0000C0150000}"/>
    <cellStyle name="Normal 35 3 4 2" xfId="8218" xr:uid="{00000000-0005-0000-0000-0000C1150000}"/>
    <cellStyle name="Normal 35 3 5" xfId="4162" xr:uid="{00000000-0005-0000-0000-0000C2150000}"/>
    <cellStyle name="Normal 35 4" xfId="4163" xr:uid="{00000000-0005-0000-0000-0000C3150000}"/>
    <cellStyle name="Normal 35 4 2" xfId="4164" xr:uid="{00000000-0005-0000-0000-0000C4150000}"/>
    <cellStyle name="Normal 35 4 2 2" xfId="4165" xr:uid="{00000000-0005-0000-0000-0000C5150000}"/>
    <cellStyle name="Normal 35 4 2 2 2" xfId="4166" xr:uid="{00000000-0005-0000-0000-0000C6150000}"/>
    <cellStyle name="Normal 35 4 2 2 2 2" xfId="8219" xr:uid="{00000000-0005-0000-0000-0000C7150000}"/>
    <cellStyle name="Normal 35 4 2 2 3" xfId="8220" xr:uid="{00000000-0005-0000-0000-0000C8150000}"/>
    <cellStyle name="Normal 35 4 2 3" xfId="4167" xr:uid="{00000000-0005-0000-0000-0000C9150000}"/>
    <cellStyle name="Normal 35 4 2 3 2" xfId="8221" xr:uid="{00000000-0005-0000-0000-0000CA150000}"/>
    <cellStyle name="Normal 35 4 2 4" xfId="8222" xr:uid="{00000000-0005-0000-0000-0000CB150000}"/>
    <cellStyle name="Normal 35 4 3" xfId="4168" xr:uid="{00000000-0005-0000-0000-0000CC150000}"/>
    <cellStyle name="Normal 35 4 3 2" xfId="4169" xr:uid="{00000000-0005-0000-0000-0000CD150000}"/>
    <cellStyle name="Normal 35 4 3 2 2" xfId="8223" xr:uid="{00000000-0005-0000-0000-0000CE150000}"/>
    <cellStyle name="Normal 35 4 3 3" xfId="8224" xr:uid="{00000000-0005-0000-0000-0000CF150000}"/>
    <cellStyle name="Normal 35 4 4" xfId="4170" xr:uid="{00000000-0005-0000-0000-0000D0150000}"/>
    <cellStyle name="Normal 35 4 4 2" xfId="8225" xr:uid="{00000000-0005-0000-0000-0000D1150000}"/>
    <cellStyle name="Normal 35 4 5" xfId="8226" xr:uid="{00000000-0005-0000-0000-0000D2150000}"/>
    <cellStyle name="Normal 35 5" xfId="4171" xr:uid="{00000000-0005-0000-0000-0000D3150000}"/>
    <cellStyle name="Normal 35 5 2" xfId="4172" xr:uid="{00000000-0005-0000-0000-0000D4150000}"/>
    <cellStyle name="Normal 35 5 2 2" xfId="4173" xr:uid="{00000000-0005-0000-0000-0000D5150000}"/>
    <cellStyle name="Normal 35 5 2 2 2" xfId="4174" xr:uid="{00000000-0005-0000-0000-0000D6150000}"/>
    <cellStyle name="Normal 35 5 2 2 2 2" xfId="8227" xr:uid="{00000000-0005-0000-0000-0000D7150000}"/>
    <cellStyle name="Normal 35 5 2 2 3" xfId="8228" xr:uid="{00000000-0005-0000-0000-0000D8150000}"/>
    <cellStyle name="Normal 35 5 2 3" xfId="4175" xr:uid="{00000000-0005-0000-0000-0000D9150000}"/>
    <cellStyle name="Normal 35 5 2 3 2" xfId="8229" xr:uid="{00000000-0005-0000-0000-0000DA150000}"/>
    <cellStyle name="Normal 35 5 2 4" xfId="8230" xr:uid="{00000000-0005-0000-0000-0000DB150000}"/>
    <cellStyle name="Normal 35 5 3" xfId="4176" xr:uid="{00000000-0005-0000-0000-0000DC150000}"/>
    <cellStyle name="Normal 35 5 3 2" xfId="4177" xr:uid="{00000000-0005-0000-0000-0000DD150000}"/>
    <cellStyle name="Normal 35 5 3 2 2" xfId="8231" xr:uid="{00000000-0005-0000-0000-0000DE150000}"/>
    <cellStyle name="Normal 35 5 3 3" xfId="8232" xr:uid="{00000000-0005-0000-0000-0000DF150000}"/>
    <cellStyle name="Normal 35 5 4" xfId="4178" xr:uid="{00000000-0005-0000-0000-0000E0150000}"/>
    <cellStyle name="Normal 35 5 4 2" xfId="8233" xr:uid="{00000000-0005-0000-0000-0000E1150000}"/>
    <cellStyle name="Normal 35 5 5" xfId="8234" xr:uid="{00000000-0005-0000-0000-0000E2150000}"/>
    <cellStyle name="Normal 35 6" xfId="4179" xr:uid="{00000000-0005-0000-0000-0000E3150000}"/>
    <cellStyle name="Normal 35 6 2" xfId="4180" xr:uid="{00000000-0005-0000-0000-0000E4150000}"/>
    <cellStyle name="Normal 35 6 2 2" xfId="4181" xr:uid="{00000000-0005-0000-0000-0000E5150000}"/>
    <cellStyle name="Normal 35 6 2 2 2" xfId="8235" xr:uid="{00000000-0005-0000-0000-0000E6150000}"/>
    <cellStyle name="Normal 35 6 2 3" xfId="8236" xr:uid="{00000000-0005-0000-0000-0000E7150000}"/>
    <cellStyle name="Normal 35 6 3" xfId="4182" xr:uid="{00000000-0005-0000-0000-0000E8150000}"/>
    <cellStyle name="Normal 35 6 3 2" xfId="8237" xr:uid="{00000000-0005-0000-0000-0000E9150000}"/>
    <cellStyle name="Normal 35 6 4" xfId="8238" xr:uid="{00000000-0005-0000-0000-0000EA150000}"/>
    <cellStyle name="Normal 35 7" xfId="4183" xr:uid="{00000000-0005-0000-0000-0000EB150000}"/>
    <cellStyle name="Normal 35 7 2" xfId="4184" xr:uid="{00000000-0005-0000-0000-0000EC150000}"/>
    <cellStyle name="Normal 35 7 2 2" xfId="8239" xr:uid="{00000000-0005-0000-0000-0000ED150000}"/>
    <cellStyle name="Normal 35 7 3" xfId="8240" xr:uid="{00000000-0005-0000-0000-0000EE150000}"/>
    <cellStyle name="Normal 35 8" xfId="4185" xr:uid="{00000000-0005-0000-0000-0000EF150000}"/>
    <cellStyle name="Normal 35 8 2" xfId="8241" xr:uid="{00000000-0005-0000-0000-0000F0150000}"/>
    <cellStyle name="Normal 35 9" xfId="8242" xr:uid="{00000000-0005-0000-0000-0000F1150000}"/>
    <cellStyle name="Normal 36" xfId="4186" xr:uid="{00000000-0005-0000-0000-0000F2150000}"/>
    <cellStyle name="Normal 36 2" xfId="4187" xr:uid="{00000000-0005-0000-0000-0000F3150000}"/>
    <cellStyle name="Normal 36 2 2" xfId="4188" xr:uid="{00000000-0005-0000-0000-0000F4150000}"/>
    <cellStyle name="Normal 36 3" xfId="4189" xr:uid="{00000000-0005-0000-0000-0000F5150000}"/>
    <cellStyle name="Normal 36 3 2" xfId="4190" xr:uid="{00000000-0005-0000-0000-0000F6150000}"/>
    <cellStyle name="Normal 36 3 2 2" xfId="4191" xr:uid="{00000000-0005-0000-0000-0000F7150000}"/>
    <cellStyle name="Normal 36 3 2 2 2" xfId="4192" xr:uid="{00000000-0005-0000-0000-0000F8150000}"/>
    <cellStyle name="Normal 36 3 2 2 2 2" xfId="8243" xr:uid="{00000000-0005-0000-0000-0000F9150000}"/>
    <cellStyle name="Normal 36 3 2 2 3" xfId="8244" xr:uid="{00000000-0005-0000-0000-0000FA150000}"/>
    <cellStyle name="Normal 36 3 2 3" xfId="4193" xr:uid="{00000000-0005-0000-0000-0000FB150000}"/>
    <cellStyle name="Normal 36 3 2 3 2" xfId="8245" xr:uid="{00000000-0005-0000-0000-0000FC150000}"/>
    <cellStyle name="Normal 36 3 2 4" xfId="8246" xr:uid="{00000000-0005-0000-0000-0000FD150000}"/>
    <cellStyle name="Normal 36 3 3" xfId="4194" xr:uid="{00000000-0005-0000-0000-0000FE150000}"/>
    <cellStyle name="Normal 36 3 3 2" xfId="4195" xr:uid="{00000000-0005-0000-0000-0000FF150000}"/>
    <cellStyle name="Normal 36 3 3 2 2" xfId="8247" xr:uid="{00000000-0005-0000-0000-000000160000}"/>
    <cellStyle name="Normal 36 3 3 3" xfId="8248" xr:uid="{00000000-0005-0000-0000-000001160000}"/>
    <cellStyle name="Normal 36 3 4" xfId="4196" xr:uid="{00000000-0005-0000-0000-000002160000}"/>
    <cellStyle name="Normal 36 3 4 2" xfId="8249" xr:uid="{00000000-0005-0000-0000-000003160000}"/>
    <cellStyle name="Normal 36 3 5" xfId="4197" xr:uid="{00000000-0005-0000-0000-000004160000}"/>
    <cellStyle name="Normal 36 4" xfId="4198" xr:uid="{00000000-0005-0000-0000-000005160000}"/>
    <cellStyle name="Normal 36 4 2" xfId="4199" xr:uid="{00000000-0005-0000-0000-000006160000}"/>
    <cellStyle name="Normal 36 4 2 2" xfId="4200" xr:uid="{00000000-0005-0000-0000-000007160000}"/>
    <cellStyle name="Normal 36 4 2 2 2" xfId="4201" xr:uid="{00000000-0005-0000-0000-000008160000}"/>
    <cellStyle name="Normal 36 4 2 2 2 2" xfId="8250" xr:uid="{00000000-0005-0000-0000-000009160000}"/>
    <cellStyle name="Normal 36 4 2 2 3" xfId="8251" xr:uid="{00000000-0005-0000-0000-00000A160000}"/>
    <cellStyle name="Normal 36 4 2 3" xfId="4202" xr:uid="{00000000-0005-0000-0000-00000B160000}"/>
    <cellStyle name="Normal 36 4 2 3 2" xfId="8252" xr:uid="{00000000-0005-0000-0000-00000C160000}"/>
    <cellStyle name="Normal 36 4 2 4" xfId="8253" xr:uid="{00000000-0005-0000-0000-00000D160000}"/>
    <cellStyle name="Normal 36 4 3" xfId="4203" xr:uid="{00000000-0005-0000-0000-00000E160000}"/>
    <cellStyle name="Normal 36 4 3 2" xfId="4204" xr:uid="{00000000-0005-0000-0000-00000F160000}"/>
    <cellStyle name="Normal 36 4 3 2 2" xfId="8254" xr:uid="{00000000-0005-0000-0000-000010160000}"/>
    <cellStyle name="Normal 36 4 3 3" xfId="8255" xr:uid="{00000000-0005-0000-0000-000011160000}"/>
    <cellStyle name="Normal 36 4 4" xfId="4205" xr:uid="{00000000-0005-0000-0000-000012160000}"/>
    <cellStyle name="Normal 36 4 4 2" xfId="8256" xr:uid="{00000000-0005-0000-0000-000013160000}"/>
    <cellStyle name="Normal 36 4 5" xfId="8257" xr:uid="{00000000-0005-0000-0000-000014160000}"/>
    <cellStyle name="Normal 36 5" xfId="4206" xr:uid="{00000000-0005-0000-0000-000015160000}"/>
    <cellStyle name="Normal 36 5 2" xfId="4207" xr:uid="{00000000-0005-0000-0000-000016160000}"/>
    <cellStyle name="Normal 36 5 2 2" xfId="4208" xr:uid="{00000000-0005-0000-0000-000017160000}"/>
    <cellStyle name="Normal 36 5 2 2 2" xfId="4209" xr:uid="{00000000-0005-0000-0000-000018160000}"/>
    <cellStyle name="Normal 36 5 2 2 2 2" xfId="8258" xr:uid="{00000000-0005-0000-0000-000019160000}"/>
    <cellStyle name="Normal 36 5 2 2 3" xfId="8259" xr:uid="{00000000-0005-0000-0000-00001A160000}"/>
    <cellStyle name="Normal 36 5 2 3" xfId="4210" xr:uid="{00000000-0005-0000-0000-00001B160000}"/>
    <cellStyle name="Normal 36 5 2 3 2" xfId="8260" xr:uid="{00000000-0005-0000-0000-00001C160000}"/>
    <cellStyle name="Normal 36 5 2 4" xfId="8261" xr:uid="{00000000-0005-0000-0000-00001D160000}"/>
    <cellStyle name="Normal 36 5 3" xfId="4211" xr:uid="{00000000-0005-0000-0000-00001E160000}"/>
    <cellStyle name="Normal 36 5 3 2" xfId="4212" xr:uid="{00000000-0005-0000-0000-00001F160000}"/>
    <cellStyle name="Normal 36 5 3 2 2" xfId="8262" xr:uid="{00000000-0005-0000-0000-000020160000}"/>
    <cellStyle name="Normal 36 5 3 3" xfId="8263" xr:uid="{00000000-0005-0000-0000-000021160000}"/>
    <cellStyle name="Normal 36 5 4" xfId="4213" xr:uid="{00000000-0005-0000-0000-000022160000}"/>
    <cellStyle name="Normal 36 5 4 2" xfId="8264" xr:uid="{00000000-0005-0000-0000-000023160000}"/>
    <cellStyle name="Normal 36 5 5" xfId="8265" xr:uid="{00000000-0005-0000-0000-000024160000}"/>
    <cellStyle name="Normal 36 6" xfId="4214" xr:uid="{00000000-0005-0000-0000-000025160000}"/>
    <cellStyle name="Normal 36 6 2" xfId="4215" xr:uid="{00000000-0005-0000-0000-000026160000}"/>
    <cellStyle name="Normal 36 6 2 2" xfId="4216" xr:uid="{00000000-0005-0000-0000-000027160000}"/>
    <cellStyle name="Normal 36 6 2 2 2" xfId="8266" xr:uid="{00000000-0005-0000-0000-000028160000}"/>
    <cellStyle name="Normal 36 6 2 3" xfId="8267" xr:uid="{00000000-0005-0000-0000-000029160000}"/>
    <cellStyle name="Normal 36 6 3" xfId="4217" xr:uid="{00000000-0005-0000-0000-00002A160000}"/>
    <cellStyle name="Normal 36 6 3 2" xfId="8268" xr:uid="{00000000-0005-0000-0000-00002B160000}"/>
    <cellStyle name="Normal 36 6 4" xfId="8269" xr:uid="{00000000-0005-0000-0000-00002C160000}"/>
    <cellStyle name="Normal 36 7" xfId="4218" xr:uid="{00000000-0005-0000-0000-00002D160000}"/>
    <cellStyle name="Normal 36 7 2" xfId="4219" xr:uid="{00000000-0005-0000-0000-00002E160000}"/>
    <cellStyle name="Normal 36 7 2 2" xfId="8270" xr:uid="{00000000-0005-0000-0000-00002F160000}"/>
    <cellStyle name="Normal 36 7 3" xfId="8271" xr:uid="{00000000-0005-0000-0000-000030160000}"/>
    <cellStyle name="Normal 36 8" xfId="4220" xr:uid="{00000000-0005-0000-0000-000031160000}"/>
    <cellStyle name="Normal 36 8 2" xfId="8272" xr:uid="{00000000-0005-0000-0000-000032160000}"/>
    <cellStyle name="Normal 36 9" xfId="8273" xr:uid="{00000000-0005-0000-0000-000033160000}"/>
    <cellStyle name="Normal 37" xfId="4221" xr:uid="{00000000-0005-0000-0000-000034160000}"/>
    <cellStyle name="Normal 37 2" xfId="4222" xr:uid="{00000000-0005-0000-0000-000035160000}"/>
    <cellStyle name="Normal 37 2 2" xfId="4223" xr:uid="{00000000-0005-0000-0000-000036160000}"/>
    <cellStyle name="Normal 37 3" xfId="4224" xr:uid="{00000000-0005-0000-0000-000037160000}"/>
    <cellStyle name="Normal 37 3 2" xfId="4225" xr:uid="{00000000-0005-0000-0000-000038160000}"/>
    <cellStyle name="Normal 37 3 2 2" xfId="4226" xr:uid="{00000000-0005-0000-0000-000039160000}"/>
    <cellStyle name="Normal 37 3 2 2 2" xfId="4227" xr:uid="{00000000-0005-0000-0000-00003A160000}"/>
    <cellStyle name="Normal 37 3 2 2 2 2" xfId="8274" xr:uid="{00000000-0005-0000-0000-00003B160000}"/>
    <cellStyle name="Normal 37 3 2 2 3" xfId="8275" xr:uid="{00000000-0005-0000-0000-00003C160000}"/>
    <cellStyle name="Normal 37 3 2 3" xfId="4228" xr:uid="{00000000-0005-0000-0000-00003D160000}"/>
    <cellStyle name="Normal 37 3 2 3 2" xfId="8276" xr:uid="{00000000-0005-0000-0000-00003E160000}"/>
    <cellStyle name="Normal 37 3 2 4" xfId="8277" xr:uid="{00000000-0005-0000-0000-00003F160000}"/>
    <cellStyle name="Normal 37 3 3" xfId="4229" xr:uid="{00000000-0005-0000-0000-000040160000}"/>
    <cellStyle name="Normal 37 3 3 2" xfId="4230" xr:uid="{00000000-0005-0000-0000-000041160000}"/>
    <cellStyle name="Normal 37 3 3 2 2" xfId="8278" xr:uid="{00000000-0005-0000-0000-000042160000}"/>
    <cellStyle name="Normal 37 3 3 3" xfId="8279" xr:uid="{00000000-0005-0000-0000-000043160000}"/>
    <cellStyle name="Normal 37 3 4" xfId="4231" xr:uid="{00000000-0005-0000-0000-000044160000}"/>
    <cellStyle name="Normal 37 3 4 2" xfId="8280" xr:uid="{00000000-0005-0000-0000-000045160000}"/>
    <cellStyle name="Normal 37 3 5" xfId="4232" xr:uid="{00000000-0005-0000-0000-000046160000}"/>
    <cellStyle name="Normal 37 4" xfId="4233" xr:uid="{00000000-0005-0000-0000-000047160000}"/>
    <cellStyle name="Normal 37 4 2" xfId="4234" xr:uid="{00000000-0005-0000-0000-000048160000}"/>
    <cellStyle name="Normal 37 4 2 2" xfId="4235" xr:uid="{00000000-0005-0000-0000-000049160000}"/>
    <cellStyle name="Normal 37 4 2 2 2" xfId="4236" xr:uid="{00000000-0005-0000-0000-00004A160000}"/>
    <cellStyle name="Normal 37 4 2 2 2 2" xfId="8281" xr:uid="{00000000-0005-0000-0000-00004B160000}"/>
    <cellStyle name="Normal 37 4 2 2 3" xfId="8282" xr:uid="{00000000-0005-0000-0000-00004C160000}"/>
    <cellStyle name="Normal 37 4 2 3" xfId="4237" xr:uid="{00000000-0005-0000-0000-00004D160000}"/>
    <cellStyle name="Normal 37 4 2 3 2" xfId="8283" xr:uid="{00000000-0005-0000-0000-00004E160000}"/>
    <cellStyle name="Normal 37 4 2 4" xfId="8284" xr:uid="{00000000-0005-0000-0000-00004F160000}"/>
    <cellStyle name="Normal 37 4 3" xfId="4238" xr:uid="{00000000-0005-0000-0000-000050160000}"/>
    <cellStyle name="Normal 37 4 3 2" xfId="4239" xr:uid="{00000000-0005-0000-0000-000051160000}"/>
    <cellStyle name="Normal 37 4 3 2 2" xfId="8285" xr:uid="{00000000-0005-0000-0000-000052160000}"/>
    <cellStyle name="Normal 37 4 3 3" xfId="8286" xr:uid="{00000000-0005-0000-0000-000053160000}"/>
    <cellStyle name="Normal 37 4 4" xfId="4240" xr:uid="{00000000-0005-0000-0000-000054160000}"/>
    <cellStyle name="Normal 37 4 4 2" xfId="8287" xr:uid="{00000000-0005-0000-0000-000055160000}"/>
    <cellStyle name="Normal 37 4 5" xfId="8288" xr:uid="{00000000-0005-0000-0000-000056160000}"/>
    <cellStyle name="Normal 37 5" xfId="4241" xr:uid="{00000000-0005-0000-0000-000057160000}"/>
    <cellStyle name="Normal 37 5 2" xfId="4242" xr:uid="{00000000-0005-0000-0000-000058160000}"/>
    <cellStyle name="Normal 37 5 2 2" xfId="4243" xr:uid="{00000000-0005-0000-0000-000059160000}"/>
    <cellStyle name="Normal 37 5 2 2 2" xfId="4244" xr:uid="{00000000-0005-0000-0000-00005A160000}"/>
    <cellStyle name="Normal 37 5 2 2 2 2" xfId="8289" xr:uid="{00000000-0005-0000-0000-00005B160000}"/>
    <cellStyle name="Normal 37 5 2 2 3" xfId="8290" xr:uid="{00000000-0005-0000-0000-00005C160000}"/>
    <cellStyle name="Normal 37 5 2 3" xfId="4245" xr:uid="{00000000-0005-0000-0000-00005D160000}"/>
    <cellStyle name="Normal 37 5 2 3 2" xfId="8291" xr:uid="{00000000-0005-0000-0000-00005E160000}"/>
    <cellStyle name="Normal 37 5 2 4" xfId="8292" xr:uid="{00000000-0005-0000-0000-00005F160000}"/>
    <cellStyle name="Normal 37 5 3" xfId="4246" xr:uid="{00000000-0005-0000-0000-000060160000}"/>
    <cellStyle name="Normal 37 5 3 2" xfId="4247" xr:uid="{00000000-0005-0000-0000-000061160000}"/>
    <cellStyle name="Normal 37 5 3 2 2" xfId="8293" xr:uid="{00000000-0005-0000-0000-000062160000}"/>
    <cellStyle name="Normal 37 5 3 3" xfId="8294" xr:uid="{00000000-0005-0000-0000-000063160000}"/>
    <cellStyle name="Normal 37 5 4" xfId="4248" xr:uid="{00000000-0005-0000-0000-000064160000}"/>
    <cellStyle name="Normal 37 5 4 2" xfId="8295" xr:uid="{00000000-0005-0000-0000-000065160000}"/>
    <cellStyle name="Normal 37 5 5" xfId="8296" xr:uid="{00000000-0005-0000-0000-000066160000}"/>
    <cellStyle name="Normal 37 6" xfId="4249" xr:uid="{00000000-0005-0000-0000-000067160000}"/>
    <cellStyle name="Normal 37 6 2" xfId="4250" xr:uid="{00000000-0005-0000-0000-000068160000}"/>
    <cellStyle name="Normal 37 6 2 2" xfId="4251" xr:uid="{00000000-0005-0000-0000-000069160000}"/>
    <cellStyle name="Normal 37 6 2 2 2" xfId="8297" xr:uid="{00000000-0005-0000-0000-00006A160000}"/>
    <cellStyle name="Normal 37 6 2 3" xfId="8298" xr:uid="{00000000-0005-0000-0000-00006B160000}"/>
    <cellStyle name="Normal 37 6 3" xfId="4252" xr:uid="{00000000-0005-0000-0000-00006C160000}"/>
    <cellStyle name="Normal 37 6 3 2" xfId="8299" xr:uid="{00000000-0005-0000-0000-00006D160000}"/>
    <cellStyle name="Normal 37 6 4" xfId="8300" xr:uid="{00000000-0005-0000-0000-00006E160000}"/>
    <cellStyle name="Normal 37 7" xfId="4253" xr:uid="{00000000-0005-0000-0000-00006F160000}"/>
    <cellStyle name="Normal 37 7 2" xfId="4254" xr:uid="{00000000-0005-0000-0000-000070160000}"/>
    <cellStyle name="Normal 37 7 2 2" xfId="8301" xr:uid="{00000000-0005-0000-0000-000071160000}"/>
    <cellStyle name="Normal 37 7 3" xfId="8302" xr:uid="{00000000-0005-0000-0000-000072160000}"/>
    <cellStyle name="Normal 37 8" xfId="4255" xr:uid="{00000000-0005-0000-0000-000073160000}"/>
    <cellStyle name="Normal 37 8 2" xfId="8303" xr:uid="{00000000-0005-0000-0000-000074160000}"/>
    <cellStyle name="Normal 37 9" xfId="8304" xr:uid="{00000000-0005-0000-0000-000075160000}"/>
    <cellStyle name="Normal 38" xfId="4256" xr:uid="{00000000-0005-0000-0000-000076160000}"/>
    <cellStyle name="Normal 38 2" xfId="4257" xr:uid="{00000000-0005-0000-0000-000077160000}"/>
    <cellStyle name="Normal 38 2 2" xfId="4258" xr:uid="{00000000-0005-0000-0000-000078160000}"/>
    <cellStyle name="Normal 38 3" xfId="4259" xr:uid="{00000000-0005-0000-0000-000079160000}"/>
    <cellStyle name="Normal 38 3 2" xfId="4260" xr:uid="{00000000-0005-0000-0000-00007A160000}"/>
    <cellStyle name="Normal 38 3 2 2" xfId="4261" xr:uid="{00000000-0005-0000-0000-00007B160000}"/>
    <cellStyle name="Normal 38 3 2 2 2" xfId="4262" xr:uid="{00000000-0005-0000-0000-00007C160000}"/>
    <cellStyle name="Normal 38 3 2 2 2 2" xfId="8305" xr:uid="{00000000-0005-0000-0000-00007D160000}"/>
    <cellStyle name="Normal 38 3 2 2 3" xfId="8306" xr:uid="{00000000-0005-0000-0000-00007E160000}"/>
    <cellStyle name="Normal 38 3 2 3" xfId="4263" xr:uid="{00000000-0005-0000-0000-00007F160000}"/>
    <cellStyle name="Normal 38 3 2 3 2" xfId="8307" xr:uid="{00000000-0005-0000-0000-000080160000}"/>
    <cellStyle name="Normal 38 3 2 4" xfId="8308" xr:uid="{00000000-0005-0000-0000-000081160000}"/>
    <cellStyle name="Normal 38 3 3" xfId="4264" xr:uid="{00000000-0005-0000-0000-000082160000}"/>
    <cellStyle name="Normal 38 3 3 2" xfId="4265" xr:uid="{00000000-0005-0000-0000-000083160000}"/>
    <cellStyle name="Normal 38 3 3 2 2" xfId="8309" xr:uid="{00000000-0005-0000-0000-000084160000}"/>
    <cellStyle name="Normal 38 3 3 3" xfId="8310" xr:uid="{00000000-0005-0000-0000-000085160000}"/>
    <cellStyle name="Normal 38 3 4" xfId="4266" xr:uid="{00000000-0005-0000-0000-000086160000}"/>
    <cellStyle name="Normal 38 3 4 2" xfId="8311" xr:uid="{00000000-0005-0000-0000-000087160000}"/>
    <cellStyle name="Normal 38 3 5" xfId="4267" xr:uid="{00000000-0005-0000-0000-000088160000}"/>
    <cellStyle name="Normal 38 4" xfId="4268" xr:uid="{00000000-0005-0000-0000-000089160000}"/>
    <cellStyle name="Normal 38 4 2" xfId="4269" xr:uid="{00000000-0005-0000-0000-00008A160000}"/>
    <cellStyle name="Normal 38 4 2 2" xfId="4270" xr:uid="{00000000-0005-0000-0000-00008B160000}"/>
    <cellStyle name="Normal 38 4 2 2 2" xfId="4271" xr:uid="{00000000-0005-0000-0000-00008C160000}"/>
    <cellStyle name="Normal 38 4 2 2 2 2" xfId="8312" xr:uid="{00000000-0005-0000-0000-00008D160000}"/>
    <cellStyle name="Normal 38 4 2 2 3" xfId="8313" xr:uid="{00000000-0005-0000-0000-00008E160000}"/>
    <cellStyle name="Normal 38 4 2 3" xfId="4272" xr:uid="{00000000-0005-0000-0000-00008F160000}"/>
    <cellStyle name="Normal 38 4 2 3 2" xfId="8314" xr:uid="{00000000-0005-0000-0000-000090160000}"/>
    <cellStyle name="Normal 38 4 2 4" xfId="8315" xr:uid="{00000000-0005-0000-0000-000091160000}"/>
    <cellStyle name="Normal 38 4 3" xfId="4273" xr:uid="{00000000-0005-0000-0000-000092160000}"/>
    <cellStyle name="Normal 38 4 3 2" xfId="4274" xr:uid="{00000000-0005-0000-0000-000093160000}"/>
    <cellStyle name="Normal 38 4 3 2 2" xfId="8316" xr:uid="{00000000-0005-0000-0000-000094160000}"/>
    <cellStyle name="Normal 38 4 3 3" xfId="8317" xr:uid="{00000000-0005-0000-0000-000095160000}"/>
    <cellStyle name="Normal 38 4 4" xfId="4275" xr:uid="{00000000-0005-0000-0000-000096160000}"/>
    <cellStyle name="Normal 38 4 4 2" xfId="8318" xr:uid="{00000000-0005-0000-0000-000097160000}"/>
    <cellStyle name="Normal 38 4 5" xfId="8319" xr:uid="{00000000-0005-0000-0000-000098160000}"/>
    <cellStyle name="Normal 38 5" xfId="4276" xr:uid="{00000000-0005-0000-0000-000099160000}"/>
    <cellStyle name="Normal 38 5 2" xfId="4277" xr:uid="{00000000-0005-0000-0000-00009A160000}"/>
    <cellStyle name="Normal 38 5 2 2" xfId="4278" xr:uid="{00000000-0005-0000-0000-00009B160000}"/>
    <cellStyle name="Normal 38 5 2 2 2" xfId="4279" xr:uid="{00000000-0005-0000-0000-00009C160000}"/>
    <cellStyle name="Normal 38 5 2 2 2 2" xfId="8320" xr:uid="{00000000-0005-0000-0000-00009D160000}"/>
    <cellStyle name="Normal 38 5 2 2 3" xfId="8321" xr:uid="{00000000-0005-0000-0000-00009E160000}"/>
    <cellStyle name="Normal 38 5 2 3" xfId="4280" xr:uid="{00000000-0005-0000-0000-00009F160000}"/>
    <cellStyle name="Normal 38 5 2 3 2" xfId="8322" xr:uid="{00000000-0005-0000-0000-0000A0160000}"/>
    <cellStyle name="Normal 38 5 2 4" xfId="8323" xr:uid="{00000000-0005-0000-0000-0000A1160000}"/>
    <cellStyle name="Normal 38 5 3" xfId="4281" xr:uid="{00000000-0005-0000-0000-0000A2160000}"/>
    <cellStyle name="Normal 38 5 3 2" xfId="4282" xr:uid="{00000000-0005-0000-0000-0000A3160000}"/>
    <cellStyle name="Normal 38 5 3 2 2" xfId="8324" xr:uid="{00000000-0005-0000-0000-0000A4160000}"/>
    <cellStyle name="Normal 38 5 3 3" xfId="8325" xr:uid="{00000000-0005-0000-0000-0000A5160000}"/>
    <cellStyle name="Normal 38 5 4" xfId="4283" xr:uid="{00000000-0005-0000-0000-0000A6160000}"/>
    <cellStyle name="Normal 38 5 4 2" xfId="8326" xr:uid="{00000000-0005-0000-0000-0000A7160000}"/>
    <cellStyle name="Normal 38 5 5" xfId="8327" xr:uid="{00000000-0005-0000-0000-0000A8160000}"/>
    <cellStyle name="Normal 38 6" xfId="4284" xr:uid="{00000000-0005-0000-0000-0000A9160000}"/>
    <cellStyle name="Normal 38 6 2" xfId="4285" xr:uid="{00000000-0005-0000-0000-0000AA160000}"/>
    <cellStyle name="Normal 38 6 2 2" xfId="4286" xr:uid="{00000000-0005-0000-0000-0000AB160000}"/>
    <cellStyle name="Normal 38 6 2 2 2" xfId="8328" xr:uid="{00000000-0005-0000-0000-0000AC160000}"/>
    <cellStyle name="Normal 38 6 2 3" xfId="8329" xr:uid="{00000000-0005-0000-0000-0000AD160000}"/>
    <cellStyle name="Normal 38 6 3" xfId="4287" xr:uid="{00000000-0005-0000-0000-0000AE160000}"/>
    <cellStyle name="Normal 38 6 3 2" xfId="8330" xr:uid="{00000000-0005-0000-0000-0000AF160000}"/>
    <cellStyle name="Normal 38 6 4" xfId="8331" xr:uid="{00000000-0005-0000-0000-0000B0160000}"/>
    <cellStyle name="Normal 38 7" xfId="4288" xr:uid="{00000000-0005-0000-0000-0000B1160000}"/>
    <cellStyle name="Normal 38 7 2" xfId="4289" xr:uid="{00000000-0005-0000-0000-0000B2160000}"/>
    <cellStyle name="Normal 38 7 2 2" xfId="8332" xr:uid="{00000000-0005-0000-0000-0000B3160000}"/>
    <cellStyle name="Normal 38 7 3" xfId="8333" xr:uid="{00000000-0005-0000-0000-0000B4160000}"/>
    <cellStyle name="Normal 38 8" xfId="4290" xr:uid="{00000000-0005-0000-0000-0000B5160000}"/>
    <cellStyle name="Normal 38 8 2" xfId="8334" xr:uid="{00000000-0005-0000-0000-0000B6160000}"/>
    <cellStyle name="Normal 38 9" xfId="8335" xr:uid="{00000000-0005-0000-0000-0000B7160000}"/>
    <cellStyle name="Normal 39" xfId="4291" xr:uid="{00000000-0005-0000-0000-0000B8160000}"/>
    <cellStyle name="Normal 39 2" xfId="4292" xr:uid="{00000000-0005-0000-0000-0000B9160000}"/>
    <cellStyle name="Normal 39 2 2" xfId="4293" xr:uid="{00000000-0005-0000-0000-0000BA160000}"/>
    <cellStyle name="Normal 39 3" xfId="4294" xr:uid="{00000000-0005-0000-0000-0000BB160000}"/>
    <cellStyle name="Normal 39 3 2" xfId="4295" xr:uid="{00000000-0005-0000-0000-0000BC160000}"/>
    <cellStyle name="Normal 39 3 2 2" xfId="4296" xr:uid="{00000000-0005-0000-0000-0000BD160000}"/>
    <cellStyle name="Normal 39 3 2 2 2" xfId="4297" xr:uid="{00000000-0005-0000-0000-0000BE160000}"/>
    <cellStyle name="Normal 39 3 2 2 2 2" xfId="8336" xr:uid="{00000000-0005-0000-0000-0000BF160000}"/>
    <cellStyle name="Normal 39 3 2 2 3" xfId="8337" xr:uid="{00000000-0005-0000-0000-0000C0160000}"/>
    <cellStyle name="Normal 39 3 2 3" xfId="4298" xr:uid="{00000000-0005-0000-0000-0000C1160000}"/>
    <cellStyle name="Normal 39 3 2 3 2" xfId="8338" xr:uid="{00000000-0005-0000-0000-0000C2160000}"/>
    <cellStyle name="Normal 39 3 2 4" xfId="8339" xr:uid="{00000000-0005-0000-0000-0000C3160000}"/>
    <cellStyle name="Normal 39 3 3" xfId="4299" xr:uid="{00000000-0005-0000-0000-0000C4160000}"/>
    <cellStyle name="Normal 39 3 3 2" xfId="4300" xr:uid="{00000000-0005-0000-0000-0000C5160000}"/>
    <cellStyle name="Normal 39 3 3 2 2" xfId="8340" xr:uid="{00000000-0005-0000-0000-0000C6160000}"/>
    <cellStyle name="Normal 39 3 3 3" xfId="8341" xr:uid="{00000000-0005-0000-0000-0000C7160000}"/>
    <cellStyle name="Normal 39 3 4" xfId="4301" xr:uid="{00000000-0005-0000-0000-0000C8160000}"/>
    <cellStyle name="Normal 39 3 4 2" xfId="8342" xr:uid="{00000000-0005-0000-0000-0000C9160000}"/>
    <cellStyle name="Normal 39 3 5" xfId="4302" xr:uid="{00000000-0005-0000-0000-0000CA160000}"/>
    <cellStyle name="Normal 39 4" xfId="4303" xr:uid="{00000000-0005-0000-0000-0000CB160000}"/>
    <cellStyle name="Normal 39 4 2" xfId="4304" xr:uid="{00000000-0005-0000-0000-0000CC160000}"/>
    <cellStyle name="Normal 39 4 2 2" xfId="4305" xr:uid="{00000000-0005-0000-0000-0000CD160000}"/>
    <cellStyle name="Normal 39 4 2 2 2" xfId="4306" xr:uid="{00000000-0005-0000-0000-0000CE160000}"/>
    <cellStyle name="Normal 39 4 2 2 2 2" xfId="8343" xr:uid="{00000000-0005-0000-0000-0000CF160000}"/>
    <cellStyle name="Normal 39 4 2 2 3" xfId="8344" xr:uid="{00000000-0005-0000-0000-0000D0160000}"/>
    <cellStyle name="Normal 39 4 2 3" xfId="4307" xr:uid="{00000000-0005-0000-0000-0000D1160000}"/>
    <cellStyle name="Normal 39 4 2 3 2" xfId="8345" xr:uid="{00000000-0005-0000-0000-0000D2160000}"/>
    <cellStyle name="Normal 39 4 2 4" xfId="8346" xr:uid="{00000000-0005-0000-0000-0000D3160000}"/>
    <cellStyle name="Normal 39 4 3" xfId="4308" xr:uid="{00000000-0005-0000-0000-0000D4160000}"/>
    <cellStyle name="Normal 39 4 3 2" xfId="4309" xr:uid="{00000000-0005-0000-0000-0000D5160000}"/>
    <cellStyle name="Normal 39 4 3 2 2" xfId="8347" xr:uid="{00000000-0005-0000-0000-0000D6160000}"/>
    <cellStyle name="Normal 39 4 3 3" xfId="8348" xr:uid="{00000000-0005-0000-0000-0000D7160000}"/>
    <cellStyle name="Normal 39 4 4" xfId="4310" xr:uid="{00000000-0005-0000-0000-0000D8160000}"/>
    <cellStyle name="Normal 39 4 4 2" xfId="8349" xr:uid="{00000000-0005-0000-0000-0000D9160000}"/>
    <cellStyle name="Normal 39 4 5" xfId="8350" xr:uid="{00000000-0005-0000-0000-0000DA160000}"/>
    <cellStyle name="Normal 39 5" xfId="4311" xr:uid="{00000000-0005-0000-0000-0000DB160000}"/>
    <cellStyle name="Normal 39 5 2" xfId="4312" xr:uid="{00000000-0005-0000-0000-0000DC160000}"/>
    <cellStyle name="Normal 39 5 2 2" xfId="4313" xr:uid="{00000000-0005-0000-0000-0000DD160000}"/>
    <cellStyle name="Normal 39 5 2 2 2" xfId="4314" xr:uid="{00000000-0005-0000-0000-0000DE160000}"/>
    <cellStyle name="Normal 39 5 2 2 2 2" xfId="8351" xr:uid="{00000000-0005-0000-0000-0000DF160000}"/>
    <cellStyle name="Normal 39 5 2 2 3" xfId="8352" xr:uid="{00000000-0005-0000-0000-0000E0160000}"/>
    <cellStyle name="Normal 39 5 2 3" xfId="4315" xr:uid="{00000000-0005-0000-0000-0000E1160000}"/>
    <cellStyle name="Normal 39 5 2 3 2" xfId="8353" xr:uid="{00000000-0005-0000-0000-0000E2160000}"/>
    <cellStyle name="Normal 39 5 2 4" xfId="8354" xr:uid="{00000000-0005-0000-0000-0000E3160000}"/>
    <cellStyle name="Normal 39 5 3" xfId="4316" xr:uid="{00000000-0005-0000-0000-0000E4160000}"/>
    <cellStyle name="Normal 39 5 3 2" xfId="4317" xr:uid="{00000000-0005-0000-0000-0000E5160000}"/>
    <cellStyle name="Normal 39 5 3 2 2" xfId="8355" xr:uid="{00000000-0005-0000-0000-0000E6160000}"/>
    <cellStyle name="Normal 39 5 3 3" xfId="8356" xr:uid="{00000000-0005-0000-0000-0000E7160000}"/>
    <cellStyle name="Normal 39 5 4" xfId="4318" xr:uid="{00000000-0005-0000-0000-0000E8160000}"/>
    <cellStyle name="Normal 39 5 4 2" xfId="8357" xr:uid="{00000000-0005-0000-0000-0000E9160000}"/>
    <cellStyle name="Normal 39 5 5" xfId="8358" xr:uid="{00000000-0005-0000-0000-0000EA160000}"/>
    <cellStyle name="Normal 39 6" xfId="4319" xr:uid="{00000000-0005-0000-0000-0000EB160000}"/>
    <cellStyle name="Normal 39 6 2" xfId="4320" xr:uid="{00000000-0005-0000-0000-0000EC160000}"/>
    <cellStyle name="Normal 39 6 2 2" xfId="4321" xr:uid="{00000000-0005-0000-0000-0000ED160000}"/>
    <cellStyle name="Normal 39 6 2 2 2" xfId="8359" xr:uid="{00000000-0005-0000-0000-0000EE160000}"/>
    <cellStyle name="Normal 39 6 2 3" xfId="8360" xr:uid="{00000000-0005-0000-0000-0000EF160000}"/>
    <cellStyle name="Normal 39 6 3" xfId="4322" xr:uid="{00000000-0005-0000-0000-0000F0160000}"/>
    <cellStyle name="Normal 39 6 3 2" xfId="8361" xr:uid="{00000000-0005-0000-0000-0000F1160000}"/>
    <cellStyle name="Normal 39 6 4" xfId="8362" xr:uid="{00000000-0005-0000-0000-0000F2160000}"/>
    <cellStyle name="Normal 39 7" xfId="4323" xr:uid="{00000000-0005-0000-0000-0000F3160000}"/>
    <cellStyle name="Normal 39 7 2" xfId="4324" xr:uid="{00000000-0005-0000-0000-0000F4160000}"/>
    <cellStyle name="Normal 39 7 2 2" xfId="8363" xr:uid="{00000000-0005-0000-0000-0000F5160000}"/>
    <cellStyle name="Normal 39 7 3" xfId="8364" xr:uid="{00000000-0005-0000-0000-0000F6160000}"/>
    <cellStyle name="Normal 39 8" xfId="4325" xr:uid="{00000000-0005-0000-0000-0000F7160000}"/>
    <cellStyle name="Normal 39 8 2" xfId="8365" xr:uid="{00000000-0005-0000-0000-0000F8160000}"/>
    <cellStyle name="Normal 39 9" xfId="8366" xr:uid="{00000000-0005-0000-0000-0000F9160000}"/>
    <cellStyle name="Normal 4" xfId="12" xr:uid="{00000000-0005-0000-0000-0000FA160000}"/>
    <cellStyle name="Normal 4 10" xfId="1723" xr:uid="{00000000-0005-0000-0000-0000FB160000}"/>
    <cellStyle name="Normal 4 11" xfId="2075" xr:uid="{00000000-0005-0000-0000-0000FC160000}"/>
    <cellStyle name="Normal 4 2" xfId="76" xr:uid="{00000000-0005-0000-0000-0000FD160000}"/>
    <cellStyle name="Normal 4 2 10" xfId="1681" xr:uid="{00000000-0005-0000-0000-0000FE160000}"/>
    <cellStyle name="Normal 4 2 2" xfId="229" xr:uid="{00000000-0005-0000-0000-0000FF160000}"/>
    <cellStyle name="Normal 4 2 2 2" xfId="230" xr:uid="{00000000-0005-0000-0000-000000170000}"/>
    <cellStyle name="Normal 4 2 2 2 2" xfId="231" xr:uid="{00000000-0005-0000-0000-000001170000}"/>
    <cellStyle name="Normal 4 2 2 2 2 2" xfId="232" xr:uid="{00000000-0005-0000-0000-000002170000}"/>
    <cellStyle name="Normal 4 2 2 2 3" xfId="233" xr:uid="{00000000-0005-0000-0000-000003170000}"/>
    <cellStyle name="Normal 4 2 2 2 3 2" xfId="234" xr:uid="{00000000-0005-0000-0000-000004170000}"/>
    <cellStyle name="Normal 4 2 2 2 4" xfId="235" xr:uid="{00000000-0005-0000-0000-000005170000}"/>
    <cellStyle name="Normal 4 2 2 3" xfId="236" xr:uid="{00000000-0005-0000-0000-000006170000}"/>
    <cellStyle name="Normal 4 2 2 3 2" xfId="237" xr:uid="{00000000-0005-0000-0000-000007170000}"/>
    <cellStyle name="Normal 4 2 2 4" xfId="238" xr:uid="{00000000-0005-0000-0000-000008170000}"/>
    <cellStyle name="Normal 4 2 2 4 2" xfId="239" xr:uid="{00000000-0005-0000-0000-000009170000}"/>
    <cellStyle name="Normal 4 2 2 5" xfId="240" xr:uid="{00000000-0005-0000-0000-00000A170000}"/>
    <cellStyle name="Normal 4 2 2 5 2" xfId="241" xr:uid="{00000000-0005-0000-0000-00000B170000}"/>
    <cellStyle name="Normal 4 2 2 6" xfId="242" xr:uid="{00000000-0005-0000-0000-00000C170000}"/>
    <cellStyle name="Normal 4 2 3" xfId="243" xr:uid="{00000000-0005-0000-0000-00000D170000}"/>
    <cellStyle name="Normal 4 2 3 2" xfId="244" xr:uid="{00000000-0005-0000-0000-00000E170000}"/>
    <cellStyle name="Normal 4 2 3 2 2" xfId="245" xr:uid="{00000000-0005-0000-0000-00000F170000}"/>
    <cellStyle name="Normal 4 2 3 3" xfId="246" xr:uid="{00000000-0005-0000-0000-000010170000}"/>
    <cellStyle name="Normal 4 2 3 3 2" xfId="247" xr:uid="{00000000-0005-0000-0000-000011170000}"/>
    <cellStyle name="Normal 4 2 3 4" xfId="248" xr:uid="{00000000-0005-0000-0000-000012170000}"/>
    <cellStyle name="Normal 4 2 3 5" xfId="4327" xr:uid="{00000000-0005-0000-0000-000013170000}"/>
    <cellStyle name="Normal 4 2 4" xfId="249" xr:uid="{00000000-0005-0000-0000-000014170000}"/>
    <cellStyle name="Normal 4 2 4 2" xfId="250" xr:uid="{00000000-0005-0000-0000-000015170000}"/>
    <cellStyle name="Normal 4 2 4 3" xfId="6617" xr:uid="{00000000-0005-0000-0000-000016170000}"/>
    <cellStyle name="Normal 4 2 5" xfId="251" xr:uid="{00000000-0005-0000-0000-000017170000}"/>
    <cellStyle name="Normal 4 2 5 2" xfId="252" xr:uid="{00000000-0005-0000-0000-000018170000}"/>
    <cellStyle name="Normal 4 2 6" xfId="253" xr:uid="{00000000-0005-0000-0000-000019170000}"/>
    <cellStyle name="Normal 4 2 6 2" xfId="254" xr:uid="{00000000-0005-0000-0000-00001A170000}"/>
    <cellStyle name="Normal 4 2 7" xfId="255" xr:uid="{00000000-0005-0000-0000-00001B170000}"/>
    <cellStyle name="Normal 4 2 8" xfId="386" xr:uid="{00000000-0005-0000-0000-00001C170000}"/>
    <cellStyle name="Normal 4 2 9" xfId="1724" xr:uid="{00000000-0005-0000-0000-00001D170000}"/>
    <cellStyle name="Normal 4 3" xfId="256" xr:uid="{00000000-0005-0000-0000-00001E170000}"/>
    <cellStyle name="Normal 4 3 2" xfId="257" xr:uid="{00000000-0005-0000-0000-00001F170000}"/>
    <cellStyle name="Normal 4 3 2 2" xfId="258" xr:uid="{00000000-0005-0000-0000-000020170000}"/>
    <cellStyle name="Normal 4 3 2 2 2" xfId="259" xr:uid="{00000000-0005-0000-0000-000021170000}"/>
    <cellStyle name="Normal 4 3 2 3" xfId="260" xr:uid="{00000000-0005-0000-0000-000022170000}"/>
    <cellStyle name="Normal 4 3 2 3 2" xfId="261" xr:uid="{00000000-0005-0000-0000-000023170000}"/>
    <cellStyle name="Normal 4 3 2 4" xfId="262" xr:uid="{00000000-0005-0000-0000-000024170000}"/>
    <cellStyle name="Normal 4 3 2 5" xfId="4329" xr:uid="{00000000-0005-0000-0000-000025170000}"/>
    <cellStyle name="Normal 4 3 3" xfId="263" xr:uid="{00000000-0005-0000-0000-000026170000}"/>
    <cellStyle name="Normal 4 3 3 2" xfId="264" xr:uid="{00000000-0005-0000-0000-000027170000}"/>
    <cellStyle name="Normal 4 3 4" xfId="265" xr:uid="{00000000-0005-0000-0000-000028170000}"/>
    <cellStyle name="Normal 4 3 4 2" xfId="266" xr:uid="{00000000-0005-0000-0000-000029170000}"/>
    <cellStyle name="Normal 4 3 5" xfId="267" xr:uid="{00000000-0005-0000-0000-00002A170000}"/>
    <cellStyle name="Normal 4 3 5 2" xfId="268" xr:uid="{00000000-0005-0000-0000-00002B170000}"/>
    <cellStyle name="Normal 4 3 6" xfId="269" xr:uid="{00000000-0005-0000-0000-00002C170000}"/>
    <cellStyle name="Normal 4 3 7" xfId="4328" xr:uid="{00000000-0005-0000-0000-00002D170000}"/>
    <cellStyle name="Normal 4 4" xfId="270" xr:uid="{00000000-0005-0000-0000-00002E170000}"/>
    <cellStyle name="Normal 4 4 2" xfId="271" xr:uid="{00000000-0005-0000-0000-00002F170000}"/>
    <cellStyle name="Normal 4 4 2 2" xfId="272" xr:uid="{00000000-0005-0000-0000-000030170000}"/>
    <cellStyle name="Normal 4 4 2 3" xfId="8367" xr:uid="{00000000-0005-0000-0000-000031170000}"/>
    <cellStyle name="Normal 4 4 3" xfId="273" xr:uid="{00000000-0005-0000-0000-000032170000}"/>
    <cellStyle name="Normal 4 4 3 2" xfId="274" xr:uid="{00000000-0005-0000-0000-000033170000}"/>
    <cellStyle name="Normal 4 4 4" xfId="275" xr:uid="{00000000-0005-0000-0000-000034170000}"/>
    <cellStyle name="Normal 4 4 5" xfId="6618" xr:uid="{00000000-0005-0000-0000-000035170000}"/>
    <cellStyle name="Normal 4 5" xfId="276" xr:uid="{00000000-0005-0000-0000-000036170000}"/>
    <cellStyle name="Normal 4 5 2" xfId="277" xr:uid="{00000000-0005-0000-0000-000037170000}"/>
    <cellStyle name="Normal 4 5 3" xfId="4326" xr:uid="{00000000-0005-0000-0000-000038170000}"/>
    <cellStyle name="Normal 4 6" xfId="278" xr:uid="{00000000-0005-0000-0000-000039170000}"/>
    <cellStyle name="Normal 4 6 2" xfId="279" xr:uid="{00000000-0005-0000-0000-00003A170000}"/>
    <cellStyle name="Normal 4 7" xfId="280" xr:uid="{00000000-0005-0000-0000-00003B170000}"/>
    <cellStyle name="Normal 4 7 2" xfId="281" xr:uid="{00000000-0005-0000-0000-00003C170000}"/>
    <cellStyle name="Normal 4 8" xfId="282" xr:uid="{00000000-0005-0000-0000-00003D170000}"/>
    <cellStyle name="Normal 4 9" xfId="33" xr:uid="{00000000-0005-0000-0000-00003E170000}"/>
    <cellStyle name="Normal 40" xfId="4330" xr:uid="{00000000-0005-0000-0000-00003F170000}"/>
    <cellStyle name="Normal 40 2" xfId="4331" xr:uid="{00000000-0005-0000-0000-000040170000}"/>
    <cellStyle name="Normal 40 2 2" xfId="4332" xr:uid="{00000000-0005-0000-0000-000041170000}"/>
    <cellStyle name="Normal 40 3" xfId="4333" xr:uid="{00000000-0005-0000-0000-000042170000}"/>
    <cellStyle name="Normal 40 3 2" xfId="4334" xr:uid="{00000000-0005-0000-0000-000043170000}"/>
    <cellStyle name="Normal 40 3 2 2" xfId="4335" xr:uid="{00000000-0005-0000-0000-000044170000}"/>
    <cellStyle name="Normal 40 3 2 2 2" xfId="4336" xr:uid="{00000000-0005-0000-0000-000045170000}"/>
    <cellStyle name="Normal 40 3 2 2 2 2" xfId="8368" xr:uid="{00000000-0005-0000-0000-000046170000}"/>
    <cellStyle name="Normal 40 3 2 2 3" xfId="8369" xr:uid="{00000000-0005-0000-0000-000047170000}"/>
    <cellStyle name="Normal 40 3 2 3" xfId="4337" xr:uid="{00000000-0005-0000-0000-000048170000}"/>
    <cellStyle name="Normal 40 3 2 3 2" xfId="8370" xr:uid="{00000000-0005-0000-0000-000049170000}"/>
    <cellStyle name="Normal 40 3 2 4" xfId="8371" xr:uid="{00000000-0005-0000-0000-00004A170000}"/>
    <cellStyle name="Normal 40 3 3" xfId="4338" xr:uid="{00000000-0005-0000-0000-00004B170000}"/>
    <cellStyle name="Normal 40 3 3 2" xfId="4339" xr:uid="{00000000-0005-0000-0000-00004C170000}"/>
    <cellStyle name="Normal 40 3 3 2 2" xfId="8372" xr:uid="{00000000-0005-0000-0000-00004D170000}"/>
    <cellStyle name="Normal 40 3 3 3" xfId="8373" xr:uid="{00000000-0005-0000-0000-00004E170000}"/>
    <cellStyle name="Normal 40 3 4" xfId="4340" xr:uid="{00000000-0005-0000-0000-00004F170000}"/>
    <cellStyle name="Normal 40 3 4 2" xfId="8374" xr:uid="{00000000-0005-0000-0000-000050170000}"/>
    <cellStyle name="Normal 40 3 5" xfId="4341" xr:uid="{00000000-0005-0000-0000-000051170000}"/>
    <cellStyle name="Normal 40 4" xfId="4342" xr:uid="{00000000-0005-0000-0000-000052170000}"/>
    <cellStyle name="Normal 40 4 2" xfId="4343" xr:uid="{00000000-0005-0000-0000-000053170000}"/>
    <cellStyle name="Normal 40 4 2 2" xfId="4344" xr:uid="{00000000-0005-0000-0000-000054170000}"/>
    <cellStyle name="Normal 40 4 2 2 2" xfId="4345" xr:uid="{00000000-0005-0000-0000-000055170000}"/>
    <cellStyle name="Normal 40 4 2 2 2 2" xfId="8375" xr:uid="{00000000-0005-0000-0000-000056170000}"/>
    <cellStyle name="Normal 40 4 2 2 3" xfId="8376" xr:uid="{00000000-0005-0000-0000-000057170000}"/>
    <cellStyle name="Normal 40 4 2 3" xfId="4346" xr:uid="{00000000-0005-0000-0000-000058170000}"/>
    <cellStyle name="Normal 40 4 2 3 2" xfId="8377" xr:uid="{00000000-0005-0000-0000-000059170000}"/>
    <cellStyle name="Normal 40 4 2 4" xfId="8378" xr:uid="{00000000-0005-0000-0000-00005A170000}"/>
    <cellStyle name="Normal 40 4 3" xfId="4347" xr:uid="{00000000-0005-0000-0000-00005B170000}"/>
    <cellStyle name="Normal 40 4 3 2" xfId="4348" xr:uid="{00000000-0005-0000-0000-00005C170000}"/>
    <cellStyle name="Normal 40 4 3 2 2" xfId="8379" xr:uid="{00000000-0005-0000-0000-00005D170000}"/>
    <cellStyle name="Normal 40 4 3 3" xfId="8380" xr:uid="{00000000-0005-0000-0000-00005E170000}"/>
    <cellStyle name="Normal 40 4 4" xfId="4349" xr:uid="{00000000-0005-0000-0000-00005F170000}"/>
    <cellStyle name="Normal 40 4 4 2" xfId="8381" xr:uid="{00000000-0005-0000-0000-000060170000}"/>
    <cellStyle name="Normal 40 4 5" xfId="8382" xr:uid="{00000000-0005-0000-0000-000061170000}"/>
    <cellStyle name="Normal 40 5" xfId="4350" xr:uid="{00000000-0005-0000-0000-000062170000}"/>
    <cellStyle name="Normal 40 5 2" xfId="4351" xr:uid="{00000000-0005-0000-0000-000063170000}"/>
    <cellStyle name="Normal 40 5 2 2" xfId="4352" xr:uid="{00000000-0005-0000-0000-000064170000}"/>
    <cellStyle name="Normal 40 5 2 2 2" xfId="4353" xr:uid="{00000000-0005-0000-0000-000065170000}"/>
    <cellStyle name="Normal 40 5 2 2 2 2" xfId="8383" xr:uid="{00000000-0005-0000-0000-000066170000}"/>
    <cellStyle name="Normal 40 5 2 2 3" xfId="8384" xr:uid="{00000000-0005-0000-0000-000067170000}"/>
    <cellStyle name="Normal 40 5 2 3" xfId="4354" xr:uid="{00000000-0005-0000-0000-000068170000}"/>
    <cellStyle name="Normal 40 5 2 3 2" xfId="8385" xr:uid="{00000000-0005-0000-0000-000069170000}"/>
    <cellStyle name="Normal 40 5 2 4" xfId="8386" xr:uid="{00000000-0005-0000-0000-00006A170000}"/>
    <cellStyle name="Normal 40 5 3" xfId="4355" xr:uid="{00000000-0005-0000-0000-00006B170000}"/>
    <cellStyle name="Normal 40 5 3 2" xfId="4356" xr:uid="{00000000-0005-0000-0000-00006C170000}"/>
    <cellStyle name="Normal 40 5 3 2 2" xfId="8387" xr:uid="{00000000-0005-0000-0000-00006D170000}"/>
    <cellStyle name="Normal 40 5 3 3" xfId="8388" xr:uid="{00000000-0005-0000-0000-00006E170000}"/>
    <cellStyle name="Normal 40 5 4" xfId="4357" xr:uid="{00000000-0005-0000-0000-00006F170000}"/>
    <cellStyle name="Normal 40 5 4 2" xfId="8389" xr:uid="{00000000-0005-0000-0000-000070170000}"/>
    <cellStyle name="Normal 40 5 5" xfId="8390" xr:uid="{00000000-0005-0000-0000-000071170000}"/>
    <cellStyle name="Normal 40 6" xfId="4358" xr:uid="{00000000-0005-0000-0000-000072170000}"/>
    <cellStyle name="Normal 40 6 2" xfId="4359" xr:uid="{00000000-0005-0000-0000-000073170000}"/>
    <cellStyle name="Normal 40 6 2 2" xfId="4360" xr:uid="{00000000-0005-0000-0000-000074170000}"/>
    <cellStyle name="Normal 40 6 2 2 2" xfId="8391" xr:uid="{00000000-0005-0000-0000-000075170000}"/>
    <cellStyle name="Normal 40 6 2 3" xfId="8392" xr:uid="{00000000-0005-0000-0000-000076170000}"/>
    <cellStyle name="Normal 40 6 3" xfId="4361" xr:uid="{00000000-0005-0000-0000-000077170000}"/>
    <cellStyle name="Normal 40 6 3 2" xfId="8393" xr:uid="{00000000-0005-0000-0000-000078170000}"/>
    <cellStyle name="Normal 40 6 4" xfId="8394" xr:uid="{00000000-0005-0000-0000-000079170000}"/>
    <cellStyle name="Normal 40 7" xfId="4362" xr:uid="{00000000-0005-0000-0000-00007A170000}"/>
    <cellStyle name="Normal 40 7 2" xfId="4363" xr:uid="{00000000-0005-0000-0000-00007B170000}"/>
    <cellStyle name="Normal 40 7 2 2" xfId="8395" xr:uid="{00000000-0005-0000-0000-00007C170000}"/>
    <cellStyle name="Normal 40 7 3" xfId="8396" xr:uid="{00000000-0005-0000-0000-00007D170000}"/>
    <cellStyle name="Normal 40 8" xfId="4364" xr:uid="{00000000-0005-0000-0000-00007E170000}"/>
    <cellStyle name="Normal 40 8 2" xfId="8397" xr:uid="{00000000-0005-0000-0000-00007F170000}"/>
    <cellStyle name="Normal 40 9" xfId="8398" xr:uid="{00000000-0005-0000-0000-000080170000}"/>
    <cellStyle name="Normal 41" xfId="4365" xr:uid="{00000000-0005-0000-0000-000081170000}"/>
    <cellStyle name="Normal 41 2" xfId="4366" xr:uid="{00000000-0005-0000-0000-000082170000}"/>
    <cellStyle name="Normal 41 2 2" xfId="4367" xr:uid="{00000000-0005-0000-0000-000083170000}"/>
    <cellStyle name="Normal 41 3" xfId="4368" xr:uid="{00000000-0005-0000-0000-000084170000}"/>
    <cellStyle name="Normal 41 3 2" xfId="4369" xr:uid="{00000000-0005-0000-0000-000085170000}"/>
    <cellStyle name="Normal 41 3 2 2" xfId="4370" xr:uid="{00000000-0005-0000-0000-000086170000}"/>
    <cellStyle name="Normal 41 3 2 2 2" xfId="4371" xr:uid="{00000000-0005-0000-0000-000087170000}"/>
    <cellStyle name="Normal 41 3 2 2 2 2" xfId="8399" xr:uid="{00000000-0005-0000-0000-000088170000}"/>
    <cellStyle name="Normal 41 3 2 2 3" xfId="8400" xr:uid="{00000000-0005-0000-0000-000089170000}"/>
    <cellStyle name="Normal 41 3 2 3" xfId="4372" xr:uid="{00000000-0005-0000-0000-00008A170000}"/>
    <cellStyle name="Normal 41 3 2 3 2" xfId="8401" xr:uid="{00000000-0005-0000-0000-00008B170000}"/>
    <cellStyle name="Normal 41 3 2 4" xfId="8402" xr:uid="{00000000-0005-0000-0000-00008C170000}"/>
    <cellStyle name="Normal 41 3 3" xfId="4373" xr:uid="{00000000-0005-0000-0000-00008D170000}"/>
    <cellStyle name="Normal 41 3 3 2" xfId="4374" xr:uid="{00000000-0005-0000-0000-00008E170000}"/>
    <cellStyle name="Normal 41 3 3 2 2" xfId="8403" xr:uid="{00000000-0005-0000-0000-00008F170000}"/>
    <cellStyle name="Normal 41 3 3 3" xfId="8404" xr:uid="{00000000-0005-0000-0000-000090170000}"/>
    <cellStyle name="Normal 41 3 4" xfId="4375" xr:uid="{00000000-0005-0000-0000-000091170000}"/>
    <cellStyle name="Normal 41 3 4 2" xfId="8405" xr:uid="{00000000-0005-0000-0000-000092170000}"/>
    <cellStyle name="Normal 41 3 5" xfId="4376" xr:uid="{00000000-0005-0000-0000-000093170000}"/>
    <cellStyle name="Normal 41 4" xfId="4377" xr:uid="{00000000-0005-0000-0000-000094170000}"/>
    <cellStyle name="Normal 41 4 2" xfId="4378" xr:uid="{00000000-0005-0000-0000-000095170000}"/>
    <cellStyle name="Normal 41 4 2 2" xfId="4379" xr:uid="{00000000-0005-0000-0000-000096170000}"/>
    <cellStyle name="Normal 41 4 2 2 2" xfId="4380" xr:uid="{00000000-0005-0000-0000-000097170000}"/>
    <cellStyle name="Normal 41 4 2 2 2 2" xfId="8406" xr:uid="{00000000-0005-0000-0000-000098170000}"/>
    <cellStyle name="Normal 41 4 2 2 3" xfId="8407" xr:uid="{00000000-0005-0000-0000-000099170000}"/>
    <cellStyle name="Normal 41 4 2 3" xfId="4381" xr:uid="{00000000-0005-0000-0000-00009A170000}"/>
    <cellStyle name="Normal 41 4 2 3 2" xfId="8408" xr:uid="{00000000-0005-0000-0000-00009B170000}"/>
    <cellStyle name="Normal 41 4 2 4" xfId="8409" xr:uid="{00000000-0005-0000-0000-00009C170000}"/>
    <cellStyle name="Normal 41 4 3" xfId="4382" xr:uid="{00000000-0005-0000-0000-00009D170000}"/>
    <cellStyle name="Normal 41 4 3 2" xfId="4383" xr:uid="{00000000-0005-0000-0000-00009E170000}"/>
    <cellStyle name="Normal 41 4 3 2 2" xfId="8410" xr:uid="{00000000-0005-0000-0000-00009F170000}"/>
    <cellStyle name="Normal 41 4 3 3" xfId="8411" xr:uid="{00000000-0005-0000-0000-0000A0170000}"/>
    <cellStyle name="Normal 41 4 4" xfId="4384" xr:uid="{00000000-0005-0000-0000-0000A1170000}"/>
    <cellStyle name="Normal 41 4 4 2" xfId="8412" xr:uid="{00000000-0005-0000-0000-0000A2170000}"/>
    <cellStyle name="Normal 41 4 5" xfId="8413" xr:uid="{00000000-0005-0000-0000-0000A3170000}"/>
    <cellStyle name="Normal 41 5" xfId="4385" xr:uid="{00000000-0005-0000-0000-0000A4170000}"/>
    <cellStyle name="Normal 41 5 2" xfId="4386" xr:uid="{00000000-0005-0000-0000-0000A5170000}"/>
    <cellStyle name="Normal 41 5 2 2" xfId="4387" xr:uid="{00000000-0005-0000-0000-0000A6170000}"/>
    <cellStyle name="Normal 41 5 2 2 2" xfId="4388" xr:uid="{00000000-0005-0000-0000-0000A7170000}"/>
    <cellStyle name="Normal 41 5 2 2 2 2" xfId="8414" xr:uid="{00000000-0005-0000-0000-0000A8170000}"/>
    <cellStyle name="Normal 41 5 2 2 3" xfId="8415" xr:uid="{00000000-0005-0000-0000-0000A9170000}"/>
    <cellStyle name="Normal 41 5 2 3" xfId="4389" xr:uid="{00000000-0005-0000-0000-0000AA170000}"/>
    <cellStyle name="Normal 41 5 2 3 2" xfId="8416" xr:uid="{00000000-0005-0000-0000-0000AB170000}"/>
    <cellStyle name="Normal 41 5 2 4" xfId="8417" xr:uid="{00000000-0005-0000-0000-0000AC170000}"/>
    <cellStyle name="Normal 41 5 3" xfId="4390" xr:uid="{00000000-0005-0000-0000-0000AD170000}"/>
    <cellStyle name="Normal 41 5 3 2" xfId="4391" xr:uid="{00000000-0005-0000-0000-0000AE170000}"/>
    <cellStyle name="Normal 41 5 3 2 2" xfId="8418" xr:uid="{00000000-0005-0000-0000-0000AF170000}"/>
    <cellStyle name="Normal 41 5 3 3" xfId="8419" xr:uid="{00000000-0005-0000-0000-0000B0170000}"/>
    <cellStyle name="Normal 41 5 4" xfId="4392" xr:uid="{00000000-0005-0000-0000-0000B1170000}"/>
    <cellStyle name="Normal 41 5 4 2" xfId="8420" xr:uid="{00000000-0005-0000-0000-0000B2170000}"/>
    <cellStyle name="Normal 41 5 5" xfId="8421" xr:uid="{00000000-0005-0000-0000-0000B3170000}"/>
    <cellStyle name="Normal 41 6" xfId="4393" xr:uid="{00000000-0005-0000-0000-0000B4170000}"/>
    <cellStyle name="Normal 41 6 2" xfId="4394" xr:uid="{00000000-0005-0000-0000-0000B5170000}"/>
    <cellStyle name="Normal 41 6 2 2" xfId="4395" xr:uid="{00000000-0005-0000-0000-0000B6170000}"/>
    <cellStyle name="Normal 41 6 2 2 2" xfId="8422" xr:uid="{00000000-0005-0000-0000-0000B7170000}"/>
    <cellStyle name="Normal 41 6 2 3" xfId="8423" xr:uid="{00000000-0005-0000-0000-0000B8170000}"/>
    <cellStyle name="Normal 41 6 3" xfId="4396" xr:uid="{00000000-0005-0000-0000-0000B9170000}"/>
    <cellStyle name="Normal 41 6 3 2" xfId="8424" xr:uid="{00000000-0005-0000-0000-0000BA170000}"/>
    <cellStyle name="Normal 41 6 4" xfId="8425" xr:uid="{00000000-0005-0000-0000-0000BB170000}"/>
    <cellStyle name="Normal 41 7" xfId="4397" xr:uid="{00000000-0005-0000-0000-0000BC170000}"/>
    <cellStyle name="Normal 41 7 2" xfId="4398" xr:uid="{00000000-0005-0000-0000-0000BD170000}"/>
    <cellStyle name="Normal 41 7 2 2" xfId="8426" xr:uid="{00000000-0005-0000-0000-0000BE170000}"/>
    <cellStyle name="Normal 41 7 3" xfId="8427" xr:uid="{00000000-0005-0000-0000-0000BF170000}"/>
    <cellStyle name="Normal 41 8" xfId="4399" xr:uid="{00000000-0005-0000-0000-0000C0170000}"/>
    <cellStyle name="Normal 41 8 2" xfId="8428" xr:uid="{00000000-0005-0000-0000-0000C1170000}"/>
    <cellStyle name="Normal 41 9" xfId="8429" xr:uid="{00000000-0005-0000-0000-0000C2170000}"/>
    <cellStyle name="Normal 42" xfId="4400" xr:uid="{00000000-0005-0000-0000-0000C3170000}"/>
    <cellStyle name="Normal 42 2" xfId="4401" xr:uid="{00000000-0005-0000-0000-0000C4170000}"/>
    <cellStyle name="Normal 42 2 2" xfId="4402" xr:uid="{00000000-0005-0000-0000-0000C5170000}"/>
    <cellStyle name="Normal 42 3" xfId="4403" xr:uid="{00000000-0005-0000-0000-0000C6170000}"/>
    <cellStyle name="Normal 42 3 2" xfId="4404" xr:uid="{00000000-0005-0000-0000-0000C7170000}"/>
    <cellStyle name="Normal 42 3 2 2" xfId="4405" xr:uid="{00000000-0005-0000-0000-0000C8170000}"/>
    <cellStyle name="Normal 42 3 2 2 2" xfId="4406" xr:uid="{00000000-0005-0000-0000-0000C9170000}"/>
    <cellStyle name="Normal 42 3 2 2 2 2" xfId="8430" xr:uid="{00000000-0005-0000-0000-0000CA170000}"/>
    <cellStyle name="Normal 42 3 2 2 3" xfId="8431" xr:uid="{00000000-0005-0000-0000-0000CB170000}"/>
    <cellStyle name="Normal 42 3 2 3" xfId="4407" xr:uid="{00000000-0005-0000-0000-0000CC170000}"/>
    <cellStyle name="Normal 42 3 2 3 2" xfId="8432" xr:uid="{00000000-0005-0000-0000-0000CD170000}"/>
    <cellStyle name="Normal 42 3 2 4" xfId="8433" xr:uid="{00000000-0005-0000-0000-0000CE170000}"/>
    <cellStyle name="Normal 42 3 3" xfId="4408" xr:uid="{00000000-0005-0000-0000-0000CF170000}"/>
    <cellStyle name="Normal 42 3 3 2" xfId="4409" xr:uid="{00000000-0005-0000-0000-0000D0170000}"/>
    <cellStyle name="Normal 42 3 3 2 2" xfId="8434" xr:uid="{00000000-0005-0000-0000-0000D1170000}"/>
    <cellStyle name="Normal 42 3 3 3" xfId="8435" xr:uid="{00000000-0005-0000-0000-0000D2170000}"/>
    <cellStyle name="Normal 42 3 4" xfId="4410" xr:uid="{00000000-0005-0000-0000-0000D3170000}"/>
    <cellStyle name="Normal 42 3 4 2" xfId="8436" xr:uid="{00000000-0005-0000-0000-0000D4170000}"/>
    <cellStyle name="Normal 42 3 5" xfId="4411" xr:uid="{00000000-0005-0000-0000-0000D5170000}"/>
    <cellStyle name="Normal 42 4" xfId="4412" xr:uid="{00000000-0005-0000-0000-0000D6170000}"/>
    <cellStyle name="Normal 42 4 2" xfId="4413" xr:uid="{00000000-0005-0000-0000-0000D7170000}"/>
    <cellStyle name="Normal 42 4 2 2" xfId="4414" xr:uid="{00000000-0005-0000-0000-0000D8170000}"/>
    <cellStyle name="Normal 42 4 2 2 2" xfId="4415" xr:uid="{00000000-0005-0000-0000-0000D9170000}"/>
    <cellStyle name="Normal 42 4 2 2 2 2" xfId="8437" xr:uid="{00000000-0005-0000-0000-0000DA170000}"/>
    <cellStyle name="Normal 42 4 2 2 3" xfId="8438" xr:uid="{00000000-0005-0000-0000-0000DB170000}"/>
    <cellStyle name="Normal 42 4 2 3" xfId="4416" xr:uid="{00000000-0005-0000-0000-0000DC170000}"/>
    <cellStyle name="Normal 42 4 2 3 2" xfId="8439" xr:uid="{00000000-0005-0000-0000-0000DD170000}"/>
    <cellStyle name="Normal 42 4 2 4" xfId="8440" xr:uid="{00000000-0005-0000-0000-0000DE170000}"/>
    <cellStyle name="Normal 42 4 3" xfId="4417" xr:uid="{00000000-0005-0000-0000-0000DF170000}"/>
    <cellStyle name="Normal 42 4 3 2" xfId="4418" xr:uid="{00000000-0005-0000-0000-0000E0170000}"/>
    <cellStyle name="Normal 42 4 3 2 2" xfId="8441" xr:uid="{00000000-0005-0000-0000-0000E1170000}"/>
    <cellStyle name="Normal 42 4 3 3" xfId="8442" xr:uid="{00000000-0005-0000-0000-0000E2170000}"/>
    <cellStyle name="Normal 42 4 4" xfId="4419" xr:uid="{00000000-0005-0000-0000-0000E3170000}"/>
    <cellStyle name="Normal 42 4 4 2" xfId="8443" xr:uid="{00000000-0005-0000-0000-0000E4170000}"/>
    <cellStyle name="Normal 42 4 5" xfId="8444" xr:uid="{00000000-0005-0000-0000-0000E5170000}"/>
    <cellStyle name="Normal 42 5" xfId="4420" xr:uid="{00000000-0005-0000-0000-0000E6170000}"/>
    <cellStyle name="Normal 42 5 2" xfId="4421" xr:uid="{00000000-0005-0000-0000-0000E7170000}"/>
    <cellStyle name="Normal 42 5 2 2" xfId="4422" xr:uid="{00000000-0005-0000-0000-0000E8170000}"/>
    <cellStyle name="Normal 42 5 2 2 2" xfId="4423" xr:uid="{00000000-0005-0000-0000-0000E9170000}"/>
    <cellStyle name="Normal 42 5 2 2 2 2" xfId="8445" xr:uid="{00000000-0005-0000-0000-0000EA170000}"/>
    <cellStyle name="Normal 42 5 2 2 3" xfId="8446" xr:uid="{00000000-0005-0000-0000-0000EB170000}"/>
    <cellStyle name="Normal 42 5 2 3" xfId="4424" xr:uid="{00000000-0005-0000-0000-0000EC170000}"/>
    <cellStyle name="Normal 42 5 2 3 2" xfId="8447" xr:uid="{00000000-0005-0000-0000-0000ED170000}"/>
    <cellStyle name="Normal 42 5 2 4" xfId="8448" xr:uid="{00000000-0005-0000-0000-0000EE170000}"/>
    <cellStyle name="Normal 42 5 3" xfId="4425" xr:uid="{00000000-0005-0000-0000-0000EF170000}"/>
    <cellStyle name="Normal 42 5 3 2" xfId="4426" xr:uid="{00000000-0005-0000-0000-0000F0170000}"/>
    <cellStyle name="Normal 42 5 3 2 2" xfId="8449" xr:uid="{00000000-0005-0000-0000-0000F1170000}"/>
    <cellStyle name="Normal 42 5 3 3" xfId="8450" xr:uid="{00000000-0005-0000-0000-0000F2170000}"/>
    <cellStyle name="Normal 42 5 4" xfId="4427" xr:uid="{00000000-0005-0000-0000-0000F3170000}"/>
    <cellStyle name="Normal 42 5 4 2" xfId="8451" xr:uid="{00000000-0005-0000-0000-0000F4170000}"/>
    <cellStyle name="Normal 42 5 5" xfId="8452" xr:uid="{00000000-0005-0000-0000-0000F5170000}"/>
    <cellStyle name="Normal 42 6" xfId="4428" xr:uid="{00000000-0005-0000-0000-0000F6170000}"/>
    <cellStyle name="Normal 42 6 2" xfId="4429" xr:uid="{00000000-0005-0000-0000-0000F7170000}"/>
    <cellStyle name="Normal 42 6 2 2" xfId="4430" xr:uid="{00000000-0005-0000-0000-0000F8170000}"/>
    <cellStyle name="Normal 42 6 2 2 2" xfId="8453" xr:uid="{00000000-0005-0000-0000-0000F9170000}"/>
    <cellStyle name="Normal 42 6 2 3" xfId="8454" xr:uid="{00000000-0005-0000-0000-0000FA170000}"/>
    <cellStyle name="Normal 42 6 3" xfId="4431" xr:uid="{00000000-0005-0000-0000-0000FB170000}"/>
    <cellStyle name="Normal 42 6 3 2" xfId="8455" xr:uid="{00000000-0005-0000-0000-0000FC170000}"/>
    <cellStyle name="Normal 42 6 4" xfId="8456" xr:uid="{00000000-0005-0000-0000-0000FD170000}"/>
    <cellStyle name="Normal 42 7" xfId="4432" xr:uid="{00000000-0005-0000-0000-0000FE170000}"/>
    <cellStyle name="Normal 42 7 2" xfId="4433" xr:uid="{00000000-0005-0000-0000-0000FF170000}"/>
    <cellStyle name="Normal 42 7 2 2" xfId="8457" xr:uid="{00000000-0005-0000-0000-000000180000}"/>
    <cellStyle name="Normal 42 7 3" xfId="8458" xr:uid="{00000000-0005-0000-0000-000001180000}"/>
    <cellStyle name="Normal 42 8" xfId="4434" xr:uid="{00000000-0005-0000-0000-000002180000}"/>
    <cellStyle name="Normal 42 8 2" xfId="8459" xr:uid="{00000000-0005-0000-0000-000003180000}"/>
    <cellStyle name="Normal 42 9" xfId="8460" xr:uid="{00000000-0005-0000-0000-000004180000}"/>
    <cellStyle name="Normal 43" xfId="4435" xr:uid="{00000000-0005-0000-0000-000005180000}"/>
    <cellStyle name="Normal 43 2" xfId="4436" xr:uid="{00000000-0005-0000-0000-000006180000}"/>
    <cellStyle name="Normal 43 2 2" xfId="4437" xr:uid="{00000000-0005-0000-0000-000007180000}"/>
    <cellStyle name="Normal 43 3" xfId="4438" xr:uid="{00000000-0005-0000-0000-000008180000}"/>
    <cellStyle name="Normal 43 3 2" xfId="4439" xr:uid="{00000000-0005-0000-0000-000009180000}"/>
    <cellStyle name="Normal 43 3 2 2" xfId="4440" xr:uid="{00000000-0005-0000-0000-00000A180000}"/>
    <cellStyle name="Normal 43 3 2 2 2" xfId="4441" xr:uid="{00000000-0005-0000-0000-00000B180000}"/>
    <cellStyle name="Normal 43 3 2 2 2 2" xfId="8461" xr:uid="{00000000-0005-0000-0000-00000C180000}"/>
    <cellStyle name="Normal 43 3 2 2 3" xfId="8462" xr:uid="{00000000-0005-0000-0000-00000D180000}"/>
    <cellStyle name="Normal 43 3 2 3" xfId="4442" xr:uid="{00000000-0005-0000-0000-00000E180000}"/>
    <cellStyle name="Normal 43 3 2 3 2" xfId="8463" xr:uid="{00000000-0005-0000-0000-00000F180000}"/>
    <cellStyle name="Normal 43 3 2 4" xfId="8464" xr:uid="{00000000-0005-0000-0000-000010180000}"/>
    <cellStyle name="Normal 43 3 3" xfId="4443" xr:uid="{00000000-0005-0000-0000-000011180000}"/>
    <cellStyle name="Normal 43 3 3 2" xfId="4444" xr:uid="{00000000-0005-0000-0000-000012180000}"/>
    <cellStyle name="Normal 43 3 3 2 2" xfId="8465" xr:uid="{00000000-0005-0000-0000-000013180000}"/>
    <cellStyle name="Normal 43 3 3 3" xfId="8466" xr:uid="{00000000-0005-0000-0000-000014180000}"/>
    <cellStyle name="Normal 43 3 4" xfId="4445" xr:uid="{00000000-0005-0000-0000-000015180000}"/>
    <cellStyle name="Normal 43 3 4 2" xfId="8467" xr:uid="{00000000-0005-0000-0000-000016180000}"/>
    <cellStyle name="Normal 43 3 5" xfId="4446" xr:uid="{00000000-0005-0000-0000-000017180000}"/>
    <cellStyle name="Normal 43 4" xfId="4447" xr:uid="{00000000-0005-0000-0000-000018180000}"/>
    <cellStyle name="Normal 43 4 2" xfId="4448" xr:uid="{00000000-0005-0000-0000-000019180000}"/>
    <cellStyle name="Normal 43 4 2 2" xfId="4449" xr:uid="{00000000-0005-0000-0000-00001A180000}"/>
    <cellStyle name="Normal 43 4 2 2 2" xfId="4450" xr:uid="{00000000-0005-0000-0000-00001B180000}"/>
    <cellStyle name="Normal 43 4 2 2 2 2" xfId="8468" xr:uid="{00000000-0005-0000-0000-00001C180000}"/>
    <cellStyle name="Normal 43 4 2 2 3" xfId="8469" xr:uid="{00000000-0005-0000-0000-00001D180000}"/>
    <cellStyle name="Normal 43 4 2 3" xfId="4451" xr:uid="{00000000-0005-0000-0000-00001E180000}"/>
    <cellStyle name="Normal 43 4 2 3 2" xfId="8470" xr:uid="{00000000-0005-0000-0000-00001F180000}"/>
    <cellStyle name="Normal 43 4 2 4" xfId="8471" xr:uid="{00000000-0005-0000-0000-000020180000}"/>
    <cellStyle name="Normal 43 4 3" xfId="4452" xr:uid="{00000000-0005-0000-0000-000021180000}"/>
    <cellStyle name="Normal 43 4 3 2" xfId="4453" xr:uid="{00000000-0005-0000-0000-000022180000}"/>
    <cellStyle name="Normal 43 4 3 2 2" xfId="8472" xr:uid="{00000000-0005-0000-0000-000023180000}"/>
    <cellStyle name="Normal 43 4 3 3" xfId="8473" xr:uid="{00000000-0005-0000-0000-000024180000}"/>
    <cellStyle name="Normal 43 4 4" xfId="4454" xr:uid="{00000000-0005-0000-0000-000025180000}"/>
    <cellStyle name="Normal 43 4 4 2" xfId="8474" xr:uid="{00000000-0005-0000-0000-000026180000}"/>
    <cellStyle name="Normal 43 4 5" xfId="8475" xr:uid="{00000000-0005-0000-0000-000027180000}"/>
    <cellStyle name="Normal 43 5" xfId="4455" xr:uid="{00000000-0005-0000-0000-000028180000}"/>
    <cellStyle name="Normal 43 5 2" xfId="4456" xr:uid="{00000000-0005-0000-0000-000029180000}"/>
    <cellStyle name="Normal 43 5 2 2" xfId="4457" xr:uid="{00000000-0005-0000-0000-00002A180000}"/>
    <cellStyle name="Normal 43 5 2 2 2" xfId="4458" xr:uid="{00000000-0005-0000-0000-00002B180000}"/>
    <cellStyle name="Normal 43 5 2 2 2 2" xfId="8476" xr:uid="{00000000-0005-0000-0000-00002C180000}"/>
    <cellStyle name="Normal 43 5 2 2 3" xfId="8477" xr:uid="{00000000-0005-0000-0000-00002D180000}"/>
    <cellStyle name="Normal 43 5 2 3" xfId="4459" xr:uid="{00000000-0005-0000-0000-00002E180000}"/>
    <cellStyle name="Normal 43 5 2 3 2" xfId="8478" xr:uid="{00000000-0005-0000-0000-00002F180000}"/>
    <cellStyle name="Normal 43 5 2 4" xfId="8479" xr:uid="{00000000-0005-0000-0000-000030180000}"/>
    <cellStyle name="Normal 43 5 3" xfId="4460" xr:uid="{00000000-0005-0000-0000-000031180000}"/>
    <cellStyle name="Normal 43 5 3 2" xfId="4461" xr:uid="{00000000-0005-0000-0000-000032180000}"/>
    <cellStyle name="Normal 43 5 3 2 2" xfId="8480" xr:uid="{00000000-0005-0000-0000-000033180000}"/>
    <cellStyle name="Normal 43 5 3 3" xfId="8481" xr:uid="{00000000-0005-0000-0000-000034180000}"/>
    <cellStyle name="Normal 43 5 4" xfId="4462" xr:uid="{00000000-0005-0000-0000-000035180000}"/>
    <cellStyle name="Normal 43 5 4 2" xfId="8482" xr:uid="{00000000-0005-0000-0000-000036180000}"/>
    <cellStyle name="Normal 43 5 5" xfId="8483" xr:uid="{00000000-0005-0000-0000-000037180000}"/>
    <cellStyle name="Normal 43 6" xfId="4463" xr:uid="{00000000-0005-0000-0000-000038180000}"/>
    <cellStyle name="Normal 43 6 2" xfId="4464" xr:uid="{00000000-0005-0000-0000-000039180000}"/>
    <cellStyle name="Normal 43 6 2 2" xfId="4465" xr:uid="{00000000-0005-0000-0000-00003A180000}"/>
    <cellStyle name="Normal 43 6 2 2 2" xfId="8484" xr:uid="{00000000-0005-0000-0000-00003B180000}"/>
    <cellStyle name="Normal 43 6 2 3" xfId="8485" xr:uid="{00000000-0005-0000-0000-00003C180000}"/>
    <cellStyle name="Normal 43 6 3" xfId="4466" xr:uid="{00000000-0005-0000-0000-00003D180000}"/>
    <cellStyle name="Normal 43 6 3 2" xfId="8486" xr:uid="{00000000-0005-0000-0000-00003E180000}"/>
    <cellStyle name="Normal 43 6 4" xfId="8487" xr:uid="{00000000-0005-0000-0000-00003F180000}"/>
    <cellStyle name="Normal 43 7" xfId="4467" xr:uid="{00000000-0005-0000-0000-000040180000}"/>
    <cellStyle name="Normal 43 7 2" xfId="4468" xr:uid="{00000000-0005-0000-0000-000041180000}"/>
    <cellStyle name="Normal 43 7 2 2" xfId="8488" xr:uid="{00000000-0005-0000-0000-000042180000}"/>
    <cellStyle name="Normal 43 7 3" xfId="8489" xr:uid="{00000000-0005-0000-0000-000043180000}"/>
    <cellStyle name="Normal 43 8" xfId="4469" xr:uid="{00000000-0005-0000-0000-000044180000}"/>
    <cellStyle name="Normal 43 8 2" xfId="8490" xr:uid="{00000000-0005-0000-0000-000045180000}"/>
    <cellStyle name="Normal 43 9" xfId="8491" xr:uid="{00000000-0005-0000-0000-000046180000}"/>
    <cellStyle name="Normal 44" xfId="4470" xr:uid="{00000000-0005-0000-0000-000047180000}"/>
    <cellStyle name="Normal 44 2" xfId="4471" xr:uid="{00000000-0005-0000-0000-000048180000}"/>
    <cellStyle name="Normal 44 2 2" xfId="4472" xr:uid="{00000000-0005-0000-0000-000049180000}"/>
    <cellStyle name="Normal 44 3" xfId="4473" xr:uid="{00000000-0005-0000-0000-00004A180000}"/>
    <cellStyle name="Normal 44 3 2" xfId="4474" xr:uid="{00000000-0005-0000-0000-00004B180000}"/>
    <cellStyle name="Normal 44 3 2 2" xfId="4475" xr:uid="{00000000-0005-0000-0000-00004C180000}"/>
    <cellStyle name="Normal 44 3 2 2 2" xfId="4476" xr:uid="{00000000-0005-0000-0000-00004D180000}"/>
    <cellStyle name="Normal 44 3 2 2 2 2" xfId="8492" xr:uid="{00000000-0005-0000-0000-00004E180000}"/>
    <cellStyle name="Normal 44 3 2 2 3" xfId="8493" xr:uid="{00000000-0005-0000-0000-00004F180000}"/>
    <cellStyle name="Normal 44 3 2 3" xfId="4477" xr:uid="{00000000-0005-0000-0000-000050180000}"/>
    <cellStyle name="Normal 44 3 2 3 2" xfId="8494" xr:uid="{00000000-0005-0000-0000-000051180000}"/>
    <cellStyle name="Normal 44 3 2 4" xfId="8495" xr:uid="{00000000-0005-0000-0000-000052180000}"/>
    <cellStyle name="Normal 44 3 3" xfId="4478" xr:uid="{00000000-0005-0000-0000-000053180000}"/>
    <cellStyle name="Normal 44 3 3 2" xfId="4479" xr:uid="{00000000-0005-0000-0000-000054180000}"/>
    <cellStyle name="Normal 44 3 3 2 2" xfId="8496" xr:uid="{00000000-0005-0000-0000-000055180000}"/>
    <cellStyle name="Normal 44 3 3 3" xfId="8497" xr:uid="{00000000-0005-0000-0000-000056180000}"/>
    <cellStyle name="Normal 44 3 4" xfId="4480" xr:uid="{00000000-0005-0000-0000-000057180000}"/>
    <cellStyle name="Normal 44 3 4 2" xfId="8498" xr:uid="{00000000-0005-0000-0000-000058180000}"/>
    <cellStyle name="Normal 44 3 5" xfId="4481" xr:uid="{00000000-0005-0000-0000-000059180000}"/>
    <cellStyle name="Normal 44 4" xfId="4482" xr:uid="{00000000-0005-0000-0000-00005A180000}"/>
    <cellStyle name="Normal 44 4 2" xfId="4483" xr:uid="{00000000-0005-0000-0000-00005B180000}"/>
    <cellStyle name="Normal 44 4 2 2" xfId="4484" xr:uid="{00000000-0005-0000-0000-00005C180000}"/>
    <cellStyle name="Normal 44 4 2 2 2" xfId="4485" xr:uid="{00000000-0005-0000-0000-00005D180000}"/>
    <cellStyle name="Normal 44 4 2 2 2 2" xfId="8499" xr:uid="{00000000-0005-0000-0000-00005E180000}"/>
    <cellStyle name="Normal 44 4 2 2 3" xfId="8500" xr:uid="{00000000-0005-0000-0000-00005F180000}"/>
    <cellStyle name="Normal 44 4 2 3" xfId="4486" xr:uid="{00000000-0005-0000-0000-000060180000}"/>
    <cellStyle name="Normal 44 4 2 3 2" xfId="8501" xr:uid="{00000000-0005-0000-0000-000061180000}"/>
    <cellStyle name="Normal 44 4 2 4" xfId="8502" xr:uid="{00000000-0005-0000-0000-000062180000}"/>
    <cellStyle name="Normal 44 4 3" xfId="4487" xr:uid="{00000000-0005-0000-0000-000063180000}"/>
    <cellStyle name="Normal 44 4 3 2" xfId="4488" xr:uid="{00000000-0005-0000-0000-000064180000}"/>
    <cellStyle name="Normal 44 4 3 2 2" xfId="8503" xr:uid="{00000000-0005-0000-0000-000065180000}"/>
    <cellStyle name="Normal 44 4 3 3" xfId="8504" xr:uid="{00000000-0005-0000-0000-000066180000}"/>
    <cellStyle name="Normal 44 4 4" xfId="4489" xr:uid="{00000000-0005-0000-0000-000067180000}"/>
    <cellStyle name="Normal 44 4 4 2" xfId="8505" xr:uid="{00000000-0005-0000-0000-000068180000}"/>
    <cellStyle name="Normal 44 4 5" xfId="8506" xr:uid="{00000000-0005-0000-0000-000069180000}"/>
    <cellStyle name="Normal 44 5" xfId="4490" xr:uid="{00000000-0005-0000-0000-00006A180000}"/>
    <cellStyle name="Normal 44 5 2" xfId="4491" xr:uid="{00000000-0005-0000-0000-00006B180000}"/>
    <cellStyle name="Normal 44 5 2 2" xfId="4492" xr:uid="{00000000-0005-0000-0000-00006C180000}"/>
    <cellStyle name="Normal 44 5 2 2 2" xfId="4493" xr:uid="{00000000-0005-0000-0000-00006D180000}"/>
    <cellStyle name="Normal 44 5 2 2 2 2" xfId="8507" xr:uid="{00000000-0005-0000-0000-00006E180000}"/>
    <cellStyle name="Normal 44 5 2 2 3" xfId="8508" xr:uid="{00000000-0005-0000-0000-00006F180000}"/>
    <cellStyle name="Normal 44 5 2 3" xfId="4494" xr:uid="{00000000-0005-0000-0000-000070180000}"/>
    <cellStyle name="Normal 44 5 2 3 2" xfId="8509" xr:uid="{00000000-0005-0000-0000-000071180000}"/>
    <cellStyle name="Normal 44 5 2 4" xfId="8510" xr:uid="{00000000-0005-0000-0000-000072180000}"/>
    <cellStyle name="Normal 44 5 3" xfId="4495" xr:uid="{00000000-0005-0000-0000-000073180000}"/>
    <cellStyle name="Normal 44 5 3 2" xfId="4496" xr:uid="{00000000-0005-0000-0000-000074180000}"/>
    <cellStyle name="Normal 44 5 3 2 2" xfId="8511" xr:uid="{00000000-0005-0000-0000-000075180000}"/>
    <cellStyle name="Normal 44 5 3 3" xfId="8512" xr:uid="{00000000-0005-0000-0000-000076180000}"/>
    <cellStyle name="Normal 44 5 4" xfId="4497" xr:uid="{00000000-0005-0000-0000-000077180000}"/>
    <cellStyle name="Normal 44 5 4 2" xfId="8513" xr:uid="{00000000-0005-0000-0000-000078180000}"/>
    <cellStyle name="Normal 44 5 5" xfId="8514" xr:uid="{00000000-0005-0000-0000-000079180000}"/>
    <cellStyle name="Normal 44 6" xfId="4498" xr:uid="{00000000-0005-0000-0000-00007A180000}"/>
    <cellStyle name="Normal 44 6 2" xfId="4499" xr:uid="{00000000-0005-0000-0000-00007B180000}"/>
    <cellStyle name="Normal 44 6 2 2" xfId="4500" xr:uid="{00000000-0005-0000-0000-00007C180000}"/>
    <cellStyle name="Normal 44 6 2 2 2" xfId="8515" xr:uid="{00000000-0005-0000-0000-00007D180000}"/>
    <cellStyle name="Normal 44 6 2 3" xfId="8516" xr:uid="{00000000-0005-0000-0000-00007E180000}"/>
    <cellStyle name="Normal 44 6 3" xfId="4501" xr:uid="{00000000-0005-0000-0000-00007F180000}"/>
    <cellStyle name="Normal 44 6 3 2" xfId="8517" xr:uid="{00000000-0005-0000-0000-000080180000}"/>
    <cellStyle name="Normal 44 6 4" xfId="8518" xr:uid="{00000000-0005-0000-0000-000081180000}"/>
    <cellStyle name="Normal 44 7" xfId="4502" xr:uid="{00000000-0005-0000-0000-000082180000}"/>
    <cellStyle name="Normal 44 7 2" xfId="4503" xr:uid="{00000000-0005-0000-0000-000083180000}"/>
    <cellStyle name="Normal 44 7 2 2" xfId="8519" xr:uid="{00000000-0005-0000-0000-000084180000}"/>
    <cellStyle name="Normal 44 7 3" xfId="8520" xr:uid="{00000000-0005-0000-0000-000085180000}"/>
    <cellStyle name="Normal 44 8" xfId="4504" xr:uid="{00000000-0005-0000-0000-000086180000}"/>
    <cellStyle name="Normal 44 8 2" xfId="8521" xr:uid="{00000000-0005-0000-0000-000087180000}"/>
    <cellStyle name="Normal 44 9" xfId="8522" xr:uid="{00000000-0005-0000-0000-000088180000}"/>
    <cellStyle name="Normal 45" xfId="4505" xr:uid="{00000000-0005-0000-0000-000089180000}"/>
    <cellStyle name="Normal 45 2" xfId="4506" xr:uid="{00000000-0005-0000-0000-00008A180000}"/>
    <cellStyle name="Normal 45 2 2" xfId="4507" xr:uid="{00000000-0005-0000-0000-00008B180000}"/>
    <cellStyle name="Normal 45 3" xfId="4508" xr:uid="{00000000-0005-0000-0000-00008C180000}"/>
    <cellStyle name="Normal 45 3 2" xfId="4509" xr:uid="{00000000-0005-0000-0000-00008D180000}"/>
    <cellStyle name="Normal 45 3 2 2" xfId="4510" xr:uid="{00000000-0005-0000-0000-00008E180000}"/>
    <cellStyle name="Normal 45 3 2 2 2" xfId="4511" xr:uid="{00000000-0005-0000-0000-00008F180000}"/>
    <cellStyle name="Normal 45 3 2 2 2 2" xfId="8523" xr:uid="{00000000-0005-0000-0000-000090180000}"/>
    <cellStyle name="Normal 45 3 2 2 3" xfId="8524" xr:uid="{00000000-0005-0000-0000-000091180000}"/>
    <cellStyle name="Normal 45 3 2 3" xfId="4512" xr:uid="{00000000-0005-0000-0000-000092180000}"/>
    <cellStyle name="Normal 45 3 2 3 2" xfId="8525" xr:uid="{00000000-0005-0000-0000-000093180000}"/>
    <cellStyle name="Normal 45 3 2 4" xfId="8526" xr:uid="{00000000-0005-0000-0000-000094180000}"/>
    <cellStyle name="Normal 45 3 3" xfId="4513" xr:uid="{00000000-0005-0000-0000-000095180000}"/>
    <cellStyle name="Normal 45 3 3 2" xfId="4514" xr:uid="{00000000-0005-0000-0000-000096180000}"/>
    <cellStyle name="Normal 45 3 3 2 2" xfId="8527" xr:uid="{00000000-0005-0000-0000-000097180000}"/>
    <cellStyle name="Normal 45 3 3 3" xfId="8528" xr:uid="{00000000-0005-0000-0000-000098180000}"/>
    <cellStyle name="Normal 45 3 4" xfId="4515" xr:uid="{00000000-0005-0000-0000-000099180000}"/>
    <cellStyle name="Normal 45 3 4 2" xfId="8529" xr:uid="{00000000-0005-0000-0000-00009A180000}"/>
    <cellStyle name="Normal 45 3 5" xfId="4516" xr:uid="{00000000-0005-0000-0000-00009B180000}"/>
    <cellStyle name="Normal 45 4" xfId="4517" xr:uid="{00000000-0005-0000-0000-00009C180000}"/>
    <cellStyle name="Normal 45 4 2" xfId="4518" xr:uid="{00000000-0005-0000-0000-00009D180000}"/>
    <cellStyle name="Normal 45 4 2 2" xfId="4519" xr:uid="{00000000-0005-0000-0000-00009E180000}"/>
    <cellStyle name="Normal 45 4 2 2 2" xfId="4520" xr:uid="{00000000-0005-0000-0000-00009F180000}"/>
    <cellStyle name="Normal 45 4 2 2 2 2" xfId="8530" xr:uid="{00000000-0005-0000-0000-0000A0180000}"/>
    <cellStyle name="Normal 45 4 2 2 3" xfId="8531" xr:uid="{00000000-0005-0000-0000-0000A1180000}"/>
    <cellStyle name="Normal 45 4 2 3" xfId="4521" xr:uid="{00000000-0005-0000-0000-0000A2180000}"/>
    <cellStyle name="Normal 45 4 2 3 2" xfId="8532" xr:uid="{00000000-0005-0000-0000-0000A3180000}"/>
    <cellStyle name="Normal 45 4 2 4" xfId="8533" xr:uid="{00000000-0005-0000-0000-0000A4180000}"/>
    <cellStyle name="Normal 45 4 3" xfId="4522" xr:uid="{00000000-0005-0000-0000-0000A5180000}"/>
    <cellStyle name="Normal 45 4 3 2" xfId="4523" xr:uid="{00000000-0005-0000-0000-0000A6180000}"/>
    <cellStyle name="Normal 45 4 3 2 2" xfId="8534" xr:uid="{00000000-0005-0000-0000-0000A7180000}"/>
    <cellStyle name="Normal 45 4 3 3" xfId="8535" xr:uid="{00000000-0005-0000-0000-0000A8180000}"/>
    <cellStyle name="Normal 45 4 4" xfId="4524" xr:uid="{00000000-0005-0000-0000-0000A9180000}"/>
    <cellStyle name="Normal 45 4 4 2" xfId="8536" xr:uid="{00000000-0005-0000-0000-0000AA180000}"/>
    <cellStyle name="Normal 45 4 5" xfId="8537" xr:uid="{00000000-0005-0000-0000-0000AB180000}"/>
    <cellStyle name="Normal 45 5" xfId="4525" xr:uid="{00000000-0005-0000-0000-0000AC180000}"/>
    <cellStyle name="Normal 45 5 2" xfId="4526" xr:uid="{00000000-0005-0000-0000-0000AD180000}"/>
    <cellStyle name="Normal 45 5 2 2" xfId="4527" xr:uid="{00000000-0005-0000-0000-0000AE180000}"/>
    <cellStyle name="Normal 45 5 2 2 2" xfId="4528" xr:uid="{00000000-0005-0000-0000-0000AF180000}"/>
    <cellStyle name="Normal 45 5 2 2 2 2" xfId="8538" xr:uid="{00000000-0005-0000-0000-0000B0180000}"/>
    <cellStyle name="Normal 45 5 2 2 3" xfId="8539" xr:uid="{00000000-0005-0000-0000-0000B1180000}"/>
    <cellStyle name="Normal 45 5 2 3" xfId="4529" xr:uid="{00000000-0005-0000-0000-0000B2180000}"/>
    <cellStyle name="Normal 45 5 2 3 2" xfId="8540" xr:uid="{00000000-0005-0000-0000-0000B3180000}"/>
    <cellStyle name="Normal 45 5 2 4" xfId="8541" xr:uid="{00000000-0005-0000-0000-0000B4180000}"/>
    <cellStyle name="Normal 45 5 3" xfId="4530" xr:uid="{00000000-0005-0000-0000-0000B5180000}"/>
    <cellStyle name="Normal 45 5 3 2" xfId="4531" xr:uid="{00000000-0005-0000-0000-0000B6180000}"/>
    <cellStyle name="Normal 45 5 3 2 2" xfId="8542" xr:uid="{00000000-0005-0000-0000-0000B7180000}"/>
    <cellStyle name="Normal 45 5 3 3" xfId="8543" xr:uid="{00000000-0005-0000-0000-0000B8180000}"/>
    <cellStyle name="Normal 45 5 4" xfId="4532" xr:uid="{00000000-0005-0000-0000-0000B9180000}"/>
    <cellStyle name="Normal 45 5 4 2" xfId="8544" xr:uid="{00000000-0005-0000-0000-0000BA180000}"/>
    <cellStyle name="Normal 45 5 5" xfId="8545" xr:uid="{00000000-0005-0000-0000-0000BB180000}"/>
    <cellStyle name="Normal 45 6" xfId="4533" xr:uid="{00000000-0005-0000-0000-0000BC180000}"/>
    <cellStyle name="Normal 45 6 2" xfId="4534" xr:uid="{00000000-0005-0000-0000-0000BD180000}"/>
    <cellStyle name="Normal 45 6 2 2" xfId="4535" xr:uid="{00000000-0005-0000-0000-0000BE180000}"/>
    <cellStyle name="Normal 45 6 2 2 2" xfId="8546" xr:uid="{00000000-0005-0000-0000-0000BF180000}"/>
    <cellStyle name="Normal 45 6 2 3" xfId="8547" xr:uid="{00000000-0005-0000-0000-0000C0180000}"/>
    <cellStyle name="Normal 45 6 3" xfId="4536" xr:uid="{00000000-0005-0000-0000-0000C1180000}"/>
    <cellStyle name="Normal 45 6 3 2" xfId="8548" xr:uid="{00000000-0005-0000-0000-0000C2180000}"/>
    <cellStyle name="Normal 45 6 4" xfId="8549" xr:uid="{00000000-0005-0000-0000-0000C3180000}"/>
    <cellStyle name="Normal 45 7" xfId="4537" xr:uid="{00000000-0005-0000-0000-0000C4180000}"/>
    <cellStyle name="Normal 45 7 2" xfId="4538" xr:uid="{00000000-0005-0000-0000-0000C5180000}"/>
    <cellStyle name="Normal 45 7 2 2" xfId="8550" xr:uid="{00000000-0005-0000-0000-0000C6180000}"/>
    <cellStyle name="Normal 45 7 3" xfId="8551" xr:uid="{00000000-0005-0000-0000-0000C7180000}"/>
    <cellStyle name="Normal 45 8" xfId="4539" xr:uid="{00000000-0005-0000-0000-0000C8180000}"/>
    <cellStyle name="Normal 45 8 2" xfId="8552" xr:uid="{00000000-0005-0000-0000-0000C9180000}"/>
    <cellStyle name="Normal 45 9" xfId="8553" xr:uid="{00000000-0005-0000-0000-0000CA180000}"/>
    <cellStyle name="Normal 46" xfId="4540" xr:uid="{00000000-0005-0000-0000-0000CB180000}"/>
    <cellStyle name="Normal 46 2" xfId="4541" xr:uid="{00000000-0005-0000-0000-0000CC180000}"/>
    <cellStyle name="Normal 46 2 2" xfId="4542" xr:uid="{00000000-0005-0000-0000-0000CD180000}"/>
    <cellStyle name="Normal 46 3" xfId="4543" xr:uid="{00000000-0005-0000-0000-0000CE180000}"/>
    <cellStyle name="Normal 46 3 2" xfId="4544" xr:uid="{00000000-0005-0000-0000-0000CF180000}"/>
    <cellStyle name="Normal 46 3 2 2" xfId="4545" xr:uid="{00000000-0005-0000-0000-0000D0180000}"/>
    <cellStyle name="Normal 46 3 2 2 2" xfId="4546" xr:uid="{00000000-0005-0000-0000-0000D1180000}"/>
    <cellStyle name="Normal 46 3 2 2 2 2" xfId="8554" xr:uid="{00000000-0005-0000-0000-0000D2180000}"/>
    <cellStyle name="Normal 46 3 2 2 3" xfId="8555" xr:uid="{00000000-0005-0000-0000-0000D3180000}"/>
    <cellStyle name="Normal 46 3 2 3" xfId="4547" xr:uid="{00000000-0005-0000-0000-0000D4180000}"/>
    <cellStyle name="Normal 46 3 2 3 2" xfId="8556" xr:uid="{00000000-0005-0000-0000-0000D5180000}"/>
    <cellStyle name="Normal 46 3 2 4" xfId="8557" xr:uid="{00000000-0005-0000-0000-0000D6180000}"/>
    <cellStyle name="Normal 46 3 3" xfId="4548" xr:uid="{00000000-0005-0000-0000-0000D7180000}"/>
    <cellStyle name="Normal 46 3 3 2" xfId="4549" xr:uid="{00000000-0005-0000-0000-0000D8180000}"/>
    <cellStyle name="Normal 46 3 3 2 2" xfId="8558" xr:uid="{00000000-0005-0000-0000-0000D9180000}"/>
    <cellStyle name="Normal 46 3 3 3" xfId="8559" xr:uid="{00000000-0005-0000-0000-0000DA180000}"/>
    <cellStyle name="Normal 46 3 4" xfId="4550" xr:uid="{00000000-0005-0000-0000-0000DB180000}"/>
    <cellStyle name="Normal 46 3 4 2" xfId="8560" xr:uid="{00000000-0005-0000-0000-0000DC180000}"/>
    <cellStyle name="Normal 46 3 5" xfId="4551" xr:uid="{00000000-0005-0000-0000-0000DD180000}"/>
    <cellStyle name="Normal 46 4" xfId="4552" xr:uid="{00000000-0005-0000-0000-0000DE180000}"/>
    <cellStyle name="Normal 46 4 2" xfId="4553" xr:uid="{00000000-0005-0000-0000-0000DF180000}"/>
    <cellStyle name="Normal 46 4 2 2" xfId="4554" xr:uid="{00000000-0005-0000-0000-0000E0180000}"/>
    <cellStyle name="Normal 46 4 2 2 2" xfId="4555" xr:uid="{00000000-0005-0000-0000-0000E1180000}"/>
    <cellStyle name="Normal 46 4 2 2 2 2" xfId="8561" xr:uid="{00000000-0005-0000-0000-0000E2180000}"/>
    <cellStyle name="Normal 46 4 2 2 3" xfId="8562" xr:uid="{00000000-0005-0000-0000-0000E3180000}"/>
    <cellStyle name="Normal 46 4 2 3" xfId="4556" xr:uid="{00000000-0005-0000-0000-0000E4180000}"/>
    <cellStyle name="Normal 46 4 2 3 2" xfId="8563" xr:uid="{00000000-0005-0000-0000-0000E5180000}"/>
    <cellStyle name="Normal 46 4 2 4" xfId="8564" xr:uid="{00000000-0005-0000-0000-0000E6180000}"/>
    <cellStyle name="Normal 46 4 3" xfId="4557" xr:uid="{00000000-0005-0000-0000-0000E7180000}"/>
    <cellStyle name="Normal 46 4 3 2" xfId="4558" xr:uid="{00000000-0005-0000-0000-0000E8180000}"/>
    <cellStyle name="Normal 46 4 3 2 2" xfId="8565" xr:uid="{00000000-0005-0000-0000-0000E9180000}"/>
    <cellStyle name="Normal 46 4 3 3" xfId="8566" xr:uid="{00000000-0005-0000-0000-0000EA180000}"/>
    <cellStyle name="Normal 46 4 4" xfId="4559" xr:uid="{00000000-0005-0000-0000-0000EB180000}"/>
    <cellStyle name="Normal 46 4 4 2" xfId="8567" xr:uid="{00000000-0005-0000-0000-0000EC180000}"/>
    <cellStyle name="Normal 46 4 5" xfId="8568" xr:uid="{00000000-0005-0000-0000-0000ED180000}"/>
    <cellStyle name="Normal 46 5" xfId="4560" xr:uid="{00000000-0005-0000-0000-0000EE180000}"/>
    <cellStyle name="Normal 46 5 2" xfId="4561" xr:uid="{00000000-0005-0000-0000-0000EF180000}"/>
    <cellStyle name="Normal 46 5 2 2" xfId="4562" xr:uid="{00000000-0005-0000-0000-0000F0180000}"/>
    <cellStyle name="Normal 46 5 2 2 2" xfId="4563" xr:uid="{00000000-0005-0000-0000-0000F1180000}"/>
    <cellStyle name="Normal 46 5 2 2 2 2" xfId="8569" xr:uid="{00000000-0005-0000-0000-0000F2180000}"/>
    <cellStyle name="Normal 46 5 2 2 3" xfId="8570" xr:uid="{00000000-0005-0000-0000-0000F3180000}"/>
    <cellStyle name="Normal 46 5 2 3" xfId="4564" xr:uid="{00000000-0005-0000-0000-0000F4180000}"/>
    <cellStyle name="Normal 46 5 2 3 2" xfId="8571" xr:uid="{00000000-0005-0000-0000-0000F5180000}"/>
    <cellStyle name="Normal 46 5 2 4" xfId="8572" xr:uid="{00000000-0005-0000-0000-0000F6180000}"/>
    <cellStyle name="Normal 46 5 3" xfId="4565" xr:uid="{00000000-0005-0000-0000-0000F7180000}"/>
    <cellStyle name="Normal 46 5 3 2" xfId="4566" xr:uid="{00000000-0005-0000-0000-0000F8180000}"/>
    <cellStyle name="Normal 46 5 3 2 2" xfId="8573" xr:uid="{00000000-0005-0000-0000-0000F9180000}"/>
    <cellStyle name="Normal 46 5 3 3" xfId="8574" xr:uid="{00000000-0005-0000-0000-0000FA180000}"/>
    <cellStyle name="Normal 46 5 4" xfId="4567" xr:uid="{00000000-0005-0000-0000-0000FB180000}"/>
    <cellStyle name="Normal 46 5 4 2" xfId="8575" xr:uid="{00000000-0005-0000-0000-0000FC180000}"/>
    <cellStyle name="Normal 46 5 5" xfId="8576" xr:uid="{00000000-0005-0000-0000-0000FD180000}"/>
    <cellStyle name="Normal 46 6" xfId="4568" xr:uid="{00000000-0005-0000-0000-0000FE180000}"/>
    <cellStyle name="Normal 46 6 2" xfId="4569" xr:uid="{00000000-0005-0000-0000-0000FF180000}"/>
    <cellStyle name="Normal 46 6 2 2" xfId="4570" xr:uid="{00000000-0005-0000-0000-000000190000}"/>
    <cellStyle name="Normal 46 6 2 2 2" xfId="8577" xr:uid="{00000000-0005-0000-0000-000001190000}"/>
    <cellStyle name="Normal 46 6 2 3" xfId="8578" xr:uid="{00000000-0005-0000-0000-000002190000}"/>
    <cellStyle name="Normal 46 6 3" xfId="4571" xr:uid="{00000000-0005-0000-0000-000003190000}"/>
    <cellStyle name="Normal 46 6 3 2" xfId="8579" xr:uid="{00000000-0005-0000-0000-000004190000}"/>
    <cellStyle name="Normal 46 6 4" xfId="8580" xr:uid="{00000000-0005-0000-0000-000005190000}"/>
    <cellStyle name="Normal 46 7" xfId="4572" xr:uid="{00000000-0005-0000-0000-000006190000}"/>
    <cellStyle name="Normal 46 7 2" xfId="4573" xr:uid="{00000000-0005-0000-0000-000007190000}"/>
    <cellStyle name="Normal 46 7 2 2" xfId="8581" xr:uid="{00000000-0005-0000-0000-000008190000}"/>
    <cellStyle name="Normal 46 7 3" xfId="8582" xr:uid="{00000000-0005-0000-0000-000009190000}"/>
    <cellStyle name="Normal 46 8" xfId="4574" xr:uid="{00000000-0005-0000-0000-00000A190000}"/>
    <cellStyle name="Normal 46 8 2" xfId="8583" xr:uid="{00000000-0005-0000-0000-00000B190000}"/>
    <cellStyle name="Normal 46 9" xfId="8584" xr:uid="{00000000-0005-0000-0000-00000C190000}"/>
    <cellStyle name="Normal 47" xfId="4575" xr:uid="{00000000-0005-0000-0000-00000D190000}"/>
    <cellStyle name="Normal 47 2" xfId="4576" xr:uid="{00000000-0005-0000-0000-00000E190000}"/>
    <cellStyle name="Normal 47 2 2" xfId="4577" xr:uid="{00000000-0005-0000-0000-00000F190000}"/>
    <cellStyle name="Normal 47 3" xfId="4578" xr:uid="{00000000-0005-0000-0000-000010190000}"/>
    <cellStyle name="Normal 47 3 2" xfId="4579" xr:uid="{00000000-0005-0000-0000-000011190000}"/>
    <cellStyle name="Normal 47 3 2 2" xfId="4580" xr:uid="{00000000-0005-0000-0000-000012190000}"/>
    <cellStyle name="Normal 47 3 2 2 2" xfId="4581" xr:uid="{00000000-0005-0000-0000-000013190000}"/>
    <cellStyle name="Normal 47 3 2 2 2 2" xfId="8585" xr:uid="{00000000-0005-0000-0000-000014190000}"/>
    <cellStyle name="Normal 47 3 2 2 3" xfId="8586" xr:uid="{00000000-0005-0000-0000-000015190000}"/>
    <cellStyle name="Normal 47 3 2 3" xfId="4582" xr:uid="{00000000-0005-0000-0000-000016190000}"/>
    <cellStyle name="Normal 47 3 2 3 2" xfId="8587" xr:uid="{00000000-0005-0000-0000-000017190000}"/>
    <cellStyle name="Normal 47 3 2 4" xfId="8588" xr:uid="{00000000-0005-0000-0000-000018190000}"/>
    <cellStyle name="Normal 47 3 3" xfId="4583" xr:uid="{00000000-0005-0000-0000-000019190000}"/>
    <cellStyle name="Normal 47 3 3 2" xfId="4584" xr:uid="{00000000-0005-0000-0000-00001A190000}"/>
    <cellStyle name="Normal 47 3 3 2 2" xfId="8589" xr:uid="{00000000-0005-0000-0000-00001B190000}"/>
    <cellStyle name="Normal 47 3 3 3" xfId="8590" xr:uid="{00000000-0005-0000-0000-00001C190000}"/>
    <cellStyle name="Normal 47 3 4" xfId="4585" xr:uid="{00000000-0005-0000-0000-00001D190000}"/>
    <cellStyle name="Normal 47 3 4 2" xfId="8591" xr:uid="{00000000-0005-0000-0000-00001E190000}"/>
    <cellStyle name="Normal 47 3 5" xfId="4586" xr:uid="{00000000-0005-0000-0000-00001F190000}"/>
    <cellStyle name="Normal 47 4" xfId="4587" xr:uid="{00000000-0005-0000-0000-000020190000}"/>
    <cellStyle name="Normal 47 4 2" xfId="4588" xr:uid="{00000000-0005-0000-0000-000021190000}"/>
    <cellStyle name="Normal 47 4 2 2" xfId="4589" xr:uid="{00000000-0005-0000-0000-000022190000}"/>
    <cellStyle name="Normal 47 4 2 2 2" xfId="4590" xr:uid="{00000000-0005-0000-0000-000023190000}"/>
    <cellStyle name="Normal 47 4 2 2 2 2" xfId="8592" xr:uid="{00000000-0005-0000-0000-000024190000}"/>
    <cellStyle name="Normal 47 4 2 2 3" xfId="8593" xr:uid="{00000000-0005-0000-0000-000025190000}"/>
    <cellStyle name="Normal 47 4 2 3" xfId="4591" xr:uid="{00000000-0005-0000-0000-000026190000}"/>
    <cellStyle name="Normal 47 4 2 3 2" xfId="8594" xr:uid="{00000000-0005-0000-0000-000027190000}"/>
    <cellStyle name="Normal 47 4 2 4" xfId="8595" xr:uid="{00000000-0005-0000-0000-000028190000}"/>
    <cellStyle name="Normal 47 4 3" xfId="4592" xr:uid="{00000000-0005-0000-0000-000029190000}"/>
    <cellStyle name="Normal 47 4 3 2" xfId="4593" xr:uid="{00000000-0005-0000-0000-00002A190000}"/>
    <cellStyle name="Normal 47 4 3 2 2" xfId="8596" xr:uid="{00000000-0005-0000-0000-00002B190000}"/>
    <cellStyle name="Normal 47 4 3 3" xfId="8597" xr:uid="{00000000-0005-0000-0000-00002C190000}"/>
    <cellStyle name="Normal 47 4 4" xfId="4594" xr:uid="{00000000-0005-0000-0000-00002D190000}"/>
    <cellStyle name="Normal 47 4 4 2" xfId="8598" xr:uid="{00000000-0005-0000-0000-00002E190000}"/>
    <cellStyle name="Normal 47 4 5" xfId="8599" xr:uid="{00000000-0005-0000-0000-00002F190000}"/>
    <cellStyle name="Normal 47 5" xfId="4595" xr:uid="{00000000-0005-0000-0000-000030190000}"/>
    <cellStyle name="Normal 47 5 2" xfId="4596" xr:uid="{00000000-0005-0000-0000-000031190000}"/>
    <cellStyle name="Normal 47 5 2 2" xfId="4597" xr:uid="{00000000-0005-0000-0000-000032190000}"/>
    <cellStyle name="Normal 47 5 2 2 2" xfId="4598" xr:uid="{00000000-0005-0000-0000-000033190000}"/>
    <cellStyle name="Normal 47 5 2 2 2 2" xfId="8600" xr:uid="{00000000-0005-0000-0000-000034190000}"/>
    <cellStyle name="Normal 47 5 2 2 3" xfId="8601" xr:uid="{00000000-0005-0000-0000-000035190000}"/>
    <cellStyle name="Normal 47 5 2 3" xfId="4599" xr:uid="{00000000-0005-0000-0000-000036190000}"/>
    <cellStyle name="Normal 47 5 2 3 2" xfId="8602" xr:uid="{00000000-0005-0000-0000-000037190000}"/>
    <cellStyle name="Normal 47 5 2 4" xfId="8603" xr:uid="{00000000-0005-0000-0000-000038190000}"/>
    <cellStyle name="Normal 47 5 3" xfId="4600" xr:uid="{00000000-0005-0000-0000-000039190000}"/>
    <cellStyle name="Normal 47 5 3 2" xfId="4601" xr:uid="{00000000-0005-0000-0000-00003A190000}"/>
    <cellStyle name="Normal 47 5 3 2 2" xfId="8604" xr:uid="{00000000-0005-0000-0000-00003B190000}"/>
    <cellStyle name="Normal 47 5 3 3" xfId="8605" xr:uid="{00000000-0005-0000-0000-00003C190000}"/>
    <cellStyle name="Normal 47 5 4" xfId="4602" xr:uid="{00000000-0005-0000-0000-00003D190000}"/>
    <cellStyle name="Normal 47 5 4 2" xfId="8606" xr:uid="{00000000-0005-0000-0000-00003E190000}"/>
    <cellStyle name="Normal 47 5 5" xfId="8607" xr:uid="{00000000-0005-0000-0000-00003F190000}"/>
    <cellStyle name="Normal 47 6" xfId="4603" xr:uid="{00000000-0005-0000-0000-000040190000}"/>
    <cellStyle name="Normal 47 6 2" xfId="4604" xr:uid="{00000000-0005-0000-0000-000041190000}"/>
    <cellStyle name="Normal 47 6 2 2" xfId="4605" xr:uid="{00000000-0005-0000-0000-000042190000}"/>
    <cellStyle name="Normal 47 6 2 2 2" xfId="8608" xr:uid="{00000000-0005-0000-0000-000043190000}"/>
    <cellStyle name="Normal 47 6 2 3" xfId="8609" xr:uid="{00000000-0005-0000-0000-000044190000}"/>
    <cellStyle name="Normal 47 6 3" xfId="4606" xr:uid="{00000000-0005-0000-0000-000045190000}"/>
    <cellStyle name="Normal 47 6 3 2" xfId="8610" xr:uid="{00000000-0005-0000-0000-000046190000}"/>
    <cellStyle name="Normal 47 6 4" xfId="8611" xr:uid="{00000000-0005-0000-0000-000047190000}"/>
    <cellStyle name="Normal 47 7" xfId="4607" xr:uid="{00000000-0005-0000-0000-000048190000}"/>
    <cellStyle name="Normal 47 7 2" xfId="4608" xr:uid="{00000000-0005-0000-0000-000049190000}"/>
    <cellStyle name="Normal 47 7 2 2" xfId="8612" xr:uid="{00000000-0005-0000-0000-00004A190000}"/>
    <cellStyle name="Normal 47 7 3" xfId="8613" xr:uid="{00000000-0005-0000-0000-00004B190000}"/>
    <cellStyle name="Normal 47 8" xfId="4609" xr:uid="{00000000-0005-0000-0000-00004C190000}"/>
    <cellStyle name="Normal 47 8 2" xfId="8614" xr:uid="{00000000-0005-0000-0000-00004D190000}"/>
    <cellStyle name="Normal 47 9" xfId="8615" xr:uid="{00000000-0005-0000-0000-00004E190000}"/>
    <cellStyle name="Normal 48" xfId="4610" xr:uid="{00000000-0005-0000-0000-00004F190000}"/>
    <cellStyle name="Normal 48 2" xfId="4611" xr:uid="{00000000-0005-0000-0000-000050190000}"/>
    <cellStyle name="Normal 48 2 2" xfId="4612" xr:uid="{00000000-0005-0000-0000-000051190000}"/>
    <cellStyle name="Normal 48 3" xfId="4613" xr:uid="{00000000-0005-0000-0000-000052190000}"/>
    <cellStyle name="Normal 48 3 2" xfId="4614" xr:uid="{00000000-0005-0000-0000-000053190000}"/>
    <cellStyle name="Normal 48 3 2 2" xfId="4615" xr:uid="{00000000-0005-0000-0000-000054190000}"/>
    <cellStyle name="Normal 48 3 2 2 2" xfId="4616" xr:uid="{00000000-0005-0000-0000-000055190000}"/>
    <cellStyle name="Normal 48 3 2 2 2 2" xfId="8616" xr:uid="{00000000-0005-0000-0000-000056190000}"/>
    <cellStyle name="Normal 48 3 2 2 3" xfId="8617" xr:uid="{00000000-0005-0000-0000-000057190000}"/>
    <cellStyle name="Normal 48 3 2 3" xfId="4617" xr:uid="{00000000-0005-0000-0000-000058190000}"/>
    <cellStyle name="Normal 48 3 2 3 2" xfId="8618" xr:uid="{00000000-0005-0000-0000-000059190000}"/>
    <cellStyle name="Normal 48 3 2 4" xfId="8619" xr:uid="{00000000-0005-0000-0000-00005A190000}"/>
    <cellStyle name="Normal 48 3 3" xfId="4618" xr:uid="{00000000-0005-0000-0000-00005B190000}"/>
    <cellStyle name="Normal 48 3 3 2" xfId="4619" xr:uid="{00000000-0005-0000-0000-00005C190000}"/>
    <cellStyle name="Normal 48 3 3 2 2" xfId="8620" xr:uid="{00000000-0005-0000-0000-00005D190000}"/>
    <cellStyle name="Normal 48 3 3 3" xfId="8621" xr:uid="{00000000-0005-0000-0000-00005E190000}"/>
    <cellStyle name="Normal 48 3 4" xfId="4620" xr:uid="{00000000-0005-0000-0000-00005F190000}"/>
    <cellStyle name="Normal 48 3 4 2" xfId="8622" xr:uid="{00000000-0005-0000-0000-000060190000}"/>
    <cellStyle name="Normal 48 3 5" xfId="4621" xr:uid="{00000000-0005-0000-0000-000061190000}"/>
    <cellStyle name="Normal 48 4" xfId="4622" xr:uid="{00000000-0005-0000-0000-000062190000}"/>
    <cellStyle name="Normal 48 4 2" xfId="4623" xr:uid="{00000000-0005-0000-0000-000063190000}"/>
    <cellStyle name="Normal 48 4 2 2" xfId="4624" xr:uid="{00000000-0005-0000-0000-000064190000}"/>
    <cellStyle name="Normal 48 4 2 2 2" xfId="4625" xr:uid="{00000000-0005-0000-0000-000065190000}"/>
    <cellStyle name="Normal 48 4 2 2 2 2" xfId="8623" xr:uid="{00000000-0005-0000-0000-000066190000}"/>
    <cellStyle name="Normal 48 4 2 2 3" xfId="8624" xr:uid="{00000000-0005-0000-0000-000067190000}"/>
    <cellStyle name="Normal 48 4 2 3" xfId="4626" xr:uid="{00000000-0005-0000-0000-000068190000}"/>
    <cellStyle name="Normal 48 4 2 3 2" xfId="8625" xr:uid="{00000000-0005-0000-0000-000069190000}"/>
    <cellStyle name="Normal 48 4 2 4" xfId="8626" xr:uid="{00000000-0005-0000-0000-00006A190000}"/>
    <cellStyle name="Normal 48 4 3" xfId="4627" xr:uid="{00000000-0005-0000-0000-00006B190000}"/>
    <cellStyle name="Normal 48 4 3 2" xfId="4628" xr:uid="{00000000-0005-0000-0000-00006C190000}"/>
    <cellStyle name="Normal 48 4 3 2 2" xfId="8627" xr:uid="{00000000-0005-0000-0000-00006D190000}"/>
    <cellStyle name="Normal 48 4 3 3" xfId="8628" xr:uid="{00000000-0005-0000-0000-00006E190000}"/>
    <cellStyle name="Normal 48 4 4" xfId="4629" xr:uid="{00000000-0005-0000-0000-00006F190000}"/>
    <cellStyle name="Normal 48 4 4 2" xfId="8629" xr:uid="{00000000-0005-0000-0000-000070190000}"/>
    <cellStyle name="Normal 48 4 5" xfId="8630" xr:uid="{00000000-0005-0000-0000-000071190000}"/>
    <cellStyle name="Normal 48 5" xfId="4630" xr:uid="{00000000-0005-0000-0000-000072190000}"/>
    <cellStyle name="Normal 48 5 2" xfId="4631" xr:uid="{00000000-0005-0000-0000-000073190000}"/>
    <cellStyle name="Normal 48 5 2 2" xfId="4632" xr:uid="{00000000-0005-0000-0000-000074190000}"/>
    <cellStyle name="Normal 48 5 2 2 2" xfId="4633" xr:uid="{00000000-0005-0000-0000-000075190000}"/>
    <cellStyle name="Normal 48 5 2 2 2 2" xfId="8631" xr:uid="{00000000-0005-0000-0000-000076190000}"/>
    <cellStyle name="Normal 48 5 2 2 3" xfId="8632" xr:uid="{00000000-0005-0000-0000-000077190000}"/>
    <cellStyle name="Normal 48 5 2 3" xfId="4634" xr:uid="{00000000-0005-0000-0000-000078190000}"/>
    <cellStyle name="Normal 48 5 2 3 2" xfId="8633" xr:uid="{00000000-0005-0000-0000-000079190000}"/>
    <cellStyle name="Normal 48 5 2 4" xfId="8634" xr:uid="{00000000-0005-0000-0000-00007A190000}"/>
    <cellStyle name="Normal 48 5 3" xfId="4635" xr:uid="{00000000-0005-0000-0000-00007B190000}"/>
    <cellStyle name="Normal 48 5 3 2" xfId="4636" xr:uid="{00000000-0005-0000-0000-00007C190000}"/>
    <cellStyle name="Normal 48 5 3 2 2" xfId="8635" xr:uid="{00000000-0005-0000-0000-00007D190000}"/>
    <cellStyle name="Normal 48 5 3 3" xfId="8636" xr:uid="{00000000-0005-0000-0000-00007E190000}"/>
    <cellStyle name="Normal 48 5 4" xfId="4637" xr:uid="{00000000-0005-0000-0000-00007F190000}"/>
    <cellStyle name="Normal 48 5 4 2" xfId="8637" xr:uid="{00000000-0005-0000-0000-000080190000}"/>
    <cellStyle name="Normal 48 5 5" xfId="8638" xr:uid="{00000000-0005-0000-0000-000081190000}"/>
    <cellStyle name="Normal 48 6" xfId="4638" xr:uid="{00000000-0005-0000-0000-000082190000}"/>
    <cellStyle name="Normal 48 6 2" xfId="4639" xr:uid="{00000000-0005-0000-0000-000083190000}"/>
    <cellStyle name="Normal 48 6 2 2" xfId="4640" xr:uid="{00000000-0005-0000-0000-000084190000}"/>
    <cellStyle name="Normal 48 6 2 2 2" xfId="8639" xr:uid="{00000000-0005-0000-0000-000085190000}"/>
    <cellStyle name="Normal 48 6 2 3" xfId="8640" xr:uid="{00000000-0005-0000-0000-000086190000}"/>
    <cellStyle name="Normal 48 6 3" xfId="4641" xr:uid="{00000000-0005-0000-0000-000087190000}"/>
    <cellStyle name="Normal 48 6 3 2" xfId="8641" xr:uid="{00000000-0005-0000-0000-000088190000}"/>
    <cellStyle name="Normal 48 6 4" xfId="8642" xr:uid="{00000000-0005-0000-0000-000089190000}"/>
    <cellStyle name="Normal 48 7" xfId="4642" xr:uid="{00000000-0005-0000-0000-00008A190000}"/>
    <cellStyle name="Normal 48 7 2" xfId="4643" xr:uid="{00000000-0005-0000-0000-00008B190000}"/>
    <cellStyle name="Normal 48 7 2 2" xfId="8643" xr:uid="{00000000-0005-0000-0000-00008C190000}"/>
    <cellStyle name="Normal 48 7 3" xfId="8644" xr:uid="{00000000-0005-0000-0000-00008D190000}"/>
    <cellStyle name="Normal 48 8" xfId="4644" xr:uid="{00000000-0005-0000-0000-00008E190000}"/>
    <cellStyle name="Normal 48 8 2" xfId="8645" xr:uid="{00000000-0005-0000-0000-00008F190000}"/>
    <cellStyle name="Normal 48 9" xfId="8646" xr:uid="{00000000-0005-0000-0000-000090190000}"/>
    <cellStyle name="Normal 49" xfId="4645" xr:uid="{00000000-0005-0000-0000-000091190000}"/>
    <cellStyle name="Normal 49 2" xfId="4646" xr:uid="{00000000-0005-0000-0000-000092190000}"/>
    <cellStyle name="Normal 49 2 2" xfId="4647" xr:uid="{00000000-0005-0000-0000-000093190000}"/>
    <cellStyle name="Normal 49 3" xfId="4648" xr:uid="{00000000-0005-0000-0000-000094190000}"/>
    <cellStyle name="Normal 49 3 2" xfId="4649" xr:uid="{00000000-0005-0000-0000-000095190000}"/>
    <cellStyle name="Normal 49 3 2 2" xfId="4650" xr:uid="{00000000-0005-0000-0000-000096190000}"/>
    <cellStyle name="Normal 49 3 2 2 2" xfId="4651" xr:uid="{00000000-0005-0000-0000-000097190000}"/>
    <cellStyle name="Normal 49 3 2 2 2 2" xfId="8647" xr:uid="{00000000-0005-0000-0000-000098190000}"/>
    <cellStyle name="Normal 49 3 2 2 3" xfId="8648" xr:uid="{00000000-0005-0000-0000-000099190000}"/>
    <cellStyle name="Normal 49 3 2 3" xfId="4652" xr:uid="{00000000-0005-0000-0000-00009A190000}"/>
    <cellStyle name="Normal 49 3 2 3 2" xfId="8649" xr:uid="{00000000-0005-0000-0000-00009B190000}"/>
    <cellStyle name="Normal 49 3 2 4" xfId="8650" xr:uid="{00000000-0005-0000-0000-00009C190000}"/>
    <cellStyle name="Normal 49 3 3" xfId="4653" xr:uid="{00000000-0005-0000-0000-00009D190000}"/>
    <cellStyle name="Normal 49 3 3 2" xfId="4654" xr:uid="{00000000-0005-0000-0000-00009E190000}"/>
    <cellStyle name="Normal 49 3 3 2 2" xfId="8651" xr:uid="{00000000-0005-0000-0000-00009F190000}"/>
    <cellStyle name="Normal 49 3 3 3" xfId="8652" xr:uid="{00000000-0005-0000-0000-0000A0190000}"/>
    <cellStyle name="Normal 49 3 4" xfId="4655" xr:uid="{00000000-0005-0000-0000-0000A1190000}"/>
    <cellStyle name="Normal 49 3 4 2" xfId="8653" xr:uid="{00000000-0005-0000-0000-0000A2190000}"/>
    <cellStyle name="Normal 49 3 5" xfId="4656" xr:uid="{00000000-0005-0000-0000-0000A3190000}"/>
    <cellStyle name="Normal 49 4" xfId="4657" xr:uid="{00000000-0005-0000-0000-0000A4190000}"/>
    <cellStyle name="Normal 49 4 2" xfId="4658" xr:uid="{00000000-0005-0000-0000-0000A5190000}"/>
    <cellStyle name="Normal 49 4 2 2" xfId="4659" xr:uid="{00000000-0005-0000-0000-0000A6190000}"/>
    <cellStyle name="Normal 49 4 2 2 2" xfId="4660" xr:uid="{00000000-0005-0000-0000-0000A7190000}"/>
    <cellStyle name="Normal 49 4 2 2 2 2" xfId="8654" xr:uid="{00000000-0005-0000-0000-0000A8190000}"/>
    <cellStyle name="Normal 49 4 2 2 3" xfId="8655" xr:uid="{00000000-0005-0000-0000-0000A9190000}"/>
    <cellStyle name="Normal 49 4 2 3" xfId="4661" xr:uid="{00000000-0005-0000-0000-0000AA190000}"/>
    <cellStyle name="Normal 49 4 2 3 2" xfId="8656" xr:uid="{00000000-0005-0000-0000-0000AB190000}"/>
    <cellStyle name="Normal 49 4 2 4" xfId="8657" xr:uid="{00000000-0005-0000-0000-0000AC190000}"/>
    <cellStyle name="Normal 49 4 3" xfId="4662" xr:uid="{00000000-0005-0000-0000-0000AD190000}"/>
    <cellStyle name="Normal 49 4 3 2" xfId="4663" xr:uid="{00000000-0005-0000-0000-0000AE190000}"/>
    <cellStyle name="Normal 49 4 3 2 2" xfId="8658" xr:uid="{00000000-0005-0000-0000-0000AF190000}"/>
    <cellStyle name="Normal 49 4 3 3" xfId="8659" xr:uid="{00000000-0005-0000-0000-0000B0190000}"/>
    <cellStyle name="Normal 49 4 4" xfId="4664" xr:uid="{00000000-0005-0000-0000-0000B1190000}"/>
    <cellStyle name="Normal 49 4 4 2" xfId="8660" xr:uid="{00000000-0005-0000-0000-0000B2190000}"/>
    <cellStyle name="Normal 49 4 5" xfId="8661" xr:uid="{00000000-0005-0000-0000-0000B3190000}"/>
    <cellStyle name="Normal 49 5" xfId="4665" xr:uid="{00000000-0005-0000-0000-0000B4190000}"/>
    <cellStyle name="Normal 49 5 2" xfId="4666" xr:uid="{00000000-0005-0000-0000-0000B5190000}"/>
    <cellStyle name="Normal 49 5 2 2" xfId="4667" xr:uid="{00000000-0005-0000-0000-0000B6190000}"/>
    <cellStyle name="Normal 49 5 2 2 2" xfId="4668" xr:uid="{00000000-0005-0000-0000-0000B7190000}"/>
    <cellStyle name="Normal 49 5 2 2 2 2" xfId="8662" xr:uid="{00000000-0005-0000-0000-0000B8190000}"/>
    <cellStyle name="Normal 49 5 2 2 3" xfId="8663" xr:uid="{00000000-0005-0000-0000-0000B9190000}"/>
    <cellStyle name="Normal 49 5 2 3" xfId="4669" xr:uid="{00000000-0005-0000-0000-0000BA190000}"/>
    <cellStyle name="Normal 49 5 2 3 2" xfId="8664" xr:uid="{00000000-0005-0000-0000-0000BB190000}"/>
    <cellStyle name="Normal 49 5 2 4" xfId="8665" xr:uid="{00000000-0005-0000-0000-0000BC190000}"/>
    <cellStyle name="Normal 49 5 3" xfId="4670" xr:uid="{00000000-0005-0000-0000-0000BD190000}"/>
    <cellStyle name="Normal 49 5 3 2" xfId="4671" xr:uid="{00000000-0005-0000-0000-0000BE190000}"/>
    <cellStyle name="Normal 49 5 3 2 2" xfId="8666" xr:uid="{00000000-0005-0000-0000-0000BF190000}"/>
    <cellStyle name="Normal 49 5 3 3" xfId="8667" xr:uid="{00000000-0005-0000-0000-0000C0190000}"/>
    <cellStyle name="Normal 49 5 4" xfId="4672" xr:uid="{00000000-0005-0000-0000-0000C1190000}"/>
    <cellStyle name="Normal 49 5 4 2" xfId="8668" xr:uid="{00000000-0005-0000-0000-0000C2190000}"/>
    <cellStyle name="Normal 49 5 5" xfId="8669" xr:uid="{00000000-0005-0000-0000-0000C3190000}"/>
    <cellStyle name="Normal 49 6" xfId="4673" xr:uid="{00000000-0005-0000-0000-0000C4190000}"/>
    <cellStyle name="Normal 49 6 2" xfId="4674" xr:uid="{00000000-0005-0000-0000-0000C5190000}"/>
    <cellStyle name="Normal 49 6 2 2" xfId="4675" xr:uid="{00000000-0005-0000-0000-0000C6190000}"/>
    <cellStyle name="Normal 49 6 2 2 2" xfId="8670" xr:uid="{00000000-0005-0000-0000-0000C7190000}"/>
    <cellStyle name="Normal 49 6 2 3" xfId="8671" xr:uid="{00000000-0005-0000-0000-0000C8190000}"/>
    <cellStyle name="Normal 49 6 3" xfId="4676" xr:uid="{00000000-0005-0000-0000-0000C9190000}"/>
    <cellStyle name="Normal 49 6 3 2" xfId="8672" xr:uid="{00000000-0005-0000-0000-0000CA190000}"/>
    <cellStyle name="Normal 49 6 4" xfId="8673" xr:uid="{00000000-0005-0000-0000-0000CB190000}"/>
    <cellStyle name="Normal 49 7" xfId="4677" xr:uid="{00000000-0005-0000-0000-0000CC190000}"/>
    <cellStyle name="Normal 49 7 2" xfId="4678" xr:uid="{00000000-0005-0000-0000-0000CD190000}"/>
    <cellStyle name="Normal 49 7 2 2" xfId="8674" xr:uid="{00000000-0005-0000-0000-0000CE190000}"/>
    <cellStyle name="Normal 49 7 3" xfId="8675" xr:uid="{00000000-0005-0000-0000-0000CF190000}"/>
    <cellStyle name="Normal 49 8" xfId="4679" xr:uid="{00000000-0005-0000-0000-0000D0190000}"/>
    <cellStyle name="Normal 49 8 2" xfId="8676" xr:uid="{00000000-0005-0000-0000-0000D1190000}"/>
    <cellStyle name="Normal 49 9" xfId="8677" xr:uid="{00000000-0005-0000-0000-0000D2190000}"/>
    <cellStyle name="Normal 5" xfId="34" xr:uid="{00000000-0005-0000-0000-0000D3190000}"/>
    <cellStyle name="Normal 5 10" xfId="8679" xr:uid="{00000000-0005-0000-0000-0000D4190000}"/>
    <cellStyle name="Normal 5 11" xfId="8678" xr:uid="{00000000-0005-0000-0000-0000D5190000}"/>
    <cellStyle name="Normal 5 12" xfId="6619" xr:uid="{00000000-0005-0000-0000-0000D6190000}"/>
    <cellStyle name="Normal 5 13" xfId="10907" xr:uid="{00000000-0005-0000-0000-0000D7190000}"/>
    <cellStyle name="Normal 5 2" xfId="283" xr:uid="{00000000-0005-0000-0000-0000D8190000}"/>
    <cellStyle name="Normal 5 2 2" xfId="284" xr:uid="{00000000-0005-0000-0000-0000D9190000}"/>
    <cellStyle name="Normal 5 2 2 2" xfId="4681" xr:uid="{00000000-0005-0000-0000-0000DA190000}"/>
    <cellStyle name="Normal 5 2 3" xfId="4680" xr:uid="{00000000-0005-0000-0000-0000DB190000}"/>
    <cellStyle name="Normal 5 3" xfId="285" xr:uid="{00000000-0005-0000-0000-0000DC190000}"/>
    <cellStyle name="Normal 5 3 2" xfId="4683" xr:uid="{00000000-0005-0000-0000-0000DD190000}"/>
    <cellStyle name="Normal 5 3 2 2" xfId="4684" xr:uid="{00000000-0005-0000-0000-0000DE190000}"/>
    <cellStyle name="Normal 5 3 2 2 2" xfId="4685" xr:uid="{00000000-0005-0000-0000-0000DF190000}"/>
    <cellStyle name="Normal 5 3 2 2 2 2" xfId="8680" xr:uid="{00000000-0005-0000-0000-0000E0190000}"/>
    <cellStyle name="Normal 5 3 2 2 3" xfId="8681" xr:uid="{00000000-0005-0000-0000-0000E1190000}"/>
    <cellStyle name="Normal 5 3 2 3" xfId="4686" xr:uid="{00000000-0005-0000-0000-0000E2190000}"/>
    <cellStyle name="Normal 5 3 2 3 2" xfId="8682" xr:uid="{00000000-0005-0000-0000-0000E3190000}"/>
    <cellStyle name="Normal 5 3 2 4" xfId="8683" xr:uid="{00000000-0005-0000-0000-0000E4190000}"/>
    <cellStyle name="Normal 5 3 3" xfId="4687" xr:uid="{00000000-0005-0000-0000-0000E5190000}"/>
    <cellStyle name="Normal 5 3 3 2" xfId="4688" xr:uid="{00000000-0005-0000-0000-0000E6190000}"/>
    <cellStyle name="Normal 5 3 3 2 2" xfId="8684" xr:uid="{00000000-0005-0000-0000-0000E7190000}"/>
    <cellStyle name="Normal 5 3 3 3" xfId="8685" xr:uid="{00000000-0005-0000-0000-0000E8190000}"/>
    <cellStyle name="Normal 5 3 4" xfId="4689" xr:uid="{00000000-0005-0000-0000-0000E9190000}"/>
    <cellStyle name="Normal 5 3 4 2" xfId="8686" xr:uid="{00000000-0005-0000-0000-0000EA190000}"/>
    <cellStyle name="Normal 5 3 5" xfId="4690" xr:uid="{00000000-0005-0000-0000-0000EB190000}"/>
    <cellStyle name="Normal 5 3 6" xfId="4682" xr:uid="{00000000-0005-0000-0000-0000EC190000}"/>
    <cellStyle name="Normal 5 4" xfId="1581" xr:uid="{00000000-0005-0000-0000-0000ED190000}"/>
    <cellStyle name="Normal 5 4 2" xfId="4691" xr:uid="{00000000-0005-0000-0000-0000EE190000}"/>
    <cellStyle name="Normal 5 4 2 2" xfId="4692" xr:uid="{00000000-0005-0000-0000-0000EF190000}"/>
    <cellStyle name="Normal 5 4 2 2 2" xfId="4693" xr:uid="{00000000-0005-0000-0000-0000F0190000}"/>
    <cellStyle name="Normal 5 4 2 2 2 2" xfId="8687" xr:uid="{00000000-0005-0000-0000-0000F1190000}"/>
    <cellStyle name="Normal 5 4 2 2 3" xfId="8688" xr:uid="{00000000-0005-0000-0000-0000F2190000}"/>
    <cellStyle name="Normal 5 4 2 3" xfId="4694" xr:uid="{00000000-0005-0000-0000-0000F3190000}"/>
    <cellStyle name="Normal 5 4 2 3 2" xfId="8689" xr:uid="{00000000-0005-0000-0000-0000F4190000}"/>
    <cellStyle name="Normal 5 4 2 4" xfId="8690" xr:uid="{00000000-0005-0000-0000-0000F5190000}"/>
    <cellStyle name="Normal 5 4 3" xfId="4695" xr:uid="{00000000-0005-0000-0000-0000F6190000}"/>
    <cellStyle name="Normal 5 4 3 2" xfId="4696" xr:uid="{00000000-0005-0000-0000-0000F7190000}"/>
    <cellStyle name="Normal 5 4 3 2 2" xfId="8691" xr:uid="{00000000-0005-0000-0000-0000F8190000}"/>
    <cellStyle name="Normal 5 4 3 3" xfId="8692" xr:uid="{00000000-0005-0000-0000-0000F9190000}"/>
    <cellStyle name="Normal 5 4 4" xfId="4697" xr:uid="{00000000-0005-0000-0000-0000FA190000}"/>
    <cellStyle name="Normal 5 4 4 2" xfId="8693" xr:uid="{00000000-0005-0000-0000-0000FB190000}"/>
    <cellStyle name="Normal 5 4 5" xfId="8694" xr:uid="{00000000-0005-0000-0000-0000FC190000}"/>
    <cellStyle name="Normal 5 5" xfId="4698" xr:uid="{00000000-0005-0000-0000-0000FD190000}"/>
    <cellStyle name="Normal 5 5 2" xfId="4699" xr:uid="{00000000-0005-0000-0000-0000FE190000}"/>
    <cellStyle name="Normal 5 5 2 2" xfId="4700" xr:uid="{00000000-0005-0000-0000-0000FF190000}"/>
    <cellStyle name="Normal 5 5 2 2 2" xfId="4701" xr:uid="{00000000-0005-0000-0000-0000001A0000}"/>
    <cellStyle name="Normal 5 5 2 2 2 2" xfId="8695" xr:uid="{00000000-0005-0000-0000-0000011A0000}"/>
    <cellStyle name="Normal 5 5 2 2 3" xfId="8696" xr:uid="{00000000-0005-0000-0000-0000021A0000}"/>
    <cellStyle name="Normal 5 5 2 3" xfId="4702" xr:uid="{00000000-0005-0000-0000-0000031A0000}"/>
    <cellStyle name="Normal 5 5 2 3 2" xfId="8697" xr:uid="{00000000-0005-0000-0000-0000041A0000}"/>
    <cellStyle name="Normal 5 5 2 4" xfId="8698" xr:uid="{00000000-0005-0000-0000-0000051A0000}"/>
    <cellStyle name="Normal 5 5 3" xfId="4703" xr:uid="{00000000-0005-0000-0000-0000061A0000}"/>
    <cellStyle name="Normal 5 5 3 2" xfId="4704" xr:uid="{00000000-0005-0000-0000-0000071A0000}"/>
    <cellStyle name="Normal 5 5 3 2 2" xfId="8699" xr:uid="{00000000-0005-0000-0000-0000081A0000}"/>
    <cellStyle name="Normal 5 5 3 3" xfId="8700" xr:uid="{00000000-0005-0000-0000-0000091A0000}"/>
    <cellStyle name="Normal 5 5 4" xfId="4705" xr:uid="{00000000-0005-0000-0000-00000A1A0000}"/>
    <cellStyle name="Normal 5 5 4 2" xfId="8701" xr:uid="{00000000-0005-0000-0000-00000B1A0000}"/>
    <cellStyle name="Normal 5 5 5" xfId="8702" xr:uid="{00000000-0005-0000-0000-00000C1A0000}"/>
    <cellStyle name="Normal 5 6" xfId="4706" xr:uid="{00000000-0005-0000-0000-00000D1A0000}"/>
    <cellStyle name="Normal 5 6 2" xfId="4707" xr:uid="{00000000-0005-0000-0000-00000E1A0000}"/>
    <cellStyle name="Normal 5 6 2 2" xfId="4708" xr:uid="{00000000-0005-0000-0000-00000F1A0000}"/>
    <cellStyle name="Normal 5 6 2 2 2" xfId="8703" xr:uid="{00000000-0005-0000-0000-0000101A0000}"/>
    <cellStyle name="Normal 5 6 2 3" xfId="8704" xr:uid="{00000000-0005-0000-0000-0000111A0000}"/>
    <cellStyle name="Normal 5 6 3" xfId="4709" xr:uid="{00000000-0005-0000-0000-0000121A0000}"/>
    <cellStyle name="Normal 5 6 3 2" xfId="8705" xr:uid="{00000000-0005-0000-0000-0000131A0000}"/>
    <cellStyle name="Normal 5 6 4" xfId="8706" xr:uid="{00000000-0005-0000-0000-0000141A0000}"/>
    <cellStyle name="Normal 5 7" xfId="4710" xr:uid="{00000000-0005-0000-0000-0000151A0000}"/>
    <cellStyle name="Normal 5 7 2" xfId="4711" xr:uid="{00000000-0005-0000-0000-0000161A0000}"/>
    <cellStyle name="Normal 5 7 2 2" xfId="8707" xr:uid="{00000000-0005-0000-0000-0000171A0000}"/>
    <cellStyle name="Normal 5 7 3" xfId="8708" xr:uid="{00000000-0005-0000-0000-0000181A0000}"/>
    <cellStyle name="Normal 5 8" xfId="4712" xr:uid="{00000000-0005-0000-0000-0000191A0000}"/>
    <cellStyle name="Normal 5 8 2" xfId="8709" xr:uid="{00000000-0005-0000-0000-00001A1A0000}"/>
    <cellStyle name="Normal 5 9" xfId="8710" xr:uid="{00000000-0005-0000-0000-00001B1A0000}"/>
    <cellStyle name="Normal 50" xfId="4713" xr:uid="{00000000-0005-0000-0000-00001C1A0000}"/>
    <cellStyle name="Normal 50 2" xfId="4714" xr:uid="{00000000-0005-0000-0000-00001D1A0000}"/>
    <cellStyle name="Normal 50 2 2" xfId="4715" xr:uid="{00000000-0005-0000-0000-00001E1A0000}"/>
    <cellStyle name="Normal 50 3" xfId="4716" xr:uid="{00000000-0005-0000-0000-00001F1A0000}"/>
    <cellStyle name="Normal 50 3 2" xfId="4717" xr:uid="{00000000-0005-0000-0000-0000201A0000}"/>
    <cellStyle name="Normal 50 3 2 2" xfId="4718" xr:uid="{00000000-0005-0000-0000-0000211A0000}"/>
    <cellStyle name="Normal 50 3 2 2 2" xfId="4719" xr:uid="{00000000-0005-0000-0000-0000221A0000}"/>
    <cellStyle name="Normal 50 3 2 2 2 2" xfId="8711" xr:uid="{00000000-0005-0000-0000-0000231A0000}"/>
    <cellStyle name="Normal 50 3 2 2 3" xfId="8712" xr:uid="{00000000-0005-0000-0000-0000241A0000}"/>
    <cellStyle name="Normal 50 3 2 3" xfId="4720" xr:uid="{00000000-0005-0000-0000-0000251A0000}"/>
    <cellStyle name="Normal 50 3 2 3 2" xfId="8713" xr:uid="{00000000-0005-0000-0000-0000261A0000}"/>
    <cellStyle name="Normal 50 3 2 4" xfId="8714" xr:uid="{00000000-0005-0000-0000-0000271A0000}"/>
    <cellStyle name="Normal 50 3 3" xfId="4721" xr:uid="{00000000-0005-0000-0000-0000281A0000}"/>
    <cellStyle name="Normal 50 3 3 2" xfId="4722" xr:uid="{00000000-0005-0000-0000-0000291A0000}"/>
    <cellStyle name="Normal 50 3 3 2 2" xfId="8715" xr:uid="{00000000-0005-0000-0000-00002A1A0000}"/>
    <cellStyle name="Normal 50 3 3 3" xfId="8716" xr:uid="{00000000-0005-0000-0000-00002B1A0000}"/>
    <cellStyle name="Normal 50 3 4" xfId="4723" xr:uid="{00000000-0005-0000-0000-00002C1A0000}"/>
    <cellStyle name="Normal 50 3 4 2" xfId="8717" xr:uid="{00000000-0005-0000-0000-00002D1A0000}"/>
    <cellStyle name="Normal 50 3 5" xfId="4724" xr:uid="{00000000-0005-0000-0000-00002E1A0000}"/>
    <cellStyle name="Normal 50 4" xfId="4725" xr:uid="{00000000-0005-0000-0000-00002F1A0000}"/>
    <cellStyle name="Normal 50 4 2" xfId="4726" xr:uid="{00000000-0005-0000-0000-0000301A0000}"/>
    <cellStyle name="Normal 50 4 2 2" xfId="4727" xr:uid="{00000000-0005-0000-0000-0000311A0000}"/>
    <cellStyle name="Normal 50 4 2 2 2" xfId="4728" xr:uid="{00000000-0005-0000-0000-0000321A0000}"/>
    <cellStyle name="Normal 50 4 2 2 2 2" xfId="8718" xr:uid="{00000000-0005-0000-0000-0000331A0000}"/>
    <cellStyle name="Normal 50 4 2 2 3" xfId="8719" xr:uid="{00000000-0005-0000-0000-0000341A0000}"/>
    <cellStyle name="Normal 50 4 2 3" xfId="4729" xr:uid="{00000000-0005-0000-0000-0000351A0000}"/>
    <cellStyle name="Normal 50 4 2 3 2" xfId="8720" xr:uid="{00000000-0005-0000-0000-0000361A0000}"/>
    <cellStyle name="Normal 50 4 2 4" xfId="8721" xr:uid="{00000000-0005-0000-0000-0000371A0000}"/>
    <cellStyle name="Normal 50 4 3" xfId="4730" xr:uid="{00000000-0005-0000-0000-0000381A0000}"/>
    <cellStyle name="Normal 50 4 3 2" xfId="4731" xr:uid="{00000000-0005-0000-0000-0000391A0000}"/>
    <cellStyle name="Normal 50 4 3 2 2" xfId="8722" xr:uid="{00000000-0005-0000-0000-00003A1A0000}"/>
    <cellStyle name="Normal 50 4 3 3" xfId="8723" xr:uid="{00000000-0005-0000-0000-00003B1A0000}"/>
    <cellStyle name="Normal 50 4 4" xfId="4732" xr:uid="{00000000-0005-0000-0000-00003C1A0000}"/>
    <cellStyle name="Normal 50 4 4 2" xfId="8724" xr:uid="{00000000-0005-0000-0000-00003D1A0000}"/>
    <cellStyle name="Normal 50 4 5" xfId="8725" xr:uid="{00000000-0005-0000-0000-00003E1A0000}"/>
    <cellStyle name="Normal 50 5" xfId="4733" xr:uid="{00000000-0005-0000-0000-00003F1A0000}"/>
    <cellStyle name="Normal 50 5 2" xfId="4734" xr:uid="{00000000-0005-0000-0000-0000401A0000}"/>
    <cellStyle name="Normal 50 5 2 2" xfId="4735" xr:uid="{00000000-0005-0000-0000-0000411A0000}"/>
    <cellStyle name="Normal 50 5 2 2 2" xfId="4736" xr:uid="{00000000-0005-0000-0000-0000421A0000}"/>
    <cellStyle name="Normal 50 5 2 2 2 2" xfId="8726" xr:uid="{00000000-0005-0000-0000-0000431A0000}"/>
    <cellStyle name="Normal 50 5 2 2 3" xfId="8727" xr:uid="{00000000-0005-0000-0000-0000441A0000}"/>
    <cellStyle name="Normal 50 5 2 3" xfId="4737" xr:uid="{00000000-0005-0000-0000-0000451A0000}"/>
    <cellStyle name="Normal 50 5 2 3 2" xfId="8728" xr:uid="{00000000-0005-0000-0000-0000461A0000}"/>
    <cellStyle name="Normal 50 5 2 4" xfId="8729" xr:uid="{00000000-0005-0000-0000-0000471A0000}"/>
    <cellStyle name="Normal 50 5 3" xfId="4738" xr:uid="{00000000-0005-0000-0000-0000481A0000}"/>
    <cellStyle name="Normal 50 5 3 2" xfId="4739" xr:uid="{00000000-0005-0000-0000-0000491A0000}"/>
    <cellStyle name="Normal 50 5 3 2 2" xfId="8730" xr:uid="{00000000-0005-0000-0000-00004A1A0000}"/>
    <cellStyle name="Normal 50 5 3 3" xfId="8731" xr:uid="{00000000-0005-0000-0000-00004B1A0000}"/>
    <cellStyle name="Normal 50 5 4" xfId="4740" xr:uid="{00000000-0005-0000-0000-00004C1A0000}"/>
    <cellStyle name="Normal 50 5 4 2" xfId="8732" xr:uid="{00000000-0005-0000-0000-00004D1A0000}"/>
    <cellStyle name="Normal 50 5 5" xfId="8733" xr:uid="{00000000-0005-0000-0000-00004E1A0000}"/>
    <cellStyle name="Normal 50 6" xfId="4741" xr:uid="{00000000-0005-0000-0000-00004F1A0000}"/>
    <cellStyle name="Normal 50 6 2" xfId="4742" xr:uid="{00000000-0005-0000-0000-0000501A0000}"/>
    <cellStyle name="Normal 50 6 2 2" xfId="4743" xr:uid="{00000000-0005-0000-0000-0000511A0000}"/>
    <cellStyle name="Normal 50 6 2 2 2" xfId="8734" xr:uid="{00000000-0005-0000-0000-0000521A0000}"/>
    <cellStyle name="Normal 50 6 2 3" xfId="8735" xr:uid="{00000000-0005-0000-0000-0000531A0000}"/>
    <cellStyle name="Normal 50 6 3" xfId="4744" xr:uid="{00000000-0005-0000-0000-0000541A0000}"/>
    <cellStyle name="Normal 50 6 3 2" xfId="8736" xr:uid="{00000000-0005-0000-0000-0000551A0000}"/>
    <cellStyle name="Normal 50 6 4" xfId="8737" xr:uid="{00000000-0005-0000-0000-0000561A0000}"/>
    <cellStyle name="Normal 50 7" xfId="4745" xr:uid="{00000000-0005-0000-0000-0000571A0000}"/>
    <cellStyle name="Normal 50 7 2" xfId="4746" xr:uid="{00000000-0005-0000-0000-0000581A0000}"/>
    <cellStyle name="Normal 50 7 2 2" xfId="8738" xr:uid="{00000000-0005-0000-0000-0000591A0000}"/>
    <cellStyle name="Normal 50 7 3" xfId="8739" xr:uid="{00000000-0005-0000-0000-00005A1A0000}"/>
    <cellStyle name="Normal 50 8" xfId="4747" xr:uid="{00000000-0005-0000-0000-00005B1A0000}"/>
    <cellStyle name="Normal 50 8 2" xfId="8740" xr:uid="{00000000-0005-0000-0000-00005C1A0000}"/>
    <cellStyle name="Normal 50 9" xfId="8741" xr:uid="{00000000-0005-0000-0000-00005D1A0000}"/>
    <cellStyle name="Normal 51" xfId="4748" xr:uid="{00000000-0005-0000-0000-00005E1A0000}"/>
    <cellStyle name="Normal 51 2" xfId="4749" xr:uid="{00000000-0005-0000-0000-00005F1A0000}"/>
    <cellStyle name="Normal 51 2 2" xfId="4750" xr:uid="{00000000-0005-0000-0000-0000601A0000}"/>
    <cellStyle name="Normal 51 3" xfId="4751" xr:uid="{00000000-0005-0000-0000-0000611A0000}"/>
    <cellStyle name="Normal 51 3 2" xfId="4752" xr:uid="{00000000-0005-0000-0000-0000621A0000}"/>
    <cellStyle name="Normal 51 3 2 2" xfId="4753" xr:uid="{00000000-0005-0000-0000-0000631A0000}"/>
    <cellStyle name="Normal 51 3 2 2 2" xfId="4754" xr:uid="{00000000-0005-0000-0000-0000641A0000}"/>
    <cellStyle name="Normal 51 3 2 2 2 2" xfId="8742" xr:uid="{00000000-0005-0000-0000-0000651A0000}"/>
    <cellStyle name="Normal 51 3 2 2 3" xfId="8743" xr:uid="{00000000-0005-0000-0000-0000661A0000}"/>
    <cellStyle name="Normal 51 3 2 3" xfId="4755" xr:uid="{00000000-0005-0000-0000-0000671A0000}"/>
    <cellStyle name="Normal 51 3 2 3 2" xfId="8744" xr:uid="{00000000-0005-0000-0000-0000681A0000}"/>
    <cellStyle name="Normal 51 3 2 4" xfId="8745" xr:uid="{00000000-0005-0000-0000-0000691A0000}"/>
    <cellStyle name="Normal 51 3 3" xfId="4756" xr:uid="{00000000-0005-0000-0000-00006A1A0000}"/>
    <cellStyle name="Normal 51 3 3 2" xfId="4757" xr:uid="{00000000-0005-0000-0000-00006B1A0000}"/>
    <cellStyle name="Normal 51 3 3 2 2" xfId="8746" xr:uid="{00000000-0005-0000-0000-00006C1A0000}"/>
    <cellStyle name="Normal 51 3 3 3" xfId="8747" xr:uid="{00000000-0005-0000-0000-00006D1A0000}"/>
    <cellStyle name="Normal 51 3 4" xfId="4758" xr:uid="{00000000-0005-0000-0000-00006E1A0000}"/>
    <cellStyle name="Normal 51 3 4 2" xfId="8748" xr:uid="{00000000-0005-0000-0000-00006F1A0000}"/>
    <cellStyle name="Normal 51 3 5" xfId="4759" xr:uid="{00000000-0005-0000-0000-0000701A0000}"/>
    <cellStyle name="Normal 51 4" xfId="4760" xr:uid="{00000000-0005-0000-0000-0000711A0000}"/>
    <cellStyle name="Normal 51 4 2" xfId="4761" xr:uid="{00000000-0005-0000-0000-0000721A0000}"/>
    <cellStyle name="Normal 51 4 2 2" xfId="4762" xr:uid="{00000000-0005-0000-0000-0000731A0000}"/>
    <cellStyle name="Normal 51 4 2 2 2" xfId="4763" xr:uid="{00000000-0005-0000-0000-0000741A0000}"/>
    <cellStyle name="Normal 51 4 2 2 2 2" xfId="8749" xr:uid="{00000000-0005-0000-0000-0000751A0000}"/>
    <cellStyle name="Normal 51 4 2 2 3" xfId="8750" xr:uid="{00000000-0005-0000-0000-0000761A0000}"/>
    <cellStyle name="Normal 51 4 2 3" xfId="4764" xr:uid="{00000000-0005-0000-0000-0000771A0000}"/>
    <cellStyle name="Normal 51 4 2 3 2" xfId="8751" xr:uid="{00000000-0005-0000-0000-0000781A0000}"/>
    <cellStyle name="Normal 51 4 2 4" xfId="8752" xr:uid="{00000000-0005-0000-0000-0000791A0000}"/>
    <cellStyle name="Normal 51 4 3" xfId="4765" xr:uid="{00000000-0005-0000-0000-00007A1A0000}"/>
    <cellStyle name="Normal 51 4 3 2" xfId="4766" xr:uid="{00000000-0005-0000-0000-00007B1A0000}"/>
    <cellStyle name="Normal 51 4 3 2 2" xfId="8753" xr:uid="{00000000-0005-0000-0000-00007C1A0000}"/>
    <cellStyle name="Normal 51 4 3 3" xfId="8754" xr:uid="{00000000-0005-0000-0000-00007D1A0000}"/>
    <cellStyle name="Normal 51 4 4" xfId="4767" xr:uid="{00000000-0005-0000-0000-00007E1A0000}"/>
    <cellStyle name="Normal 51 4 4 2" xfId="8755" xr:uid="{00000000-0005-0000-0000-00007F1A0000}"/>
    <cellStyle name="Normal 51 4 5" xfId="8756" xr:uid="{00000000-0005-0000-0000-0000801A0000}"/>
    <cellStyle name="Normal 51 5" xfId="4768" xr:uid="{00000000-0005-0000-0000-0000811A0000}"/>
    <cellStyle name="Normal 51 5 2" xfId="4769" xr:uid="{00000000-0005-0000-0000-0000821A0000}"/>
    <cellStyle name="Normal 51 5 2 2" xfId="4770" xr:uid="{00000000-0005-0000-0000-0000831A0000}"/>
    <cellStyle name="Normal 51 5 2 2 2" xfId="4771" xr:uid="{00000000-0005-0000-0000-0000841A0000}"/>
    <cellStyle name="Normal 51 5 2 2 2 2" xfId="8757" xr:uid="{00000000-0005-0000-0000-0000851A0000}"/>
    <cellStyle name="Normal 51 5 2 2 3" xfId="8758" xr:uid="{00000000-0005-0000-0000-0000861A0000}"/>
    <cellStyle name="Normal 51 5 2 3" xfId="4772" xr:uid="{00000000-0005-0000-0000-0000871A0000}"/>
    <cellStyle name="Normal 51 5 2 3 2" xfId="8759" xr:uid="{00000000-0005-0000-0000-0000881A0000}"/>
    <cellStyle name="Normal 51 5 2 4" xfId="8760" xr:uid="{00000000-0005-0000-0000-0000891A0000}"/>
    <cellStyle name="Normal 51 5 3" xfId="4773" xr:uid="{00000000-0005-0000-0000-00008A1A0000}"/>
    <cellStyle name="Normal 51 5 3 2" xfId="4774" xr:uid="{00000000-0005-0000-0000-00008B1A0000}"/>
    <cellStyle name="Normal 51 5 3 2 2" xfId="8761" xr:uid="{00000000-0005-0000-0000-00008C1A0000}"/>
    <cellStyle name="Normal 51 5 3 3" xfId="8762" xr:uid="{00000000-0005-0000-0000-00008D1A0000}"/>
    <cellStyle name="Normal 51 5 4" xfId="4775" xr:uid="{00000000-0005-0000-0000-00008E1A0000}"/>
    <cellStyle name="Normal 51 5 4 2" xfId="8763" xr:uid="{00000000-0005-0000-0000-00008F1A0000}"/>
    <cellStyle name="Normal 51 5 5" xfId="8764" xr:uid="{00000000-0005-0000-0000-0000901A0000}"/>
    <cellStyle name="Normal 51 6" xfId="4776" xr:uid="{00000000-0005-0000-0000-0000911A0000}"/>
    <cellStyle name="Normal 51 6 2" xfId="4777" xr:uid="{00000000-0005-0000-0000-0000921A0000}"/>
    <cellStyle name="Normal 51 6 2 2" xfId="4778" xr:uid="{00000000-0005-0000-0000-0000931A0000}"/>
    <cellStyle name="Normal 51 6 2 2 2" xfId="8765" xr:uid="{00000000-0005-0000-0000-0000941A0000}"/>
    <cellStyle name="Normal 51 6 2 3" xfId="8766" xr:uid="{00000000-0005-0000-0000-0000951A0000}"/>
    <cellStyle name="Normal 51 6 3" xfId="4779" xr:uid="{00000000-0005-0000-0000-0000961A0000}"/>
    <cellStyle name="Normal 51 6 3 2" xfId="8767" xr:uid="{00000000-0005-0000-0000-0000971A0000}"/>
    <cellStyle name="Normal 51 6 4" xfId="8768" xr:uid="{00000000-0005-0000-0000-0000981A0000}"/>
    <cellStyle name="Normal 51 7" xfId="4780" xr:uid="{00000000-0005-0000-0000-0000991A0000}"/>
    <cellStyle name="Normal 51 7 2" xfId="4781" xr:uid="{00000000-0005-0000-0000-00009A1A0000}"/>
    <cellStyle name="Normal 51 7 2 2" xfId="8769" xr:uid="{00000000-0005-0000-0000-00009B1A0000}"/>
    <cellStyle name="Normal 51 7 3" xfId="8770" xr:uid="{00000000-0005-0000-0000-00009C1A0000}"/>
    <cellStyle name="Normal 51 8" xfId="4782" xr:uid="{00000000-0005-0000-0000-00009D1A0000}"/>
    <cellStyle name="Normal 51 8 2" xfId="8771" xr:uid="{00000000-0005-0000-0000-00009E1A0000}"/>
    <cellStyle name="Normal 51 9" xfId="8772" xr:uid="{00000000-0005-0000-0000-00009F1A0000}"/>
    <cellStyle name="Normal 52" xfId="4783" xr:uid="{00000000-0005-0000-0000-0000A01A0000}"/>
    <cellStyle name="Normal 52 2" xfId="4784" xr:uid="{00000000-0005-0000-0000-0000A11A0000}"/>
    <cellStyle name="Normal 52 2 2" xfId="4785" xr:uid="{00000000-0005-0000-0000-0000A21A0000}"/>
    <cellStyle name="Normal 52 3" xfId="4786" xr:uid="{00000000-0005-0000-0000-0000A31A0000}"/>
    <cellStyle name="Normal 52 3 2" xfId="4787" xr:uid="{00000000-0005-0000-0000-0000A41A0000}"/>
    <cellStyle name="Normal 52 3 2 2" xfId="4788" xr:uid="{00000000-0005-0000-0000-0000A51A0000}"/>
    <cellStyle name="Normal 52 3 2 2 2" xfId="4789" xr:uid="{00000000-0005-0000-0000-0000A61A0000}"/>
    <cellStyle name="Normal 52 3 2 2 2 2" xfId="8773" xr:uid="{00000000-0005-0000-0000-0000A71A0000}"/>
    <cellStyle name="Normal 52 3 2 2 3" xfId="8774" xr:uid="{00000000-0005-0000-0000-0000A81A0000}"/>
    <cellStyle name="Normal 52 3 2 3" xfId="4790" xr:uid="{00000000-0005-0000-0000-0000A91A0000}"/>
    <cellStyle name="Normal 52 3 2 3 2" xfId="8775" xr:uid="{00000000-0005-0000-0000-0000AA1A0000}"/>
    <cellStyle name="Normal 52 3 2 4" xfId="8776" xr:uid="{00000000-0005-0000-0000-0000AB1A0000}"/>
    <cellStyle name="Normal 52 3 3" xfId="4791" xr:uid="{00000000-0005-0000-0000-0000AC1A0000}"/>
    <cellStyle name="Normal 52 3 3 2" xfId="4792" xr:uid="{00000000-0005-0000-0000-0000AD1A0000}"/>
    <cellStyle name="Normal 52 3 3 2 2" xfId="8777" xr:uid="{00000000-0005-0000-0000-0000AE1A0000}"/>
    <cellStyle name="Normal 52 3 3 3" xfId="8778" xr:uid="{00000000-0005-0000-0000-0000AF1A0000}"/>
    <cellStyle name="Normal 52 3 4" xfId="4793" xr:uid="{00000000-0005-0000-0000-0000B01A0000}"/>
    <cellStyle name="Normal 52 3 4 2" xfId="8779" xr:uid="{00000000-0005-0000-0000-0000B11A0000}"/>
    <cellStyle name="Normal 52 3 5" xfId="4794" xr:uid="{00000000-0005-0000-0000-0000B21A0000}"/>
    <cellStyle name="Normal 52 4" xfId="4795" xr:uid="{00000000-0005-0000-0000-0000B31A0000}"/>
    <cellStyle name="Normal 52 4 2" xfId="4796" xr:uid="{00000000-0005-0000-0000-0000B41A0000}"/>
    <cellStyle name="Normal 52 4 2 2" xfId="4797" xr:uid="{00000000-0005-0000-0000-0000B51A0000}"/>
    <cellStyle name="Normal 52 4 2 2 2" xfId="4798" xr:uid="{00000000-0005-0000-0000-0000B61A0000}"/>
    <cellStyle name="Normal 52 4 2 2 2 2" xfId="8780" xr:uid="{00000000-0005-0000-0000-0000B71A0000}"/>
    <cellStyle name="Normal 52 4 2 2 3" xfId="8781" xr:uid="{00000000-0005-0000-0000-0000B81A0000}"/>
    <cellStyle name="Normal 52 4 2 3" xfId="4799" xr:uid="{00000000-0005-0000-0000-0000B91A0000}"/>
    <cellStyle name="Normal 52 4 2 3 2" xfId="8782" xr:uid="{00000000-0005-0000-0000-0000BA1A0000}"/>
    <cellStyle name="Normal 52 4 2 4" xfId="8783" xr:uid="{00000000-0005-0000-0000-0000BB1A0000}"/>
    <cellStyle name="Normal 52 4 3" xfId="4800" xr:uid="{00000000-0005-0000-0000-0000BC1A0000}"/>
    <cellStyle name="Normal 52 4 3 2" xfId="4801" xr:uid="{00000000-0005-0000-0000-0000BD1A0000}"/>
    <cellStyle name="Normal 52 4 3 2 2" xfId="8784" xr:uid="{00000000-0005-0000-0000-0000BE1A0000}"/>
    <cellStyle name="Normal 52 4 3 3" xfId="8785" xr:uid="{00000000-0005-0000-0000-0000BF1A0000}"/>
    <cellStyle name="Normal 52 4 4" xfId="4802" xr:uid="{00000000-0005-0000-0000-0000C01A0000}"/>
    <cellStyle name="Normal 52 4 4 2" xfId="8786" xr:uid="{00000000-0005-0000-0000-0000C11A0000}"/>
    <cellStyle name="Normal 52 4 5" xfId="8787" xr:uid="{00000000-0005-0000-0000-0000C21A0000}"/>
    <cellStyle name="Normal 52 5" xfId="4803" xr:uid="{00000000-0005-0000-0000-0000C31A0000}"/>
    <cellStyle name="Normal 52 5 2" xfId="4804" xr:uid="{00000000-0005-0000-0000-0000C41A0000}"/>
    <cellStyle name="Normal 52 5 2 2" xfId="4805" xr:uid="{00000000-0005-0000-0000-0000C51A0000}"/>
    <cellStyle name="Normal 52 5 2 2 2" xfId="4806" xr:uid="{00000000-0005-0000-0000-0000C61A0000}"/>
    <cellStyle name="Normal 52 5 2 2 2 2" xfId="8788" xr:uid="{00000000-0005-0000-0000-0000C71A0000}"/>
    <cellStyle name="Normal 52 5 2 2 3" xfId="8789" xr:uid="{00000000-0005-0000-0000-0000C81A0000}"/>
    <cellStyle name="Normal 52 5 2 3" xfId="4807" xr:uid="{00000000-0005-0000-0000-0000C91A0000}"/>
    <cellStyle name="Normal 52 5 2 3 2" xfId="8790" xr:uid="{00000000-0005-0000-0000-0000CA1A0000}"/>
    <cellStyle name="Normal 52 5 2 4" xfId="8791" xr:uid="{00000000-0005-0000-0000-0000CB1A0000}"/>
    <cellStyle name="Normal 52 5 3" xfId="4808" xr:uid="{00000000-0005-0000-0000-0000CC1A0000}"/>
    <cellStyle name="Normal 52 5 3 2" xfId="4809" xr:uid="{00000000-0005-0000-0000-0000CD1A0000}"/>
    <cellStyle name="Normal 52 5 3 2 2" xfId="8792" xr:uid="{00000000-0005-0000-0000-0000CE1A0000}"/>
    <cellStyle name="Normal 52 5 3 3" xfId="8793" xr:uid="{00000000-0005-0000-0000-0000CF1A0000}"/>
    <cellStyle name="Normal 52 5 4" xfId="4810" xr:uid="{00000000-0005-0000-0000-0000D01A0000}"/>
    <cellStyle name="Normal 52 5 4 2" xfId="8794" xr:uid="{00000000-0005-0000-0000-0000D11A0000}"/>
    <cellStyle name="Normal 52 5 5" xfId="8795" xr:uid="{00000000-0005-0000-0000-0000D21A0000}"/>
    <cellStyle name="Normal 52 6" xfId="4811" xr:uid="{00000000-0005-0000-0000-0000D31A0000}"/>
    <cellStyle name="Normal 52 6 2" xfId="4812" xr:uid="{00000000-0005-0000-0000-0000D41A0000}"/>
    <cellStyle name="Normal 52 6 2 2" xfId="4813" xr:uid="{00000000-0005-0000-0000-0000D51A0000}"/>
    <cellStyle name="Normal 52 6 2 2 2" xfId="8796" xr:uid="{00000000-0005-0000-0000-0000D61A0000}"/>
    <cellStyle name="Normal 52 6 2 3" xfId="8797" xr:uid="{00000000-0005-0000-0000-0000D71A0000}"/>
    <cellStyle name="Normal 52 6 3" xfId="4814" xr:uid="{00000000-0005-0000-0000-0000D81A0000}"/>
    <cellStyle name="Normal 52 6 3 2" xfId="8798" xr:uid="{00000000-0005-0000-0000-0000D91A0000}"/>
    <cellStyle name="Normal 52 6 4" xfId="8799" xr:uid="{00000000-0005-0000-0000-0000DA1A0000}"/>
    <cellStyle name="Normal 52 7" xfId="4815" xr:uid="{00000000-0005-0000-0000-0000DB1A0000}"/>
    <cellStyle name="Normal 52 7 2" xfId="4816" xr:uid="{00000000-0005-0000-0000-0000DC1A0000}"/>
    <cellStyle name="Normal 52 7 2 2" xfId="8800" xr:uid="{00000000-0005-0000-0000-0000DD1A0000}"/>
    <cellStyle name="Normal 52 7 3" xfId="8801" xr:uid="{00000000-0005-0000-0000-0000DE1A0000}"/>
    <cellStyle name="Normal 52 8" xfId="4817" xr:uid="{00000000-0005-0000-0000-0000DF1A0000}"/>
    <cellStyle name="Normal 52 8 2" xfId="8802" xr:uid="{00000000-0005-0000-0000-0000E01A0000}"/>
    <cellStyle name="Normal 52 9" xfId="8803" xr:uid="{00000000-0005-0000-0000-0000E11A0000}"/>
    <cellStyle name="Normal 53" xfId="4818" xr:uid="{00000000-0005-0000-0000-0000E21A0000}"/>
    <cellStyle name="Normal 53 2" xfId="4819" xr:uid="{00000000-0005-0000-0000-0000E31A0000}"/>
    <cellStyle name="Normal 53 2 2" xfId="4820" xr:uid="{00000000-0005-0000-0000-0000E41A0000}"/>
    <cellStyle name="Normal 53 3" xfId="4821" xr:uid="{00000000-0005-0000-0000-0000E51A0000}"/>
    <cellStyle name="Normal 53 3 2" xfId="4822" xr:uid="{00000000-0005-0000-0000-0000E61A0000}"/>
    <cellStyle name="Normal 53 3 2 2" xfId="4823" xr:uid="{00000000-0005-0000-0000-0000E71A0000}"/>
    <cellStyle name="Normal 53 3 2 2 2" xfId="4824" xr:uid="{00000000-0005-0000-0000-0000E81A0000}"/>
    <cellStyle name="Normal 53 3 2 2 2 2" xfId="8804" xr:uid="{00000000-0005-0000-0000-0000E91A0000}"/>
    <cellStyle name="Normal 53 3 2 2 3" xfId="8805" xr:uid="{00000000-0005-0000-0000-0000EA1A0000}"/>
    <cellStyle name="Normal 53 3 2 3" xfId="4825" xr:uid="{00000000-0005-0000-0000-0000EB1A0000}"/>
    <cellStyle name="Normal 53 3 2 3 2" xfId="8806" xr:uid="{00000000-0005-0000-0000-0000EC1A0000}"/>
    <cellStyle name="Normal 53 3 2 4" xfId="8807" xr:uid="{00000000-0005-0000-0000-0000ED1A0000}"/>
    <cellStyle name="Normal 53 3 3" xfId="4826" xr:uid="{00000000-0005-0000-0000-0000EE1A0000}"/>
    <cellStyle name="Normal 53 3 3 2" xfId="4827" xr:uid="{00000000-0005-0000-0000-0000EF1A0000}"/>
    <cellStyle name="Normal 53 3 3 2 2" xfId="8808" xr:uid="{00000000-0005-0000-0000-0000F01A0000}"/>
    <cellStyle name="Normal 53 3 3 3" xfId="8809" xr:uid="{00000000-0005-0000-0000-0000F11A0000}"/>
    <cellStyle name="Normal 53 3 4" xfId="4828" xr:uid="{00000000-0005-0000-0000-0000F21A0000}"/>
    <cellStyle name="Normal 53 3 4 2" xfId="8810" xr:uid="{00000000-0005-0000-0000-0000F31A0000}"/>
    <cellStyle name="Normal 53 3 5" xfId="4829" xr:uid="{00000000-0005-0000-0000-0000F41A0000}"/>
    <cellStyle name="Normal 53 4" xfId="4830" xr:uid="{00000000-0005-0000-0000-0000F51A0000}"/>
    <cellStyle name="Normal 53 4 2" xfId="4831" xr:uid="{00000000-0005-0000-0000-0000F61A0000}"/>
    <cellStyle name="Normal 53 4 2 2" xfId="4832" xr:uid="{00000000-0005-0000-0000-0000F71A0000}"/>
    <cellStyle name="Normal 53 4 2 2 2" xfId="4833" xr:uid="{00000000-0005-0000-0000-0000F81A0000}"/>
    <cellStyle name="Normal 53 4 2 2 2 2" xfId="8811" xr:uid="{00000000-0005-0000-0000-0000F91A0000}"/>
    <cellStyle name="Normal 53 4 2 2 3" xfId="8812" xr:uid="{00000000-0005-0000-0000-0000FA1A0000}"/>
    <cellStyle name="Normal 53 4 2 3" xfId="4834" xr:uid="{00000000-0005-0000-0000-0000FB1A0000}"/>
    <cellStyle name="Normal 53 4 2 3 2" xfId="8813" xr:uid="{00000000-0005-0000-0000-0000FC1A0000}"/>
    <cellStyle name="Normal 53 4 2 4" xfId="8814" xr:uid="{00000000-0005-0000-0000-0000FD1A0000}"/>
    <cellStyle name="Normal 53 4 3" xfId="4835" xr:uid="{00000000-0005-0000-0000-0000FE1A0000}"/>
    <cellStyle name="Normal 53 4 3 2" xfId="4836" xr:uid="{00000000-0005-0000-0000-0000FF1A0000}"/>
    <cellStyle name="Normal 53 4 3 2 2" xfId="8815" xr:uid="{00000000-0005-0000-0000-0000001B0000}"/>
    <cellStyle name="Normal 53 4 3 3" xfId="8816" xr:uid="{00000000-0005-0000-0000-0000011B0000}"/>
    <cellStyle name="Normal 53 4 4" xfId="4837" xr:uid="{00000000-0005-0000-0000-0000021B0000}"/>
    <cellStyle name="Normal 53 4 4 2" xfId="8817" xr:uid="{00000000-0005-0000-0000-0000031B0000}"/>
    <cellStyle name="Normal 53 4 5" xfId="8818" xr:uid="{00000000-0005-0000-0000-0000041B0000}"/>
    <cellStyle name="Normal 53 5" xfId="4838" xr:uid="{00000000-0005-0000-0000-0000051B0000}"/>
    <cellStyle name="Normal 53 5 2" xfId="4839" xr:uid="{00000000-0005-0000-0000-0000061B0000}"/>
    <cellStyle name="Normal 53 5 2 2" xfId="4840" xr:uid="{00000000-0005-0000-0000-0000071B0000}"/>
    <cellStyle name="Normal 53 5 2 2 2" xfId="4841" xr:uid="{00000000-0005-0000-0000-0000081B0000}"/>
    <cellStyle name="Normal 53 5 2 2 2 2" xfId="8819" xr:uid="{00000000-0005-0000-0000-0000091B0000}"/>
    <cellStyle name="Normal 53 5 2 2 3" xfId="8820" xr:uid="{00000000-0005-0000-0000-00000A1B0000}"/>
    <cellStyle name="Normal 53 5 2 3" xfId="4842" xr:uid="{00000000-0005-0000-0000-00000B1B0000}"/>
    <cellStyle name="Normal 53 5 2 3 2" xfId="8821" xr:uid="{00000000-0005-0000-0000-00000C1B0000}"/>
    <cellStyle name="Normal 53 5 2 4" xfId="8822" xr:uid="{00000000-0005-0000-0000-00000D1B0000}"/>
    <cellStyle name="Normal 53 5 3" xfId="4843" xr:uid="{00000000-0005-0000-0000-00000E1B0000}"/>
    <cellStyle name="Normal 53 5 3 2" xfId="4844" xr:uid="{00000000-0005-0000-0000-00000F1B0000}"/>
    <cellStyle name="Normal 53 5 3 2 2" xfId="8823" xr:uid="{00000000-0005-0000-0000-0000101B0000}"/>
    <cellStyle name="Normal 53 5 3 3" xfId="8824" xr:uid="{00000000-0005-0000-0000-0000111B0000}"/>
    <cellStyle name="Normal 53 5 4" xfId="4845" xr:uid="{00000000-0005-0000-0000-0000121B0000}"/>
    <cellStyle name="Normal 53 5 4 2" xfId="8825" xr:uid="{00000000-0005-0000-0000-0000131B0000}"/>
    <cellStyle name="Normal 53 5 5" xfId="8826" xr:uid="{00000000-0005-0000-0000-0000141B0000}"/>
    <cellStyle name="Normal 53 6" xfId="4846" xr:uid="{00000000-0005-0000-0000-0000151B0000}"/>
    <cellStyle name="Normal 53 6 2" xfId="4847" xr:uid="{00000000-0005-0000-0000-0000161B0000}"/>
    <cellStyle name="Normal 53 6 2 2" xfId="4848" xr:uid="{00000000-0005-0000-0000-0000171B0000}"/>
    <cellStyle name="Normal 53 6 2 2 2" xfId="8827" xr:uid="{00000000-0005-0000-0000-0000181B0000}"/>
    <cellStyle name="Normal 53 6 2 3" xfId="8828" xr:uid="{00000000-0005-0000-0000-0000191B0000}"/>
    <cellStyle name="Normal 53 6 3" xfId="4849" xr:uid="{00000000-0005-0000-0000-00001A1B0000}"/>
    <cellStyle name="Normal 53 6 3 2" xfId="8829" xr:uid="{00000000-0005-0000-0000-00001B1B0000}"/>
    <cellStyle name="Normal 53 6 4" xfId="8830" xr:uid="{00000000-0005-0000-0000-00001C1B0000}"/>
    <cellStyle name="Normal 53 7" xfId="4850" xr:uid="{00000000-0005-0000-0000-00001D1B0000}"/>
    <cellStyle name="Normal 53 7 2" xfId="4851" xr:uid="{00000000-0005-0000-0000-00001E1B0000}"/>
    <cellStyle name="Normal 53 7 2 2" xfId="8831" xr:uid="{00000000-0005-0000-0000-00001F1B0000}"/>
    <cellStyle name="Normal 53 7 3" xfId="8832" xr:uid="{00000000-0005-0000-0000-0000201B0000}"/>
    <cellStyle name="Normal 53 8" xfId="4852" xr:uid="{00000000-0005-0000-0000-0000211B0000}"/>
    <cellStyle name="Normal 53 8 2" xfId="8833" xr:uid="{00000000-0005-0000-0000-0000221B0000}"/>
    <cellStyle name="Normal 53 9" xfId="8834" xr:uid="{00000000-0005-0000-0000-0000231B0000}"/>
    <cellStyle name="Normal 54" xfId="4853" xr:uid="{00000000-0005-0000-0000-0000241B0000}"/>
    <cellStyle name="Normal 54 2" xfId="4854" xr:uid="{00000000-0005-0000-0000-0000251B0000}"/>
    <cellStyle name="Normal 54 2 2" xfId="4855" xr:uid="{00000000-0005-0000-0000-0000261B0000}"/>
    <cellStyle name="Normal 54 3" xfId="4856" xr:uid="{00000000-0005-0000-0000-0000271B0000}"/>
    <cellStyle name="Normal 54 3 2" xfId="4857" xr:uid="{00000000-0005-0000-0000-0000281B0000}"/>
    <cellStyle name="Normal 54 3 2 2" xfId="4858" xr:uid="{00000000-0005-0000-0000-0000291B0000}"/>
    <cellStyle name="Normal 54 3 2 2 2" xfId="4859" xr:uid="{00000000-0005-0000-0000-00002A1B0000}"/>
    <cellStyle name="Normal 54 3 2 2 2 2" xfId="8835" xr:uid="{00000000-0005-0000-0000-00002B1B0000}"/>
    <cellStyle name="Normal 54 3 2 2 3" xfId="8836" xr:uid="{00000000-0005-0000-0000-00002C1B0000}"/>
    <cellStyle name="Normal 54 3 2 3" xfId="4860" xr:uid="{00000000-0005-0000-0000-00002D1B0000}"/>
    <cellStyle name="Normal 54 3 2 3 2" xfId="8837" xr:uid="{00000000-0005-0000-0000-00002E1B0000}"/>
    <cellStyle name="Normal 54 3 2 4" xfId="8838" xr:uid="{00000000-0005-0000-0000-00002F1B0000}"/>
    <cellStyle name="Normal 54 3 3" xfId="4861" xr:uid="{00000000-0005-0000-0000-0000301B0000}"/>
    <cellStyle name="Normal 54 3 3 2" xfId="4862" xr:uid="{00000000-0005-0000-0000-0000311B0000}"/>
    <cellStyle name="Normal 54 3 3 2 2" xfId="8839" xr:uid="{00000000-0005-0000-0000-0000321B0000}"/>
    <cellStyle name="Normal 54 3 3 3" xfId="8840" xr:uid="{00000000-0005-0000-0000-0000331B0000}"/>
    <cellStyle name="Normal 54 3 4" xfId="4863" xr:uid="{00000000-0005-0000-0000-0000341B0000}"/>
    <cellStyle name="Normal 54 3 4 2" xfId="8841" xr:uid="{00000000-0005-0000-0000-0000351B0000}"/>
    <cellStyle name="Normal 54 3 5" xfId="4864" xr:uid="{00000000-0005-0000-0000-0000361B0000}"/>
    <cellStyle name="Normal 54 4" xfId="4865" xr:uid="{00000000-0005-0000-0000-0000371B0000}"/>
    <cellStyle name="Normal 54 4 2" xfId="4866" xr:uid="{00000000-0005-0000-0000-0000381B0000}"/>
    <cellStyle name="Normal 54 4 2 2" xfId="4867" xr:uid="{00000000-0005-0000-0000-0000391B0000}"/>
    <cellStyle name="Normal 54 4 2 2 2" xfId="4868" xr:uid="{00000000-0005-0000-0000-00003A1B0000}"/>
    <cellStyle name="Normal 54 4 2 2 2 2" xfId="8842" xr:uid="{00000000-0005-0000-0000-00003B1B0000}"/>
    <cellStyle name="Normal 54 4 2 2 3" xfId="8843" xr:uid="{00000000-0005-0000-0000-00003C1B0000}"/>
    <cellStyle name="Normal 54 4 2 3" xfId="4869" xr:uid="{00000000-0005-0000-0000-00003D1B0000}"/>
    <cellStyle name="Normal 54 4 2 3 2" xfId="8844" xr:uid="{00000000-0005-0000-0000-00003E1B0000}"/>
    <cellStyle name="Normal 54 4 2 4" xfId="8845" xr:uid="{00000000-0005-0000-0000-00003F1B0000}"/>
    <cellStyle name="Normal 54 4 3" xfId="4870" xr:uid="{00000000-0005-0000-0000-0000401B0000}"/>
    <cellStyle name="Normal 54 4 3 2" xfId="4871" xr:uid="{00000000-0005-0000-0000-0000411B0000}"/>
    <cellStyle name="Normal 54 4 3 2 2" xfId="8846" xr:uid="{00000000-0005-0000-0000-0000421B0000}"/>
    <cellStyle name="Normal 54 4 3 3" xfId="8847" xr:uid="{00000000-0005-0000-0000-0000431B0000}"/>
    <cellStyle name="Normal 54 4 4" xfId="4872" xr:uid="{00000000-0005-0000-0000-0000441B0000}"/>
    <cellStyle name="Normal 54 4 4 2" xfId="8848" xr:uid="{00000000-0005-0000-0000-0000451B0000}"/>
    <cellStyle name="Normal 54 4 5" xfId="8849" xr:uid="{00000000-0005-0000-0000-0000461B0000}"/>
    <cellStyle name="Normal 54 5" xfId="4873" xr:uid="{00000000-0005-0000-0000-0000471B0000}"/>
    <cellStyle name="Normal 54 5 2" xfId="4874" xr:uid="{00000000-0005-0000-0000-0000481B0000}"/>
    <cellStyle name="Normal 54 5 2 2" xfId="4875" xr:uid="{00000000-0005-0000-0000-0000491B0000}"/>
    <cellStyle name="Normal 54 5 2 2 2" xfId="4876" xr:uid="{00000000-0005-0000-0000-00004A1B0000}"/>
    <cellStyle name="Normal 54 5 2 2 2 2" xfId="8850" xr:uid="{00000000-0005-0000-0000-00004B1B0000}"/>
    <cellStyle name="Normal 54 5 2 2 3" xfId="8851" xr:uid="{00000000-0005-0000-0000-00004C1B0000}"/>
    <cellStyle name="Normal 54 5 2 3" xfId="4877" xr:uid="{00000000-0005-0000-0000-00004D1B0000}"/>
    <cellStyle name="Normal 54 5 2 3 2" xfId="8852" xr:uid="{00000000-0005-0000-0000-00004E1B0000}"/>
    <cellStyle name="Normal 54 5 2 4" xfId="8853" xr:uid="{00000000-0005-0000-0000-00004F1B0000}"/>
    <cellStyle name="Normal 54 5 3" xfId="4878" xr:uid="{00000000-0005-0000-0000-0000501B0000}"/>
    <cellStyle name="Normal 54 5 3 2" xfId="4879" xr:uid="{00000000-0005-0000-0000-0000511B0000}"/>
    <cellStyle name="Normal 54 5 3 2 2" xfId="8854" xr:uid="{00000000-0005-0000-0000-0000521B0000}"/>
    <cellStyle name="Normal 54 5 3 3" xfId="8855" xr:uid="{00000000-0005-0000-0000-0000531B0000}"/>
    <cellStyle name="Normal 54 5 4" xfId="4880" xr:uid="{00000000-0005-0000-0000-0000541B0000}"/>
    <cellStyle name="Normal 54 5 4 2" xfId="8856" xr:uid="{00000000-0005-0000-0000-0000551B0000}"/>
    <cellStyle name="Normal 54 5 5" xfId="8857" xr:uid="{00000000-0005-0000-0000-0000561B0000}"/>
    <cellStyle name="Normal 54 6" xfId="4881" xr:uid="{00000000-0005-0000-0000-0000571B0000}"/>
    <cellStyle name="Normal 54 6 2" xfId="4882" xr:uid="{00000000-0005-0000-0000-0000581B0000}"/>
    <cellStyle name="Normal 54 6 2 2" xfId="4883" xr:uid="{00000000-0005-0000-0000-0000591B0000}"/>
    <cellStyle name="Normal 54 6 2 2 2" xfId="8858" xr:uid="{00000000-0005-0000-0000-00005A1B0000}"/>
    <cellStyle name="Normal 54 6 2 3" xfId="8859" xr:uid="{00000000-0005-0000-0000-00005B1B0000}"/>
    <cellStyle name="Normal 54 6 3" xfId="4884" xr:uid="{00000000-0005-0000-0000-00005C1B0000}"/>
    <cellStyle name="Normal 54 6 3 2" xfId="8860" xr:uid="{00000000-0005-0000-0000-00005D1B0000}"/>
    <cellStyle name="Normal 54 6 4" xfId="8861" xr:uid="{00000000-0005-0000-0000-00005E1B0000}"/>
    <cellStyle name="Normal 54 7" xfId="4885" xr:uid="{00000000-0005-0000-0000-00005F1B0000}"/>
    <cellStyle name="Normal 54 7 2" xfId="4886" xr:uid="{00000000-0005-0000-0000-0000601B0000}"/>
    <cellStyle name="Normal 54 7 2 2" xfId="8862" xr:uid="{00000000-0005-0000-0000-0000611B0000}"/>
    <cellStyle name="Normal 54 7 3" xfId="8863" xr:uid="{00000000-0005-0000-0000-0000621B0000}"/>
    <cellStyle name="Normal 54 8" xfId="4887" xr:uid="{00000000-0005-0000-0000-0000631B0000}"/>
    <cellStyle name="Normal 54 8 2" xfId="8864" xr:uid="{00000000-0005-0000-0000-0000641B0000}"/>
    <cellStyle name="Normal 54 9" xfId="8865" xr:uid="{00000000-0005-0000-0000-0000651B0000}"/>
    <cellStyle name="Normal 55" xfId="4888" xr:uid="{00000000-0005-0000-0000-0000661B0000}"/>
    <cellStyle name="Normal 55 2" xfId="4889" xr:uid="{00000000-0005-0000-0000-0000671B0000}"/>
    <cellStyle name="Normal 55 2 2" xfId="4890" xr:uid="{00000000-0005-0000-0000-0000681B0000}"/>
    <cellStyle name="Normal 55 3" xfId="4891" xr:uid="{00000000-0005-0000-0000-0000691B0000}"/>
    <cellStyle name="Normal 55 3 2" xfId="4892" xr:uid="{00000000-0005-0000-0000-00006A1B0000}"/>
    <cellStyle name="Normal 55 3 2 2" xfId="4893" xr:uid="{00000000-0005-0000-0000-00006B1B0000}"/>
    <cellStyle name="Normal 55 3 2 2 2" xfId="4894" xr:uid="{00000000-0005-0000-0000-00006C1B0000}"/>
    <cellStyle name="Normal 55 3 2 2 2 2" xfId="8866" xr:uid="{00000000-0005-0000-0000-00006D1B0000}"/>
    <cellStyle name="Normal 55 3 2 2 3" xfId="8867" xr:uid="{00000000-0005-0000-0000-00006E1B0000}"/>
    <cellStyle name="Normal 55 3 2 3" xfId="4895" xr:uid="{00000000-0005-0000-0000-00006F1B0000}"/>
    <cellStyle name="Normal 55 3 2 3 2" xfId="8868" xr:uid="{00000000-0005-0000-0000-0000701B0000}"/>
    <cellStyle name="Normal 55 3 2 4" xfId="8869" xr:uid="{00000000-0005-0000-0000-0000711B0000}"/>
    <cellStyle name="Normal 55 3 3" xfId="4896" xr:uid="{00000000-0005-0000-0000-0000721B0000}"/>
    <cellStyle name="Normal 55 3 3 2" xfId="4897" xr:uid="{00000000-0005-0000-0000-0000731B0000}"/>
    <cellStyle name="Normal 55 3 3 2 2" xfId="8870" xr:uid="{00000000-0005-0000-0000-0000741B0000}"/>
    <cellStyle name="Normal 55 3 3 3" xfId="8871" xr:uid="{00000000-0005-0000-0000-0000751B0000}"/>
    <cellStyle name="Normal 55 3 4" xfId="4898" xr:uid="{00000000-0005-0000-0000-0000761B0000}"/>
    <cellStyle name="Normal 55 3 4 2" xfId="8872" xr:uid="{00000000-0005-0000-0000-0000771B0000}"/>
    <cellStyle name="Normal 55 3 5" xfId="4899" xr:uid="{00000000-0005-0000-0000-0000781B0000}"/>
    <cellStyle name="Normal 55 4" xfId="4900" xr:uid="{00000000-0005-0000-0000-0000791B0000}"/>
    <cellStyle name="Normal 55 4 2" xfId="4901" xr:uid="{00000000-0005-0000-0000-00007A1B0000}"/>
    <cellStyle name="Normal 55 4 2 2" xfId="4902" xr:uid="{00000000-0005-0000-0000-00007B1B0000}"/>
    <cellStyle name="Normal 55 4 2 2 2" xfId="4903" xr:uid="{00000000-0005-0000-0000-00007C1B0000}"/>
    <cellStyle name="Normal 55 4 2 2 2 2" xfId="8873" xr:uid="{00000000-0005-0000-0000-00007D1B0000}"/>
    <cellStyle name="Normal 55 4 2 2 3" xfId="8874" xr:uid="{00000000-0005-0000-0000-00007E1B0000}"/>
    <cellStyle name="Normal 55 4 2 3" xfId="4904" xr:uid="{00000000-0005-0000-0000-00007F1B0000}"/>
    <cellStyle name="Normal 55 4 2 3 2" xfId="8875" xr:uid="{00000000-0005-0000-0000-0000801B0000}"/>
    <cellStyle name="Normal 55 4 2 4" xfId="8876" xr:uid="{00000000-0005-0000-0000-0000811B0000}"/>
    <cellStyle name="Normal 55 4 3" xfId="4905" xr:uid="{00000000-0005-0000-0000-0000821B0000}"/>
    <cellStyle name="Normal 55 4 3 2" xfId="4906" xr:uid="{00000000-0005-0000-0000-0000831B0000}"/>
    <cellStyle name="Normal 55 4 3 2 2" xfId="8877" xr:uid="{00000000-0005-0000-0000-0000841B0000}"/>
    <cellStyle name="Normal 55 4 3 3" xfId="8878" xr:uid="{00000000-0005-0000-0000-0000851B0000}"/>
    <cellStyle name="Normal 55 4 4" xfId="4907" xr:uid="{00000000-0005-0000-0000-0000861B0000}"/>
    <cellStyle name="Normal 55 4 4 2" xfId="8879" xr:uid="{00000000-0005-0000-0000-0000871B0000}"/>
    <cellStyle name="Normal 55 4 5" xfId="8880" xr:uid="{00000000-0005-0000-0000-0000881B0000}"/>
    <cellStyle name="Normal 55 5" xfId="4908" xr:uid="{00000000-0005-0000-0000-0000891B0000}"/>
    <cellStyle name="Normal 55 5 2" xfId="4909" xr:uid="{00000000-0005-0000-0000-00008A1B0000}"/>
    <cellStyle name="Normal 55 5 2 2" xfId="4910" xr:uid="{00000000-0005-0000-0000-00008B1B0000}"/>
    <cellStyle name="Normal 55 5 2 2 2" xfId="4911" xr:uid="{00000000-0005-0000-0000-00008C1B0000}"/>
    <cellStyle name="Normal 55 5 2 2 2 2" xfId="8881" xr:uid="{00000000-0005-0000-0000-00008D1B0000}"/>
    <cellStyle name="Normal 55 5 2 2 3" xfId="8882" xr:uid="{00000000-0005-0000-0000-00008E1B0000}"/>
    <cellStyle name="Normal 55 5 2 3" xfId="4912" xr:uid="{00000000-0005-0000-0000-00008F1B0000}"/>
    <cellStyle name="Normal 55 5 2 3 2" xfId="8883" xr:uid="{00000000-0005-0000-0000-0000901B0000}"/>
    <cellStyle name="Normal 55 5 2 4" xfId="8884" xr:uid="{00000000-0005-0000-0000-0000911B0000}"/>
    <cellStyle name="Normal 55 5 3" xfId="4913" xr:uid="{00000000-0005-0000-0000-0000921B0000}"/>
    <cellStyle name="Normal 55 5 3 2" xfId="4914" xr:uid="{00000000-0005-0000-0000-0000931B0000}"/>
    <cellStyle name="Normal 55 5 3 2 2" xfId="8885" xr:uid="{00000000-0005-0000-0000-0000941B0000}"/>
    <cellStyle name="Normal 55 5 3 3" xfId="8886" xr:uid="{00000000-0005-0000-0000-0000951B0000}"/>
    <cellStyle name="Normal 55 5 4" xfId="4915" xr:uid="{00000000-0005-0000-0000-0000961B0000}"/>
    <cellStyle name="Normal 55 5 4 2" xfId="8887" xr:uid="{00000000-0005-0000-0000-0000971B0000}"/>
    <cellStyle name="Normal 55 5 5" xfId="8888" xr:uid="{00000000-0005-0000-0000-0000981B0000}"/>
    <cellStyle name="Normal 55 6" xfId="4916" xr:uid="{00000000-0005-0000-0000-0000991B0000}"/>
    <cellStyle name="Normal 55 6 2" xfId="4917" xr:uid="{00000000-0005-0000-0000-00009A1B0000}"/>
    <cellStyle name="Normal 55 6 2 2" xfId="4918" xr:uid="{00000000-0005-0000-0000-00009B1B0000}"/>
    <cellStyle name="Normal 55 6 2 2 2" xfId="8889" xr:uid="{00000000-0005-0000-0000-00009C1B0000}"/>
    <cellStyle name="Normal 55 6 2 3" xfId="8890" xr:uid="{00000000-0005-0000-0000-00009D1B0000}"/>
    <cellStyle name="Normal 55 6 3" xfId="4919" xr:uid="{00000000-0005-0000-0000-00009E1B0000}"/>
    <cellStyle name="Normal 55 6 3 2" xfId="8891" xr:uid="{00000000-0005-0000-0000-00009F1B0000}"/>
    <cellStyle name="Normal 55 6 4" xfId="8892" xr:uid="{00000000-0005-0000-0000-0000A01B0000}"/>
    <cellStyle name="Normal 55 7" xfId="4920" xr:uid="{00000000-0005-0000-0000-0000A11B0000}"/>
    <cellStyle name="Normal 55 7 2" xfId="4921" xr:uid="{00000000-0005-0000-0000-0000A21B0000}"/>
    <cellStyle name="Normal 55 7 2 2" xfId="8893" xr:uid="{00000000-0005-0000-0000-0000A31B0000}"/>
    <cellStyle name="Normal 55 7 3" xfId="8894" xr:uid="{00000000-0005-0000-0000-0000A41B0000}"/>
    <cellStyle name="Normal 55 8" xfId="4922" xr:uid="{00000000-0005-0000-0000-0000A51B0000}"/>
    <cellStyle name="Normal 55 8 2" xfId="8895" xr:uid="{00000000-0005-0000-0000-0000A61B0000}"/>
    <cellStyle name="Normal 55 9" xfId="8896" xr:uid="{00000000-0005-0000-0000-0000A71B0000}"/>
    <cellStyle name="Normal 56" xfId="4923" xr:uid="{00000000-0005-0000-0000-0000A81B0000}"/>
    <cellStyle name="Normal 56 2" xfId="4924" xr:uid="{00000000-0005-0000-0000-0000A91B0000}"/>
    <cellStyle name="Normal 56 2 2" xfId="4925" xr:uid="{00000000-0005-0000-0000-0000AA1B0000}"/>
    <cellStyle name="Normal 56 3" xfId="4926" xr:uid="{00000000-0005-0000-0000-0000AB1B0000}"/>
    <cellStyle name="Normal 56 3 2" xfId="4927" xr:uid="{00000000-0005-0000-0000-0000AC1B0000}"/>
    <cellStyle name="Normal 56 3 2 2" xfId="4928" xr:uid="{00000000-0005-0000-0000-0000AD1B0000}"/>
    <cellStyle name="Normal 56 3 2 2 2" xfId="4929" xr:uid="{00000000-0005-0000-0000-0000AE1B0000}"/>
    <cellStyle name="Normal 56 3 2 2 2 2" xfId="8897" xr:uid="{00000000-0005-0000-0000-0000AF1B0000}"/>
    <cellStyle name="Normal 56 3 2 2 3" xfId="8898" xr:uid="{00000000-0005-0000-0000-0000B01B0000}"/>
    <cellStyle name="Normal 56 3 2 3" xfId="4930" xr:uid="{00000000-0005-0000-0000-0000B11B0000}"/>
    <cellStyle name="Normal 56 3 2 3 2" xfId="8899" xr:uid="{00000000-0005-0000-0000-0000B21B0000}"/>
    <cellStyle name="Normal 56 3 2 4" xfId="8900" xr:uid="{00000000-0005-0000-0000-0000B31B0000}"/>
    <cellStyle name="Normal 56 3 3" xfId="4931" xr:uid="{00000000-0005-0000-0000-0000B41B0000}"/>
    <cellStyle name="Normal 56 3 3 2" xfId="4932" xr:uid="{00000000-0005-0000-0000-0000B51B0000}"/>
    <cellStyle name="Normal 56 3 3 2 2" xfId="8901" xr:uid="{00000000-0005-0000-0000-0000B61B0000}"/>
    <cellStyle name="Normal 56 3 3 3" xfId="8902" xr:uid="{00000000-0005-0000-0000-0000B71B0000}"/>
    <cellStyle name="Normal 56 3 4" xfId="4933" xr:uid="{00000000-0005-0000-0000-0000B81B0000}"/>
    <cellStyle name="Normal 56 3 4 2" xfId="8903" xr:uid="{00000000-0005-0000-0000-0000B91B0000}"/>
    <cellStyle name="Normal 56 3 5" xfId="4934" xr:uid="{00000000-0005-0000-0000-0000BA1B0000}"/>
    <cellStyle name="Normal 56 4" xfId="4935" xr:uid="{00000000-0005-0000-0000-0000BB1B0000}"/>
    <cellStyle name="Normal 56 4 2" xfId="4936" xr:uid="{00000000-0005-0000-0000-0000BC1B0000}"/>
    <cellStyle name="Normal 56 4 2 2" xfId="4937" xr:uid="{00000000-0005-0000-0000-0000BD1B0000}"/>
    <cellStyle name="Normal 56 4 2 2 2" xfId="4938" xr:uid="{00000000-0005-0000-0000-0000BE1B0000}"/>
    <cellStyle name="Normal 56 4 2 2 2 2" xfId="8904" xr:uid="{00000000-0005-0000-0000-0000BF1B0000}"/>
    <cellStyle name="Normal 56 4 2 2 3" xfId="8905" xr:uid="{00000000-0005-0000-0000-0000C01B0000}"/>
    <cellStyle name="Normal 56 4 2 3" xfId="4939" xr:uid="{00000000-0005-0000-0000-0000C11B0000}"/>
    <cellStyle name="Normal 56 4 2 3 2" xfId="8906" xr:uid="{00000000-0005-0000-0000-0000C21B0000}"/>
    <cellStyle name="Normal 56 4 2 4" xfId="8907" xr:uid="{00000000-0005-0000-0000-0000C31B0000}"/>
    <cellStyle name="Normal 56 4 3" xfId="4940" xr:uid="{00000000-0005-0000-0000-0000C41B0000}"/>
    <cellStyle name="Normal 56 4 3 2" xfId="4941" xr:uid="{00000000-0005-0000-0000-0000C51B0000}"/>
    <cellStyle name="Normal 56 4 3 2 2" xfId="8908" xr:uid="{00000000-0005-0000-0000-0000C61B0000}"/>
    <cellStyle name="Normal 56 4 3 3" xfId="8909" xr:uid="{00000000-0005-0000-0000-0000C71B0000}"/>
    <cellStyle name="Normal 56 4 4" xfId="4942" xr:uid="{00000000-0005-0000-0000-0000C81B0000}"/>
    <cellStyle name="Normal 56 4 4 2" xfId="8910" xr:uid="{00000000-0005-0000-0000-0000C91B0000}"/>
    <cellStyle name="Normal 56 4 5" xfId="8911" xr:uid="{00000000-0005-0000-0000-0000CA1B0000}"/>
    <cellStyle name="Normal 56 5" xfId="4943" xr:uid="{00000000-0005-0000-0000-0000CB1B0000}"/>
    <cellStyle name="Normal 56 5 2" xfId="4944" xr:uid="{00000000-0005-0000-0000-0000CC1B0000}"/>
    <cellStyle name="Normal 56 5 2 2" xfId="4945" xr:uid="{00000000-0005-0000-0000-0000CD1B0000}"/>
    <cellStyle name="Normal 56 5 2 2 2" xfId="4946" xr:uid="{00000000-0005-0000-0000-0000CE1B0000}"/>
    <cellStyle name="Normal 56 5 2 2 2 2" xfId="8912" xr:uid="{00000000-0005-0000-0000-0000CF1B0000}"/>
    <cellStyle name="Normal 56 5 2 2 3" xfId="8913" xr:uid="{00000000-0005-0000-0000-0000D01B0000}"/>
    <cellStyle name="Normal 56 5 2 3" xfId="4947" xr:uid="{00000000-0005-0000-0000-0000D11B0000}"/>
    <cellStyle name="Normal 56 5 2 3 2" xfId="8914" xr:uid="{00000000-0005-0000-0000-0000D21B0000}"/>
    <cellStyle name="Normal 56 5 2 4" xfId="8915" xr:uid="{00000000-0005-0000-0000-0000D31B0000}"/>
    <cellStyle name="Normal 56 5 3" xfId="4948" xr:uid="{00000000-0005-0000-0000-0000D41B0000}"/>
    <cellStyle name="Normal 56 5 3 2" xfId="4949" xr:uid="{00000000-0005-0000-0000-0000D51B0000}"/>
    <cellStyle name="Normal 56 5 3 2 2" xfId="8916" xr:uid="{00000000-0005-0000-0000-0000D61B0000}"/>
    <cellStyle name="Normal 56 5 3 3" xfId="8917" xr:uid="{00000000-0005-0000-0000-0000D71B0000}"/>
    <cellStyle name="Normal 56 5 4" xfId="4950" xr:uid="{00000000-0005-0000-0000-0000D81B0000}"/>
    <cellStyle name="Normal 56 5 4 2" xfId="8918" xr:uid="{00000000-0005-0000-0000-0000D91B0000}"/>
    <cellStyle name="Normal 56 5 5" xfId="8919" xr:uid="{00000000-0005-0000-0000-0000DA1B0000}"/>
    <cellStyle name="Normal 56 6" xfId="4951" xr:uid="{00000000-0005-0000-0000-0000DB1B0000}"/>
    <cellStyle name="Normal 56 6 2" xfId="4952" xr:uid="{00000000-0005-0000-0000-0000DC1B0000}"/>
    <cellStyle name="Normal 56 6 2 2" xfId="4953" xr:uid="{00000000-0005-0000-0000-0000DD1B0000}"/>
    <cellStyle name="Normal 56 6 2 2 2" xfId="8920" xr:uid="{00000000-0005-0000-0000-0000DE1B0000}"/>
    <cellStyle name="Normal 56 6 2 3" xfId="8921" xr:uid="{00000000-0005-0000-0000-0000DF1B0000}"/>
    <cellStyle name="Normal 56 6 3" xfId="4954" xr:uid="{00000000-0005-0000-0000-0000E01B0000}"/>
    <cellStyle name="Normal 56 6 3 2" xfId="8922" xr:uid="{00000000-0005-0000-0000-0000E11B0000}"/>
    <cellStyle name="Normal 56 6 4" xfId="8923" xr:uid="{00000000-0005-0000-0000-0000E21B0000}"/>
    <cellStyle name="Normal 56 7" xfId="4955" xr:uid="{00000000-0005-0000-0000-0000E31B0000}"/>
    <cellStyle name="Normal 56 7 2" xfId="4956" xr:uid="{00000000-0005-0000-0000-0000E41B0000}"/>
    <cellStyle name="Normal 56 7 2 2" xfId="8924" xr:uid="{00000000-0005-0000-0000-0000E51B0000}"/>
    <cellStyle name="Normal 56 7 3" xfId="8925" xr:uid="{00000000-0005-0000-0000-0000E61B0000}"/>
    <cellStyle name="Normal 56 8" xfId="4957" xr:uid="{00000000-0005-0000-0000-0000E71B0000}"/>
    <cellStyle name="Normal 56 8 2" xfId="8926" xr:uid="{00000000-0005-0000-0000-0000E81B0000}"/>
    <cellStyle name="Normal 56 9" xfId="8927" xr:uid="{00000000-0005-0000-0000-0000E91B0000}"/>
    <cellStyle name="Normal 57" xfId="4958" xr:uid="{00000000-0005-0000-0000-0000EA1B0000}"/>
    <cellStyle name="Normal 57 2" xfId="4959" xr:uid="{00000000-0005-0000-0000-0000EB1B0000}"/>
    <cellStyle name="Normal 57 2 2" xfId="4960" xr:uid="{00000000-0005-0000-0000-0000EC1B0000}"/>
    <cellStyle name="Normal 57 3" xfId="4961" xr:uid="{00000000-0005-0000-0000-0000ED1B0000}"/>
    <cellStyle name="Normal 57 3 2" xfId="4962" xr:uid="{00000000-0005-0000-0000-0000EE1B0000}"/>
    <cellStyle name="Normal 57 3 2 2" xfId="4963" xr:uid="{00000000-0005-0000-0000-0000EF1B0000}"/>
    <cellStyle name="Normal 57 3 2 2 2" xfId="4964" xr:uid="{00000000-0005-0000-0000-0000F01B0000}"/>
    <cellStyle name="Normal 57 3 2 2 2 2" xfId="8928" xr:uid="{00000000-0005-0000-0000-0000F11B0000}"/>
    <cellStyle name="Normal 57 3 2 2 3" xfId="8929" xr:uid="{00000000-0005-0000-0000-0000F21B0000}"/>
    <cellStyle name="Normal 57 3 2 3" xfId="4965" xr:uid="{00000000-0005-0000-0000-0000F31B0000}"/>
    <cellStyle name="Normal 57 3 2 3 2" xfId="8930" xr:uid="{00000000-0005-0000-0000-0000F41B0000}"/>
    <cellStyle name="Normal 57 3 2 4" xfId="8931" xr:uid="{00000000-0005-0000-0000-0000F51B0000}"/>
    <cellStyle name="Normal 57 3 3" xfId="4966" xr:uid="{00000000-0005-0000-0000-0000F61B0000}"/>
    <cellStyle name="Normal 57 3 3 2" xfId="4967" xr:uid="{00000000-0005-0000-0000-0000F71B0000}"/>
    <cellStyle name="Normal 57 3 3 2 2" xfId="8932" xr:uid="{00000000-0005-0000-0000-0000F81B0000}"/>
    <cellStyle name="Normal 57 3 3 3" xfId="8933" xr:uid="{00000000-0005-0000-0000-0000F91B0000}"/>
    <cellStyle name="Normal 57 3 4" xfId="4968" xr:uid="{00000000-0005-0000-0000-0000FA1B0000}"/>
    <cellStyle name="Normal 57 3 4 2" xfId="8934" xr:uid="{00000000-0005-0000-0000-0000FB1B0000}"/>
    <cellStyle name="Normal 57 3 5" xfId="4969" xr:uid="{00000000-0005-0000-0000-0000FC1B0000}"/>
    <cellStyle name="Normal 57 4" xfId="4970" xr:uid="{00000000-0005-0000-0000-0000FD1B0000}"/>
    <cellStyle name="Normal 57 4 2" xfId="4971" xr:uid="{00000000-0005-0000-0000-0000FE1B0000}"/>
    <cellStyle name="Normal 57 4 2 2" xfId="4972" xr:uid="{00000000-0005-0000-0000-0000FF1B0000}"/>
    <cellStyle name="Normal 57 4 2 2 2" xfId="4973" xr:uid="{00000000-0005-0000-0000-0000001C0000}"/>
    <cellStyle name="Normal 57 4 2 2 2 2" xfId="8935" xr:uid="{00000000-0005-0000-0000-0000011C0000}"/>
    <cellStyle name="Normal 57 4 2 2 3" xfId="8936" xr:uid="{00000000-0005-0000-0000-0000021C0000}"/>
    <cellStyle name="Normal 57 4 2 3" xfId="4974" xr:uid="{00000000-0005-0000-0000-0000031C0000}"/>
    <cellStyle name="Normal 57 4 2 3 2" xfId="8937" xr:uid="{00000000-0005-0000-0000-0000041C0000}"/>
    <cellStyle name="Normal 57 4 2 4" xfId="8938" xr:uid="{00000000-0005-0000-0000-0000051C0000}"/>
    <cellStyle name="Normal 57 4 3" xfId="4975" xr:uid="{00000000-0005-0000-0000-0000061C0000}"/>
    <cellStyle name="Normal 57 4 3 2" xfId="4976" xr:uid="{00000000-0005-0000-0000-0000071C0000}"/>
    <cellStyle name="Normal 57 4 3 2 2" xfId="8939" xr:uid="{00000000-0005-0000-0000-0000081C0000}"/>
    <cellStyle name="Normal 57 4 3 3" xfId="8940" xr:uid="{00000000-0005-0000-0000-0000091C0000}"/>
    <cellStyle name="Normal 57 4 4" xfId="4977" xr:uid="{00000000-0005-0000-0000-00000A1C0000}"/>
    <cellStyle name="Normal 57 4 4 2" xfId="8941" xr:uid="{00000000-0005-0000-0000-00000B1C0000}"/>
    <cellStyle name="Normal 57 4 5" xfId="8942" xr:uid="{00000000-0005-0000-0000-00000C1C0000}"/>
    <cellStyle name="Normal 57 5" xfId="4978" xr:uid="{00000000-0005-0000-0000-00000D1C0000}"/>
    <cellStyle name="Normal 57 5 2" xfId="4979" xr:uid="{00000000-0005-0000-0000-00000E1C0000}"/>
    <cellStyle name="Normal 57 5 2 2" xfId="4980" xr:uid="{00000000-0005-0000-0000-00000F1C0000}"/>
    <cellStyle name="Normal 57 5 2 2 2" xfId="4981" xr:uid="{00000000-0005-0000-0000-0000101C0000}"/>
    <cellStyle name="Normal 57 5 2 2 2 2" xfId="8943" xr:uid="{00000000-0005-0000-0000-0000111C0000}"/>
    <cellStyle name="Normal 57 5 2 2 3" xfId="8944" xr:uid="{00000000-0005-0000-0000-0000121C0000}"/>
    <cellStyle name="Normal 57 5 2 3" xfId="4982" xr:uid="{00000000-0005-0000-0000-0000131C0000}"/>
    <cellStyle name="Normal 57 5 2 3 2" xfId="8945" xr:uid="{00000000-0005-0000-0000-0000141C0000}"/>
    <cellStyle name="Normal 57 5 2 4" xfId="8946" xr:uid="{00000000-0005-0000-0000-0000151C0000}"/>
    <cellStyle name="Normal 57 5 3" xfId="4983" xr:uid="{00000000-0005-0000-0000-0000161C0000}"/>
    <cellStyle name="Normal 57 5 3 2" xfId="4984" xr:uid="{00000000-0005-0000-0000-0000171C0000}"/>
    <cellStyle name="Normal 57 5 3 2 2" xfId="8947" xr:uid="{00000000-0005-0000-0000-0000181C0000}"/>
    <cellStyle name="Normal 57 5 3 3" xfId="8948" xr:uid="{00000000-0005-0000-0000-0000191C0000}"/>
    <cellStyle name="Normal 57 5 4" xfId="4985" xr:uid="{00000000-0005-0000-0000-00001A1C0000}"/>
    <cellStyle name="Normal 57 5 4 2" xfId="8949" xr:uid="{00000000-0005-0000-0000-00001B1C0000}"/>
    <cellStyle name="Normal 57 5 5" xfId="8950" xr:uid="{00000000-0005-0000-0000-00001C1C0000}"/>
    <cellStyle name="Normal 57 6" xfId="4986" xr:uid="{00000000-0005-0000-0000-00001D1C0000}"/>
    <cellStyle name="Normal 57 6 2" xfId="4987" xr:uid="{00000000-0005-0000-0000-00001E1C0000}"/>
    <cellStyle name="Normal 57 6 2 2" xfId="4988" xr:uid="{00000000-0005-0000-0000-00001F1C0000}"/>
    <cellStyle name="Normal 57 6 2 2 2" xfId="8951" xr:uid="{00000000-0005-0000-0000-0000201C0000}"/>
    <cellStyle name="Normal 57 6 2 3" xfId="8952" xr:uid="{00000000-0005-0000-0000-0000211C0000}"/>
    <cellStyle name="Normal 57 6 3" xfId="4989" xr:uid="{00000000-0005-0000-0000-0000221C0000}"/>
    <cellStyle name="Normal 57 6 3 2" xfId="8953" xr:uid="{00000000-0005-0000-0000-0000231C0000}"/>
    <cellStyle name="Normal 57 6 4" xfId="8954" xr:uid="{00000000-0005-0000-0000-0000241C0000}"/>
    <cellStyle name="Normal 57 7" xfId="4990" xr:uid="{00000000-0005-0000-0000-0000251C0000}"/>
    <cellStyle name="Normal 57 7 2" xfId="4991" xr:uid="{00000000-0005-0000-0000-0000261C0000}"/>
    <cellStyle name="Normal 57 7 2 2" xfId="8955" xr:uid="{00000000-0005-0000-0000-0000271C0000}"/>
    <cellStyle name="Normal 57 7 3" xfId="8956" xr:uid="{00000000-0005-0000-0000-0000281C0000}"/>
    <cellStyle name="Normal 57 8" xfId="4992" xr:uid="{00000000-0005-0000-0000-0000291C0000}"/>
    <cellStyle name="Normal 57 8 2" xfId="8957" xr:uid="{00000000-0005-0000-0000-00002A1C0000}"/>
    <cellStyle name="Normal 57 9" xfId="8958" xr:uid="{00000000-0005-0000-0000-00002B1C0000}"/>
    <cellStyle name="Normal 58" xfId="4993" xr:uid="{00000000-0005-0000-0000-00002C1C0000}"/>
    <cellStyle name="Normal 58 2" xfId="4994" xr:uid="{00000000-0005-0000-0000-00002D1C0000}"/>
    <cellStyle name="Normal 58 2 2" xfId="4995" xr:uid="{00000000-0005-0000-0000-00002E1C0000}"/>
    <cellStyle name="Normal 58 3" xfId="4996" xr:uid="{00000000-0005-0000-0000-00002F1C0000}"/>
    <cellStyle name="Normal 58 3 2" xfId="4997" xr:uid="{00000000-0005-0000-0000-0000301C0000}"/>
    <cellStyle name="Normal 58 3 2 2" xfId="4998" xr:uid="{00000000-0005-0000-0000-0000311C0000}"/>
    <cellStyle name="Normal 58 3 2 2 2" xfId="4999" xr:uid="{00000000-0005-0000-0000-0000321C0000}"/>
    <cellStyle name="Normal 58 3 2 2 2 2" xfId="8959" xr:uid="{00000000-0005-0000-0000-0000331C0000}"/>
    <cellStyle name="Normal 58 3 2 2 3" xfId="8960" xr:uid="{00000000-0005-0000-0000-0000341C0000}"/>
    <cellStyle name="Normal 58 3 2 3" xfId="5000" xr:uid="{00000000-0005-0000-0000-0000351C0000}"/>
    <cellStyle name="Normal 58 3 2 3 2" xfId="8961" xr:uid="{00000000-0005-0000-0000-0000361C0000}"/>
    <cellStyle name="Normal 58 3 2 4" xfId="8962" xr:uid="{00000000-0005-0000-0000-0000371C0000}"/>
    <cellStyle name="Normal 58 3 3" xfId="5001" xr:uid="{00000000-0005-0000-0000-0000381C0000}"/>
    <cellStyle name="Normal 58 3 3 2" xfId="5002" xr:uid="{00000000-0005-0000-0000-0000391C0000}"/>
    <cellStyle name="Normal 58 3 3 2 2" xfId="8963" xr:uid="{00000000-0005-0000-0000-00003A1C0000}"/>
    <cellStyle name="Normal 58 3 3 3" xfId="8964" xr:uid="{00000000-0005-0000-0000-00003B1C0000}"/>
    <cellStyle name="Normal 58 3 4" xfId="5003" xr:uid="{00000000-0005-0000-0000-00003C1C0000}"/>
    <cellStyle name="Normal 58 3 4 2" xfId="8965" xr:uid="{00000000-0005-0000-0000-00003D1C0000}"/>
    <cellStyle name="Normal 58 3 5" xfId="5004" xr:uid="{00000000-0005-0000-0000-00003E1C0000}"/>
    <cellStyle name="Normal 58 4" xfId="5005" xr:uid="{00000000-0005-0000-0000-00003F1C0000}"/>
    <cellStyle name="Normal 58 4 2" xfId="5006" xr:uid="{00000000-0005-0000-0000-0000401C0000}"/>
    <cellStyle name="Normal 58 4 2 2" xfId="5007" xr:uid="{00000000-0005-0000-0000-0000411C0000}"/>
    <cellStyle name="Normal 58 4 2 2 2" xfId="5008" xr:uid="{00000000-0005-0000-0000-0000421C0000}"/>
    <cellStyle name="Normal 58 4 2 2 2 2" xfId="8966" xr:uid="{00000000-0005-0000-0000-0000431C0000}"/>
    <cellStyle name="Normal 58 4 2 2 3" xfId="8967" xr:uid="{00000000-0005-0000-0000-0000441C0000}"/>
    <cellStyle name="Normal 58 4 2 3" xfId="5009" xr:uid="{00000000-0005-0000-0000-0000451C0000}"/>
    <cellStyle name="Normal 58 4 2 3 2" xfId="8968" xr:uid="{00000000-0005-0000-0000-0000461C0000}"/>
    <cellStyle name="Normal 58 4 2 4" xfId="8969" xr:uid="{00000000-0005-0000-0000-0000471C0000}"/>
    <cellStyle name="Normal 58 4 3" xfId="5010" xr:uid="{00000000-0005-0000-0000-0000481C0000}"/>
    <cellStyle name="Normal 58 4 3 2" xfId="5011" xr:uid="{00000000-0005-0000-0000-0000491C0000}"/>
    <cellStyle name="Normal 58 4 3 2 2" xfId="8970" xr:uid="{00000000-0005-0000-0000-00004A1C0000}"/>
    <cellStyle name="Normal 58 4 3 3" xfId="8971" xr:uid="{00000000-0005-0000-0000-00004B1C0000}"/>
    <cellStyle name="Normal 58 4 4" xfId="5012" xr:uid="{00000000-0005-0000-0000-00004C1C0000}"/>
    <cellStyle name="Normal 58 4 4 2" xfId="8972" xr:uid="{00000000-0005-0000-0000-00004D1C0000}"/>
    <cellStyle name="Normal 58 4 5" xfId="8973" xr:uid="{00000000-0005-0000-0000-00004E1C0000}"/>
    <cellStyle name="Normal 58 5" xfId="5013" xr:uid="{00000000-0005-0000-0000-00004F1C0000}"/>
    <cellStyle name="Normal 58 5 2" xfId="5014" xr:uid="{00000000-0005-0000-0000-0000501C0000}"/>
    <cellStyle name="Normal 58 5 2 2" xfId="5015" xr:uid="{00000000-0005-0000-0000-0000511C0000}"/>
    <cellStyle name="Normal 58 5 2 2 2" xfId="5016" xr:uid="{00000000-0005-0000-0000-0000521C0000}"/>
    <cellStyle name="Normal 58 5 2 2 2 2" xfId="8974" xr:uid="{00000000-0005-0000-0000-0000531C0000}"/>
    <cellStyle name="Normal 58 5 2 2 3" xfId="8975" xr:uid="{00000000-0005-0000-0000-0000541C0000}"/>
    <cellStyle name="Normal 58 5 2 3" xfId="5017" xr:uid="{00000000-0005-0000-0000-0000551C0000}"/>
    <cellStyle name="Normal 58 5 2 3 2" xfId="8976" xr:uid="{00000000-0005-0000-0000-0000561C0000}"/>
    <cellStyle name="Normal 58 5 2 4" xfId="8977" xr:uid="{00000000-0005-0000-0000-0000571C0000}"/>
    <cellStyle name="Normal 58 5 3" xfId="5018" xr:uid="{00000000-0005-0000-0000-0000581C0000}"/>
    <cellStyle name="Normal 58 5 3 2" xfId="5019" xr:uid="{00000000-0005-0000-0000-0000591C0000}"/>
    <cellStyle name="Normal 58 5 3 2 2" xfId="8978" xr:uid="{00000000-0005-0000-0000-00005A1C0000}"/>
    <cellStyle name="Normal 58 5 3 3" xfId="8979" xr:uid="{00000000-0005-0000-0000-00005B1C0000}"/>
    <cellStyle name="Normal 58 5 4" xfId="5020" xr:uid="{00000000-0005-0000-0000-00005C1C0000}"/>
    <cellStyle name="Normal 58 5 4 2" xfId="8980" xr:uid="{00000000-0005-0000-0000-00005D1C0000}"/>
    <cellStyle name="Normal 58 5 5" xfId="8981" xr:uid="{00000000-0005-0000-0000-00005E1C0000}"/>
    <cellStyle name="Normal 58 6" xfId="5021" xr:uid="{00000000-0005-0000-0000-00005F1C0000}"/>
    <cellStyle name="Normal 58 6 2" xfId="5022" xr:uid="{00000000-0005-0000-0000-0000601C0000}"/>
    <cellStyle name="Normal 58 6 2 2" xfId="5023" xr:uid="{00000000-0005-0000-0000-0000611C0000}"/>
    <cellStyle name="Normal 58 6 2 2 2" xfId="8982" xr:uid="{00000000-0005-0000-0000-0000621C0000}"/>
    <cellStyle name="Normal 58 6 2 3" xfId="8983" xr:uid="{00000000-0005-0000-0000-0000631C0000}"/>
    <cellStyle name="Normal 58 6 3" xfId="5024" xr:uid="{00000000-0005-0000-0000-0000641C0000}"/>
    <cellStyle name="Normal 58 6 3 2" xfId="8984" xr:uid="{00000000-0005-0000-0000-0000651C0000}"/>
    <cellStyle name="Normal 58 6 4" xfId="8985" xr:uid="{00000000-0005-0000-0000-0000661C0000}"/>
    <cellStyle name="Normal 58 7" xfId="5025" xr:uid="{00000000-0005-0000-0000-0000671C0000}"/>
    <cellStyle name="Normal 58 7 2" xfId="5026" xr:uid="{00000000-0005-0000-0000-0000681C0000}"/>
    <cellStyle name="Normal 58 7 2 2" xfId="8986" xr:uid="{00000000-0005-0000-0000-0000691C0000}"/>
    <cellStyle name="Normal 58 7 3" xfId="8987" xr:uid="{00000000-0005-0000-0000-00006A1C0000}"/>
    <cellStyle name="Normal 58 8" xfId="5027" xr:uid="{00000000-0005-0000-0000-00006B1C0000}"/>
    <cellStyle name="Normal 58 8 2" xfId="8988" xr:uid="{00000000-0005-0000-0000-00006C1C0000}"/>
    <cellStyle name="Normal 58 9" xfId="8989" xr:uid="{00000000-0005-0000-0000-00006D1C0000}"/>
    <cellStyle name="Normal 59" xfId="5028" xr:uid="{00000000-0005-0000-0000-00006E1C0000}"/>
    <cellStyle name="Normal 59 2" xfId="5029" xr:uid="{00000000-0005-0000-0000-00006F1C0000}"/>
    <cellStyle name="Normal 59 2 2" xfId="5030" xr:uid="{00000000-0005-0000-0000-0000701C0000}"/>
    <cellStyle name="Normal 59 3" xfId="5031" xr:uid="{00000000-0005-0000-0000-0000711C0000}"/>
    <cellStyle name="Normal 59 3 2" xfId="5032" xr:uid="{00000000-0005-0000-0000-0000721C0000}"/>
    <cellStyle name="Normal 59 3 2 2" xfId="5033" xr:uid="{00000000-0005-0000-0000-0000731C0000}"/>
    <cellStyle name="Normal 59 3 2 2 2" xfId="5034" xr:uid="{00000000-0005-0000-0000-0000741C0000}"/>
    <cellStyle name="Normal 59 3 2 2 2 2" xfId="8990" xr:uid="{00000000-0005-0000-0000-0000751C0000}"/>
    <cellStyle name="Normal 59 3 2 2 3" xfId="8991" xr:uid="{00000000-0005-0000-0000-0000761C0000}"/>
    <cellStyle name="Normal 59 3 2 3" xfId="5035" xr:uid="{00000000-0005-0000-0000-0000771C0000}"/>
    <cellStyle name="Normal 59 3 2 3 2" xfId="8992" xr:uid="{00000000-0005-0000-0000-0000781C0000}"/>
    <cellStyle name="Normal 59 3 2 4" xfId="8993" xr:uid="{00000000-0005-0000-0000-0000791C0000}"/>
    <cellStyle name="Normal 59 3 3" xfId="5036" xr:uid="{00000000-0005-0000-0000-00007A1C0000}"/>
    <cellStyle name="Normal 59 3 3 2" xfId="5037" xr:uid="{00000000-0005-0000-0000-00007B1C0000}"/>
    <cellStyle name="Normal 59 3 3 2 2" xfId="8994" xr:uid="{00000000-0005-0000-0000-00007C1C0000}"/>
    <cellStyle name="Normal 59 3 3 3" xfId="8995" xr:uid="{00000000-0005-0000-0000-00007D1C0000}"/>
    <cellStyle name="Normal 59 3 4" xfId="5038" xr:uid="{00000000-0005-0000-0000-00007E1C0000}"/>
    <cellStyle name="Normal 59 3 4 2" xfId="8996" xr:uid="{00000000-0005-0000-0000-00007F1C0000}"/>
    <cellStyle name="Normal 59 3 5" xfId="5039" xr:uid="{00000000-0005-0000-0000-0000801C0000}"/>
    <cellStyle name="Normal 59 4" xfId="5040" xr:uid="{00000000-0005-0000-0000-0000811C0000}"/>
    <cellStyle name="Normal 59 4 2" xfId="5041" xr:uid="{00000000-0005-0000-0000-0000821C0000}"/>
    <cellStyle name="Normal 59 4 2 2" xfId="5042" xr:uid="{00000000-0005-0000-0000-0000831C0000}"/>
    <cellStyle name="Normal 59 4 2 2 2" xfId="5043" xr:uid="{00000000-0005-0000-0000-0000841C0000}"/>
    <cellStyle name="Normal 59 4 2 2 2 2" xfId="8997" xr:uid="{00000000-0005-0000-0000-0000851C0000}"/>
    <cellStyle name="Normal 59 4 2 2 3" xfId="8998" xr:uid="{00000000-0005-0000-0000-0000861C0000}"/>
    <cellStyle name="Normal 59 4 2 3" xfId="5044" xr:uid="{00000000-0005-0000-0000-0000871C0000}"/>
    <cellStyle name="Normal 59 4 2 3 2" xfId="8999" xr:uid="{00000000-0005-0000-0000-0000881C0000}"/>
    <cellStyle name="Normal 59 4 2 4" xfId="9000" xr:uid="{00000000-0005-0000-0000-0000891C0000}"/>
    <cellStyle name="Normal 59 4 3" xfId="5045" xr:uid="{00000000-0005-0000-0000-00008A1C0000}"/>
    <cellStyle name="Normal 59 4 3 2" xfId="5046" xr:uid="{00000000-0005-0000-0000-00008B1C0000}"/>
    <cellStyle name="Normal 59 4 3 2 2" xfId="9001" xr:uid="{00000000-0005-0000-0000-00008C1C0000}"/>
    <cellStyle name="Normal 59 4 3 3" xfId="9002" xr:uid="{00000000-0005-0000-0000-00008D1C0000}"/>
    <cellStyle name="Normal 59 4 4" xfId="5047" xr:uid="{00000000-0005-0000-0000-00008E1C0000}"/>
    <cellStyle name="Normal 59 4 4 2" xfId="9003" xr:uid="{00000000-0005-0000-0000-00008F1C0000}"/>
    <cellStyle name="Normal 59 4 5" xfId="9004" xr:uid="{00000000-0005-0000-0000-0000901C0000}"/>
    <cellStyle name="Normal 59 5" xfId="5048" xr:uid="{00000000-0005-0000-0000-0000911C0000}"/>
    <cellStyle name="Normal 59 5 2" xfId="5049" xr:uid="{00000000-0005-0000-0000-0000921C0000}"/>
    <cellStyle name="Normal 59 5 2 2" xfId="5050" xr:uid="{00000000-0005-0000-0000-0000931C0000}"/>
    <cellStyle name="Normal 59 5 2 2 2" xfId="5051" xr:uid="{00000000-0005-0000-0000-0000941C0000}"/>
    <cellStyle name="Normal 59 5 2 2 2 2" xfId="9005" xr:uid="{00000000-0005-0000-0000-0000951C0000}"/>
    <cellStyle name="Normal 59 5 2 2 3" xfId="9006" xr:uid="{00000000-0005-0000-0000-0000961C0000}"/>
    <cellStyle name="Normal 59 5 2 3" xfId="5052" xr:uid="{00000000-0005-0000-0000-0000971C0000}"/>
    <cellStyle name="Normal 59 5 2 3 2" xfId="9007" xr:uid="{00000000-0005-0000-0000-0000981C0000}"/>
    <cellStyle name="Normal 59 5 2 4" xfId="9008" xr:uid="{00000000-0005-0000-0000-0000991C0000}"/>
    <cellStyle name="Normal 59 5 3" xfId="5053" xr:uid="{00000000-0005-0000-0000-00009A1C0000}"/>
    <cellStyle name="Normal 59 5 3 2" xfId="5054" xr:uid="{00000000-0005-0000-0000-00009B1C0000}"/>
    <cellStyle name="Normal 59 5 3 2 2" xfId="9009" xr:uid="{00000000-0005-0000-0000-00009C1C0000}"/>
    <cellStyle name="Normal 59 5 3 3" xfId="9010" xr:uid="{00000000-0005-0000-0000-00009D1C0000}"/>
    <cellStyle name="Normal 59 5 4" xfId="5055" xr:uid="{00000000-0005-0000-0000-00009E1C0000}"/>
    <cellStyle name="Normal 59 5 4 2" xfId="9011" xr:uid="{00000000-0005-0000-0000-00009F1C0000}"/>
    <cellStyle name="Normal 59 5 5" xfId="9012" xr:uid="{00000000-0005-0000-0000-0000A01C0000}"/>
    <cellStyle name="Normal 59 6" xfId="5056" xr:uid="{00000000-0005-0000-0000-0000A11C0000}"/>
    <cellStyle name="Normal 59 6 2" xfId="5057" xr:uid="{00000000-0005-0000-0000-0000A21C0000}"/>
    <cellStyle name="Normal 59 6 2 2" xfId="5058" xr:uid="{00000000-0005-0000-0000-0000A31C0000}"/>
    <cellStyle name="Normal 59 6 2 2 2" xfId="9013" xr:uid="{00000000-0005-0000-0000-0000A41C0000}"/>
    <cellStyle name="Normal 59 6 2 3" xfId="9014" xr:uid="{00000000-0005-0000-0000-0000A51C0000}"/>
    <cellStyle name="Normal 59 6 3" xfId="5059" xr:uid="{00000000-0005-0000-0000-0000A61C0000}"/>
    <cellStyle name="Normal 59 6 3 2" xfId="9015" xr:uid="{00000000-0005-0000-0000-0000A71C0000}"/>
    <cellStyle name="Normal 59 6 4" xfId="9016" xr:uid="{00000000-0005-0000-0000-0000A81C0000}"/>
    <cellStyle name="Normal 59 7" xfId="5060" xr:uid="{00000000-0005-0000-0000-0000A91C0000}"/>
    <cellStyle name="Normal 59 7 2" xfId="5061" xr:uid="{00000000-0005-0000-0000-0000AA1C0000}"/>
    <cellStyle name="Normal 59 7 2 2" xfId="9017" xr:uid="{00000000-0005-0000-0000-0000AB1C0000}"/>
    <cellStyle name="Normal 59 7 3" xfId="9018" xr:uid="{00000000-0005-0000-0000-0000AC1C0000}"/>
    <cellStyle name="Normal 59 8" xfId="5062" xr:uid="{00000000-0005-0000-0000-0000AD1C0000}"/>
    <cellStyle name="Normal 59 8 2" xfId="9019" xr:uid="{00000000-0005-0000-0000-0000AE1C0000}"/>
    <cellStyle name="Normal 59 9" xfId="9020" xr:uid="{00000000-0005-0000-0000-0000AF1C0000}"/>
    <cellStyle name="Normal 6" xfId="286" xr:uid="{00000000-0005-0000-0000-0000B01C0000}"/>
    <cellStyle name="Normal 6 10" xfId="9022" xr:uid="{00000000-0005-0000-0000-0000B11C0000}"/>
    <cellStyle name="Normal 6 11" xfId="9021" xr:uid="{00000000-0005-0000-0000-0000B21C0000}"/>
    <cellStyle name="Normal 6 2" xfId="287" xr:uid="{00000000-0005-0000-0000-0000B31C0000}"/>
    <cellStyle name="Normal 6 2 2" xfId="288" xr:uid="{00000000-0005-0000-0000-0000B41C0000}"/>
    <cellStyle name="Normal 6 2 3" xfId="5063" xr:uid="{00000000-0005-0000-0000-0000B51C0000}"/>
    <cellStyle name="Normal 6 3" xfId="289" xr:uid="{00000000-0005-0000-0000-0000B61C0000}"/>
    <cellStyle name="Normal 6 3 2" xfId="5065" xr:uid="{00000000-0005-0000-0000-0000B71C0000}"/>
    <cellStyle name="Normal 6 3 2 2" xfId="5066" xr:uid="{00000000-0005-0000-0000-0000B81C0000}"/>
    <cellStyle name="Normal 6 3 2 2 2" xfId="5067" xr:uid="{00000000-0005-0000-0000-0000B91C0000}"/>
    <cellStyle name="Normal 6 3 2 2 2 2" xfId="9023" xr:uid="{00000000-0005-0000-0000-0000BA1C0000}"/>
    <cellStyle name="Normal 6 3 2 2 3" xfId="9024" xr:uid="{00000000-0005-0000-0000-0000BB1C0000}"/>
    <cellStyle name="Normal 6 3 2 3" xfId="5068" xr:uid="{00000000-0005-0000-0000-0000BC1C0000}"/>
    <cellStyle name="Normal 6 3 2 3 2" xfId="9025" xr:uid="{00000000-0005-0000-0000-0000BD1C0000}"/>
    <cellStyle name="Normal 6 3 2 4" xfId="9026" xr:uid="{00000000-0005-0000-0000-0000BE1C0000}"/>
    <cellStyle name="Normal 6 3 3" xfId="5069" xr:uid="{00000000-0005-0000-0000-0000BF1C0000}"/>
    <cellStyle name="Normal 6 3 3 2" xfId="5070" xr:uid="{00000000-0005-0000-0000-0000C01C0000}"/>
    <cellStyle name="Normal 6 3 3 2 2" xfId="9027" xr:uid="{00000000-0005-0000-0000-0000C11C0000}"/>
    <cellStyle name="Normal 6 3 3 3" xfId="9028" xr:uid="{00000000-0005-0000-0000-0000C21C0000}"/>
    <cellStyle name="Normal 6 3 4" xfId="5071" xr:uid="{00000000-0005-0000-0000-0000C31C0000}"/>
    <cellStyle name="Normal 6 3 4 2" xfId="9029" xr:uid="{00000000-0005-0000-0000-0000C41C0000}"/>
    <cellStyle name="Normal 6 3 5" xfId="9030" xr:uid="{00000000-0005-0000-0000-0000C51C0000}"/>
    <cellStyle name="Normal 6 3 6" xfId="5064" xr:uid="{00000000-0005-0000-0000-0000C61C0000}"/>
    <cellStyle name="Normal 6 4" xfId="387" xr:uid="{00000000-0005-0000-0000-0000C71C0000}"/>
    <cellStyle name="Normal 6 4 2" xfId="5072" xr:uid="{00000000-0005-0000-0000-0000C81C0000}"/>
    <cellStyle name="Normal 6 4 2 2" xfId="5073" xr:uid="{00000000-0005-0000-0000-0000C91C0000}"/>
    <cellStyle name="Normal 6 4 2 2 2" xfId="5074" xr:uid="{00000000-0005-0000-0000-0000CA1C0000}"/>
    <cellStyle name="Normal 6 4 2 2 2 2" xfId="9031" xr:uid="{00000000-0005-0000-0000-0000CB1C0000}"/>
    <cellStyle name="Normal 6 4 2 2 3" xfId="9032" xr:uid="{00000000-0005-0000-0000-0000CC1C0000}"/>
    <cellStyle name="Normal 6 4 2 3" xfId="5075" xr:uid="{00000000-0005-0000-0000-0000CD1C0000}"/>
    <cellStyle name="Normal 6 4 2 3 2" xfId="9033" xr:uid="{00000000-0005-0000-0000-0000CE1C0000}"/>
    <cellStyle name="Normal 6 4 2 4" xfId="9034" xr:uid="{00000000-0005-0000-0000-0000CF1C0000}"/>
    <cellStyle name="Normal 6 4 3" xfId="5076" xr:uid="{00000000-0005-0000-0000-0000D01C0000}"/>
    <cellStyle name="Normal 6 4 3 2" xfId="5077" xr:uid="{00000000-0005-0000-0000-0000D11C0000}"/>
    <cellStyle name="Normal 6 4 3 2 2" xfId="9035" xr:uid="{00000000-0005-0000-0000-0000D21C0000}"/>
    <cellStyle name="Normal 6 4 3 3" xfId="9036" xr:uid="{00000000-0005-0000-0000-0000D31C0000}"/>
    <cellStyle name="Normal 6 4 4" xfId="5078" xr:uid="{00000000-0005-0000-0000-0000D41C0000}"/>
    <cellStyle name="Normal 6 4 4 2" xfId="9037" xr:uid="{00000000-0005-0000-0000-0000D51C0000}"/>
    <cellStyle name="Normal 6 4 5" xfId="9038" xr:uid="{00000000-0005-0000-0000-0000D61C0000}"/>
    <cellStyle name="Normal 6 5" xfId="1725" xr:uid="{00000000-0005-0000-0000-0000D71C0000}"/>
    <cellStyle name="Normal 6 5 2" xfId="5080" xr:uid="{00000000-0005-0000-0000-0000D81C0000}"/>
    <cellStyle name="Normal 6 5 2 2" xfId="5081" xr:uid="{00000000-0005-0000-0000-0000D91C0000}"/>
    <cellStyle name="Normal 6 5 2 2 2" xfId="5082" xr:uid="{00000000-0005-0000-0000-0000DA1C0000}"/>
    <cellStyle name="Normal 6 5 2 2 2 2" xfId="9039" xr:uid="{00000000-0005-0000-0000-0000DB1C0000}"/>
    <cellStyle name="Normal 6 5 2 2 3" xfId="9040" xr:uid="{00000000-0005-0000-0000-0000DC1C0000}"/>
    <cellStyle name="Normal 6 5 2 3" xfId="5083" xr:uid="{00000000-0005-0000-0000-0000DD1C0000}"/>
    <cellStyle name="Normal 6 5 2 3 2" xfId="9041" xr:uid="{00000000-0005-0000-0000-0000DE1C0000}"/>
    <cellStyle name="Normal 6 5 2 4" xfId="9042" xr:uid="{00000000-0005-0000-0000-0000DF1C0000}"/>
    <cellStyle name="Normal 6 5 3" xfId="5084" xr:uid="{00000000-0005-0000-0000-0000E01C0000}"/>
    <cellStyle name="Normal 6 5 3 2" xfId="5085" xr:uid="{00000000-0005-0000-0000-0000E11C0000}"/>
    <cellStyle name="Normal 6 5 3 2 2" xfId="9043" xr:uid="{00000000-0005-0000-0000-0000E21C0000}"/>
    <cellStyle name="Normal 6 5 3 3" xfId="9044" xr:uid="{00000000-0005-0000-0000-0000E31C0000}"/>
    <cellStyle name="Normal 6 5 4" xfId="5086" xr:uid="{00000000-0005-0000-0000-0000E41C0000}"/>
    <cellStyle name="Normal 6 5 4 2" xfId="9045" xr:uid="{00000000-0005-0000-0000-0000E51C0000}"/>
    <cellStyle name="Normal 6 5 5" xfId="9046" xr:uid="{00000000-0005-0000-0000-0000E61C0000}"/>
    <cellStyle name="Normal 6 5 6" xfId="5079" xr:uid="{00000000-0005-0000-0000-0000E71C0000}"/>
    <cellStyle name="Normal 6 6" xfId="1682" xr:uid="{00000000-0005-0000-0000-0000E81C0000}"/>
    <cellStyle name="Normal 6 6 2" xfId="5088" xr:uid="{00000000-0005-0000-0000-0000E91C0000}"/>
    <cellStyle name="Normal 6 6 2 2" xfId="5089" xr:uid="{00000000-0005-0000-0000-0000EA1C0000}"/>
    <cellStyle name="Normal 6 6 2 2 2" xfId="9047" xr:uid="{00000000-0005-0000-0000-0000EB1C0000}"/>
    <cellStyle name="Normal 6 6 2 3" xfId="9048" xr:uid="{00000000-0005-0000-0000-0000EC1C0000}"/>
    <cellStyle name="Normal 6 6 3" xfId="5090" xr:uid="{00000000-0005-0000-0000-0000ED1C0000}"/>
    <cellStyle name="Normal 6 6 3 2" xfId="9049" xr:uid="{00000000-0005-0000-0000-0000EE1C0000}"/>
    <cellStyle name="Normal 6 6 4" xfId="9050" xr:uid="{00000000-0005-0000-0000-0000EF1C0000}"/>
    <cellStyle name="Normal 6 6 5" xfId="5087" xr:uid="{00000000-0005-0000-0000-0000F01C0000}"/>
    <cellStyle name="Normal 6 7" xfId="5091" xr:uid="{00000000-0005-0000-0000-0000F11C0000}"/>
    <cellStyle name="Normal 6 7 2" xfId="5092" xr:uid="{00000000-0005-0000-0000-0000F21C0000}"/>
    <cellStyle name="Normal 6 7 2 2" xfId="9051" xr:uid="{00000000-0005-0000-0000-0000F31C0000}"/>
    <cellStyle name="Normal 6 7 3" xfId="9052" xr:uid="{00000000-0005-0000-0000-0000F41C0000}"/>
    <cellStyle name="Normal 6 8" xfId="5093" xr:uid="{00000000-0005-0000-0000-0000F51C0000}"/>
    <cellStyle name="Normal 6 8 2" xfId="9053" xr:uid="{00000000-0005-0000-0000-0000F61C0000}"/>
    <cellStyle name="Normal 6 9" xfId="9054" xr:uid="{00000000-0005-0000-0000-0000F71C0000}"/>
    <cellStyle name="Normal 60" xfId="5094" xr:uid="{00000000-0005-0000-0000-0000F81C0000}"/>
    <cellStyle name="Normal 60 2" xfId="5095" xr:uid="{00000000-0005-0000-0000-0000F91C0000}"/>
    <cellStyle name="Normal 60 2 2" xfId="5096" xr:uid="{00000000-0005-0000-0000-0000FA1C0000}"/>
    <cellStyle name="Normal 60 3" xfId="5097" xr:uid="{00000000-0005-0000-0000-0000FB1C0000}"/>
    <cellStyle name="Normal 60 3 2" xfId="5098" xr:uid="{00000000-0005-0000-0000-0000FC1C0000}"/>
    <cellStyle name="Normal 60 3 2 2" xfId="5099" xr:uid="{00000000-0005-0000-0000-0000FD1C0000}"/>
    <cellStyle name="Normal 60 3 2 2 2" xfId="5100" xr:uid="{00000000-0005-0000-0000-0000FE1C0000}"/>
    <cellStyle name="Normal 60 3 2 2 2 2" xfId="9055" xr:uid="{00000000-0005-0000-0000-0000FF1C0000}"/>
    <cellStyle name="Normal 60 3 2 2 3" xfId="9056" xr:uid="{00000000-0005-0000-0000-0000001D0000}"/>
    <cellStyle name="Normal 60 3 2 3" xfId="5101" xr:uid="{00000000-0005-0000-0000-0000011D0000}"/>
    <cellStyle name="Normal 60 3 2 3 2" xfId="9057" xr:uid="{00000000-0005-0000-0000-0000021D0000}"/>
    <cellStyle name="Normal 60 3 2 4" xfId="9058" xr:uid="{00000000-0005-0000-0000-0000031D0000}"/>
    <cellStyle name="Normal 60 3 3" xfId="5102" xr:uid="{00000000-0005-0000-0000-0000041D0000}"/>
    <cellStyle name="Normal 60 3 3 2" xfId="5103" xr:uid="{00000000-0005-0000-0000-0000051D0000}"/>
    <cellStyle name="Normal 60 3 3 2 2" xfId="9059" xr:uid="{00000000-0005-0000-0000-0000061D0000}"/>
    <cellStyle name="Normal 60 3 3 3" xfId="9060" xr:uid="{00000000-0005-0000-0000-0000071D0000}"/>
    <cellStyle name="Normal 60 3 4" xfId="5104" xr:uid="{00000000-0005-0000-0000-0000081D0000}"/>
    <cellStyle name="Normal 60 3 4 2" xfId="9061" xr:uid="{00000000-0005-0000-0000-0000091D0000}"/>
    <cellStyle name="Normal 60 3 5" xfId="5105" xr:uid="{00000000-0005-0000-0000-00000A1D0000}"/>
    <cellStyle name="Normal 60 4" xfId="5106" xr:uid="{00000000-0005-0000-0000-00000B1D0000}"/>
    <cellStyle name="Normal 60 4 2" xfId="5107" xr:uid="{00000000-0005-0000-0000-00000C1D0000}"/>
    <cellStyle name="Normal 60 4 2 2" xfId="5108" xr:uid="{00000000-0005-0000-0000-00000D1D0000}"/>
    <cellStyle name="Normal 60 4 2 2 2" xfId="5109" xr:uid="{00000000-0005-0000-0000-00000E1D0000}"/>
    <cellStyle name="Normal 60 4 2 2 2 2" xfId="9062" xr:uid="{00000000-0005-0000-0000-00000F1D0000}"/>
    <cellStyle name="Normal 60 4 2 2 3" xfId="9063" xr:uid="{00000000-0005-0000-0000-0000101D0000}"/>
    <cellStyle name="Normal 60 4 2 3" xfId="5110" xr:uid="{00000000-0005-0000-0000-0000111D0000}"/>
    <cellStyle name="Normal 60 4 2 3 2" xfId="9064" xr:uid="{00000000-0005-0000-0000-0000121D0000}"/>
    <cellStyle name="Normal 60 4 2 4" xfId="9065" xr:uid="{00000000-0005-0000-0000-0000131D0000}"/>
    <cellStyle name="Normal 60 4 3" xfId="5111" xr:uid="{00000000-0005-0000-0000-0000141D0000}"/>
    <cellStyle name="Normal 60 4 3 2" xfId="5112" xr:uid="{00000000-0005-0000-0000-0000151D0000}"/>
    <cellStyle name="Normal 60 4 3 2 2" xfId="9066" xr:uid="{00000000-0005-0000-0000-0000161D0000}"/>
    <cellStyle name="Normal 60 4 3 3" xfId="9067" xr:uid="{00000000-0005-0000-0000-0000171D0000}"/>
    <cellStyle name="Normal 60 4 4" xfId="5113" xr:uid="{00000000-0005-0000-0000-0000181D0000}"/>
    <cellStyle name="Normal 60 4 4 2" xfId="9068" xr:uid="{00000000-0005-0000-0000-0000191D0000}"/>
    <cellStyle name="Normal 60 4 5" xfId="9069" xr:uid="{00000000-0005-0000-0000-00001A1D0000}"/>
    <cellStyle name="Normal 60 5" xfId="5114" xr:uid="{00000000-0005-0000-0000-00001B1D0000}"/>
    <cellStyle name="Normal 60 5 2" xfId="5115" xr:uid="{00000000-0005-0000-0000-00001C1D0000}"/>
    <cellStyle name="Normal 60 5 2 2" xfId="5116" xr:uid="{00000000-0005-0000-0000-00001D1D0000}"/>
    <cellStyle name="Normal 60 5 2 2 2" xfId="5117" xr:uid="{00000000-0005-0000-0000-00001E1D0000}"/>
    <cellStyle name="Normal 60 5 2 2 2 2" xfId="9070" xr:uid="{00000000-0005-0000-0000-00001F1D0000}"/>
    <cellStyle name="Normal 60 5 2 2 3" xfId="9071" xr:uid="{00000000-0005-0000-0000-0000201D0000}"/>
    <cellStyle name="Normal 60 5 2 3" xfId="5118" xr:uid="{00000000-0005-0000-0000-0000211D0000}"/>
    <cellStyle name="Normal 60 5 2 3 2" xfId="9072" xr:uid="{00000000-0005-0000-0000-0000221D0000}"/>
    <cellStyle name="Normal 60 5 2 4" xfId="9073" xr:uid="{00000000-0005-0000-0000-0000231D0000}"/>
    <cellStyle name="Normal 60 5 3" xfId="5119" xr:uid="{00000000-0005-0000-0000-0000241D0000}"/>
    <cellStyle name="Normal 60 5 3 2" xfId="5120" xr:uid="{00000000-0005-0000-0000-0000251D0000}"/>
    <cellStyle name="Normal 60 5 3 2 2" xfId="9074" xr:uid="{00000000-0005-0000-0000-0000261D0000}"/>
    <cellStyle name="Normal 60 5 3 3" xfId="9075" xr:uid="{00000000-0005-0000-0000-0000271D0000}"/>
    <cellStyle name="Normal 60 5 4" xfId="5121" xr:uid="{00000000-0005-0000-0000-0000281D0000}"/>
    <cellStyle name="Normal 60 5 4 2" xfId="9076" xr:uid="{00000000-0005-0000-0000-0000291D0000}"/>
    <cellStyle name="Normal 60 5 5" xfId="9077" xr:uid="{00000000-0005-0000-0000-00002A1D0000}"/>
    <cellStyle name="Normal 60 6" xfId="5122" xr:uid="{00000000-0005-0000-0000-00002B1D0000}"/>
    <cellStyle name="Normal 60 6 2" xfId="5123" xr:uid="{00000000-0005-0000-0000-00002C1D0000}"/>
    <cellStyle name="Normal 60 6 2 2" xfId="5124" xr:uid="{00000000-0005-0000-0000-00002D1D0000}"/>
    <cellStyle name="Normal 60 6 2 2 2" xfId="9078" xr:uid="{00000000-0005-0000-0000-00002E1D0000}"/>
    <cellStyle name="Normal 60 6 2 3" xfId="9079" xr:uid="{00000000-0005-0000-0000-00002F1D0000}"/>
    <cellStyle name="Normal 60 6 3" xfId="5125" xr:uid="{00000000-0005-0000-0000-0000301D0000}"/>
    <cellStyle name="Normal 60 6 3 2" xfId="9080" xr:uid="{00000000-0005-0000-0000-0000311D0000}"/>
    <cellStyle name="Normal 60 6 4" xfId="9081" xr:uid="{00000000-0005-0000-0000-0000321D0000}"/>
    <cellStyle name="Normal 60 7" xfId="5126" xr:uid="{00000000-0005-0000-0000-0000331D0000}"/>
    <cellStyle name="Normal 60 7 2" xfId="5127" xr:uid="{00000000-0005-0000-0000-0000341D0000}"/>
    <cellStyle name="Normal 60 7 2 2" xfId="9082" xr:uid="{00000000-0005-0000-0000-0000351D0000}"/>
    <cellStyle name="Normal 60 7 3" xfId="9083" xr:uid="{00000000-0005-0000-0000-0000361D0000}"/>
    <cellStyle name="Normal 60 8" xfId="5128" xr:uid="{00000000-0005-0000-0000-0000371D0000}"/>
    <cellStyle name="Normal 60 8 2" xfId="9084" xr:uid="{00000000-0005-0000-0000-0000381D0000}"/>
    <cellStyle name="Normal 60 9" xfId="9085" xr:uid="{00000000-0005-0000-0000-0000391D0000}"/>
    <cellStyle name="Normal 61" xfId="5129" xr:uid="{00000000-0005-0000-0000-00003A1D0000}"/>
    <cellStyle name="Normal 61 2" xfId="5130" xr:uid="{00000000-0005-0000-0000-00003B1D0000}"/>
    <cellStyle name="Normal 61 2 2" xfId="5131" xr:uid="{00000000-0005-0000-0000-00003C1D0000}"/>
    <cellStyle name="Normal 61 3" xfId="5132" xr:uid="{00000000-0005-0000-0000-00003D1D0000}"/>
    <cellStyle name="Normal 61 3 2" xfId="5133" xr:uid="{00000000-0005-0000-0000-00003E1D0000}"/>
    <cellStyle name="Normal 61 3 2 2" xfId="5134" xr:uid="{00000000-0005-0000-0000-00003F1D0000}"/>
    <cellStyle name="Normal 61 3 2 2 2" xfId="5135" xr:uid="{00000000-0005-0000-0000-0000401D0000}"/>
    <cellStyle name="Normal 61 3 2 2 2 2" xfId="9086" xr:uid="{00000000-0005-0000-0000-0000411D0000}"/>
    <cellStyle name="Normal 61 3 2 2 3" xfId="9087" xr:uid="{00000000-0005-0000-0000-0000421D0000}"/>
    <cellStyle name="Normal 61 3 2 3" xfId="5136" xr:uid="{00000000-0005-0000-0000-0000431D0000}"/>
    <cellStyle name="Normal 61 3 2 3 2" xfId="9088" xr:uid="{00000000-0005-0000-0000-0000441D0000}"/>
    <cellStyle name="Normal 61 3 2 4" xfId="9089" xr:uid="{00000000-0005-0000-0000-0000451D0000}"/>
    <cellStyle name="Normal 61 3 3" xfId="5137" xr:uid="{00000000-0005-0000-0000-0000461D0000}"/>
    <cellStyle name="Normal 61 3 3 2" xfId="5138" xr:uid="{00000000-0005-0000-0000-0000471D0000}"/>
    <cellStyle name="Normal 61 3 3 2 2" xfId="9090" xr:uid="{00000000-0005-0000-0000-0000481D0000}"/>
    <cellStyle name="Normal 61 3 3 3" xfId="9091" xr:uid="{00000000-0005-0000-0000-0000491D0000}"/>
    <cellStyle name="Normal 61 3 4" xfId="5139" xr:uid="{00000000-0005-0000-0000-00004A1D0000}"/>
    <cellStyle name="Normal 61 3 4 2" xfId="9092" xr:uid="{00000000-0005-0000-0000-00004B1D0000}"/>
    <cellStyle name="Normal 61 3 5" xfId="5140" xr:uid="{00000000-0005-0000-0000-00004C1D0000}"/>
    <cellStyle name="Normal 61 4" xfId="5141" xr:uid="{00000000-0005-0000-0000-00004D1D0000}"/>
    <cellStyle name="Normal 61 4 2" xfId="5142" xr:uid="{00000000-0005-0000-0000-00004E1D0000}"/>
    <cellStyle name="Normal 61 4 2 2" xfId="5143" xr:uid="{00000000-0005-0000-0000-00004F1D0000}"/>
    <cellStyle name="Normal 61 4 2 2 2" xfId="5144" xr:uid="{00000000-0005-0000-0000-0000501D0000}"/>
    <cellStyle name="Normal 61 4 2 2 2 2" xfId="9093" xr:uid="{00000000-0005-0000-0000-0000511D0000}"/>
    <cellStyle name="Normal 61 4 2 2 3" xfId="9094" xr:uid="{00000000-0005-0000-0000-0000521D0000}"/>
    <cellStyle name="Normal 61 4 2 3" xfId="5145" xr:uid="{00000000-0005-0000-0000-0000531D0000}"/>
    <cellStyle name="Normal 61 4 2 3 2" xfId="9095" xr:uid="{00000000-0005-0000-0000-0000541D0000}"/>
    <cellStyle name="Normal 61 4 2 4" xfId="9096" xr:uid="{00000000-0005-0000-0000-0000551D0000}"/>
    <cellStyle name="Normal 61 4 3" xfId="5146" xr:uid="{00000000-0005-0000-0000-0000561D0000}"/>
    <cellStyle name="Normal 61 4 3 2" xfId="5147" xr:uid="{00000000-0005-0000-0000-0000571D0000}"/>
    <cellStyle name="Normal 61 4 3 2 2" xfId="9097" xr:uid="{00000000-0005-0000-0000-0000581D0000}"/>
    <cellStyle name="Normal 61 4 3 3" xfId="9098" xr:uid="{00000000-0005-0000-0000-0000591D0000}"/>
    <cellStyle name="Normal 61 4 4" xfId="5148" xr:uid="{00000000-0005-0000-0000-00005A1D0000}"/>
    <cellStyle name="Normal 61 4 4 2" xfId="9099" xr:uid="{00000000-0005-0000-0000-00005B1D0000}"/>
    <cellStyle name="Normal 61 4 5" xfId="9100" xr:uid="{00000000-0005-0000-0000-00005C1D0000}"/>
    <cellStyle name="Normal 61 5" xfId="5149" xr:uid="{00000000-0005-0000-0000-00005D1D0000}"/>
    <cellStyle name="Normal 61 5 2" xfId="5150" xr:uid="{00000000-0005-0000-0000-00005E1D0000}"/>
    <cellStyle name="Normal 61 5 2 2" xfId="5151" xr:uid="{00000000-0005-0000-0000-00005F1D0000}"/>
    <cellStyle name="Normal 61 5 2 2 2" xfId="5152" xr:uid="{00000000-0005-0000-0000-0000601D0000}"/>
    <cellStyle name="Normal 61 5 2 2 2 2" xfId="9101" xr:uid="{00000000-0005-0000-0000-0000611D0000}"/>
    <cellStyle name="Normal 61 5 2 2 3" xfId="9102" xr:uid="{00000000-0005-0000-0000-0000621D0000}"/>
    <cellStyle name="Normal 61 5 2 3" xfId="5153" xr:uid="{00000000-0005-0000-0000-0000631D0000}"/>
    <cellStyle name="Normal 61 5 2 3 2" xfId="9103" xr:uid="{00000000-0005-0000-0000-0000641D0000}"/>
    <cellStyle name="Normal 61 5 2 4" xfId="9104" xr:uid="{00000000-0005-0000-0000-0000651D0000}"/>
    <cellStyle name="Normal 61 5 3" xfId="5154" xr:uid="{00000000-0005-0000-0000-0000661D0000}"/>
    <cellStyle name="Normal 61 5 3 2" xfId="5155" xr:uid="{00000000-0005-0000-0000-0000671D0000}"/>
    <cellStyle name="Normal 61 5 3 2 2" xfId="9105" xr:uid="{00000000-0005-0000-0000-0000681D0000}"/>
    <cellStyle name="Normal 61 5 3 3" xfId="9106" xr:uid="{00000000-0005-0000-0000-0000691D0000}"/>
    <cellStyle name="Normal 61 5 4" xfId="5156" xr:uid="{00000000-0005-0000-0000-00006A1D0000}"/>
    <cellStyle name="Normal 61 5 4 2" xfId="9107" xr:uid="{00000000-0005-0000-0000-00006B1D0000}"/>
    <cellStyle name="Normal 61 5 5" xfId="9108" xr:uid="{00000000-0005-0000-0000-00006C1D0000}"/>
    <cellStyle name="Normal 61 6" xfId="5157" xr:uid="{00000000-0005-0000-0000-00006D1D0000}"/>
    <cellStyle name="Normal 61 6 2" xfId="5158" xr:uid="{00000000-0005-0000-0000-00006E1D0000}"/>
    <cellStyle name="Normal 61 6 2 2" xfId="5159" xr:uid="{00000000-0005-0000-0000-00006F1D0000}"/>
    <cellStyle name="Normal 61 6 2 2 2" xfId="9109" xr:uid="{00000000-0005-0000-0000-0000701D0000}"/>
    <cellStyle name="Normal 61 6 2 3" xfId="9110" xr:uid="{00000000-0005-0000-0000-0000711D0000}"/>
    <cellStyle name="Normal 61 6 3" xfId="5160" xr:uid="{00000000-0005-0000-0000-0000721D0000}"/>
    <cellStyle name="Normal 61 6 3 2" xfId="9111" xr:uid="{00000000-0005-0000-0000-0000731D0000}"/>
    <cellStyle name="Normal 61 6 4" xfId="9112" xr:uid="{00000000-0005-0000-0000-0000741D0000}"/>
    <cellStyle name="Normal 61 7" xfId="5161" xr:uid="{00000000-0005-0000-0000-0000751D0000}"/>
    <cellStyle name="Normal 61 7 2" xfId="5162" xr:uid="{00000000-0005-0000-0000-0000761D0000}"/>
    <cellStyle name="Normal 61 7 2 2" xfId="9113" xr:uid="{00000000-0005-0000-0000-0000771D0000}"/>
    <cellStyle name="Normal 61 7 3" xfId="9114" xr:uid="{00000000-0005-0000-0000-0000781D0000}"/>
    <cellStyle name="Normal 61 8" xfId="5163" xr:uid="{00000000-0005-0000-0000-0000791D0000}"/>
    <cellStyle name="Normal 61 8 2" xfId="9115" xr:uid="{00000000-0005-0000-0000-00007A1D0000}"/>
    <cellStyle name="Normal 61 9" xfId="9116" xr:uid="{00000000-0005-0000-0000-00007B1D0000}"/>
    <cellStyle name="Normal 62" xfId="5164" xr:uid="{00000000-0005-0000-0000-00007C1D0000}"/>
    <cellStyle name="Normal 62 2" xfId="5165" xr:uid="{00000000-0005-0000-0000-00007D1D0000}"/>
    <cellStyle name="Normal 62 2 2" xfId="5166" xr:uid="{00000000-0005-0000-0000-00007E1D0000}"/>
    <cellStyle name="Normal 62 3" xfId="5167" xr:uid="{00000000-0005-0000-0000-00007F1D0000}"/>
    <cellStyle name="Normal 62 3 2" xfId="5168" xr:uid="{00000000-0005-0000-0000-0000801D0000}"/>
    <cellStyle name="Normal 62 3 2 2" xfId="5169" xr:uid="{00000000-0005-0000-0000-0000811D0000}"/>
    <cellStyle name="Normal 62 3 2 2 2" xfId="5170" xr:uid="{00000000-0005-0000-0000-0000821D0000}"/>
    <cellStyle name="Normal 62 3 2 2 2 2" xfId="9117" xr:uid="{00000000-0005-0000-0000-0000831D0000}"/>
    <cellStyle name="Normal 62 3 2 2 3" xfId="9118" xr:uid="{00000000-0005-0000-0000-0000841D0000}"/>
    <cellStyle name="Normal 62 3 2 3" xfId="5171" xr:uid="{00000000-0005-0000-0000-0000851D0000}"/>
    <cellStyle name="Normal 62 3 2 3 2" xfId="9119" xr:uid="{00000000-0005-0000-0000-0000861D0000}"/>
    <cellStyle name="Normal 62 3 2 4" xfId="9120" xr:uid="{00000000-0005-0000-0000-0000871D0000}"/>
    <cellStyle name="Normal 62 3 3" xfId="5172" xr:uid="{00000000-0005-0000-0000-0000881D0000}"/>
    <cellStyle name="Normal 62 3 3 2" xfId="5173" xr:uid="{00000000-0005-0000-0000-0000891D0000}"/>
    <cellStyle name="Normal 62 3 3 2 2" xfId="9121" xr:uid="{00000000-0005-0000-0000-00008A1D0000}"/>
    <cellStyle name="Normal 62 3 3 3" xfId="9122" xr:uid="{00000000-0005-0000-0000-00008B1D0000}"/>
    <cellStyle name="Normal 62 3 4" xfId="5174" xr:uid="{00000000-0005-0000-0000-00008C1D0000}"/>
    <cellStyle name="Normal 62 3 4 2" xfId="9123" xr:uid="{00000000-0005-0000-0000-00008D1D0000}"/>
    <cellStyle name="Normal 62 3 5" xfId="5175" xr:uid="{00000000-0005-0000-0000-00008E1D0000}"/>
    <cellStyle name="Normal 62 4" xfId="5176" xr:uid="{00000000-0005-0000-0000-00008F1D0000}"/>
    <cellStyle name="Normal 62 4 2" xfId="5177" xr:uid="{00000000-0005-0000-0000-0000901D0000}"/>
    <cellStyle name="Normal 62 4 2 2" xfId="5178" xr:uid="{00000000-0005-0000-0000-0000911D0000}"/>
    <cellStyle name="Normal 62 4 2 2 2" xfId="5179" xr:uid="{00000000-0005-0000-0000-0000921D0000}"/>
    <cellStyle name="Normal 62 4 2 2 2 2" xfId="9124" xr:uid="{00000000-0005-0000-0000-0000931D0000}"/>
    <cellStyle name="Normal 62 4 2 2 3" xfId="9125" xr:uid="{00000000-0005-0000-0000-0000941D0000}"/>
    <cellStyle name="Normal 62 4 2 3" xfId="5180" xr:uid="{00000000-0005-0000-0000-0000951D0000}"/>
    <cellStyle name="Normal 62 4 2 3 2" xfId="9126" xr:uid="{00000000-0005-0000-0000-0000961D0000}"/>
    <cellStyle name="Normal 62 4 2 4" xfId="9127" xr:uid="{00000000-0005-0000-0000-0000971D0000}"/>
    <cellStyle name="Normal 62 4 3" xfId="5181" xr:uid="{00000000-0005-0000-0000-0000981D0000}"/>
    <cellStyle name="Normal 62 4 3 2" xfId="5182" xr:uid="{00000000-0005-0000-0000-0000991D0000}"/>
    <cellStyle name="Normal 62 4 3 2 2" xfId="9128" xr:uid="{00000000-0005-0000-0000-00009A1D0000}"/>
    <cellStyle name="Normal 62 4 3 3" xfId="9129" xr:uid="{00000000-0005-0000-0000-00009B1D0000}"/>
    <cellStyle name="Normal 62 4 4" xfId="5183" xr:uid="{00000000-0005-0000-0000-00009C1D0000}"/>
    <cellStyle name="Normal 62 4 4 2" xfId="9130" xr:uid="{00000000-0005-0000-0000-00009D1D0000}"/>
    <cellStyle name="Normal 62 4 5" xfId="9131" xr:uid="{00000000-0005-0000-0000-00009E1D0000}"/>
    <cellStyle name="Normal 62 5" xfId="5184" xr:uid="{00000000-0005-0000-0000-00009F1D0000}"/>
    <cellStyle name="Normal 62 5 2" xfId="5185" xr:uid="{00000000-0005-0000-0000-0000A01D0000}"/>
    <cellStyle name="Normal 62 5 2 2" xfId="5186" xr:uid="{00000000-0005-0000-0000-0000A11D0000}"/>
    <cellStyle name="Normal 62 5 2 2 2" xfId="5187" xr:uid="{00000000-0005-0000-0000-0000A21D0000}"/>
    <cellStyle name="Normal 62 5 2 2 2 2" xfId="9132" xr:uid="{00000000-0005-0000-0000-0000A31D0000}"/>
    <cellStyle name="Normal 62 5 2 2 3" xfId="9133" xr:uid="{00000000-0005-0000-0000-0000A41D0000}"/>
    <cellStyle name="Normal 62 5 2 3" xfId="5188" xr:uid="{00000000-0005-0000-0000-0000A51D0000}"/>
    <cellStyle name="Normal 62 5 2 3 2" xfId="9134" xr:uid="{00000000-0005-0000-0000-0000A61D0000}"/>
    <cellStyle name="Normal 62 5 2 4" xfId="9135" xr:uid="{00000000-0005-0000-0000-0000A71D0000}"/>
    <cellStyle name="Normal 62 5 3" xfId="5189" xr:uid="{00000000-0005-0000-0000-0000A81D0000}"/>
    <cellStyle name="Normal 62 5 3 2" xfId="5190" xr:uid="{00000000-0005-0000-0000-0000A91D0000}"/>
    <cellStyle name="Normal 62 5 3 2 2" xfId="9136" xr:uid="{00000000-0005-0000-0000-0000AA1D0000}"/>
    <cellStyle name="Normal 62 5 3 3" xfId="9137" xr:uid="{00000000-0005-0000-0000-0000AB1D0000}"/>
    <cellStyle name="Normal 62 5 4" xfId="5191" xr:uid="{00000000-0005-0000-0000-0000AC1D0000}"/>
    <cellStyle name="Normal 62 5 4 2" xfId="9138" xr:uid="{00000000-0005-0000-0000-0000AD1D0000}"/>
    <cellStyle name="Normal 62 5 5" xfId="9139" xr:uid="{00000000-0005-0000-0000-0000AE1D0000}"/>
    <cellStyle name="Normal 62 6" xfId="5192" xr:uid="{00000000-0005-0000-0000-0000AF1D0000}"/>
    <cellStyle name="Normal 62 6 2" xfId="5193" xr:uid="{00000000-0005-0000-0000-0000B01D0000}"/>
    <cellStyle name="Normal 62 6 2 2" xfId="5194" xr:uid="{00000000-0005-0000-0000-0000B11D0000}"/>
    <cellStyle name="Normal 62 6 2 2 2" xfId="9140" xr:uid="{00000000-0005-0000-0000-0000B21D0000}"/>
    <cellStyle name="Normal 62 6 2 3" xfId="9141" xr:uid="{00000000-0005-0000-0000-0000B31D0000}"/>
    <cellStyle name="Normal 62 6 3" xfId="5195" xr:uid="{00000000-0005-0000-0000-0000B41D0000}"/>
    <cellStyle name="Normal 62 6 3 2" xfId="9142" xr:uid="{00000000-0005-0000-0000-0000B51D0000}"/>
    <cellStyle name="Normal 62 6 4" xfId="9143" xr:uid="{00000000-0005-0000-0000-0000B61D0000}"/>
    <cellStyle name="Normal 62 7" xfId="5196" xr:uid="{00000000-0005-0000-0000-0000B71D0000}"/>
    <cellStyle name="Normal 62 7 2" xfId="5197" xr:uid="{00000000-0005-0000-0000-0000B81D0000}"/>
    <cellStyle name="Normal 62 7 2 2" xfId="9144" xr:uid="{00000000-0005-0000-0000-0000B91D0000}"/>
    <cellStyle name="Normal 62 7 3" xfId="9145" xr:uid="{00000000-0005-0000-0000-0000BA1D0000}"/>
    <cellStyle name="Normal 62 8" xfId="5198" xr:uid="{00000000-0005-0000-0000-0000BB1D0000}"/>
    <cellStyle name="Normal 62 8 2" xfId="9146" xr:uid="{00000000-0005-0000-0000-0000BC1D0000}"/>
    <cellStyle name="Normal 62 9" xfId="9147" xr:uid="{00000000-0005-0000-0000-0000BD1D0000}"/>
    <cellStyle name="Normal 63" xfId="5199" xr:uid="{00000000-0005-0000-0000-0000BE1D0000}"/>
    <cellStyle name="Normal 63 2" xfId="5200" xr:uid="{00000000-0005-0000-0000-0000BF1D0000}"/>
    <cellStyle name="Normal 63 2 2" xfId="5201" xr:uid="{00000000-0005-0000-0000-0000C01D0000}"/>
    <cellStyle name="Normal 63 3" xfId="5202" xr:uid="{00000000-0005-0000-0000-0000C11D0000}"/>
    <cellStyle name="Normal 63 3 2" xfId="5203" xr:uid="{00000000-0005-0000-0000-0000C21D0000}"/>
    <cellStyle name="Normal 63 3 2 2" xfId="5204" xr:uid="{00000000-0005-0000-0000-0000C31D0000}"/>
    <cellStyle name="Normal 63 3 2 2 2" xfId="5205" xr:uid="{00000000-0005-0000-0000-0000C41D0000}"/>
    <cellStyle name="Normal 63 3 2 2 2 2" xfId="9148" xr:uid="{00000000-0005-0000-0000-0000C51D0000}"/>
    <cellStyle name="Normal 63 3 2 2 3" xfId="9149" xr:uid="{00000000-0005-0000-0000-0000C61D0000}"/>
    <cellStyle name="Normal 63 3 2 3" xfId="5206" xr:uid="{00000000-0005-0000-0000-0000C71D0000}"/>
    <cellStyle name="Normal 63 3 2 3 2" xfId="9150" xr:uid="{00000000-0005-0000-0000-0000C81D0000}"/>
    <cellStyle name="Normal 63 3 2 4" xfId="9151" xr:uid="{00000000-0005-0000-0000-0000C91D0000}"/>
    <cellStyle name="Normal 63 3 3" xfId="5207" xr:uid="{00000000-0005-0000-0000-0000CA1D0000}"/>
    <cellStyle name="Normal 63 3 3 2" xfId="5208" xr:uid="{00000000-0005-0000-0000-0000CB1D0000}"/>
    <cellStyle name="Normal 63 3 3 2 2" xfId="9152" xr:uid="{00000000-0005-0000-0000-0000CC1D0000}"/>
    <cellStyle name="Normal 63 3 3 3" xfId="9153" xr:uid="{00000000-0005-0000-0000-0000CD1D0000}"/>
    <cellStyle name="Normal 63 3 4" xfId="5209" xr:uid="{00000000-0005-0000-0000-0000CE1D0000}"/>
    <cellStyle name="Normal 63 3 4 2" xfId="9154" xr:uid="{00000000-0005-0000-0000-0000CF1D0000}"/>
    <cellStyle name="Normal 63 3 5" xfId="5210" xr:uid="{00000000-0005-0000-0000-0000D01D0000}"/>
    <cellStyle name="Normal 63 4" xfId="5211" xr:uid="{00000000-0005-0000-0000-0000D11D0000}"/>
    <cellStyle name="Normal 63 4 2" xfId="5212" xr:uid="{00000000-0005-0000-0000-0000D21D0000}"/>
    <cellStyle name="Normal 63 4 2 2" xfId="5213" xr:uid="{00000000-0005-0000-0000-0000D31D0000}"/>
    <cellStyle name="Normal 63 4 2 2 2" xfId="5214" xr:uid="{00000000-0005-0000-0000-0000D41D0000}"/>
    <cellStyle name="Normal 63 4 2 2 2 2" xfId="9155" xr:uid="{00000000-0005-0000-0000-0000D51D0000}"/>
    <cellStyle name="Normal 63 4 2 2 3" xfId="9156" xr:uid="{00000000-0005-0000-0000-0000D61D0000}"/>
    <cellStyle name="Normal 63 4 2 3" xfId="5215" xr:uid="{00000000-0005-0000-0000-0000D71D0000}"/>
    <cellStyle name="Normal 63 4 2 3 2" xfId="9157" xr:uid="{00000000-0005-0000-0000-0000D81D0000}"/>
    <cellStyle name="Normal 63 4 2 4" xfId="9158" xr:uid="{00000000-0005-0000-0000-0000D91D0000}"/>
    <cellStyle name="Normal 63 4 3" xfId="5216" xr:uid="{00000000-0005-0000-0000-0000DA1D0000}"/>
    <cellStyle name="Normal 63 4 3 2" xfId="5217" xr:uid="{00000000-0005-0000-0000-0000DB1D0000}"/>
    <cellStyle name="Normal 63 4 3 2 2" xfId="9159" xr:uid="{00000000-0005-0000-0000-0000DC1D0000}"/>
    <cellStyle name="Normal 63 4 3 3" xfId="9160" xr:uid="{00000000-0005-0000-0000-0000DD1D0000}"/>
    <cellStyle name="Normal 63 4 4" xfId="5218" xr:uid="{00000000-0005-0000-0000-0000DE1D0000}"/>
    <cellStyle name="Normal 63 4 4 2" xfId="9161" xr:uid="{00000000-0005-0000-0000-0000DF1D0000}"/>
    <cellStyle name="Normal 63 4 5" xfId="9162" xr:uid="{00000000-0005-0000-0000-0000E01D0000}"/>
    <cellStyle name="Normal 63 5" xfId="5219" xr:uid="{00000000-0005-0000-0000-0000E11D0000}"/>
    <cellStyle name="Normal 63 5 2" xfId="5220" xr:uid="{00000000-0005-0000-0000-0000E21D0000}"/>
    <cellStyle name="Normal 63 5 2 2" xfId="5221" xr:uid="{00000000-0005-0000-0000-0000E31D0000}"/>
    <cellStyle name="Normal 63 5 2 2 2" xfId="5222" xr:uid="{00000000-0005-0000-0000-0000E41D0000}"/>
    <cellStyle name="Normal 63 5 2 2 2 2" xfId="9163" xr:uid="{00000000-0005-0000-0000-0000E51D0000}"/>
    <cellStyle name="Normal 63 5 2 2 3" xfId="9164" xr:uid="{00000000-0005-0000-0000-0000E61D0000}"/>
    <cellStyle name="Normal 63 5 2 3" xfId="5223" xr:uid="{00000000-0005-0000-0000-0000E71D0000}"/>
    <cellStyle name="Normal 63 5 2 3 2" xfId="9165" xr:uid="{00000000-0005-0000-0000-0000E81D0000}"/>
    <cellStyle name="Normal 63 5 2 4" xfId="9166" xr:uid="{00000000-0005-0000-0000-0000E91D0000}"/>
    <cellStyle name="Normal 63 5 3" xfId="5224" xr:uid="{00000000-0005-0000-0000-0000EA1D0000}"/>
    <cellStyle name="Normal 63 5 3 2" xfId="5225" xr:uid="{00000000-0005-0000-0000-0000EB1D0000}"/>
    <cellStyle name="Normal 63 5 3 2 2" xfId="9167" xr:uid="{00000000-0005-0000-0000-0000EC1D0000}"/>
    <cellStyle name="Normal 63 5 3 3" xfId="9168" xr:uid="{00000000-0005-0000-0000-0000ED1D0000}"/>
    <cellStyle name="Normal 63 5 4" xfId="5226" xr:uid="{00000000-0005-0000-0000-0000EE1D0000}"/>
    <cellStyle name="Normal 63 5 4 2" xfId="9169" xr:uid="{00000000-0005-0000-0000-0000EF1D0000}"/>
    <cellStyle name="Normal 63 5 5" xfId="9170" xr:uid="{00000000-0005-0000-0000-0000F01D0000}"/>
    <cellStyle name="Normal 63 6" xfId="5227" xr:uid="{00000000-0005-0000-0000-0000F11D0000}"/>
    <cellStyle name="Normal 63 6 2" xfId="5228" xr:uid="{00000000-0005-0000-0000-0000F21D0000}"/>
    <cellStyle name="Normal 63 6 2 2" xfId="5229" xr:uid="{00000000-0005-0000-0000-0000F31D0000}"/>
    <cellStyle name="Normal 63 6 2 2 2" xfId="9171" xr:uid="{00000000-0005-0000-0000-0000F41D0000}"/>
    <cellStyle name="Normal 63 6 2 3" xfId="9172" xr:uid="{00000000-0005-0000-0000-0000F51D0000}"/>
    <cellStyle name="Normal 63 6 3" xfId="5230" xr:uid="{00000000-0005-0000-0000-0000F61D0000}"/>
    <cellStyle name="Normal 63 6 3 2" xfId="9173" xr:uid="{00000000-0005-0000-0000-0000F71D0000}"/>
    <cellStyle name="Normal 63 6 4" xfId="9174" xr:uid="{00000000-0005-0000-0000-0000F81D0000}"/>
    <cellStyle name="Normal 63 7" xfId="5231" xr:uid="{00000000-0005-0000-0000-0000F91D0000}"/>
    <cellStyle name="Normal 63 7 2" xfId="5232" xr:uid="{00000000-0005-0000-0000-0000FA1D0000}"/>
    <cellStyle name="Normal 63 7 2 2" xfId="9175" xr:uid="{00000000-0005-0000-0000-0000FB1D0000}"/>
    <cellStyle name="Normal 63 7 3" xfId="9176" xr:uid="{00000000-0005-0000-0000-0000FC1D0000}"/>
    <cellStyle name="Normal 63 8" xfId="5233" xr:uid="{00000000-0005-0000-0000-0000FD1D0000}"/>
    <cellStyle name="Normal 63 8 2" xfId="9177" xr:uid="{00000000-0005-0000-0000-0000FE1D0000}"/>
    <cellStyle name="Normal 63 9" xfId="9178" xr:uid="{00000000-0005-0000-0000-0000FF1D0000}"/>
    <cellStyle name="Normal 64" xfId="5234" xr:uid="{00000000-0005-0000-0000-0000001E0000}"/>
    <cellStyle name="Normal 64 2" xfId="5235" xr:uid="{00000000-0005-0000-0000-0000011E0000}"/>
    <cellStyle name="Normal 64 2 2" xfId="5236" xr:uid="{00000000-0005-0000-0000-0000021E0000}"/>
    <cellStyle name="Normal 64 3" xfId="5237" xr:uid="{00000000-0005-0000-0000-0000031E0000}"/>
    <cellStyle name="Normal 64 3 2" xfId="5238" xr:uid="{00000000-0005-0000-0000-0000041E0000}"/>
    <cellStyle name="Normal 64 3 2 2" xfId="5239" xr:uid="{00000000-0005-0000-0000-0000051E0000}"/>
    <cellStyle name="Normal 64 3 2 2 2" xfId="5240" xr:uid="{00000000-0005-0000-0000-0000061E0000}"/>
    <cellStyle name="Normal 64 3 2 2 2 2" xfId="9179" xr:uid="{00000000-0005-0000-0000-0000071E0000}"/>
    <cellStyle name="Normal 64 3 2 2 3" xfId="9180" xr:uid="{00000000-0005-0000-0000-0000081E0000}"/>
    <cellStyle name="Normal 64 3 2 3" xfId="5241" xr:uid="{00000000-0005-0000-0000-0000091E0000}"/>
    <cellStyle name="Normal 64 3 2 3 2" xfId="9181" xr:uid="{00000000-0005-0000-0000-00000A1E0000}"/>
    <cellStyle name="Normal 64 3 2 4" xfId="9182" xr:uid="{00000000-0005-0000-0000-00000B1E0000}"/>
    <cellStyle name="Normal 64 3 3" xfId="5242" xr:uid="{00000000-0005-0000-0000-00000C1E0000}"/>
    <cellStyle name="Normal 64 3 3 2" xfId="5243" xr:uid="{00000000-0005-0000-0000-00000D1E0000}"/>
    <cellStyle name="Normal 64 3 3 2 2" xfId="9183" xr:uid="{00000000-0005-0000-0000-00000E1E0000}"/>
    <cellStyle name="Normal 64 3 3 3" xfId="9184" xr:uid="{00000000-0005-0000-0000-00000F1E0000}"/>
    <cellStyle name="Normal 64 3 4" xfId="5244" xr:uid="{00000000-0005-0000-0000-0000101E0000}"/>
    <cellStyle name="Normal 64 3 4 2" xfId="9185" xr:uid="{00000000-0005-0000-0000-0000111E0000}"/>
    <cellStyle name="Normal 64 3 5" xfId="5245" xr:uid="{00000000-0005-0000-0000-0000121E0000}"/>
    <cellStyle name="Normal 64 4" xfId="5246" xr:uid="{00000000-0005-0000-0000-0000131E0000}"/>
    <cellStyle name="Normal 64 4 2" xfId="5247" xr:uid="{00000000-0005-0000-0000-0000141E0000}"/>
    <cellStyle name="Normal 64 4 2 2" xfId="5248" xr:uid="{00000000-0005-0000-0000-0000151E0000}"/>
    <cellStyle name="Normal 64 4 2 2 2" xfId="5249" xr:uid="{00000000-0005-0000-0000-0000161E0000}"/>
    <cellStyle name="Normal 64 4 2 2 2 2" xfId="9186" xr:uid="{00000000-0005-0000-0000-0000171E0000}"/>
    <cellStyle name="Normal 64 4 2 2 3" xfId="9187" xr:uid="{00000000-0005-0000-0000-0000181E0000}"/>
    <cellStyle name="Normal 64 4 2 3" xfId="5250" xr:uid="{00000000-0005-0000-0000-0000191E0000}"/>
    <cellStyle name="Normal 64 4 2 3 2" xfId="9188" xr:uid="{00000000-0005-0000-0000-00001A1E0000}"/>
    <cellStyle name="Normal 64 4 2 4" xfId="9189" xr:uid="{00000000-0005-0000-0000-00001B1E0000}"/>
    <cellStyle name="Normal 64 4 3" xfId="5251" xr:uid="{00000000-0005-0000-0000-00001C1E0000}"/>
    <cellStyle name="Normal 64 4 3 2" xfId="5252" xr:uid="{00000000-0005-0000-0000-00001D1E0000}"/>
    <cellStyle name="Normal 64 4 3 2 2" xfId="9190" xr:uid="{00000000-0005-0000-0000-00001E1E0000}"/>
    <cellStyle name="Normal 64 4 3 3" xfId="9191" xr:uid="{00000000-0005-0000-0000-00001F1E0000}"/>
    <cellStyle name="Normal 64 4 4" xfId="5253" xr:uid="{00000000-0005-0000-0000-0000201E0000}"/>
    <cellStyle name="Normal 64 4 4 2" xfId="9192" xr:uid="{00000000-0005-0000-0000-0000211E0000}"/>
    <cellStyle name="Normal 64 4 5" xfId="9193" xr:uid="{00000000-0005-0000-0000-0000221E0000}"/>
    <cellStyle name="Normal 64 5" xfId="5254" xr:uid="{00000000-0005-0000-0000-0000231E0000}"/>
    <cellStyle name="Normal 64 5 2" xfId="5255" xr:uid="{00000000-0005-0000-0000-0000241E0000}"/>
    <cellStyle name="Normal 64 5 2 2" xfId="5256" xr:uid="{00000000-0005-0000-0000-0000251E0000}"/>
    <cellStyle name="Normal 64 5 2 2 2" xfId="5257" xr:uid="{00000000-0005-0000-0000-0000261E0000}"/>
    <cellStyle name="Normal 64 5 2 2 2 2" xfId="9194" xr:uid="{00000000-0005-0000-0000-0000271E0000}"/>
    <cellStyle name="Normal 64 5 2 2 3" xfId="9195" xr:uid="{00000000-0005-0000-0000-0000281E0000}"/>
    <cellStyle name="Normal 64 5 2 3" xfId="5258" xr:uid="{00000000-0005-0000-0000-0000291E0000}"/>
    <cellStyle name="Normal 64 5 2 3 2" xfId="9196" xr:uid="{00000000-0005-0000-0000-00002A1E0000}"/>
    <cellStyle name="Normal 64 5 2 4" xfId="9197" xr:uid="{00000000-0005-0000-0000-00002B1E0000}"/>
    <cellStyle name="Normal 64 5 3" xfId="5259" xr:uid="{00000000-0005-0000-0000-00002C1E0000}"/>
    <cellStyle name="Normal 64 5 3 2" xfId="5260" xr:uid="{00000000-0005-0000-0000-00002D1E0000}"/>
    <cellStyle name="Normal 64 5 3 2 2" xfId="9198" xr:uid="{00000000-0005-0000-0000-00002E1E0000}"/>
    <cellStyle name="Normal 64 5 3 3" xfId="9199" xr:uid="{00000000-0005-0000-0000-00002F1E0000}"/>
    <cellStyle name="Normal 64 5 4" xfId="5261" xr:uid="{00000000-0005-0000-0000-0000301E0000}"/>
    <cellStyle name="Normal 64 5 4 2" xfId="9200" xr:uid="{00000000-0005-0000-0000-0000311E0000}"/>
    <cellStyle name="Normal 64 5 5" xfId="9201" xr:uid="{00000000-0005-0000-0000-0000321E0000}"/>
    <cellStyle name="Normal 64 6" xfId="5262" xr:uid="{00000000-0005-0000-0000-0000331E0000}"/>
    <cellStyle name="Normal 64 6 2" xfId="5263" xr:uid="{00000000-0005-0000-0000-0000341E0000}"/>
    <cellStyle name="Normal 64 6 2 2" xfId="5264" xr:uid="{00000000-0005-0000-0000-0000351E0000}"/>
    <cellStyle name="Normal 64 6 2 2 2" xfId="9202" xr:uid="{00000000-0005-0000-0000-0000361E0000}"/>
    <cellStyle name="Normal 64 6 2 3" xfId="9203" xr:uid="{00000000-0005-0000-0000-0000371E0000}"/>
    <cellStyle name="Normal 64 6 3" xfId="5265" xr:uid="{00000000-0005-0000-0000-0000381E0000}"/>
    <cellStyle name="Normal 64 6 3 2" xfId="9204" xr:uid="{00000000-0005-0000-0000-0000391E0000}"/>
    <cellStyle name="Normal 64 6 4" xfId="9205" xr:uid="{00000000-0005-0000-0000-00003A1E0000}"/>
    <cellStyle name="Normal 64 7" xfId="5266" xr:uid="{00000000-0005-0000-0000-00003B1E0000}"/>
    <cellStyle name="Normal 64 7 2" xfId="5267" xr:uid="{00000000-0005-0000-0000-00003C1E0000}"/>
    <cellStyle name="Normal 64 7 2 2" xfId="9206" xr:uid="{00000000-0005-0000-0000-00003D1E0000}"/>
    <cellStyle name="Normal 64 7 3" xfId="9207" xr:uid="{00000000-0005-0000-0000-00003E1E0000}"/>
    <cellStyle name="Normal 64 8" xfId="5268" xr:uid="{00000000-0005-0000-0000-00003F1E0000}"/>
    <cellStyle name="Normal 64 8 2" xfId="9208" xr:uid="{00000000-0005-0000-0000-0000401E0000}"/>
    <cellStyle name="Normal 64 9" xfId="9209" xr:uid="{00000000-0005-0000-0000-0000411E0000}"/>
    <cellStyle name="Normal 65" xfId="5269" xr:uid="{00000000-0005-0000-0000-0000421E0000}"/>
    <cellStyle name="Normal 65 2" xfId="5270" xr:uid="{00000000-0005-0000-0000-0000431E0000}"/>
    <cellStyle name="Normal 65 2 2" xfId="5271" xr:uid="{00000000-0005-0000-0000-0000441E0000}"/>
    <cellStyle name="Normal 65 3" xfId="5272" xr:uid="{00000000-0005-0000-0000-0000451E0000}"/>
    <cellStyle name="Normal 65 3 2" xfId="5273" xr:uid="{00000000-0005-0000-0000-0000461E0000}"/>
    <cellStyle name="Normal 65 3 2 2" xfId="5274" xr:uid="{00000000-0005-0000-0000-0000471E0000}"/>
    <cellStyle name="Normal 65 3 2 2 2" xfId="5275" xr:uid="{00000000-0005-0000-0000-0000481E0000}"/>
    <cellStyle name="Normal 65 3 2 2 2 2" xfId="9210" xr:uid="{00000000-0005-0000-0000-0000491E0000}"/>
    <cellStyle name="Normal 65 3 2 2 3" xfId="9211" xr:uid="{00000000-0005-0000-0000-00004A1E0000}"/>
    <cellStyle name="Normal 65 3 2 3" xfId="5276" xr:uid="{00000000-0005-0000-0000-00004B1E0000}"/>
    <cellStyle name="Normal 65 3 2 3 2" xfId="9212" xr:uid="{00000000-0005-0000-0000-00004C1E0000}"/>
    <cellStyle name="Normal 65 3 2 4" xfId="9213" xr:uid="{00000000-0005-0000-0000-00004D1E0000}"/>
    <cellStyle name="Normal 65 3 3" xfId="5277" xr:uid="{00000000-0005-0000-0000-00004E1E0000}"/>
    <cellStyle name="Normal 65 3 3 2" xfId="5278" xr:uid="{00000000-0005-0000-0000-00004F1E0000}"/>
    <cellStyle name="Normal 65 3 3 2 2" xfId="9214" xr:uid="{00000000-0005-0000-0000-0000501E0000}"/>
    <cellStyle name="Normal 65 3 3 3" xfId="9215" xr:uid="{00000000-0005-0000-0000-0000511E0000}"/>
    <cellStyle name="Normal 65 3 4" xfId="5279" xr:uid="{00000000-0005-0000-0000-0000521E0000}"/>
    <cellStyle name="Normal 65 3 4 2" xfId="9216" xr:uid="{00000000-0005-0000-0000-0000531E0000}"/>
    <cellStyle name="Normal 65 3 5" xfId="5280" xr:uid="{00000000-0005-0000-0000-0000541E0000}"/>
    <cellStyle name="Normal 65 4" xfId="5281" xr:uid="{00000000-0005-0000-0000-0000551E0000}"/>
    <cellStyle name="Normal 65 4 2" xfId="5282" xr:uid="{00000000-0005-0000-0000-0000561E0000}"/>
    <cellStyle name="Normal 65 4 2 2" xfId="5283" xr:uid="{00000000-0005-0000-0000-0000571E0000}"/>
    <cellStyle name="Normal 65 4 2 2 2" xfId="5284" xr:uid="{00000000-0005-0000-0000-0000581E0000}"/>
    <cellStyle name="Normal 65 4 2 2 2 2" xfId="9217" xr:uid="{00000000-0005-0000-0000-0000591E0000}"/>
    <cellStyle name="Normal 65 4 2 2 3" xfId="9218" xr:uid="{00000000-0005-0000-0000-00005A1E0000}"/>
    <cellStyle name="Normal 65 4 2 3" xfId="5285" xr:uid="{00000000-0005-0000-0000-00005B1E0000}"/>
    <cellStyle name="Normal 65 4 2 3 2" xfId="9219" xr:uid="{00000000-0005-0000-0000-00005C1E0000}"/>
    <cellStyle name="Normal 65 4 2 4" xfId="9220" xr:uid="{00000000-0005-0000-0000-00005D1E0000}"/>
    <cellStyle name="Normal 65 4 3" xfId="5286" xr:uid="{00000000-0005-0000-0000-00005E1E0000}"/>
    <cellStyle name="Normal 65 4 3 2" xfId="5287" xr:uid="{00000000-0005-0000-0000-00005F1E0000}"/>
    <cellStyle name="Normal 65 4 3 2 2" xfId="9221" xr:uid="{00000000-0005-0000-0000-0000601E0000}"/>
    <cellStyle name="Normal 65 4 3 3" xfId="9222" xr:uid="{00000000-0005-0000-0000-0000611E0000}"/>
    <cellStyle name="Normal 65 4 4" xfId="5288" xr:uid="{00000000-0005-0000-0000-0000621E0000}"/>
    <cellStyle name="Normal 65 4 4 2" xfId="9223" xr:uid="{00000000-0005-0000-0000-0000631E0000}"/>
    <cellStyle name="Normal 65 4 5" xfId="9224" xr:uid="{00000000-0005-0000-0000-0000641E0000}"/>
    <cellStyle name="Normal 65 5" xfId="5289" xr:uid="{00000000-0005-0000-0000-0000651E0000}"/>
    <cellStyle name="Normal 65 5 2" xfId="5290" xr:uid="{00000000-0005-0000-0000-0000661E0000}"/>
    <cellStyle name="Normal 65 5 2 2" xfId="5291" xr:uid="{00000000-0005-0000-0000-0000671E0000}"/>
    <cellStyle name="Normal 65 5 2 2 2" xfId="5292" xr:uid="{00000000-0005-0000-0000-0000681E0000}"/>
    <cellStyle name="Normal 65 5 2 2 2 2" xfId="9225" xr:uid="{00000000-0005-0000-0000-0000691E0000}"/>
    <cellStyle name="Normal 65 5 2 2 3" xfId="9226" xr:uid="{00000000-0005-0000-0000-00006A1E0000}"/>
    <cellStyle name="Normal 65 5 2 3" xfId="5293" xr:uid="{00000000-0005-0000-0000-00006B1E0000}"/>
    <cellStyle name="Normal 65 5 2 3 2" xfId="9227" xr:uid="{00000000-0005-0000-0000-00006C1E0000}"/>
    <cellStyle name="Normal 65 5 2 4" xfId="9228" xr:uid="{00000000-0005-0000-0000-00006D1E0000}"/>
    <cellStyle name="Normal 65 5 3" xfId="5294" xr:uid="{00000000-0005-0000-0000-00006E1E0000}"/>
    <cellStyle name="Normal 65 5 3 2" xfId="5295" xr:uid="{00000000-0005-0000-0000-00006F1E0000}"/>
    <cellStyle name="Normal 65 5 3 2 2" xfId="9229" xr:uid="{00000000-0005-0000-0000-0000701E0000}"/>
    <cellStyle name="Normal 65 5 3 3" xfId="9230" xr:uid="{00000000-0005-0000-0000-0000711E0000}"/>
    <cellStyle name="Normal 65 5 4" xfId="5296" xr:uid="{00000000-0005-0000-0000-0000721E0000}"/>
    <cellStyle name="Normal 65 5 4 2" xfId="9231" xr:uid="{00000000-0005-0000-0000-0000731E0000}"/>
    <cellStyle name="Normal 65 5 5" xfId="9232" xr:uid="{00000000-0005-0000-0000-0000741E0000}"/>
    <cellStyle name="Normal 65 6" xfId="5297" xr:uid="{00000000-0005-0000-0000-0000751E0000}"/>
    <cellStyle name="Normal 65 6 2" xfId="5298" xr:uid="{00000000-0005-0000-0000-0000761E0000}"/>
    <cellStyle name="Normal 65 6 2 2" xfId="5299" xr:uid="{00000000-0005-0000-0000-0000771E0000}"/>
    <cellStyle name="Normal 65 6 2 2 2" xfId="9233" xr:uid="{00000000-0005-0000-0000-0000781E0000}"/>
    <cellStyle name="Normal 65 6 2 3" xfId="9234" xr:uid="{00000000-0005-0000-0000-0000791E0000}"/>
    <cellStyle name="Normal 65 6 3" xfId="5300" xr:uid="{00000000-0005-0000-0000-00007A1E0000}"/>
    <cellStyle name="Normal 65 6 3 2" xfId="9235" xr:uid="{00000000-0005-0000-0000-00007B1E0000}"/>
    <cellStyle name="Normal 65 6 4" xfId="9236" xr:uid="{00000000-0005-0000-0000-00007C1E0000}"/>
    <cellStyle name="Normal 65 7" xfId="5301" xr:uid="{00000000-0005-0000-0000-00007D1E0000}"/>
    <cellStyle name="Normal 65 7 2" xfId="5302" xr:uid="{00000000-0005-0000-0000-00007E1E0000}"/>
    <cellStyle name="Normal 65 7 2 2" xfId="9237" xr:uid="{00000000-0005-0000-0000-00007F1E0000}"/>
    <cellStyle name="Normal 65 7 3" xfId="9238" xr:uid="{00000000-0005-0000-0000-0000801E0000}"/>
    <cellStyle name="Normal 65 8" xfId="5303" xr:uid="{00000000-0005-0000-0000-0000811E0000}"/>
    <cellStyle name="Normal 65 8 2" xfId="9239" xr:uid="{00000000-0005-0000-0000-0000821E0000}"/>
    <cellStyle name="Normal 65 9" xfId="9240" xr:uid="{00000000-0005-0000-0000-0000831E0000}"/>
    <cellStyle name="Normal 66" xfId="5304" xr:uid="{00000000-0005-0000-0000-0000841E0000}"/>
    <cellStyle name="Normal 66 2" xfId="5305" xr:uid="{00000000-0005-0000-0000-0000851E0000}"/>
    <cellStyle name="Normal 66 2 2" xfId="5306" xr:uid="{00000000-0005-0000-0000-0000861E0000}"/>
    <cellStyle name="Normal 66 3" xfId="5307" xr:uid="{00000000-0005-0000-0000-0000871E0000}"/>
    <cellStyle name="Normal 66 3 2" xfId="5308" xr:uid="{00000000-0005-0000-0000-0000881E0000}"/>
    <cellStyle name="Normal 66 3 2 2" xfId="5309" xr:uid="{00000000-0005-0000-0000-0000891E0000}"/>
    <cellStyle name="Normal 66 3 2 2 2" xfId="5310" xr:uid="{00000000-0005-0000-0000-00008A1E0000}"/>
    <cellStyle name="Normal 66 3 2 2 2 2" xfId="9241" xr:uid="{00000000-0005-0000-0000-00008B1E0000}"/>
    <cellStyle name="Normal 66 3 2 2 3" xfId="9242" xr:uid="{00000000-0005-0000-0000-00008C1E0000}"/>
    <cellStyle name="Normal 66 3 2 3" xfId="5311" xr:uid="{00000000-0005-0000-0000-00008D1E0000}"/>
    <cellStyle name="Normal 66 3 2 3 2" xfId="9243" xr:uid="{00000000-0005-0000-0000-00008E1E0000}"/>
    <cellStyle name="Normal 66 3 2 4" xfId="9244" xr:uid="{00000000-0005-0000-0000-00008F1E0000}"/>
    <cellStyle name="Normal 66 3 3" xfId="5312" xr:uid="{00000000-0005-0000-0000-0000901E0000}"/>
    <cellStyle name="Normal 66 3 3 2" xfId="5313" xr:uid="{00000000-0005-0000-0000-0000911E0000}"/>
    <cellStyle name="Normal 66 3 3 2 2" xfId="9245" xr:uid="{00000000-0005-0000-0000-0000921E0000}"/>
    <cellStyle name="Normal 66 3 3 3" xfId="9246" xr:uid="{00000000-0005-0000-0000-0000931E0000}"/>
    <cellStyle name="Normal 66 3 4" xfId="5314" xr:uid="{00000000-0005-0000-0000-0000941E0000}"/>
    <cellStyle name="Normal 66 3 4 2" xfId="9247" xr:uid="{00000000-0005-0000-0000-0000951E0000}"/>
    <cellStyle name="Normal 66 3 5" xfId="5315" xr:uid="{00000000-0005-0000-0000-0000961E0000}"/>
    <cellStyle name="Normal 66 4" xfId="5316" xr:uid="{00000000-0005-0000-0000-0000971E0000}"/>
    <cellStyle name="Normal 66 4 2" xfId="5317" xr:uid="{00000000-0005-0000-0000-0000981E0000}"/>
    <cellStyle name="Normal 66 4 2 2" xfId="5318" xr:uid="{00000000-0005-0000-0000-0000991E0000}"/>
    <cellStyle name="Normal 66 4 2 2 2" xfId="5319" xr:uid="{00000000-0005-0000-0000-00009A1E0000}"/>
    <cellStyle name="Normal 66 4 2 2 2 2" xfId="9248" xr:uid="{00000000-0005-0000-0000-00009B1E0000}"/>
    <cellStyle name="Normal 66 4 2 2 3" xfId="9249" xr:uid="{00000000-0005-0000-0000-00009C1E0000}"/>
    <cellStyle name="Normal 66 4 2 3" xfId="5320" xr:uid="{00000000-0005-0000-0000-00009D1E0000}"/>
    <cellStyle name="Normal 66 4 2 3 2" xfId="9250" xr:uid="{00000000-0005-0000-0000-00009E1E0000}"/>
    <cellStyle name="Normal 66 4 2 4" xfId="9251" xr:uid="{00000000-0005-0000-0000-00009F1E0000}"/>
    <cellStyle name="Normal 66 4 3" xfId="5321" xr:uid="{00000000-0005-0000-0000-0000A01E0000}"/>
    <cellStyle name="Normal 66 4 3 2" xfId="5322" xr:uid="{00000000-0005-0000-0000-0000A11E0000}"/>
    <cellStyle name="Normal 66 4 3 2 2" xfId="9252" xr:uid="{00000000-0005-0000-0000-0000A21E0000}"/>
    <cellStyle name="Normal 66 4 3 3" xfId="9253" xr:uid="{00000000-0005-0000-0000-0000A31E0000}"/>
    <cellStyle name="Normal 66 4 4" xfId="5323" xr:uid="{00000000-0005-0000-0000-0000A41E0000}"/>
    <cellStyle name="Normal 66 4 4 2" xfId="9254" xr:uid="{00000000-0005-0000-0000-0000A51E0000}"/>
    <cellStyle name="Normal 66 4 5" xfId="9255" xr:uid="{00000000-0005-0000-0000-0000A61E0000}"/>
    <cellStyle name="Normal 66 5" xfId="5324" xr:uid="{00000000-0005-0000-0000-0000A71E0000}"/>
    <cellStyle name="Normal 66 5 2" xfId="5325" xr:uid="{00000000-0005-0000-0000-0000A81E0000}"/>
    <cellStyle name="Normal 66 5 2 2" xfId="5326" xr:uid="{00000000-0005-0000-0000-0000A91E0000}"/>
    <cellStyle name="Normal 66 5 2 2 2" xfId="5327" xr:uid="{00000000-0005-0000-0000-0000AA1E0000}"/>
    <cellStyle name="Normal 66 5 2 2 2 2" xfId="9256" xr:uid="{00000000-0005-0000-0000-0000AB1E0000}"/>
    <cellStyle name="Normal 66 5 2 2 3" xfId="9257" xr:uid="{00000000-0005-0000-0000-0000AC1E0000}"/>
    <cellStyle name="Normal 66 5 2 3" xfId="5328" xr:uid="{00000000-0005-0000-0000-0000AD1E0000}"/>
    <cellStyle name="Normal 66 5 2 3 2" xfId="9258" xr:uid="{00000000-0005-0000-0000-0000AE1E0000}"/>
    <cellStyle name="Normal 66 5 2 4" xfId="9259" xr:uid="{00000000-0005-0000-0000-0000AF1E0000}"/>
    <cellStyle name="Normal 66 5 3" xfId="5329" xr:uid="{00000000-0005-0000-0000-0000B01E0000}"/>
    <cellStyle name="Normal 66 5 3 2" xfId="5330" xr:uid="{00000000-0005-0000-0000-0000B11E0000}"/>
    <cellStyle name="Normal 66 5 3 2 2" xfId="9260" xr:uid="{00000000-0005-0000-0000-0000B21E0000}"/>
    <cellStyle name="Normal 66 5 3 3" xfId="9261" xr:uid="{00000000-0005-0000-0000-0000B31E0000}"/>
    <cellStyle name="Normal 66 5 4" xfId="5331" xr:uid="{00000000-0005-0000-0000-0000B41E0000}"/>
    <cellStyle name="Normal 66 5 4 2" xfId="9262" xr:uid="{00000000-0005-0000-0000-0000B51E0000}"/>
    <cellStyle name="Normal 66 5 5" xfId="9263" xr:uid="{00000000-0005-0000-0000-0000B61E0000}"/>
    <cellStyle name="Normal 66 6" xfId="5332" xr:uid="{00000000-0005-0000-0000-0000B71E0000}"/>
    <cellStyle name="Normal 66 6 2" xfId="5333" xr:uid="{00000000-0005-0000-0000-0000B81E0000}"/>
    <cellStyle name="Normal 66 6 2 2" xfId="5334" xr:uid="{00000000-0005-0000-0000-0000B91E0000}"/>
    <cellStyle name="Normal 66 6 2 2 2" xfId="9264" xr:uid="{00000000-0005-0000-0000-0000BA1E0000}"/>
    <cellStyle name="Normal 66 6 2 3" xfId="9265" xr:uid="{00000000-0005-0000-0000-0000BB1E0000}"/>
    <cellStyle name="Normal 66 6 3" xfId="5335" xr:uid="{00000000-0005-0000-0000-0000BC1E0000}"/>
    <cellStyle name="Normal 66 6 3 2" xfId="9266" xr:uid="{00000000-0005-0000-0000-0000BD1E0000}"/>
    <cellStyle name="Normal 66 6 4" xfId="9267" xr:uid="{00000000-0005-0000-0000-0000BE1E0000}"/>
    <cellStyle name="Normal 66 7" xfId="5336" xr:uid="{00000000-0005-0000-0000-0000BF1E0000}"/>
    <cellStyle name="Normal 66 7 2" xfId="5337" xr:uid="{00000000-0005-0000-0000-0000C01E0000}"/>
    <cellStyle name="Normal 66 7 2 2" xfId="9268" xr:uid="{00000000-0005-0000-0000-0000C11E0000}"/>
    <cellStyle name="Normal 66 7 3" xfId="9269" xr:uid="{00000000-0005-0000-0000-0000C21E0000}"/>
    <cellStyle name="Normal 66 8" xfId="5338" xr:uid="{00000000-0005-0000-0000-0000C31E0000}"/>
    <cellStyle name="Normal 66 8 2" xfId="9270" xr:uid="{00000000-0005-0000-0000-0000C41E0000}"/>
    <cellStyle name="Normal 66 9" xfId="9271" xr:uid="{00000000-0005-0000-0000-0000C51E0000}"/>
    <cellStyle name="Normal 67" xfId="5339" xr:uid="{00000000-0005-0000-0000-0000C61E0000}"/>
    <cellStyle name="Normal 67 2" xfId="5340" xr:uid="{00000000-0005-0000-0000-0000C71E0000}"/>
    <cellStyle name="Normal 67 2 2" xfId="5341" xr:uid="{00000000-0005-0000-0000-0000C81E0000}"/>
    <cellStyle name="Normal 67 3" xfId="5342" xr:uid="{00000000-0005-0000-0000-0000C91E0000}"/>
    <cellStyle name="Normal 67 3 2" xfId="5343" xr:uid="{00000000-0005-0000-0000-0000CA1E0000}"/>
    <cellStyle name="Normal 67 3 2 2" xfId="5344" xr:uid="{00000000-0005-0000-0000-0000CB1E0000}"/>
    <cellStyle name="Normal 67 3 2 2 2" xfId="5345" xr:uid="{00000000-0005-0000-0000-0000CC1E0000}"/>
    <cellStyle name="Normal 67 3 2 2 2 2" xfId="9272" xr:uid="{00000000-0005-0000-0000-0000CD1E0000}"/>
    <cellStyle name="Normal 67 3 2 2 3" xfId="9273" xr:uid="{00000000-0005-0000-0000-0000CE1E0000}"/>
    <cellStyle name="Normal 67 3 2 3" xfId="5346" xr:uid="{00000000-0005-0000-0000-0000CF1E0000}"/>
    <cellStyle name="Normal 67 3 2 3 2" xfId="9274" xr:uid="{00000000-0005-0000-0000-0000D01E0000}"/>
    <cellStyle name="Normal 67 3 2 4" xfId="9275" xr:uid="{00000000-0005-0000-0000-0000D11E0000}"/>
    <cellStyle name="Normal 67 3 3" xfId="5347" xr:uid="{00000000-0005-0000-0000-0000D21E0000}"/>
    <cellStyle name="Normal 67 3 3 2" xfId="5348" xr:uid="{00000000-0005-0000-0000-0000D31E0000}"/>
    <cellStyle name="Normal 67 3 3 2 2" xfId="9276" xr:uid="{00000000-0005-0000-0000-0000D41E0000}"/>
    <cellStyle name="Normal 67 3 3 3" xfId="9277" xr:uid="{00000000-0005-0000-0000-0000D51E0000}"/>
    <cellStyle name="Normal 67 3 4" xfId="5349" xr:uid="{00000000-0005-0000-0000-0000D61E0000}"/>
    <cellStyle name="Normal 67 3 4 2" xfId="9278" xr:uid="{00000000-0005-0000-0000-0000D71E0000}"/>
    <cellStyle name="Normal 67 3 5" xfId="5350" xr:uid="{00000000-0005-0000-0000-0000D81E0000}"/>
    <cellStyle name="Normal 67 4" xfId="5351" xr:uid="{00000000-0005-0000-0000-0000D91E0000}"/>
    <cellStyle name="Normal 67 4 2" xfId="5352" xr:uid="{00000000-0005-0000-0000-0000DA1E0000}"/>
    <cellStyle name="Normal 67 4 2 2" xfId="5353" xr:uid="{00000000-0005-0000-0000-0000DB1E0000}"/>
    <cellStyle name="Normal 67 4 2 2 2" xfId="5354" xr:uid="{00000000-0005-0000-0000-0000DC1E0000}"/>
    <cellStyle name="Normal 67 4 2 2 2 2" xfId="9279" xr:uid="{00000000-0005-0000-0000-0000DD1E0000}"/>
    <cellStyle name="Normal 67 4 2 2 3" xfId="9280" xr:uid="{00000000-0005-0000-0000-0000DE1E0000}"/>
    <cellStyle name="Normal 67 4 2 3" xfId="5355" xr:uid="{00000000-0005-0000-0000-0000DF1E0000}"/>
    <cellStyle name="Normal 67 4 2 3 2" xfId="9281" xr:uid="{00000000-0005-0000-0000-0000E01E0000}"/>
    <cellStyle name="Normal 67 4 2 4" xfId="9282" xr:uid="{00000000-0005-0000-0000-0000E11E0000}"/>
    <cellStyle name="Normal 67 4 3" xfId="5356" xr:uid="{00000000-0005-0000-0000-0000E21E0000}"/>
    <cellStyle name="Normal 67 4 3 2" xfId="5357" xr:uid="{00000000-0005-0000-0000-0000E31E0000}"/>
    <cellStyle name="Normal 67 4 3 2 2" xfId="9283" xr:uid="{00000000-0005-0000-0000-0000E41E0000}"/>
    <cellStyle name="Normal 67 4 3 3" xfId="9284" xr:uid="{00000000-0005-0000-0000-0000E51E0000}"/>
    <cellStyle name="Normal 67 4 4" xfId="5358" xr:uid="{00000000-0005-0000-0000-0000E61E0000}"/>
    <cellStyle name="Normal 67 4 4 2" xfId="9285" xr:uid="{00000000-0005-0000-0000-0000E71E0000}"/>
    <cellStyle name="Normal 67 4 5" xfId="9286" xr:uid="{00000000-0005-0000-0000-0000E81E0000}"/>
    <cellStyle name="Normal 67 5" xfId="5359" xr:uid="{00000000-0005-0000-0000-0000E91E0000}"/>
    <cellStyle name="Normal 67 5 2" xfId="5360" xr:uid="{00000000-0005-0000-0000-0000EA1E0000}"/>
    <cellStyle name="Normal 67 5 2 2" xfId="5361" xr:uid="{00000000-0005-0000-0000-0000EB1E0000}"/>
    <cellStyle name="Normal 67 5 2 2 2" xfId="5362" xr:uid="{00000000-0005-0000-0000-0000EC1E0000}"/>
    <cellStyle name="Normal 67 5 2 2 2 2" xfId="9287" xr:uid="{00000000-0005-0000-0000-0000ED1E0000}"/>
    <cellStyle name="Normal 67 5 2 2 3" xfId="9288" xr:uid="{00000000-0005-0000-0000-0000EE1E0000}"/>
    <cellStyle name="Normal 67 5 2 3" xfId="5363" xr:uid="{00000000-0005-0000-0000-0000EF1E0000}"/>
    <cellStyle name="Normal 67 5 2 3 2" xfId="9289" xr:uid="{00000000-0005-0000-0000-0000F01E0000}"/>
    <cellStyle name="Normal 67 5 2 4" xfId="9290" xr:uid="{00000000-0005-0000-0000-0000F11E0000}"/>
    <cellStyle name="Normal 67 5 3" xfId="5364" xr:uid="{00000000-0005-0000-0000-0000F21E0000}"/>
    <cellStyle name="Normal 67 5 3 2" xfId="5365" xr:uid="{00000000-0005-0000-0000-0000F31E0000}"/>
    <cellStyle name="Normal 67 5 3 2 2" xfId="9291" xr:uid="{00000000-0005-0000-0000-0000F41E0000}"/>
    <cellStyle name="Normal 67 5 3 3" xfId="9292" xr:uid="{00000000-0005-0000-0000-0000F51E0000}"/>
    <cellStyle name="Normal 67 5 4" xfId="5366" xr:uid="{00000000-0005-0000-0000-0000F61E0000}"/>
    <cellStyle name="Normal 67 5 4 2" xfId="9293" xr:uid="{00000000-0005-0000-0000-0000F71E0000}"/>
    <cellStyle name="Normal 67 5 5" xfId="9294" xr:uid="{00000000-0005-0000-0000-0000F81E0000}"/>
    <cellStyle name="Normal 67 6" xfId="5367" xr:uid="{00000000-0005-0000-0000-0000F91E0000}"/>
    <cellStyle name="Normal 67 6 2" xfId="5368" xr:uid="{00000000-0005-0000-0000-0000FA1E0000}"/>
    <cellStyle name="Normal 67 6 2 2" xfId="5369" xr:uid="{00000000-0005-0000-0000-0000FB1E0000}"/>
    <cellStyle name="Normal 67 6 2 2 2" xfId="9295" xr:uid="{00000000-0005-0000-0000-0000FC1E0000}"/>
    <cellStyle name="Normal 67 6 2 3" xfId="9296" xr:uid="{00000000-0005-0000-0000-0000FD1E0000}"/>
    <cellStyle name="Normal 67 6 3" xfId="5370" xr:uid="{00000000-0005-0000-0000-0000FE1E0000}"/>
    <cellStyle name="Normal 67 6 3 2" xfId="9297" xr:uid="{00000000-0005-0000-0000-0000FF1E0000}"/>
    <cellStyle name="Normal 67 6 4" xfId="9298" xr:uid="{00000000-0005-0000-0000-0000001F0000}"/>
    <cellStyle name="Normal 67 7" xfId="5371" xr:uid="{00000000-0005-0000-0000-0000011F0000}"/>
    <cellStyle name="Normal 67 7 2" xfId="5372" xr:uid="{00000000-0005-0000-0000-0000021F0000}"/>
    <cellStyle name="Normal 67 7 2 2" xfId="9299" xr:uid="{00000000-0005-0000-0000-0000031F0000}"/>
    <cellStyle name="Normal 67 7 3" xfId="9300" xr:uid="{00000000-0005-0000-0000-0000041F0000}"/>
    <cellStyle name="Normal 67 8" xfId="5373" xr:uid="{00000000-0005-0000-0000-0000051F0000}"/>
    <cellStyle name="Normal 67 8 2" xfId="9301" xr:uid="{00000000-0005-0000-0000-0000061F0000}"/>
    <cellStyle name="Normal 67 9" xfId="9302" xr:uid="{00000000-0005-0000-0000-0000071F0000}"/>
    <cellStyle name="Normal 68" xfId="5374" xr:uid="{00000000-0005-0000-0000-0000081F0000}"/>
    <cellStyle name="Normal 68 2" xfId="5375" xr:uid="{00000000-0005-0000-0000-0000091F0000}"/>
    <cellStyle name="Normal 68 2 2" xfId="5376" xr:uid="{00000000-0005-0000-0000-00000A1F0000}"/>
    <cellStyle name="Normal 68 3" xfId="5377" xr:uid="{00000000-0005-0000-0000-00000B1F0000}"/>
    <cellStyle name="Normal 68 3 2" xfId="5378" xr:uid="{00000000-0005-0000-0000-00000C1F0000}"/>
    <cellStyle name="Normal 68 3 2 2" xfId="5379" xr:uid="{00000000-0005-0000-0000-00000D1F0000}"/>
    <cellStyle name="Normal 68 3 2 2 2" xfId="5380" xr:uid="{00000000-0005-0000-0000-00000E1F0000}"/>
    <cellStyle name="Normal 68 3 2 2 2 2" xfId="9303" xr:uid="{00000000-0005-0000-0000-00000F1F0000}"/>
    <cellStyle name="Normal 68 3 2 2 3" xfId="9304" xr:uid="{00000000-0005-0000-0000-0000101F0000}"/>
    <cellStyle name="Normal 68 3 2 3" xfId="5381" xr:uid="{00000000-0005-0000-0000-0000111F0000}"/>
    <cellStyle name="Normal 68 3 2 3 2" xfId="9305" xr:uid="{00000000-0005-0000-0000-0000121F0000}"/>
    <cellStyle name="Normal 68 3 2 4" xfId="9306" xr:uid="{00000000-0005-0000-0000-0000131F0000}"/>
    <cellStyle name="Normal 68 3 3" xfId="5382" xr:uid="{00000000-0005-0000-0000-0000141F0000}"/>
    <cellStyle name="Normal 68 3 3 2" xfId="5383" xr:uid="{00000000-0005-0000-0000-0000151F0000}"/>
    <cellStyle name="Normal 68 3 3 2 2" xfId="9307" xr:uid="{00000000-0005-0000-0000-0000161F0000}"/>
    <cellStyle name="Normal 68 3 3 3" xfId="9308" xr:uid="{00000000-0005-0000-0000-0000171F0000}"/>
    <cellStyle name="Normal 68 3 4" xfId="5384" xr:uid="{00000000-0005-0000-0000-0000181F0000}"/>
    <cellStyle name="Normal 68 3 4 2" xfId="9309" xr:uid="{00000000-0005-0000-0000-0000191F0000}"/>
    <cellStyle name="Normal 68 3 5" xfId="5385" xr:uid="{00000000-0005-0000-0000-00001A1F0000}"/>
    <cellStyle name="Normal 68 4" xfId="5386" xr:uid="{00000000-0005-0000-0000-00001B1F0000}"/>
    <cellStyle name="Normal 68 4 2" xfId="5387" xr:uid="{00000000-0005-0000-0000-00001C1F0000}"/>
    <cellStyle name="Normal 68 4 2 2" xfId="5388" xr:uid="{00000000-0005-0000-0000-00001D1F0000}"/>
    <cellStyle name="Normal 68 4 2 2 2" xfId="5389" xr:uid="{00000000-0005-0000-0000-00001E1F0000}"/>
    <cellStyle name="Normal 68 4 2 2 2 2" xfId="9310" xr:uid="{00000000-0005-0000-0000-00001F1F0000}"/>
    <cellStyle name="Normal 68 4 2 2 3" xfId="9311" xr:uid="{00000000-0005-0000-0000-0000201F0000}"/>
    <cellStyle name="Normal 68 4 2 3" xfId="5390" xr:uid="{00000000-0005-0000-0000-0000211F0000}"/>
    <cellStyle name="Normal 68 4 2 3 2" xfId="9312" xr:uid="{00000000-0005-0000-0000-0000221F0000}"/>
    <cellStyle name="Normal 68 4 2 4" xfId="9313" xr:uid="{00000000-0005-0000-0000-0000231F0000}"/>
    <cellStyle name="Normal 68 4 3" xfId="5391" xr:uid="{00000000-0005-0000-0000-0000241F0000}"/>
    <cellStyle name="Normal 68 4 3 2" xfId="5392" xr:uid="{00000000-0005-0000-0000-0000251F0000}"/>
    <cellStyle name="Normal 68 4 3 2 2" xfId="9314" xr:uid="{00000000-0005-0000-0000-0000261F0000}"/>
    <cellStyle name="Normal 68 4 3 3" xfId="9315" xr:uid="{00000000-0005-0000-0000-0000271F0000}"/>
    <cellStyle name="Normal 68 4 4" xfId="5393" xr:uid="{00000000-0005-0000-0000-0000281F0000}"/>
    <cellStyle name="Normal 68 4 4 2" xfId="9316" xr:uid="{00000000-0005-0000-0000-0000291F0000}"/>
    <cellStyle name="Normal 68 4 5" xfId="9317" xr:uid="{00000000-0005-0000-0000-00002A1F0000}"/>
    <cellStyle name="Normal 68 5" xfId="5394" xr:uid="{00000000-0005-0000-0000-00002B1F0000}"/>
    <cellStyle name="Normal 68 5 2" xfId="5395" xr:uid="{00000000-0005-0000-0000-00002C1F0000}"/>
    <cellStyle name="Normal 68 5 2 2" xfId="5396" xr:uid="{00000000-0005-0000-0000-00002D1F0000}"/>
    <cellStyle name="Normal 68 5 2 2 2" xfId="5397" xr:uid="{00000000-0005-0000-0000-00002E1F0000}"/>
    <cellStyle name="Normal 68 5 2 2 2 2" xfId="9318" xr:uid="{00000000-0005-0000-0000-00002F1F0000}"/>
    <cellStyle name="Normal 68 5 2 2 3" xfId="9319" xr:uid="{00000000-0005-0000-0000-0000301F0000}"/>
    <cellStyle name="Normal 68 5 2 3" xfId="5398" xr:uid="{00000000-0005-0000-0000-0000311F0000}"/>
    <cellStyle name="Normal 68 5 2 3 2" xfId="9320" xr:uid="{00000000-0005-0000-0000-0000321F0000}"/>
    <cellStyle name="Normal 68 5 2 4" xfId="9321" xr:uid="{00000000-0005-0000-0000-0000331F0000}"/>
    <cellStyle name="Normal 68 5 3" xfId="5399" xr:uid="{00000000-0005-0000-0000-0000341F0000}"/>
    <cellStyle name="Normal 68 5 3 2" xfId="5400" xr:uid="{00000000-0005-0000-0000-0000351F0000}"/>
    <cellStyle name="Normal 68 5 3 2 2" xfId="9322" xr:uid="{00000000-0005-0000-0000-0000361F0000}"/>
    <cellStyle name="Normal 68 5 3 3" xfId="9323" xr:uid="{00000000-0005-0000-0000-0000371F0000}"/>
    <cellStyle name="Normal 68 5 4" xfId="5401" xr:uid="{00000000-0005-0000-0000-0000381F0000}"/>
    <cellStyle name="Normal 68 5 4 2" xfId="9324" xr:uid="{00000000-0005-0000-0000-0000391F0000}"/>
    <cellStyle name="Normal 68 5 5" xfId="9325" xr:uid="{00000000-0005-0000-0000-00003A1F0000}"/>
    <cellStyle name="Normal 68 6" xfId="5402" xr:uid="{00000000-0005-0000-0000-00003B1F0000}"/>
    <cellStyle name="Normal 68 6 2" xfId="5403" xr:uid="{00000000-0005-0000-0000-00003C1F0000}"/>
    <cellStyle name="Normal 68 6 2 2" xfId="5404" xr:uid="{00000000-0005-0000-0000-00003D1F0000}"/>
    <cellStyle name="Normal 68 6 2 2 2" xfId="9326" xr:uid="{00000000-0005-0000-0000-00003E1F0000}"/>
    <cellStyle name="Normal 68 6 2 3" xfId="9327" xr:uid="{00000000-0005-0000-0000-00003F1F0000}"/>
    <cellStyle name="Normal 68 6 3" xfId="5405" xr:uid="{00000000-0005-0000-0000-0000401F0000}"/>
    <cellStyle name="Normal 68 6 3 2" xfId="9328" xr:uid="{00000000-0005-0000-0000-0000411F0000}"/>
    <cellStyle name="Normal 68 6 4" xfId="9329" xr:uid="{00000000-0005-0000-0000-0000421F0000}"/>
    <cellStyle name="Normal 68 7" xfId="5406" xr:uid="{00000000-0005-0000-0000-0000431F0000}"/>
    <cellStyle name="Normal 68 7 2" xfId="5407" xr:uid="{00000000-0005-0000-0000-0000441F0000}"/>
    <cellStyle name="Normal 68 7 2 2" xfId="9330" xr:uid="{00000000-0005-0000-0000-0000451F0000}"/>
    <cellStyle name="Normal 68 7 3" xfId="9331" xr:uid="{00000000-0005-0000-0000-0000461F0000}"/>
    <cellStyle name="Normal 68 8" xfId="5408" xr:uid="{00000000-0005-0000-0000-0000471F0000}"/>
    <cellStyle name="Normal 68 8 2" xfId="9332" xr:uid="{00000000-0005-0000-0000-0000481F0000}"/>
    <cellStyle name="Normal 68 9" xfId="9333" xr:uid="{00000000-0005-0000-0000-0000491F0000}"/>
    <cellStyle name="Normal 69" xfId="5409" xr:uid="{00000000-0005-0000-0000-00004A1F0000}"/>
    <cellStyle name="Normal 69 2" xfId="5410" xr:uid="{00000000-0005-0000-0000-00004B1F0000}"/>
    <cellStyle name="Normal 69 2 2" xfId="5411" xr:uid="{00000000-0005-0000-0000-00004C1F0000}"/>
    <cellStyle name="Normal 69 3" xfId="5412" xr:uid="{00000000-0005-0000-0000-00004D1F0000}"/>
    <cellStyle name="Normal 69 3 2" xfId="5413" xr:uid="{00000000-0005-0000-0000-00004E1F0000}"/>
    <cellStyle name="Normal 69 3 2 2" xfId="5414" xr:uid="{00000000-0005-0000-0000-00004F1F0000}"/>
    <cellStyle name="Normal 69 3 2 2 2" xfId="5415" xr:uid="{00000000-0005-0000-0000-0000501F0000}"/>
    <cellStyle name="Normal 69 3 2 2 2 2" xfId="9334" xr:uid="{00000000-0005-0000-0000-0000511F0000}"/>
    <cellStyle name="Normal 69 3 2 2 3" xfId="9335" xr:uid="{00000000-0005-0000-0000-0000521F0000}"/>
    <cellStyle name="Normal 69 3 2 3" xfId="5416" xr:uid="{00000000-0005-0000-0000-0000531F0000}"/>
    <cellStyle name="Normal 69 3 2 3 2" xfId="9336" xr:uid="{00000000-0005-0000-0000-0000541F0000}"/>
    <cellStyle name="Normal 69 3 2 4" xfId="9337" xr:uid="{00000000-0005-0000-0000-0000551F0000}"/>
    <cellStyle name="Normal 69 3 3" xfId="5417" xr:uid="{00000000-0005-0000-0000-0000561F0000}"/>
    <cellStyle name="Normal 69 3 3 2" xfId="5418" xr:uid="{00000000-0005-0000-0000-0000571F0000}"/>
    <cellStyle name="Normal 69 3 3 2 2" xfId="9338" xr:uid="{00000000-0005-0000-0000-0000581F0000}"/>
    <cellStyle name="Normal 69 3 3 3" xfId="9339" xr:uid="{00000000-0005-0000-0000-0000591F0000}"/>
    <cellStyle name="Normal 69 3 4" xfId="5419" xr:uid="{00000000-0005-0000-0000-00005A1F0000}"/>
    <cellStyle name="Normal 69 3 4 2" xfId="9340" xr:uid="{00000000-0005-0000-0000-00005B1F0000}"/>
    <cellStyle name="Normal 69 3 5" xfId="5420" xr:uid="{00000000-0005-0000-0000-00005C1F0000}"/>
    <cellStyle name="Normal 69 4" xfId="5421" xr:uid="{00000000-0005-0000-0000-00005D1F0000}"/>
    <cellStyle name="Normal 69 4 2" xfId="5422" xr:uid="{00000000-0005-0000-0000-00005E1F0000}"/>
    <cellStyle name="Normal 69 4 2 2" xfId="5423" xr:uid="{00000000-0005-0000-0000-00005F1F0000}"/>
    <cellStyle name="Normal 69 4 2 2 2" xfId="5424" xr:uid="{00000000-0005-0000-0000-0000601F0000}"/>
    <cellStyle name="Normal 69 4 2 2 2 2" xfId="9341" xr:uid="{00000000-0005-0000-0000-0000611F0000}"/>
    <cellStyle name="Normal 69 4 2 2 3" xfId="9342" xr:uid="{00000000-0005-0000-0000-0000621F0000}"/>
    <cellStyle name="Normal 69 4 2 3" xfId="5425" xr:uid="{00000000-0005-0000-0000-0000631F0000}"/>
    <cellStyle name="Normal 69 4 2 3 2" xfId="9343" xr:uid="{00000000-0005-0000-0000-0000641F0000}"/>
    <cellStyle name="Normal 69 4 2 4" xfId="9344" xr:uid="{00000000-0005-0000-0000-0000651F0000}"/>
    <cellStyle name="Normal 69 4 3" xfId="5426" xr:uid="{00000000-0005-0000-0000-0000661F0000}"/>
    <cellStyle name="Normal 69 4 3 2" xfId="5427" xr:uid="{00000000-0005-0000-0000-0000671F0000}"/>
    <cellStyle name="Normal 69 4 3 2 2" xfId="9345" xr:uid="{00000000-0005-0000-0000-0000681F0000}"/>
    <cellStyle name="Normal 69 4 3 3" xfId="9346" xr:uid="{00000000-0005-0000-0000-0000691F0000}"/>
    <cellStyle name="Normal 69 4 4" xfId="5428" xr:uid="{00000000-0005-0000-0000-00006A1F0000}"/>
    <cellStyle name="Normal 69 4 4 2" xfId="9347" xr:uid="{00000000-0005-0000-0000-00006B1F0000}"/>
    <cellStyle name="Normal 69 4 5" xfId="9348" xr:uid="{00000000-0005-0000-0000-00006C1F0000}"/>
    <cellStyle name="Normal 69 5" xfId="5429" xr:uid="{00000000-0005-0000-0000-00006D1F0000}"/>
    <cellStyle name="Normal 69 5 2" xfId="5430" xr:uid="{00000000-0005-0000-0000-00006E1F0000}"/>
    <cellStyle name="Normal 69 5 2 2" xfId="5431" xr:uid="{00000000-0005-0000-0000-00006F1F0000}"/>
    <cellStyle name="Normal 69 5 2 2 2" xfId="5432" xr:uid="{00000000-0005-0000-0000-0000701F0000}"/>
    <cellStyle name="Normal 69 5 2 2 2 2" xfId="9349" xr:uid="{00000000-0005-0000-0000-0000711F0000}"/>
    <cellStyle name="Normal 69 5 2 2 3" xfId="9350" xr:uid="{00000000-0005-0000-0000-0000721F0000}"/>
    <cellStyle name="Normal 69 5 2 3" xfId="5433" xr:uid="{00000000-0005-0000-0000-0000731F0000}"/>
    <cellStyle name="Normal 69 5 2 3 2" xfId="9351" xr:uid="{00000000-0005-0000-0000-0000741F0000}"/>
    <cellStyle name="Normal 69 5 2 4" xfId="9352" xr:uid="{00000000-0005-0000-0000-0000751F0000}"/>
    <cellStyle name="Normal 69 5 3" xfId="5434" xr:uid="{00000000-0005-0000-0000-0000761F0000}"/>
    <cellStyle name="Normal 69 5 3 2" xfId="5435" xr:uid="{00000000-0005-0000-0000-0000771F0000}"/>
    <cellStyle name="Normal 69 5 3 2 2" xfId="9353" xr:uid="{00000000-0005-0000-0000-0000781F0000}"/>
    <cellStyle name="Normal 69 5 3 3" xfId="9354" xr:uid="{00000000-0005-0000-0000-0000791F0000}"/>
    <cellStyle name="Normal 69 5 4" xfId="5436" xr:uid="{00000000-0005-0000-0000-00007A1F0000}"/>
    <cellStyle name="Normal 69 5 4 2" xfId="9355" xr:uid="{00000000-0005-0000-0000-00007B1F0000}"/>
    <cellStyle name="Normal 69 5 5" xfId="9356" xr:uid="{00000000-0005-0000-0000-00007C1F0000}"/>
    <cellStyle name="Normal 69 6" xfId="5437" xr:uid="{00000000-0005-0000-0000-00007D1F0000}"/>
    <cellStyle name="Normal 69 6 2" xfId="5438" xr:uid="{00000000-0005-0000-0000-00007E1F0000}"/>
    <cellStyle name="Normal 69 6 2 2" xfId="5439" xr:uid="{00000000-0005-0000-0000-00007F1F0000}"/>
    <cellStyle name="Normal 69 6 2 2 2" xfId="9357" xr:uid="{00000000-0005-0000-0000-0000801F0000}"/>
    <cellStyle name="Normal 69 6 2 3" xfId="9358" xr:uid="{00000000-0005-0000-0000-0000811F0000}"/>
    <cellStyle name="Normal 69 6 3" xfId="5440" xr:uid="{00000000-0005-0000-0000-0000821F0000}"/>
    <cellStyle name="Normal 69 6 3 2" xfId="9359" xr:uid="{00000000-0005-0000-0000-0000831F0000}"/>
    <cellStyle name="Normal 69 6 4" xfId="9360" xr:uid="{00000000-0005-0000-0000-0000841F0000}"/>
    <cellStyle name="Normal 69 7" xfId="5441" xr:uid="{00000000-0005-0000-0000-0000851F0000}"/>
    <cellStyle name="Normal 69 7 2" xfId="5442" xr:uid="{00000000-0005-0000-0000-0000861F0000}"/>
    <cellStyle name="Normal 69 7 2 2" xfId="9361" xr:uid="{00000000-0005-0000-0000-0000871F0000}"/>
    <cellStyle name="Normal 69 7 3" xfId="9362" xr:uid="{00000000-0005-0000-0000-0000881F0000}"/>
    <cellStyle name="Normal 69 8" xfId="5443" xr:uid="{00000000-0005-0000-0000-0000891F0000}"/>
    <cellStyle name="Normal 69 8 2" xfId="9363" xr:uid="{00000000-0005-0000-0000-00008A1F0000}"/>
    <cellStyle name="Normal 69 9" xfId="9364" xr:uid="{00000000-0005-0000-0000-00008B1F0000}"/>
    <cellStyle name="Normal 7" xfId="11" xr:uid="{00000000-0005-0000-0000-00008C1F0000}"/>
    <cellStyle name="Normal 7 2" xfId="290" xr:uid="{00000000-0005-0000-0000-00008D1F0000}"/>
    <cellStyle name="Normal 7 2 2" xfId="291" xr:uid="{00000000-0005-0000-0000-00008E1F0000}"/>
    <cellStyle name="Normal 7 2 2 2" xfId="5445" xr:uid="{00000000-0005-0000-0000-00008F1F0000}"/>
    <cellStyle name="Normal 7 2 2 2 2" xfId="5446" xr:uid="{00000000-0005-0000-0000-0000901F0000}"/>
    <cellStyle name="Normal 7 2 2 2 2 2" xfId="9365" xr:uid="{00000000-0005-0000-0000-0000911F0000}"/>
    <cellStyle name="Normal 7 2 2 2 3" xfId="9366" xr:uid="{00000000-0005-0000-0000-0000921F0000}"/>
    <cellStyle name="Normal 7 2 2 3" xfId="5447" xr:uid="{00000000-0005-0000-0000-0000931F0000}"/>
    <cellStyle name="Normal 7 2 2 3 2" xfId="9367" xr:uid="{00000000-0005-0000-0000-0000941F0000}"/>
    <cellStyle name="Normal 7 2 2 4" xfId="9368" xr:uid="{00000000-0005-0000-0000-0000951F0000}"/>
    <cellStyle name="Normal 7 2 3" xfId="388" xr:uid="{00000000-0005-0000-0000-0000961F0000}"/>
    <cellStyle name="Normal 7 2 3 2" xfId="5448" xr:uid="{00000000-0005-0000-0000-0000971F0000}"/>
    <cellStyle name="Normal 7 2 3 2 2" xfId="9369" xr:uid="{00000000-0005-0000-0000-0000981F0000}"/>
    <cellStyle name="Normal 7 2 3 3" xfId="9370" xr:uid="{00000000-0005-0000-0000-0000991F0000}"/>
    <cellStyle name="Normal 7 2 4" xfId="1727" xr:uid="{00000000-0005-0000-0000-00009A1F0000}"/>
    <cellStyle name="Normal 7 2 4 2" xfId="9371" xr:uid="{00000000-0005-0000-0000-00009B1F0000}"/>
    <cellStyle name="Normal 7 2 4 3" xfId="5449" xr:uid="{00000000-0005-0000-0000-00009C1F0000}"/>
    <cellStyle name="Normal 7 2 5" xfId="9372" xr:uid="{00000000-0005-0000-0000-00009D1F0000}"/>
    <cellStyle name="Normal 7 2 6" xfId="5444" xr:uid="{00000000-0005-0000-0000-00009E1F0000}"/>
    <cellStyle name="Normal 7 3" xfId="292" xr:uid="{00000000-0005-0000-0000-00009F1F0000}"/>
    <cellStyle name="Normal 7 3 2" xfId="5450" xr:uid="{00000000-0005-0000-0000-0000A01F0000}"/>
    <cellStyle name="Normal 7 3 2 2" xfId="5451" xr:uid="{00000000-0005-0000-0000-0000A11F0000}"/>
    <cellStyle name="Normal 7 3 2 2 2" xfId="5452" xr:uid="{00000000-0005-0000-0000-0000A21F0000}"/>
    <cellStyle name="Normal 7 3 2 2 2 2" xfId="9373" xr:uid="{00000000-0005-0000-0000-0000A31F0000}"/>
    <cellStyle name="Normal 7 3 2 2 3" xfId="9374" xr:uid="{00000000-0005-0000-0000-0000A41F0000}"/>
    <cellStyle name="Normal 7 3 2 3" xfId="5453" xr:uid="{00000000-0005-0000-0000-0000A51F0000}"/>
    <cellStyle name="Normal 7 3 2 3 2" xfId="9375" xr:uid="{00000000-0005-0000-0000-0000A61F0000}"/>
    <cellStyle name="Normal 7 3 2 4" xfId="9376" xr:uid="{00000000-0005-0000-0000-0000A71F0000}"/>
    <cellStyle name="Normal 7 3 3" xfId="5454" xr:uid="{00000000-0005-0000-0000-0000A81F0000}"/>
    <cellStyle name="Normal 7 3 3 2" xfId="5455" xr:uid="{00000000-0005-0000-0000-0000A91F0000}"/>
    <cellStyle name="Normal 7 3 3 2 2" xfId="9377" xr:uid="{00000000-0005-0000-0000-0000AA1F0000}"/>
    <cellStyle name="Normal 7 3 3 3" xfId="9378" xr:uid="{00000000-0005-0000-0000-0000AB1F0000}"/>
    <cellStyle name="Normal 7 3 4" xfId="5456" xr:uid="{00000000-0005-0000-0000-0000AC1F0000}"/>
    <cellStyle name="Normal 7 3 4 2" xfId="9379" xr:uid="{00000000-0005-0000-0000-0000AD1F0000}"/>
    <cellStyle name="Normal 7 3 5" xfId="9380" xr:uid="{00000000-0005-0000-0000-0000AE1F0000}"/>
    <cellStyle name="Normal 7 4" xfId="1726" xr:uid="{00000000-0005-0000-0000-0000AF1F0000}"/>
    <cellStyle name="Normal 7 4 2" xfId="5457" xr:uid="{00000000-0005-0000-0000-0000B01F0000}"/>
    <cellStyle name="Normal 7 4 2 2" xfId="5458" xr:uid="{00000000-0005-0000-0000-0000B11F0000}"/>
    <cellStyle name="Normal 7 4 2 2 2" xfId="5459" xr:uid="{00000000-0005-0000-0000-0000B21F0000}"/>
    <cellStyle name="Normal 7 4 2 2 2 2" xfId="5460" xr:uid="{00000000-0005-0000-0000-0000B31F0000}"/>
    <cellStyle name="Normal 7 4 2 2 3" xfId="9381" xr:uid="{00000000-0005-0000-0000-0000B41F0000}"/>
    <cellStyle name="Normal 7 4 2 3" xfId="5461" xr:uid="{00000000-0005-0000-0000-0000B51F0000}"/>
    <cellStyle name="Normal 7 4 2 3 2" xfId="9382" xr:uid="{00000000-0005-0000-0000-0000B61F0000}"/>
    <cellStyle name="Normal 7 4 2 4" xfId="9383" xr:uid="{00000000-0005-0000-0000-0000B71F0000}"/>
    <cellStyle name="Normal 7 4 3" xfId="5462" xr:uid="{00000000-0005-0000-0000-0000B81F0000}"/>
    <cellStyle name="Normal 7 4 3 2" xfId="5463" xr:uid="{00000000-0005-0000-0000-0000B91F0000}"/>
    <cellStyle name="Normal 7 4 3 2 2" xfId="9384" xr:uid="{00000000-0005-0000-0000-0000BA1F0000}"/>
    <cellStyle name="Normal 7 4 3 3" xfId="9385" xr:uid="{00000000-0005-0000-0000-0000BB1F0000}"/>
    <cellStyle name="Normal 7 4 4" xfId="5464" xr:uid="{00000000-0005-0000-0000-0000BC1F0000}"/>
    <cellStyle name="Normal 7 4 4 2" xfId="9386" xr:uid="{00000000-0005-0000-0000-0000BD1F0000}"/>
    <cellStyle name="Normal 7 4 5" xfId="9387" xr:uid="{00000000-0005-0000-0000-0000BE1F0000}"/>
    <cellStyle name="Normal 7 5" xfId="1683" xr:uid="{00000000-0005-0000-0000-0000BF1F0000}"/>
    <cellStyle name="Normal 7 5 2" xfId="5466" xr:uid="{00000000-0005-0000-0000-0000C01F0000}"/>
    <cellStyle name="Normal 7 5 2 2" xfId="5467" xr:uid="{00000000-0005-0000-0000-0000C11F0000}"/>
    <cellStyle name="Normal 7 5 2 2 2" xfId="9388" xr:uid="{00000000-0005-0000-0000-0000C21F0000}"/>
    <cellStyle name="Normal 7 5 2 3" xfId="9389" xr:uid="{00000000-0005-0000-0000-0000C31F0000}"/>
    <cellStyle name="Normal 7 5 3" xfId="5468" xr:uid="{00000000-0005-0000-0000-0000C41F0000}"/>
    <cellStyle name="Normal 7 5 3 2" xfId="9390" xr:uid="{00000000-0005-0000-0000-0000C51F0000}"/>
    <cellStyle name="Normal 7 5 4" xfId="9391" xr:uid="{00000000-0005-0000-0000-0000C61F0000}"/>
    <cellStyle name="Normal 7 5 5" xfId="5465" xr:uid="{00000000-0005-0000-0000-0000C71F0000}"/>
    <cellStyle name="Normal 7 6" xfId="5469" xr:uid="{00000000-0005-0000-0000-0000C81F0000}"/>
    <cellStyle name="Normal 7 6 2" xfId="5470" xr:uid="{00000000-0005-0000-0000-0000C91F0000}"/>
    <cellStyle name="Normal 7 6 2 2" xfId="9392" xr:uid="{00000000-0005-0000-0000-0000CA1F0000}"/>
    <cellStyle name="Normal 7 6 3" xfId="9393" xr:uid="{00000000-0005-0000-0000-0000CB1F0000}"/>
    <cellStyle name="Normal 7 7" xfId="5471" xr:uid="{00000000-0005-0000-0000-0000CC1F0000}"/>
    <cellStyle name="Normal 7 7 2" xfId="9394" xr:uid="{00000000-0005-0000-0000-0000CD1F0000}"/>
    <cellStyle name="Normal 7 8" xfId="9395" xr:uid="{00000000-0005-0000-0000-0000CE1F0000}"/>
    <cellStyle name="Normal 7 9" xfId="10407" xr:uid="{00000000-0005-0000-0000-0000CF1F0000}"/>
    <cellStyle name="Normal 70" xfId="5472" xr:uid="{00000000-0005-0000-0000-0000D01F0000}"/>
    <cellStyle name="Normal 70 2" xfId="5473" xr:uid="{00000000-0005-0000-0000-0000D11F0000}"/>
    <cellStyle name="Normal 70 2 2" xfId="5474" xr:uid="{00000000-0005-0000-0000-0000D21F0000}"/>
    <cellStyle name="Normal 70 3" xfId="5475" xr:uid="{00000000-0005-0000-0000-0000D31F0000}"/>
    <cellStyle name="Normal 70 3 2" xfId="5476" xr:uid="{00000000-0005-0000-0000-0000D41F0000}"/>
    <cellStyle name="Normal 70 3 2 2" xfId="5477" xr:uid="{00000000-0005-0000-0000-0000D51F0000}"/>
    <cellStyle name="Normal 70 3 2 2 2" xfId="5478" xr:uid="{00000000-0005-0000-0000-0000D61F0000}"/>
    <cellStyle name="Normal 70 3 2 2 2 2" xfId="9396" xr:uid="{00000000-0005-0000-0000-0000D71F0000}"/>
    <cellStyle name="Normal 70 3 2 2 3" xfId="9397" xr:uid="{00000000-0005-0000-0000-0000D81F0000}"/>
    <cellStyle name="Normal 70 3 2 3" xfId="5479" xr:uid="{00000000-0005-0000-0000-0000D91F0000}"/>
    <cellStyle name="Normal 70 3 2 3 2" xfId="9398" xr:uid="{00000000-0005-0000-0000-0000DA1F0000}"/>
    <cellStyle name="Normal 70 3 2 4" xfId="9399" xr:uid="{00000000-0005-0000-0000-0000DB1F0000}"/>
    <cellStyle name="Normal 70 3 3" xfId="5480" xr:uid="{00000000-0005-0000-0000-0000DC1F0000}"/>
    <cellStyle name="Normal 70 3 3 2" xfId="5481" xr:uid="{00000000-0005-0000-0000-0000DD1F0000}"/>
    <cellStyle name="Normal 70 3 3 2 2" xfId="9400" xr:uid="{00000000-0005-0000-0000-0000DE1F0000}"/>
    <cellStyle name="Normal 70 3 3 3" xfId="9401" xr:uid="{00000000-0005-0000-0000-0000DF1F0000}"/>
    <cellStyle name="Normal 70 3 4" xfId="5482" xr:uid="{00000000-0005-0000-0000-0000E01F0000}"/>
    <cellStyle name="Normal 70 3 4 2" xfId="9402" xr:uid="{00000000-0005-0000-0000-0000E11F0000}"/>
    <cellStyle name="Normal 70 3 5" xfId="5483" xr:uid="{00000000-0005-0000-0000-0000E21F0000}"/>
    <cellStyle name="Normal 70 4" xfId="5484" xr:uid="{00000000-0005-0000-0000-0000E31F0000}"/>
    <cellStyle name="Normal 70 4 2" xfId="5485" xr:uid="{00000000-0005-0000-0000-0000E41F0000}"/>
    <cellStyle name="Normal 70 4 2 2" xfId="5486" xr:uid="{00000000-0005-0000-0000-0000E51F0000}"/>
    <cellStyle name="Normal 70 4 2 2 2" xfId="5487" xr:uid="{00000000-0005-0000-0000-0000E61F0000}"/>
    <cellStyle name="Normal 70 4 2 2 2 2" xfId="9403" xr:uid="{00000000-0005-0000-0000-0000E71F0000}"/>
    <cellStyle name="Normal 70 4 2 2 3" xfId="9404" xr:uid="{00000000-0005-0000-0000-0000E81F0000}"/>
    <cellStyle name="Normal 70 4 2 3" xfId="5488" xr:uid="{00000000-0005-0000-0000-0000E91F0000}"/>
    <cellStyle name="Normal 70 4 2 3 2" xfId="9405" xr:uid="{00000000-0005-0000-0000-0000EA1F0000}"/>
    <cellStyle name="Normal 70 4 2 4" xfId="9406" xr:uid="{00000000-0005-0000-0000-0000EB1F0000}"/>
    <cellStyle name="Normal 70 4 3" xfId="5489" xr:uid="{00000000-0005-0000-0000-0000EC1F0000}"/>
    <cellStyle name="Normal 70 4 3 2" xfId="5490" xr:uid="{00000000-0005-0000-0000-0000ED1F0000}"/>
    <cellStyle name="Normal 70 4 3 2 2" xfId="9407" xr:uid="{00000000-0005-0000-0000-0000EE1F0000}"/>
    <cellStyle name="Normal 70 4 3 3" xfId="9408" xr:uid="{00000000-0005-0000-0000-0000EF1F0000}"/>
    <cellStyle name="Normal 70 4 4" xfId="5491" xr:uid="{00000000-0005-0000-0000-0000F01F0000}"/>
    <cellStyle name="Normal 70 4 4 2" xfId="9409" xr:uid="{00000000-0005-0000-0000-0000F11F0000}"/>
    <cellStyle name="Normal 70 4 5" xfId="9410" xr:uid="{00000000-0005-0000-0000-0000F21F0000}"/>
    <cellStyle name="Normal 70 5" xfId="5492" xr:uid="{00000000-0005-0000-0000-0000F31F0000}"/>
    <cellStyle name="Normal 70 5 2" xfId="5493" xr:uid="{00000000-0005-0000-0000-0000F41F0000}"/>
    <cellStyle name="Normal 70 5 2 2" xfId="5494" xr:uid="{00000000-0005-0000-0000-0000F51F0000}"/>
    <cellStyle name="Normal 70 5 2 2 2" xfId="5495" xr:uid="{00000000-0005-0000-0000-0000F61F0000}"/>
    <cellStyle name="Normal 70 5 2 2 2 2" xfId="9411" xr:uid="{00000000-0005-0000-0000-0000F71F0000}"/>
    <cellStyle name="Normal 70 5 2 2 3" xfId="9412" xr:uid="{00000000-0005-0000-0000-0000F81F0000}"/>
    <cellStyle name="Normal 70 5 2 3" xfId="5496" xr:uid="{00000000-0005-0000-0000-0000F91F0000}"/>
    <cellStyle name="Normal 70 5 2 3 2" xfId="9413" xr:uid="{00000000-0005-0000-0000-0000FA1F0000}"/>
    <cellStyle name="Normal 70 5 2 4" xfId="9414" xr:uid="{00000000-0005-0000-0000-0000FB1F0000}"/>
    <cellStyle name="Normal 70 5 3" xfId="5497" xr:uid="{00000000-0005-0000-0000-0000FC1F0000}"/>
    <cellStyle name="Normal 70 5 3 2" xfId="5498" xr:uid="{00000000-0005-0000-0000-0000FD1F0000}"/>
    <cellStyle name="Normal 70 5 3 2 2" xfId="9415" xr:uid="{00000000-0005-0000-0000-0000FE1F0000}"/>
    <cellStyle name="Normal 70 5 3 3" xfId="9416" xr:uid="{00000000-0005-0000-0000-0000FF1F0000}"/>
    <cellStyle name="Normal 70 5 4" xfId="5499" xr:uid="{00000000-0005-0000-0000-000000200000}"/>
    <cellStyle name="Normal 70 5 4 2" xfId="9417" xr:uid="{00000000-0005-0000-0000-000001200000}"/>
    <cellStyle name="Normal 70 5 5" xfId="9418" xr:uid="{00000000-0005-0000-0000-000002200000}"/>
    <cellStyle name="Normal 70 6" xfId="5500" xr:uid="{00000000-0005-0000-0000-000003200000}"/>
    <cellStyle name="Normal 70 6 2" xfId="5501" xr:uid="{00000000-0005-0000-0000-000004200000}"/>
    <cellStyle name="Normal 70 6 2 2" xfId="5502" xr:uid="{00000000-0005-0000-0000-000005200000}"/>
    <cellStyle name="Normal 70 6 2 2 2" xfId="9419" xr:uid="{00000000-0005-0000-0000-000006200000}"/>
    <cellStyle name="Normal 70 6 2 3" xfId="9420" xr:uid="{00000000-0005-0000-0000-000007200000}"/>
    <cellStyle name="Normal 70 6 3" xfId="5503" xr:uid="{00000000-0005-0000-0000-000008200000}"/>
    <cellStyle name="Normal 70 6 3 2" xfId="9421" xr:uid="{00000000-0005-0000-0000-000009200000}"/>
    <cellStyle name="Normal 70 6 4" xfId="9422" xr:uid="{00000000-0005-0000-0000-00000A200000}"/>
    <cellStyle name="Normal 70 7" xfId="5504" xr:uid="{00000000-0005-0000-0000-00000B200000}"/>
    <cellStyle name="Normal 70 7 2" xfId="5505" xr:uid="{00000000-0005-0000-0000-00000C200000}"/>
    <cellStyle name="Normal 70 7 2 2" xfId="9423" xr:uid="{00000000-0005-0000-0000-00000D200000}"/>
    <cellStyle name="Normal 70 7 3" xfId="9424" xr:uid="{00000000-0005-0000-0000-00000E200000}"/>
    <cellStyle name="Normal 70 8" xfId="5506" xr:uid="{00000000-0005-0000-0000-00000F200000}"/>
    <cellStyle name="Normal 70 8 2" xfId="9425" xr:uid="{00000000-0005-0000-0000-000010200000}"/>
    <cellStyle name="Normal 70 9" xfId="9426" xr:uid="{00000000-0005-0000-0000-000011200000}"/>
    <cellStyle name="Normal 71" xfId="5507" xr:uid="{00000000-0005-0000-0000-000012200000}"/>
    <cellStyle name="Normal 71 2" xfId="5508" xr:uid="{00000000-0005-0000-0000-000013200000}"/>
    <cellStyle name="Normal 71 2 2" xfId="5509" xr:uid="{00000000-0005-0000-0000-000014200000}"/>
    <cellStyle name="Normal 71 3" xfId="5510" xr:uid="{00000000-0005-0000-0000-000015200000}"/>
    <cellStyle name="Normal 71 3 2" xfId="5511" xr:uid="{00000000-0005-0000-0000-000016200000}"/>
    <cellStyle name="Normal 71 3 2 2" xfId="5512" xr:uid="{00000000-0005-0000-0000-000017200000}"/>
    <cellStyle name="Normal 71 3 2 2 2" xfId="5513" xr:uid="{00000000-0005-0000-0000-000018200000}"/>
    <cellStyle name="Normal 71 3 2 2 2 2" xfId="9427" xr:uid="{00000000-0005-0000-0000-000019200000}"/>
    <cellStyle name="Normal 71 3 2 2 3" xfId="9428" xr:uid="{00000000-0005-0000-0000-00001A200000}"/>
    <cellStyle name="Normal 71 3 2 3" xfId="5514" xr:uid="{00000000-0005-0000-0000-00001B200000}"/>
    <cellStyle name="Normal 71 3 2 3 2" xfId="9429" xr:uid="{00000000-0005-0000-0000-00001C200000}"/>
    <cellStyle name="Normal 71 3 2 4" xfId="9430" xr:uid="{00000000-0005-0000-0000-00001D200000}"/>
    <cellStyle name="Normal 71 3 3" xfId="5515" xr:uid="{00000000-0005-0000-0000-00001E200000}"/>
    <cellStyle name="Normal 71 3 3 2" xfId="5516" xr:uid="{00000000-0005-0000-0000-00001F200000}"/>
    <cellStyle name="Normal 71 3 3 2 2" xfId="9431" xr:uid="{00000000-0005-0000-0000-000020200000}"/>
    <cellStyle name="Normal 71 3 3 3" xfId="9432" xr:uid="{00000000-0005-0000-0000-000021200000}"/>
    <cellStyle name="Normal 71 3 4" xfId="5517" xr:uid="{00000000-0005-0000-0000-000022200000}"/>
    <cellStyle name="Normal 71 3 4 2" xfId="9433" xr:uid="{00000000-0005-0000-0000-000023200000}"/>
    <cellStyle name="Normal 71 3 5" xfId="5518" xr:uid="{00000000-0005-0000-0000-000024200000}"/>
    <cellStyle name="Normal 71 4" xfId="5519" xr:uid="{00000000-0005-0000-0000-000025200000}"/>
    <cellStyle name="Normal 71 4 2" xfId="5520" xr:uid="{00000000-0005-0000-0000-000026200000}"/>
    <cellStyle name="Normal 71 4 2 2" xfId="5521" xr:uid="{00000000-0005-0000-0000-000027200000}"/>
    <cellStyle name="Normal 71 4 2 2 2" xfId="5522" xr:uid="{00000000-0005-0000-0000-000028200000}"/>
    <cellStyle name="Normal 71 4 2 2 2 2" xfId="9434" xr:uid="{00000000-0005-0000-0000-000029200000}"/>
    <cellStyle name="Normal 71 4 2 2 3" xfId="9435" xr:uid="{00000000-0005-0000-0000-00002A200000}"/>
    <cellStyle name="Normal 71 4 2 3" xfId="5523" xr:uid="{00000000-0005-0000-0000-00002B200000}"/>
    <cellStyle name="Normal 71 4 2 3 2" xfId="9436" xr:uid="{00000000-0005-0000-0000-00002C200000}"/>
    <cellStyle name="Normal 71 4 2 4" xfId="9437" xr:uid="{00000000-0005-0000-0000-00002D200000}"/>
    <cellStyle name="Normal 71 4 3" xfId="5524" xr:uid="{00000000-0005-0000-0000-00002E200000}"/>
    <cellStyle name="Normal 71 4 3 2" xfId="5525" xr:uid="{00000000-0005-0000-0000-00002F200000}"/>
    <cellStyle name="Normal 71 4 3 2 2" xfId="9438" xr:uid="{00000000-0005-0000-0000-000030200000}"/>
    <cellStyle name="Normal 71 4 3 3" xfId="9439" xr:uid="{00000000-0005-0000-0000-000031200000}"/>
    <cellStyle name="Normal 71 4 4" xfId="5526" xr:uid="{00000000-0005-0000-0000-000032200000}"/>
    <cellStyle name="Normal 71 4 4 2" xfId="9440" xr:uid="{00000000-0005-0000-0000-000033200000}"/>
    <cellStyle name="Normal 71 4 5" xfId="9441" xr:uid="{00000000-0005-0000-0000-000034200000}"/>
    <cellStyle name="Normal 71 5" xfId="5527" xr:uid="{00000000-0005-0000-0000-000035200000}"/>
    <cellStyle name="Normal 71 5 2" xfId="5528" xr:uid="{00000000-0005-0000-0000-000036200000}"/>
    <cellStyle name="Normal 71 5 2 2" xfId="5529" xr:uid="{00000000-0005-0000-0000-000037200000}"/>
    <cellStyle name="Normal 71 5 2 2 2" xfId="5530" xr:uid="{00000000-0005-0000-0000-000038200000}"/>
    <cellStyle name="Normal 71 5 2 2 2 2" xfId="9442" xr:uid="{00000000-0005-0000-0000-000039200000}"/>
    <cellStyle name="Normal 71 5 2 2 3" xfId="9443" xr:uid="{00000000-0005-0000-0000-00003A200000}"/>
    <cellStyle name="Normal 71 5 2 3" xfId="5531" xr:uid="{00000000-0005-0000-0000-00003B200000}"/>
    <cellStyle name="Normal 71 5 2 3 2" xfId="9444" xr:uid="{00000000-0005-0000-0000-00003C200000}"/>
    <cellStyle name="Normal 71 5 2 4" xfId="9445" xr:uid="{00000000-0005-0000-0000-00003D200000}"/>
    <cellStyle name="Normal 71 5 3" xfId="5532" xr:uid="{00000000-0005-0000-0000-00003E200000}"/>
    <cellStyle name="Normal 71 5 3 2" xfId="5533" xr:uid="{00000000-0005-0000-0000-00003F200000}"/>
    <cellStyle name="Normal 71 5 3 2 2" xfId="9446" xr:uid="{00000000-0005-0000-0000-000040200000}"/>
    <cellStyle name="Normal 71 5 3 3" xfId="9447" xr:uid="{00000000-0005-0000-0000-000041200000}"/>
    <cellStyle name="Normal 71 5 4" xfId="5534" xr:uid="{00000000-0005-0000-0000-000042200000}"/>
    <cellStyle name="Normal 71 5 4 2" xfId="9448" xr:uid="{00000000-0005-0000-0000-000043200000}"/>
    <cellStyle name="Normal 71 5 5" xfId="9449" xr:uid="{00000000-0005-0000-0000-000044200000}"/>
    <cellStyle name="Normal 71 6" xfId="5535" xr:uid="{00000000-0005-0000-0000-000045200000}"/>
    <cellStyle name="Normal 71 6 2" xfId="5536" xr:uid="{00000000-0005-0000-0000-000046200000}"/>
    <cellStyle name="Normal 71 6 2 2" xfId="5537" xr:uid="{00000000-0005-0000-0000-000047200000}"/>
    <cellStyle name="Normal 71 6 2 2 2" xfId="9450" xr:uid="{00000000-0005-0000-0000-000048200000}"/>
    <cellStyle name="Normal 71 6 2 3" xfId="9451" xr:uid="{00000000-0005-0000-0000-000049200000}"/>
    <cellStyle name="Normal 71 6 3" xfId="5538" xr:uid="{00000000-0005-0000-0000-00004A200000}"/>
    <cellStyle name="Normal 71 6 3 2" xfId="9452" xr:uid="{00000000-0005-0000-0000-00004B200000}"/>
    <cellStyle name="Normal 71 6 4" xfId="9453" xr:uid="{00000000-0005-0000-0000-00004C200000}"/>
    <cellStyle name="Normal 71 7" xfId="5539" xr:uid="{00000000-0005-0000-0000-00004D200000}"/>
    <cellStyle name="Normal 71 7 2" xfId="5540" xr:uid="{00000000-0005-0000-0000-00004E200000}"/>
    <cellStyle name="Normal 71 7 2 2" xfId="9454" xr:uid="{00000000-0005-0000-0000-00004F200000}"/>
    <cellStyle name="Normal 71 7 3" xfId="9455" xr:uid="{00000000-0005-0000-0000-000050200000}"/>
    <cellStyle name="Normal 71 8" xfId="5541" xr:uid="{00000000-0005-0000-0000-000051200000}"/>
    <cellStyle name="Normal 71 8 2" xfId="9456" xr:uid="{00000000-0005-0000-0000-000052200000}"/>
    <cellStyle name="Normal 71 9" xfId="9457" xr:uid="{00000000-0005-0000-0000-000053200000}"/>
    <cellStyle name="Normal 72" xfId="5542" xr:uid="{00000000-0005-0000-0000-000054200000}"/>
    <cellStyle name="Normal 72 2" xfId="5543" xr:uid="{00000000-0005-0000-0000-000055200000}"/>
    <cellStyle name="Normal 72 2 2" xfId="5544" xr:uid="{00000000-0005-0000-0000-000056200000}"/>
    <cellStyle name="Normal 72 3" xfId="5545" xr:uid="{00000000-0005-0000-0000-000057200000}"/>
    <cellStyle name="Normal 72 3 2" xfId="5546" xr:uid="{00000000-0005-0000-0000-000058200000}"/>
    <cellStyle name="Normal 72 3 2 2" xfId="5547" xr:uid="{00000000-0005-0000-0000-000059200000}"/>
    <cellStyle name="Normal 72 3 2 2 2" xfId="5548" xr:uid="{00000000-0005-0000-0000-00005A200000}"/>
    <cellStyle name="Normal 72 3 2 2 2 2" xfId="9458" xr:uid="{00000000-0005-0000-0000-00005B200000}"/>
    <cellStyle name="Normal 72 3 2 2 3" xfId="9459" xr:uid="{00000000-0005-0000-0000-00005C200000}"/>
    <cellStyle name="Normal 72 3 2 3" xfId="5549" xr:uid="{00000000-0005-0000-0000-00005D200000}"/>
    <cellStyle name="Normal 72 3 2 3 2" xfId="9460" xr:uid="{00000000-0005-0000-0000-00005E200000}"/>
    <cellStyle name="Normal 72 3 2 4" xfId="9461" xr:uid="{00000000-0005-0000-0000-00005F200000}"/>
    <cellStyle name="Normal 72 3 3" xfId="5550" xr:uid="{00000000-0005-0000-0000-000060200000}"/>
    <cellStyle name="Normal 72 3 3 2" xfId="5551" xr:uid="{00000000-0005-0000-0000-000061200000}"/>
    <cellStyle name="Normal 72 3 3 2 2" xfId="9462" xr:uid="{00000000-0005-0000-0000-000062200000}"/>
    <cellStyle name="Normal 72 3 3 3" xfId="9463" xr:uid="{00000000-0005-0000-0000-000063200000}"/>
    <cellStyle name="Normal 72 3 4" xfId="5552" xr:uid="{00000000-0005-0000-0000-000064200000}"/>
    <cellStyle name="Normal 72 3 4 2" xfId="9464" xr:uid="{00000000-0005-0000-0000-000065200000}"/>
    <cellStyle name="Normal 72 3 5" xfId="5553" xr:uid="{00000000-0005-0000-0000-000066200000}"/>
    <cellStyle name="Normal 72 4" xfId="5554" xr:uid="{00000000-0005-0000-0000-000067200000}"/>
    <cellStyle name="Normal 72 4 2" xfId="5555" xr:uid="{00000000-0005-0000-0000-000068200000}"/>
    <cellStyle name="Normal 72 4 2 2" xfId="5556" xr:uid="{00000000-0005-0000-0000-000069200000}"/>
    <cellStyle name="Normal 72 4 2 2 2" xfId="5557" xr:uid="{00000000-0005-0000-0000-00006A200000}"/>
    <cellStyle name="Normal 72 4 2 2 2 2" xfId="9465" xr:uid="{00000000-0005-0000-0000-00006B200000}"/>
    <cellStyle name="Normal 72 4 2 2 3" xfId="9466" xr:uid="{00000000-0005-0000-0000-00006C200000}"/>
    <cellStyle name="Normal 72 4 2 3" xfId="5558" xr:uid="{00000000-0005-0000-0000-00006D200000}"/>
    <cellStyle name="Normal 72 4 2 3 2" xfId="9467" xr:uid="{00000000-0005-0000-0000-00006E200000}"/>
    <cellStyle name="Normal 72 4 2 4" xfId="9468" xr:uid="{00000000-0005-0000-0000-00006F200000}"/>
    <cellStyle name="Normal 72 4 3" xfId="5559" xr:uid="{00000000-0005-0000-0000-000070200000}"/>
    <cellStyle name="Normal 72 4 3 2" xfId="5560" xr:uid="{00000000-0005-0000-0000-000071200000}"/>
    <cellStyle name="Normal 72 4 3 2 2" xfId="9469" xr:uid="{00000000-0005-0000-0000-000072200000}"/>
    <cellStyle name="Normal 72 4 3 3" xfId="9470" xr:uid="{00000000-0005-0000-0000-000073200000}"/>
    <cellStyle name="Normal 72 4 4" xfId="5561" xr:uid="{00000000-0005-0000-0000-000074200000}"/>
    <cellStyle name="Normal 72 4 4 2" xfId="9471" xr:uid="{00000000-0005-0000-0000-000075200000}"/>
    <cellStyle name="Normal 72 4 5" xfId="9472" xr:uid="{00000000-0005-0000-0000-000076200000}"/>
    <cellStyle name="Normal 72 5" xfId="5562" xr:uid="{00000000-0005-0000-0000-000077200000}"/>
    <cellStyle name="Normal 72 5 2" xfId="5563" xr:uid="{00000000-0005-0000-0000-000078200000}"/>
    <cellStyle name="Normal 72 5 2 2" xfId="5564" xr:uid="{00000000-0005-0000-0000-000079200000}"/>
    <cellStyle name="Normal 72 5 2 2 2" xfId="5565" xr:uid="{00000000-0005-0000-0000-00007A200000}"/>
    <cellStyle name="Normal 72 5 2 2 2 2" xfId="9473" xr:uid="{00000000-0005-0000-0000-00007B200000}"/>
    <cellStyle name="Normal 72 5 2 2 3" xfId="9474" xr:uid="{00000000-0005-0000-0000-00007C200000}"/>
    <cellStyle name="Normal 72 5 2 3" xfId="5566" xr:uid="{00000000-0005-0000-0000-00007D200000}"/>
    <cellStyle name="Normal 72 5 2 3 2" xfId="9475" xr:uid="{00000000-0005-0000-0000-00007E200000}"/>
    <cellStyle name="Normal 72 5 2 4" xfId="9476" xr:uid="{00000000-0005-0000-0000-00007F200000}"/>
    <cellStyle name="Normal 72 5 3" xfId="5567" xr:uid="{00000000-0005-0000-0000-000080200000}"/>
    <cellStyle name="Normal 72 5 3 2" xfId="5568" xr:uid="{00000000-0005-0000-0000-000081200000}"/>
    <cellStyle name="Normal 72 5 3 2 2" xfId="9477" xr:uid="{00000000-0005-0000-0000-000082200000}"/>
    <cellStyle name="Normal 72 5 3 3" xfId="9478" xr:uid="{00000000-0005-0000-0000-000083200000}"/>
    <cellStyle name="Normal 72 5 4" xfId="5569" xr:uid="{00000000-0005-0000-0000-000084200000}"/>
    <cellStyle name="Normal 72 5 4 2" xfId="9479" xr:uid="{00000000-0005-0000-0000-000085200000}"/>
    <cellStyle name="Normal 72 5 5" xfId="9480" xr:uid="{00000000-0005-0000-0000-000086200000}"/>
    <cellStyle name="Normal 72 6" xfId="5570" xr:uid="{00000000-0005-0000-0000-000087200000}"/>
    <cellStyle name="Normal 72 6 2" xfId="5571" xr:uid="{00000000-0005-0000-0000-000088200000}"/>
    <cellStyle name="Normal 72 6 2 2" xfId="5572" xr:uid="{00000000-0005-0000-0000-000089200000}"/>
    <cellStyle name="Normal 72 6 2 2 2" xfId="9481" xr:uid="{00000000-0005-0000-0000-00008A200000}"/>
    <cellStyle name="Normal 72 6 2 3" xfId="9482" xr:uid="{00000000-0005-0000-0000-00008B200000}"/>
    <cellStyle name="Normal 72 6 3" xfId="5573" xr:uid="{00000000-0005-0000-0000-00008C200000}"/>
    <cellStyle name="Normal 72 6 3 2" xfId="9483" xr:uid="{00000000-0005-0000-0000-00008D200000}"/>
    <cellStyle name="Normal 72 6 4" xfId="9484" xr:uid="{00000000-0005-0000-0000-00008E200000}"/>
    <cellStyle name="Normal 72 7" xfId="5574" xr:uid="{00000000-0005-0000-0000-00008F200000}"/>
    <cellStyle name="Normal 72 7 2" xfId="5575" xr:uid="{00000000-0005-0000-0000-000090200000}"/>
    <cellStyle name="Normal 72 7 2 2" xfId="9485" xr:uid="{00000000-0005-0000-0000-000091200000}"/>
    <cellStyle name="Normal 72 7 3" xfId="9486" xr:uid="{00000000-0005-0000-0000-000092200000}"/>
    <cellStyle name="Normal 72 8" xfId="5576" xr:uid="{00000000-0005-0000-0000-000093200000}"/>
    <cellStyle name="Normal 72 8 2" xfId="9487" xr:uid="{00000000-0005-0000-0000-000094200000}"/>
    <cellStyle name="Normal 72 9" xfId="9488" xr:uid="{00000000-0005-0000-0000-000095200000}"/>
    <cellStyle name="Normal 73" xfId="5577" xr:uid="{00000000-0005-0000-0000-000096200000}"/>
    <cellStyle name="Normal 73 2" xfId="5578" xr:uid="{00000000-0005-0000-0000-000097200000}"/>
    <cellStyle name="Normal 73 2 2" xfId="5579" xr:uid="{00000000-0005-0000-0000-000098200000}"/>
    <cellStyle name="Normal 73 3" xfId="5580" xr:uid="{00000000-0005-0000-0000-000099200000}"/>
    <cellStyle name="Normal 73 3 2" xfId="5581" xr:uid="{00000000-0005-0000-0000-00009A200000}"/>
    <cellStyle name="Normal 73 3 2 2" xfId="5582" xr:uid="{00000000-0005-0000-0000-00009B200000}"/>
    <cellStyle name="Normal 73 3 2 2 2" xfId="5583" xr:uid="{00000000-0005-0000-0000-00009C200000}"/>
    <cellStyle name="Normal 73 3 2 2 2 2" xfId="9489" xr:uid="{00000000-0005-0000-0000-00009D200000}"/>
    <cellStyle name="Normal 73 3 2 2 3" xfId="9490" xr:uid="{00000000-0005-0000-0000-00009E200000}"/>
    <cellStyle name="Normal 73 3 2 3" xfId="5584" xr:uid="{00000000-0005-0000-0000-00009F200000}"/>
    <cellStyle name="Normal 73 3 2 3 2" xfId="9491" xr:uid="{00000000-0005-0000-0000-0000A0200000}"/>
    <cellStyle name="Normal 73 3 2 4" xfId="9492" xr:uid="{00000000-0005-0000-0000-0000A1200000}"/>
    <cellStyle name="Normal 73 3 3" xfId="5585" xr:uid="{00000000-0005-0000-0000-0000A2200000}"/>
    <cellStyle name="Normal 73 3 3 2" xfId="5586" xr:uid="{00000000-0005-0000-0000-0000A3200000}"/>
    <cellStyle name="Normal 73 3 3 2 2" xfId="9493" xr:uid="{00000000-0005-0000-0000-0000A4200000}"/>
    <cellStyle name="Normal 73 3 3 3" xfId="9494" xr:uid="{00000000-0005-0000-0000-0000A5200000}"/>
    <cellStyle name="Normal 73 3 4" xfId="5587" xr:uid="{00000000-0005-0000-0000-0000A6200000}"/>
    <cellStyle name="Normal 73 3 4 2" xfId="9495" xr:uid="{00000000-0005-0000-0000-0000A7200000}"/>
    <cellStyle name="Normal 73 3 5" xfId="5588" xr:uid="{00000000-0005-0000-0000-0000A8200000}"/>
    <cellStyle name="Normal 73 4" xfId="5589" xr:uid="{00000000-0005-0000-0000-0000A9200000}"/>
    <cellStyle name="Normal 73 4 2" xfId="5590" xr:uid="{00000000-0005-0000-0000-0000AA200000}"/>
    <cellStyle name="Normal 73 4 2 2" xfId="5591" xr:uid="{00000000-0005-0000-0000-0000AB200000}"/>
    <cellStyle name="Normal 73 4 2 2 2" xfId="5592" xr:uid="{00000000-0005-0000-0000-0000AC200000}"/>
    <cellStyle name="Normal 73 4 2 2 2 2" xfId="9496" xr:uid="{00000000-0005-0000-0000-0000AD200000}"/>
    <cellStyle name="Normal 73 4 2 2 3" xfId="9497" xr:uid="{00000000-0005-0000-0000-0000AE200000}"/>
    <cellStyle name="Normal 73 4 2 3" xfId="5593" xr:uid="{00000000-0005-0000-0000-0000AF200000}"/>
    <cellStyle name="Normal 73 4 2 3 2" xfId="9498" xr:uid="{00000000-0005-0000-0000-0000B0200000}"/>
    <cellStyle name="Normal 73 4 2 4" xfId="9499" xr:uid="{00000000-0005-0000-0000-0000B1200000}"/>
    <cellStyle name="Normal 73 4 3" xfId="5594" xr:uid="{00000000-0005-0000-0000-0000B2200000}"/>
    <cellStyle name="Normal 73 4 3 2" xfId="5595" xr:uid="{00000000-0005-0000-0000-0000B3200000}"/>
    <cellStyle name="Normal 73 4 3 2 2" xfId="9500" xr:uid="{00000000-0005-0000-0000-0000B4200000}"/>
    <cellStyle name="Normal 73 4 3 3" xfId="9501" xr:uid="{00000000-0005-0000-0000-0000B5200000}"/>
    <cellStyle name="Normal 73 4 4" xfId="5596" xr:uid="{00000000-0005-0000-0000-0000B6200000}"/>
    <cellStyle name="Normal 73 4 4 2" xfId="9502" xr:uid="{00000000-0005-0000-0000-0000B7200000}"/>
    <cellStyle name="Normal 73 4 5" xfId="9503" xr:uid="{00000000-0005-0000-0000-0000B8200000}"/>
    <cellStyle name="Normal 73 5" xfId="5597" xr:uid="{00000000-0005-0000-0000-0000B9200000}"/>
    <cellStyle name="Normal 73 5 2" xfId="5598" xr:uid="{00000000-0005-0000-0000-0000BA200000}"/>
    <cellStyle name="Normal 73 5 2 2" xfId="5599" xr:uid="{00000000-0005-0000-0000-0000BB200000}"/>
    <cellStyle name="Normal 73 5 2 2 2" xfId="5600" xr:uid="{00000000-0005-0000-0000-0000BC200000}"/>
    <cellStyle name="Normal 73 5 2 2 2 2" xfId="9504" xr:uid="{00000000-0005-0000-0000-0000BD200000}"/>
    <cellStyle name="Normal 73 5 2 2 3" xfId="9505" xr:uid="{00000000-0005-0000-0000-0000BE200000}"/>
    <cellStyle name="Normal 73 5 2 3" xfId="5601" xr:uid="{00000000-0005-0000-0000-0000BF200000}"/>
    <cellStyle name="Normal 73 5 2 3 2" xfId="9506" xr:uid="{00000000-0005-0000-0000-0000C0200000}"/>
    <cellStyle name="Normal 73 5 2 4" xfId="9507" xr:uid="{00000000-0005-0000-0000-0000C1200000}"/>
    <cellStyle name="Normal 73 5 3" xfId="5602" xr:uid="{00000000-0005-0000-0000-0000C2200000}"/>
    <cellStyle name="Normal 73 5 3 2" xfId="5603" xr:uid="{00000000-0005-0000-0000-0000C3200000}"/>
    <cellStyle name="Normal 73 5 3 2 2" xfId="9508" xr:uid="{00000000-0005-0000-0000-0000C4200000}"/>
    <cellStyle name="Normal 73 5 3 3" xfId="9509" xr:uid="{00000000-0005-0000-0000-0000C5200000}"/>
    <cellStyle name="Normal 73 5 4" xfId="5604" xr:uid="{00000000-0005-0000-0000-0000C6200000}"/>
    <cellStyle name="Normal 73 5 4 2" xfId="9510" xr:uid="{00000000-0005-0000-0000-0000C7200000}"/>
    <cellStyle name="Normal 73 5 5" xfId="9511" xr:uid="{00000000-0005-0000-0000-0000C8200000}"/>
    <cellStyle name="Normal 73 6" xfId="5605" xr:uid="{00000000-0005-0000-0000-0000C9200000}"/>
    <cellStyle name="Normal 73 6 2" xfId="5606" xr:uid="{00000000-0005-0000-0000-0000CA200000}"/>
    <cellStyle name="Normal 73 6 2 2" xfId="5607" xr:uid="{00000000-0005-0000-0000-0000CB200000}"/>
    <cellStyle name="Normal 73 6 2 2 2" xfId="9512" xr:uid="{00000000-0005-0000-0000-0000CC200000}"/>
    <cellStyle name="Normal 73 6 2 3" xfId="9513" xr:uid="{00000000-0005-0000-0000-0000CD200000}"/>
    <cellStyle name="Normal 73 6 3" xfId="5608" xr:uid="{00000000-0005-0000-0000-0000CE200000}"/>
    <cellStyle name="Normal 73 6 3 2" xfId="9514" xr:uid="{00000000-0005-0000-0000-0000CF200000}"/>
    <cellStyle name="Normal 73 6 4" xfId="9515" xr:uid="{00000000-0005-0000-0000-0000D0200000}"/>
    <cellStyle name="Normal 73 7" xfId="5609" xr:uid="{00000000-0005-0000-0000-0000D1200000}"/>
    <cellStyle name="Normal 73 7 2" xfId="5610" xr:uid="{00000000-0005-0000-0000-0000D2200000}"/>
    <cellStyle name="Normal 73 7 2 2" xfId="9516" xr:uid="{00000000-0005-0000-0000-0000D3200000}"/>
    <cellStyle name="Normal 73 7 3" xfId="9517" xr:uid="{00000000-0005-0000-0000-0000D4200000}"/>
    <cellStyle name="Normal 73 8" xfId="5611" xr:uid="{00000000-0005-0000-0000-0000D5200000}"/>
    <cellStyle name="Normal 73 8 2" xfId="9518" xr:uid="{00000000-0005-0000-0000-0000D6200000}"/>
    <cellStyle name="Normal 73 9" xfId="9519" xr:uid="{00000000-0005-0000-0000-0000D7200000}"/>
    <cellStyle name="Normal 74" xfId="5612" xr:uid="{00000000-0005-0000-0000-0000D8200000}"/>
    <cellStyle name="Normal 74 2" xfId="5613" xr:uid="{00000000-0005-0000-0000-0000D9200000}"/>
    <cellStyle name="Normal 74 2 2" xfId="5614" xr:uid="{00000000-0005-0000-0000-0000DA200000}"/>
    <cellStyle name="Normal 74 3" xfId="5615" xr:uid="{00000000-0005-0000-0000-0000DB200000}"/>
    <cellStyle name="Normal 74 3 2" xfId="5616" xr:uid="{00000000-0005-0000-0000-0000DC200000}"/>
    <cellStyle name="Normal 74 3 2 2" xfId="5617" xr:uid="{00000000-0005-0000-0000-0000DD200000}"/>
    <cellStyle name="Normal 74 3 2 2 2" xfId="5618" xr:uid="{00000000-0005-0000-0000-0000DE200000}"/>
    <cellStyle name="Normal 74 3 2 2 2 2" xfId="9520" xr:uid="{00000000-0005-0000-0000-0000DF200000}"/>
    <cellStyle name="Normal 74 3 2 2 3" xfId="9521" xr:uid="{00000000-0005-0000-0000-0000E0200000}"/>
    <cellStyle name="Normal 74 3 2 3" xfId="5619" xr:uid="{00000000-0005-0000-0000-0000E1200000}"/>
    <cellStyle name="Normal 74 3 2 3 2" xfId="9522" xr:uid="{00000000-0005-0000-0000-0000E2200000}"/>
    <cellStyle name="Normal 74 3 2 4" xfId="9523" xr:uid="{00000000-0005-0000-0000-0000E3200000}"/>
    <cellStyle name="Normal 74 3 3" xfId="5620" xr:uid="{00000000-0005-0000-0000-0000E4200000}"/>
    <cellStyle name="Normal 74 3 3 2" xfId="5621" xr:uid="{00000000-0005-0000-0000-0000E5200000}"/>
    <cellStyle name="Normal 74 3 3 2 2" xfId="9524" xr:uid="{00000000-0005-0000-0000-0000E6200000}"/>
    <cellStyle name="Normal 74 3 3 3" xfId="9525" xr:uid="{00000000-0005-0000-0000-0000E7200000}"/>
    <cellStyle name="Normal 74 3 4" xfId="5622" xr:uid="{00000000-0005-0000-0000-0000E8200000}"/>
    <cellStyle name="Normal 74 3 4 2" xfId="9526" xr:uid="{00000000-0005-0000-0000-0000E9200000}"/>
    <cellStyle name="Normal 74 3 5" xfId="5623" xr:uid="{00000000-0005-0000-0000-0000EA200000}"/>
    <cellStyle name="Normal 74 4" xfId="5624" xr:uid="{00000000-0005-0000-0000-0000EB200000}"/>
    <cellStyle name="Normal 74 4 2" xfId="5625" xr:uid="{00000000-0005-0000-0000-0000EC200000}"/>
    <cellStyle name="Normal 74 4 2 2" xfId="5626" xr:uid="{00000000-0005-0000-0000-0000ED200000}"/>
    <cellStyle name="Normal 74 4 2 2 2" xfId="5627" xr:uid="{00000000-0005-0000-0000-0000EE200000}"/>
    <cellStyle name="Normal 74 4 2 2 2 2" xfId="9527" xr:uid="{00000000-0005-0000-0000-0000EF200000}"/>
    <cellStyle name="Normal 74 4 2 2 3" xfId="9528" xr:uid="{00000000-0005-0000-0000-0000F0200000}"/>
    <cellStyle name="Normal 74 4 2 3" xfId="5628" xr:uid="{00000000-0005-0000-0000-0000F1200000}"/>
    <cellStyle name="Normal 74 4 2 3 2" xfId="9529" xr:uid="{00000000-0005-0000-0000-0000F2200000}"/>
    <cellStyle name="Normal 74 4 2 4" xfId="9530" xr:uid="{00000000-0005-0000-0000-0000F3200000}"/>
    <cellStyle name="Normal 74 4 3" xfId="5629" xr:uid="{00000000-0005-0000-0000-0000F4200000}"/>
    <cellStyle name="Normal 74 4 3 2" xfId="5630" xr:uid="{00000000-0005-0000-0000-0000F5200000}"/>
    <cellStyle name="Normal 74 4 3 2 2" xfId="9531" xr:uid="{00000000-0005-0000-0000-0000F6200000}"/>
    <cellStyle name="Normal 74 4 3 3" xfId="9532" xr:uid="{00000000-0005-0000-0000-0000F7200000}"/>
    <cellStyle name="Normal 74 4 4" xfId="5631" xr:uid="{00000000-0005-0000-0000-0000F8200000}"/>
    <cellStyle name="Normal 74 4 4 2" xfId="9533" xr:uid="{00000000-0005-0000-0000-0000F9200000}"/>
    <cellStyle name="Normal 74 4 5" xfId="9534" xr:uid="{00000000-0005-0000-0000-0000FA200000}"/>
    <cellStyle name="Normal 74 5" xfId="5632" xr:uid="{00000000-0005-0000-0000-0000FB200000}"/>
    <cellStyle name="Normal 74 5 2" xfId="5633" xr:uid="{00000000-0005-0000-0000-0000FC200000}"/>
    <cellStyle name="Normal 74 5 2 2" xfId="5634" xr:uid="{00000000-0005-0000-0000-0000FD200000}"/>
    <cellStyle name="Normal 74 5 2 2 2" xfId="5635" xr:uid="{00000000-0005-0000-0000-0000FE200000}"/>
    <cellStyle name="Normal 74 5 2 2 2 2" xfId="9535" xr:uid="{00000000-0005-0000-0000-0000FF200000}"/>
    <cellStyle name="Normal 74 5 2 2 3" xfId="9536" xr:uid="{00000000-0005-0000-0000-000000210000}"/>
    <cellStyle name="Normal 74 5 2 3" xfId="5636" xr:uid="{00000000-0005-0000-0000-000001210000}"/>
    <cellStyle name="Normal 74 5 2 3 2" xfId="9537" xr:uid="{00000000-0005-0000-0000-000002210000}"/>
    <cellStyle name="Normal 74 5 2 4" xfId="9538" xr:uid="{00000000-0005-0000-0000-000003210000}"/>
    <cellStyle name="Normal 74 5 3" xfId="5637" xr:uid="{00000000-0005-0000-0000-000004210000}"/>
    <cellStyle name="Normal 74 5 3 2" xfId="5638" xr:uid="{00000000-0005-0000-0000-000005210000}"/>
    <cellStyle name="Normal 74 5 3 2 2" xfId="9539" xr:uid="{00000000-0005-0000-0000-000006210000}"/>
    <cellStyle name="Normal 74 5 3 3" xfId="9540" xr:uid="{00000000-0005-0000-0000-000007210000}"/>
    <cellStyle name="Normal 74 5 4" xfId="5639" xr:uid="{00000000-0005-0000-0000-000008210000}"/>
    <cellStyle name="Normal 74 5 4 2" xfId="9541" xr:uid="{00000000-0005-0000-0000-000009210000}"/>
    <cellStyle name="Normal 74 5 5" xfId="9542" xr:uid="{00000000-0005-0000-0000-00000A210000}"/>
    <cellStyle name="Normal 74 6" xfId="5640" xr:uid="{00000000-0005-0000-0000-00000B210000}"/>
    <cellStyle name="Normal 74 6 2" xfId="5641" xr:uid="{00000000-0005-0000-0000-00000C210000}"/>
    <cellStyle name="Normal 74 6 2 2" xfId="5642" xr:uid="{00000000-0005-0000-0000-00000D210000}"/>
    <cellStyle name="Normal 74 6 2 2 2" xfId="9543" xr:uid="{00000000-0005-0000-0000-00000E210000}"/>
    <cellStyle name="Normal 74 6 2 3" xfId="9544" xr:uid="{00000000-0005-0000-0000-00000F210000}"/>
    <cellStyle name="Normal 74 6 3" xfId="5643" xr:uid="{00000000-0005-0000-0000-000010210000}"/>
    <cellStyle name="Normal 74 6 3 2" xfId="9545" xr:uid="{00000000-0005-0000-0000-000011210000}"/>
    <cellStyle name="Normal 74 6 4" xfId="9546" xr:uid="{00000000-0005-0000-0000-000012210000}"/>
    <cellStyle name="Normal 74 7" xfId="5644" xr:uid="{00000000-0005-0000-0000-000013210000}"/>
    <cellStyle name="Normal 74 7 2" xfId="5645" xr:uid="{00000000-0005-0000-0000-000014210000}"/>
    <cellStyle name="Normal 74 7 2 2" xfId="9547" xr:uid="{00000000-0005-0000-0000-000015210000}"/>
    <cellStyle name="Normal 74 7 3" xfId="9548" xr:uid="{00000000-0005-0000-0000-000016210000}"/>
    <cellStyle name="Normal 74 8" xfId="5646" xr:uid="{00000000-0005-0000-0000-000017210000}"/>
    <cellStyle name="Normal 74 8 2" xfId="9549" xr:uid="{00000000-0005-0000-0000-000018210000}"/>
    <cellStyle name="Normal 74 9" xfId="9550" xr:uid="{00000000-0005-0000-0000-000019210000}"/>
    <cellStyle name="Normal 75" xfId="5647" xr:uid="{00000000-0005-0000-0000-00001A210000}"/>
    <cellStyle name="Normal 75 2" xfId="5648" xr:uid="{00000000-0005-0000-0000-00001B210000}"/>
    <cellStyle name="Normal 75 2 2" xfId="5649" xr:uid="{00000000-0005-0000-0000-00001C210000}"/>
    <cellStyle name="Normal 75 3" xfId="5650" xr:uid="{00000000-0005-0000-0000-00001D210000}"/>
    <cellStyle name="Normal 75 3 2" xfId="5651" xr:uid="{00000000-0005-0000-0000-00001E210000}"/>
    <cellStyle name="Normal 75 3 2 2" xfId="5652" xr:uid="{00000000-0005-0000-0000-00001F210000}"/>
    <cellStyle name="Normal 75 3 2 2 2" xfId="5653" xr:uid="{00000000-0005-0000-0000-000020210000}"/>
    <cellStyle name="Normal 75 3 2 2 2 2" xfId="9551" xr:uid="{00000000-0005-0000-0000-000021210000}"/>
    <cellStyle name="Normal 75 3 2 2 3" xfId="9552" xr:uid="{00000000-0005-0000-0000-000022210000}"/>
    <cellStyle name="Normal 75 3 2 3" xfId="5654" xr:uid="{00000000-0005-0000-0000-000023210000}"/>
    <cellStyle name="Normal 75 3 2 3 2" xfId="9553" xr:uid="{00000000-0005-0000-0000-000024210000}"/>
    <cellStyle name="Normal 75 3 2 4" xfId="9554" xr:uid="{00000000-0005-0000-0000-000025210000}"/>
    <cellStyle name="Normal 75 3 3" xfId="5655" xr:uid="{00000000-0005-0000-0000-000026210000}"/>
    <cellStyle name="Normal 75 3 3 2" xfId="5656" xr:uid="{00000000-0005-0000-0000-000027210000}"/>
    <cellStyle name="Normal 75 3 3 2 2" xfId="9555" xr:uid="{00000000-0005-0000-0000-000028210000}"/>
    <cellStyle name="Normal 75 3 3 3" xfId="9556" xr:uid="{00000000-0005-0000-0000-000029210000}"/>
    <cellStyle name="Normal 75 3 4" xfId="5657" xr:uid="{00000000-0005-0000-0000-00002A210000}"/>
    <cellStyle name="Normal 75 3 4 2" xfId="9557" xr:uid="{00000000-0005-0000-0000-00002B210000}"/>
    <cellStyle name="Normal 75 3 5" xfId="5658" xr:uid="{00000000-0005-0000-0000-00002C210000}"/>
    <cellStyle name="Normal 75 4" xfId="5659" xr:uid="{00000000-0005-0000-0000-00002D210000}"/>
    <cellStyle name="Normal 75 4 2" xfId="5660" xr:uid="{00000000-0005-0000-0000-00002E210000}"/>
    <cellStyle name="Normal 75 4 2 2" xfId="5661" xr:uid="{00000000-0005-0000-0000-00002F210000}"/>
    <cellStyle name="Normal 75 4 2 2 2" xfId="5662" xr:uid="{00000000-0005-0000-0000-000030210000}"/>
    <cellStyle name="Normal 75 4 2 2 2 2" xfId="9558" xr:uid="{00000000-0005-0000-0000-000031210000}"/>
    <cellStyle name="Normal 75 4 2 2 3" xfId="9559" xr:uid="{00000000-0005-0000-0000-000032210000}"/>
    <cellStyle name="Normal 75 4 2 3" xfId="5663" xr:uid="{00000000-0005-0000-0000-000033210000}"/>
    <cellStyle name="Normal 75 4 2 3 2" xfId="9560" xr:uid="{00000000-0005-0000-0000-000034210000}"/>
    <cellStyle name="Normal 75 4 2 4" xfId="9561" xr:uid="{00000000-0005-0000-0000-000035210000}"/>
    <cellStyle name="Normal 75 4 3" xfId="5664" xr:uid="{00000000-0005-0000-0000-000036210000}"/>
    <cellStyle name="Normal 75 4 3 2" xfId="5665" xr:uid="{00000000-0005-0000-0000-000037210000}"/>
    <cellStyle name="Normal 75 4 3 2 2" xfId="9562" xr:uid="{00000000-0005-0000-0000-000038210000}"/>
    <cellStyle name="Normal 75 4 3 3" xfId="9563" xr:uid="{00000000-0005-0000-0000-000039210000}"/>
    <cellStyle name="Normal 75 4 4" xfId="5666" xr:uid="{00000000-0005-0000-0000-00003A210000}"/>
    <cellStyle name="Normal 75 4 4 2" xfId="9564" xr:uid="{00000000-0005-0000-0000-00003B210000}"/>
    <cellStyle name="Normal 75 4 5" xfId="9565" xr:uid="{00000000-0005-0000-0000-00003C210000}"/>
    <cellStyle name="Normal 75 5" xfId="5667" xr:uid="{00000000-0005-0000-0000-00003D210000}"/>
    <cellStyle name="Normal 75 5 2" xfId="5668" xr:uid="{00000000-0005-0000-0000-00003E210000}"/>
    <cellStyle name="Normal 75 5 2 2" xfId="5669" xr:uid="{00000000-0005-0000-0000-00003F210000}"/>
    <cellStyle name="Normal 75 5 2 2 2" xfId="5670" xr:uid="{00000000-0005-0000-0000-000040210000}"/>
    <cellStyle name="Normal 75 5 2 2 2 2" xfId="9566" xr:uid="{00000000-0005-0000-0000-000041210000}"/>
    <cellStyle name="Normal 75 5 2 2 3" xfId="9567" xr:uid="{00000000-0005-0000-0000-000042210000}"/>
    <cellStyle name="Normal 75 5 2 3" xfId="5671" xr:uid="{00000000-0005-0000-0000-000043210000}"/>
    <cellStyle name="Normal 75 5 2 3 2" xfId="9568" xr:uid="{00000000-0005-0000-0000-000044210000}"/>
    <cellStyle name="Normal 75 5 2 4" xfId="9569" xr:uid="{00000000-0005-0000-0000-000045210000}"/>
    <cellStyle name="Normal 75 5 3" xfId="5672" xr:uid="{00000000-0005-0000-0000-000046210000}"/>
    <cellStyle name="Normal 75 5 3 2" xfId="5673" xr:uid="{00000000-0005-0000-0000-000047210000}"/>
    <cellStyle name="Normal 75 5 3 2 2" xfId="9570" xr:uid="{00000000-0005-0000-0000-000048210000}"/>
    <cellStyle name="Normal 75 5 3 3" xfId="9571" xr:uid="{00000000-0005-0000-0000-000049210000}"/>
    <cellStyle name="Normal 75 5 4" xfId="5674" xr:uid="{00000000-0005-0000-0000-00004A210000}"/>
    <cellStyle name="Normal 75 5 4 2" xfId="9572" xr:uid="{00000000-0005-0000-0000-00004B210000}"/>
    <cellStyle name="Normal 75 5 5" xfId="9573" xr:uid="{00000000-0005-0000-0000-00004C210000}"/>
    <cellStyle name="Normal 75 6" xfId="5675" xr:uid="{00000000-0005-0000-0000-00004D210000}"/>
    <cellStyle name="Normal 75 6 2" xfId="5676" xr:uid="{00000000-0005-0000-0000-00004E210000}"/>
    <cellStyle name="Normal 75 6 2 2" xfId="5677" xr:uid="{00000000-0005-0000-0000-00004F210000}"/>
    <cellStyle name="Normal 75 6 2 2 2" xfId="9574" xr:uid="{00000000-0005-0000-0000-000050210000}"/>
    <cellStyle name="Normal 75 6 2 3" xfId="9575" xr:uid="{00000000-0005-0000-0000-000051210000}"/>
    <cellStyle name="Normal 75 6 3" xfId="5678" xr:uid="{00000000-0005-0000-0000-000052210000}"/>
    <cellStyle name="Normal 75 6 3 2" xfId="9576" xr:uid="{00000000-0005-0000-0000-000053210000}"/>
    <cellStyle name="Normal 75 6 4" xfId="9577" xr:uid="{00000000-0005-0000-0000-000054210000}"/>
    <cellStyle name="Normal 75 7" xfId="5679" xr:uid="{00000000-0005-0000-0000-000055210000}"/>
    <cellStyle name="Normal 75 7 2" xfId="5680" xr:uid="{00000000-0005-0000-0000-000056210000}"/>
    <cellStyle name="Normal 75 7 2 2" xfId="9578" xr:uid="{00000000-0005-0000-0000-000057210000}"/>
    <cellStyle name="Normal 75 7 3" xfId="9579" xr:uid="{00000000-0005-0000-0000-000058210000}"/>
    <cellStyle name="Normal 75 8" xfId="5681" xr:uid="{00000000-0005-0000-0000-000059210000}"/>
    <cellStyle name="Normal 75 8 2" xfId="9580" xr:uid="{00000000-0005-0000-0000-00005A210000}"/>
    <cellStyle name="Normal 75 9" xfId="9581" xr:uid="{00000000-0005-0000-0000-00005B210000}"/>
    <cellStyle name="Normal 76" xfId="5682" xr:uid="{00000000-0005-0000-0000-00005C210000}"/>
    <cellStyle name="Normal 76 2" xfId="5683" xr:uid="{00000000-0005-0000-0000-00005D210000}"/>
    <cellStyle name="Normal 76 2 2" xfId="5684" xr:uid="{00000000-0005-0000-0000-00005E210000}"/>
    <cellStyle name="Normal 76 3" xfId="5685" xr:uid="{00000000-0005-0000-0000-00005F210000}"/>
    <cellStyle name="Normal 76 3 2" xfId="5686" xr:uid="{00000000-0005-0000-0000-000060210000}"/>
    <cellStyle name="Normal 76 3 2 2" xfId="5687" xr:uid="{00000000-0005-0000-0000-000061210000}"/>
    <cellStyle name="Normal 76 3 2 2 2" xfId="5688" xr:uid="{00000000-0005-0000-0000-000062210000}"/>
    <cellStyle name="Normal 76 3 2 2 2 2" xfId="9582" xr:uid="{00000000-0005-0000-0000-000063210000}"/>
    <cellStyle name="Normal 76 3 2 2 3" xfId="9583" xr:uid="{00000000-0005-0000-0000-000064210000}"/>
    <cellStyle name="Normal 76 3 2 3" xfId="5689" xr:uid="{00000000-0005-0000-0000-000065210000}"/>
    <cellStyle name="Normal 76 3 2 3 2" xfId="9584" xr:uid="{00000000-0005-0000-0000-000066210000}"/>
    <cellStyle name="Normal 76 3 2 4" xfId="9585" xr:uid="{00000000-0005-0000-0000-000067210000}"/>
    <cellStyle name="Normal 76 3 3" xfId="5690" xr:uid="{00000000-0005-0000-0000-000068210000}"/>
    <cellStyle name="Normal 76 3 3 2" xfId="5691" xr:uid="{00000000-0005-0000-0000-000069210000}"/>
    <cellStyle name="Normal 76 3 3 2 2" xfId="9586" xr:uid="{00000000-0005-0000-0000-00006A210000}"/>
    <cellStyle name="Normal 76 3 3 3" xfId="9587" xr:uid="{00000000-0005-0000-0000-00006B210000}"/>
    <cellStyle name="Normal 76 3 4" xfId="5692" xr:uid="{00000000-0005-0000-0000-00006C210000}"/>
    <cellStyle name="Normal 76 3 4 2" xfId="9588" xr:uid="{00000000-0005-0000-0000-00006D210000}"/>
    <cellStyle name="Normal 76 3 5" xfId="5693" xr:uid="{00000000-0005-0000-0000-00006E210000}"/>
    <cellStyle name="Normal 76 4" xfId="5694" xr:uid="{00000000-0005-0000-0000-00006F210000}"/>
    <cellStyle name="Normal 76 4 2" xfId="5695" xr:uid="{00000000-0005-0000-0000-000070210000}"/>
    <cellStyle name="Normal 76 4 2 2" xfId="5696" xr:uid="{00000000-0005-0000-0000-000071210000}"/>
    <cellStyle name="Normal 76 4 2 2 2" xfId="5697" xr:uid="{00000000-0005-0000-0000-000072210000}"/>
    <cellStyle name="Normal 76 4 2 2 2 2" xfId="9589" xr:uid="{00000000-0005-0000-0000-000073210000}"/>
    <cellStyle name="Normal 76 4 2 2 3" xfId="9590" xr:uid="{00000000-0005-0000-0000-000074210000}"/>
    <cellStyle name="Normal 76 4 2 3" xfId="5698" xr:uid="{00000000-0005-0000-0000-000075210000}"/>
    <cellStyle name="Normal 76 4 2 3 2" xfId="9591" xr:uid="{00000000-0005-0000-0000-000076210000}"/>
    <cellStyle name="Normal 76 4 2 4" xfId="9592" xr:uid="{00000000-0005-0000-0000-000077210000}"/>
    <cellStyle name="Normal 76 4 3" xfId="5699" xr:uid="{00000000-0005-0000-0000-000078210000}"/>
    <cellStyle name="Normal 76 4 3 2" xfId="5700" xr:uid="{00000000-0005-0000-0000-000079210000}"/>
    <cellStyle name="Normal 76 4 3 2 2" xfId="9593" xr:uid="{00000000-0005-0000-0000-00007A210000}"/>
    <cellStyle name="Normal 76 4 3 3" xfId="9594" xr:uid="{00000000-0005-0000-0000-00007B210000}"/>
    <cellStyle name="Normal 76 4 4" xfId="5701" xr:uid="{00000000-0005-0000-0000-00007C210000}"/>
    <cellStyle name="Normal 76 4 4 2" xfId="9595" xr:uid="{00000000-0005-0000-0000-00007D210000}"/>
    <cellStyle name="Normal 76 4 5" xfId="9596" xr:uid="{00000000-0005-0000-0000-00007E210000}"/>
    <cellStyle name="Normal 76 5" xfId="5702" xr:uid="{00000000-0005-0000-0000-00007F210000}"/>
    <cellStyle name="Normal 76 5 2" xfId="5703" xr:uid="{00000000-0005-0000-0000-000080210000}"/>
    <cellStyle name="Normal 76 5 2 2" xfId="5704" xr:uid="{00000000-0005-0000-0000-000081210000}"/>
    <cellStyle name="Normal 76 5 2 2 2" xfId="5705" xr:uid="{00000000-0005-0000-0000-000082210000}"/>
    <cellStyle name="Normal 76 5 2 2 2 2" xfId="9597" xr:uid="{00000000-0005-0000-0000-000083210000}"/>
    <cellStyle name="Normal 76 5 2 2 3" xfId="9598" xr:uid="{00000000-0005-0000-0000-000084210000}"/>
    <cellStyle name="Normal 76 5 2 3" xfId="5706" xr:uid="{00000000-0005-0000-0000-000085210000}"/>
    <cellStyle name="Normal 76 5 2 3 2" xfId="9599" xr:uid="{00000000-0005-0000-0000-000086210000}"/>
    <cellStyle name="Normal 76 5 2 4" xfId="9600" xr:uid="{00000000-0005-0000-0000-000087210000}"/>
    <cellStyle name="Normal 76 5 3" xfId="5707" xr:uid="{00000000-0005-0000-0000-000088210000}"/>
    <cellStyle name="Normal 76 5 3 2" xfId="5708" xr:uid="{00000000-0005-0000-0000-000089210000}"/>
    <cellStyle name="Normal 76 5 3 2 2" xfId="9601" xr:uid="{00000000-0005-0000-0000-00008A210000}"/>
    <cellStyle name="Normal 76 5 3 3" xfId="9602" xr:uid="{00000000-0005-0000-0000-00008B210000}"/>
    <cellStyle name="Normal 76 5 4" xfId="5709" xr:uid="{00000000-0005-0000-0000-00008C210000}"/>
    <cellStyle name="Normal 76 5 4 2" xfId="9603" xr:uid="{00000000-0005-0000-0000-00008D210000}"/>
    <cellStyle name="Normal 76 5 5" xfId="9604" xr:uid="{00000000-0005-0000-0000-00008E210000}"/>
    <cellStyle name="Normal 76 6" xfId="5710" xr:uid="{00000000-0005-0000-0000-00008F210000}"/>
    <cellStyle name="Normal 76 6 2" xfId="5711" xr:uid="{00000000-0005-0000-0000-000090210000}"/>
    <cellStyle name="Normal 76 6 2 2" xfId="5712" xr:uid="{00000000-0005-0000-0000-000091210000}"/>
    <cellStyle name="Normal 76 6 2 2 2" xfId="9605" xr:uid="{00000000-0005-0000-0000-000092210000}"/>
    <cellStyle name="Normal 76 6 2 3" xfId="9606" xr:uid="{00000000-0005-0000-0000-000093210000}"/>
    <cellStyle name="Normal 76 6 3" xfId="5713" xr:uid="{00000000-0005-0000-0000-000094210000}"/>
    <cellStyle name="Normal 76 6 3 2" xfId="9607" xr:uid="{00000000-0005-0000-0000-000095210000}"/>
    <cellStyle name="Normal 76 6 4" xfId="9608" xr:uid="{00000000-0005-0000-0000-000096210000}"/>
    <cellStyle name="Normal 76 7" xfId="5714" xr:uid="{00000000-0005-0000-0000-000097210000}"/>
    <cellStyle name="Normal 76 7 2" xfId="5715" xr:uid="{00000000-0005-0000-0000-000098210000}"/>
    <cellStyle name="Normal 76 7 2 2" xfId="9609" xr:uid="{00000000-0005-0000-0000-000099210000}"/>
    <cellStyle name="Normal 76 7 3" xfId="9610" xr:uid="{00000000-0005-0000-0000-00009A210000}"/>
    <cellStyle name="Normal 76 8" xfId="5716" xr:uid="{00000000-0005-0000-0000-00009B210000}"/>
    <cellStyle name="Normal 76 8 2" xfId="9611" xr:uid="{00000000-0005-0000-0000-00009C210000}"/>
    <cellStyle name="Normal 76 9" xfId="9612" xr:uid="{00000000-0005-0000-0000-00009D210000}"/>
    <cellStyle name="Normal 77" xfId="5717" xr:uid="{00000000-0005-0000-0000-00009E210000}"/>
    <cellStyle name="Normal 77 2" xfId="5718" xr:uid="{00000000-0005-0000-0000-00009F210000}"/>
    <cellStyle name="Normal 77 2 2" xfId="5719" xr:uid="{00000000-0005-0000-0000-0000A0210000}"/>
    <cellStyle name="Normal 77 3" xfId="5720" xr:uid="{00000000-0005-0000-0000-0000A1210000}"/>
    <cellStyle name="Normal 77 3 2" xfId="5721" xr:uid="{00000000-0005-0000-0000-0000A2210000}"/>
    <cellStyle name="Normal 77 3 2 2" xfId="5722" xr:uid="{00000000-0005-0000-0000-0000A3210000}"/>
    <cellStyle name="Normal 77 3 2 2 2" xfId="5723" xr:uid="{00000000-0005-0000-0000-0000A4210000}"/>
    <cellStyle name="Normal 77 3 2 2 2 2" xfId="9613" xr:uid="{00000000-0005-0000-0000-0000A5210000}"/>
    <cellStyle name="Normal 77 3 2 2 3" xfId="9614" xr:uid="{00000000-0005-0000-0000-0000A6210000}"/>
    <cellStyle name="Normal 77 3 2 3" xfId="5724" xr:uid="{00000000-0005-0000-0000-0000A7210000}"/>
    <cellStyle name="Normal 77 3 2 3 2" xfId="9615" xr:uid="{00000000-0005-0000-0000-0000A8210000}"/>
    <cellStyle name="Normal 77 3 2 4" xfId="9616" xr:uid="{00000000-0005-0000-0000-0000A9210000}"/>
    <cellStyle name="Normal 77 3 3" xfId="5725" xr:uid="{00000000-0005-0000-0000-0000AA210000}"/>
    <cellStyle name="Normal 77 3 3 2" xfId="5726" xr:uid="{00000000-0005-0000-0000-0000AB210000}"/>
    <cellStyle name="Normal 77 3 3 2 2" xfId="9617" xr:uid="{00000000-0005-0000-0000-0000AC210000}"/>
    <cellStyle name="Normal 77 3 3 3" xfId="9618" xr:uid="{00000000-0005-0000-0000-0000AD210000}"/>
    <cellStyle name="Normal 77 3 4" xfId="5727" xr:uid="{00000000-0005-0000-0000-0000AE210000}"/>
    <cellStyle name="Normal 77 3 4 2" xfId="9619" xr:uid="{00000000-0005-0000-0000-0000AF210000}"/>
    <cellStyle name="Normal 77 3 5" xfId="5728" xr:uid="{00000000-0005-0000-0000-0000B0210000}"/>
    <cellStyle name="Normal 77 4" xfId="5729" xr:uid="{00000000-0005-0000-0000-0000B1210000}"/>
    <cellStyle name="Normal 77 4 2" xfId="5730" xr:uid="{00000000-0005-0000-0000-0000B2210000}"/>
    <cellStyle name="Normal 77 4 2 2" xfId="5731" xr:uid="{00000000-0005-0000-0000-0000B3210000}"/>
    <cellStyle name="Normal 77 4 2 2 2" xfId="5732" xr:uid="{00000000-0005-0000-0000-0000B4210000}"/>
    <cellStyle name="Normal 77 4 2 2 2 2" xfId="9620" xr:uid="{00000000-0005-0000-0000-0000B5210000}"/>
    <cellStyle name="Normal 77 4 2 2 3" xfId="9621" xr:uid="{00000000-0005-0000-0000-0000B6210000}"/>
    <cellStyle name="Normal 77 4 2 3" xfId="5733" xr:uid="{00000000-0005-0000-0000-0000B7210000}"/>
    <cellStyle name="Normal 77 4 2 3 2" xfId="9622" xr:uid="{00000000-0005-0000-0000-0000B8210000}"/>
    <cellStyle name="Normal 77 4 2 4" xfId="9623" xr:uid="{00000000-0005-0000-0000-0000B9210000}"/>
    <cellStyle name="Normal 77 4 3" xfId="5734" xr:uid="{00000000-0005-0000-0000-0000BA210000}"/>
    <cellStyle name="Normal 77 4 3 2" xfId="5735" xr:uid="{00000000-0005-0000-0000-0000BB210000}"/>
    <cellStyle name="Normal 77 4 3 2 2" xfId="9624" xr:uid="{00000000-0005-0000-0000-0000BC210000}"/>
    <cellStyle name="Normal 77 4 3 3" xfId="9625" xr:uid="{00000000-0005-0000-0000-0000BD210000}"/>
    <cellStyle name="Normal 77 4 4" xfId="5736" xr:uid="{00000000-0005-0000-0000-0000BE210000}"/>
    <cellStyle name="Normal 77 4 4 2" xfId="9626" xr:uid="{00000000-0005-0000-0000-0000BF210000}"/>
    <cellStyle name="Normal 77 4 5" xfId="9627" xr:uid="{00000000-0005-0000-0000-0000C0210000}"/>
    <cellStyle name="Normal 77 5" xfId="5737" xr:uid="{00000000-0005-0000-0000-0000C1210000}"/>
    <cellStyle name="Normal 77 5 2" xfId="5738" xr:uid="{00000000-0005-0000-0000-0000C2210000}"/>
    <cellStyle name="Normal 77 5 2 2" xfId="5739" xr:uid="{00000000-0005-0000-0000-0000C3210000}"/>
    <cellStyle name="Normal 77 5 2 2 2" xfId="5740" xr:uid="{00000000-0005-0000-0000-0000C4210000}"/>
    <cellStyle name="Normal 77 5 2 2 2 2" xfId="9628" xr:uid="{00000000-0005-0000-0000-0000C5210000}"/>
    <cellStyle name="Normal 77 5 2 2 3" xfId="9629" xr:uid="{00000000-0005-0000-0000-0000C6210000}"/>
    <cellStyle name="Normal 77 5 2 3" xfId="5741" xr:uid="{00000000-0005-0000-0000-0000C7210000}"/>
    <cellStyle name="Normal 77 5 2 3 2" xfId="9630" xr:uid="{00000000-0005-0000-0000-0000C8210000}"/>
    <cellStyle name="Normal 77 5 2 4" xfId="9631" xr:uid="{00000000-0005-0000-0000-0000C9210000}"/>
    <cellStyle name="Normal 77 5 3" xfId="5742" xr:uid="{00000000-0005-0000-0000-0000CA210000}"/>
    <cellStyle name="Normal 77 5 3 2" xfId="5743" xr:uid="{00000000-0005-0000-0000-0000CB210000}"/>
    <cellStyle name="Normal 77 5 3 2 2" xfId="9632" xr:uid="{00000000-0005-0000-0000-0000CC210000}"/>
    <cellStyle name="Normal 77 5 3 3" xfId="9633" xr:uid="{00000000-0005-0000-0000-0000CD210000}"/>
    <cellStyle name="Normal 77 5 4" xfId="5744" xr:uid="{00000000-0005-0000-0000-0000CE210000}"/>
    <cellStyle name="Normal 77 5 4 2" xfId="9634" xr:uid="{00000000-0005-0000-0000-0000CF210000}"/>
    <cellStyle name="Normal 77 5 5" xfId="9635" xr:uid="{00000000-0005-0000-0000-0000D0210000}"/>
    <cellStyle name="Normal 77 6" xfId="5745" xr:uid="{00000000-0005-0000-0000-0000D1210000}"/>
    <cellStyle name="Normal 77 6 2" xfId="5746" xr:uid="{00000000-0005-0000-0000-0000D2210000}"/>
    <cellStyle name="Normal 77 6 2 2" xfId="5747" xr:uid="{00000000-0005-0000-0000-0000D3210000}"/>
    <cellStyle name="Normal 77 6 2 2 2" xfId="9636" xr:uid="{00000000-0005-0000-0000-0000D4210000}"/>
    <cellStyle name="Normal 77 6 2 3" xfId="9637" xr:uid="{00000000-0005-0000-0000-0000D5210000}"/>
    <cellStyle name="Normal 77 6 3" xfId="5748" xr:uid="{00000000-0005-0000-0000-0000D6210000}"/>
    <cellStyle name="Normal 77 6 3 2" xfId="9638" xr:uid="{00000000-0005-0000-0000-0000D7210000}"/>
    <cellStyle name="Normal 77 6 4" xfId="9639" xr:uid="{00000000-0005-0000-0000-0000D8210000}"/>
    <cellStyle name="Normal 77 7" xfId="5749" xr:uid="{00000000-0005-0000-0000-0000D9210000}"/>
    <cellStyle name="Normal 77 7 2" xfId="5750" xr:uid="{00000000-0005-0000-0000-0000DA210000}"/>
    <cellStyle name="Normal 77 7 2 2" xfId="9640" xr:uid="{00000000-0005-0000-0000-0000DB210000}"/>
    <cellStyle name="Normal 77 7 3" xfId="9641" xr:uid="{00000000-0005-0000-0000-0000DC210000}"/>
    <cellStyle name="Normal 77 8" xfId="5751" xr:uid="{00000000-0005-0000-0000-0000DD210000}"/>
    <cellStyle name="Normal 77 8 2" xfId="9642" xr:uid="{00000000-0005-0000-0000-0000DE210000}"/>
    <cellStyle name="Normal 77 9" xfId="9643" xr:uid="{00000000-0005-0000-0000-0000DF210000}"/>
    <cellStyle name="Normal 78" xfId="5752" xr:uid="{00000000-0005-0000-0000-0000E0210000}"/>
    <cellStyle name="Normal 78 2" xfId="5753" xr:uid="{00000000-0005-0000-0000-0000E1210000}"/>
    <cellStyle name="Normal 78 2 2" xfId="5754" xr:uid="{00000000-0005-0000-0000-0000E2210000}"/>
    <cellStyle name="Normal 78 3" xfId="5755" xr:uid="{00000000-0005-0000-0000-0000E3210000}"/>
    <cellStyle name="Normal 78 3 2" xfId="5756" xr:uid="{00000000-0005-0000-0000-0000E4210000}"/>
    <cellStyle name="Normal 78 3 2 2" xfId="5757" xr:uid="{00000000-0005-0000-0000-0000E5210000}"/>
    <cellStyle name="Normal 78 3 2 2 2" xfId="5758" xr:uid="{00000000-0005-0000-0000-0000E6210000}"/>
    <cellStyle name="Normal 78 3 2 2 2 2" xfId="9644" xr:uid="{00000000-0005-0000-0000-0000E7210000}"/>
    <cellStyle name="Normal 78 3 2 2 3" xfId="9645" xr:uid="{00000000-0005-0000-0000-0000E8210000}"/>
    <cellStyle name="Normal 78 3 2 3" xfId="5759" xr:uid="{00000000-0005-0000-0000-0000E9210000}"/>
    <cellStyle name="Normal 78 3 2 3 2" xfId="9646" xr:uid="{00000000-0005-0000-0000-0000EA210000}"/>
    <cellStyle name="Normal 78 3 2 4" xfId="9647" xr:uid="{00000000-0005-0000-0000-0000EB210000}"/>
    <cellStyle name="Normal 78 3 3" xfId="5760" xr:uid="{00000000-0005-0000-0000-0000EC210000}"/>
    <cellStyle name="Normal 78 3 3 2" xfId="5761" xr:uid="{00000000-0005-0000-0000-0000ED210000}"/>
    <cellStyle name="Normal 78 3 3 2 2" xfId="9648" xr:uid="{00000000-0005-0000-0000-0000EE210000}"/>
    <cellStyle name="Normal 78 3 3 3" xfId="9649" xr:uid="{00000000-0005-0000-0000-0000EF210000}"/>
    <cellStyle name="Normal 78 3 4" xfId="5762" xr:uid="{00000000-0005-0000-0000-0000F0210000}"/>
    <cellStyle name="Normal 78 3 4 2" xfId="9650" xr:uid="{00000000-0005-0000-0000-0000F1210000}"/>
    <cellStyle name="Normal 78 3 5" xfId="5763" xr:uid="{00000000-0005-0000-0000-0000F2210000}"/>
    <cellStyle name="Normal 78 4" xfId="5764" xr:uid="{00000000-0005-0000-0000-0000F3210000}"/>
    <cellStyle name="Normal 78 4 2" xfId="5765" xr:uid="{00000000-0005-0000-0000-0000F4210000}"/>
    <cellStyle name="Normal 78 4 2 2" xfId="5766" xr:uid="{00000000-0005-0000-0000-0000F5210000}"/>
    <cellStyle name="Normal 78 4 2 2 2" xfId="5767" xr:uid="{00000000-0005-0000-0000-0000F6210000}"/>
    <cellStyle name="Normal 78 4 2 2 2 2" xfId="9651" xr:uid="{00000000-0005-0000-0000-0000F7210000}"/>
    <cellStyle name="Normal 78 4 2 2 3" xfId="9652" xr:uid="{00000000-0005-0000-0000-0000F8210000}"/>
    <cellStyle name="Normal 78 4 2 3" xfId="5768" xr:uid="{00000000-0005-0000-0000-0000F9210000}"/>
    <cellStyle name="Normal 78 4 2 3 2" xfId="9653" xr:uid="{00000000-0005-0000-0000-0000FA210000}"/>
    <cellStyle name="Normal 78 4 2 4" xfId="9654" xr:uid="{00000000-0005-0000-0000-0000FB210000}"/>
    <cellStyle name="Normal 78 4 3" xfId="5769" xr:uid="{00000000-0005-0000-0000-0000FC210000}"/>
    <cellStyle name="Normal 78 4 3 2" xfId="5770" xr:uid="{00000000-0005-0000-0000-0000FD210000}"/>
    <cellStyle name="Normal 78 4 3 2 2" xfId="9655" xr:uid="{00000000-0005-0000-0000-0000FE210000}"/>
    <cellStyle name="Normal 78 4 3 3" xfId="9656" xr:uid="{00000000-0005-0000-0000-0000FF210000}"/>
    <cellStyle name="Normal 78 4 4" xfId="5771" xr:uid="{00000000-0005-0000-0000-000000220000}"/>
    <cellStyle name="Normal 78 4 4 2" xfId="9657" xr:uid="{00000000-0005-0000-0000-000001220000}"/>
    <cellStyle name="Normal 78 4 5" xfId="9658" xr:uid="{00000000-0005-0000-0000-000002220000}"/>
    <cellStyle name="Normal 78 5" xfId="5772" xr:uid="{00000000-0005-0000-0000-000003220000}"/>
    <cellStyle name="Normal 78 5 2" xfId="5773" xr:uid="{00000000-0005-0000-0000-000004220000}"/>
    <cellStyle name="Normal 78 5 2 2" xfId="5774" xr:uid="{00000000-0005-0000-0000-000005220000}"/>
    <cellStyle name="Normal 78 5 2 2 2" xfId="5775" xr:uid="{00000000-0005-0000-0000-000006220000}"/>
    <cellStyle name="Normal 78 5 2 2 2 2" xfId="9659" xr:uid="{00000000-0005-0000-0000-000007220000}"/>
    <cellStyle name="Normal 78 5 2 2 3" xfId="9660" xr:uid="{00000000-0005-0000-0000-000008220000}"/>
    <cellStyle name="Normal 78 5 2 3" xfId="5776" xr:uid="{00000000-0005-0000-0000-000009220000}"/>
    <cellStyle name="Normal 78 5 2 3 2" xfId="9661" xr:uid="{00000000-0005-0000-0000-00000A220000}"/>
    <cellStyle name="Normal 78 5 2 4" xfId="9662" xr:uid="{00000000-0005-0000-0000-00000B220000}"/>
    <cellStyle name="Normal 78 5 3" xfId="5777" xr:uid="{00000000-0005-0000-0000-00000C220000}"/>
    <cellStyle name="Normal 78 5 3 2" xfId="5778" xr:uid="{00000000-0005-0000-0000-00000D220000}"/>
    <cellStyle name="Normal 78 5 3 2 2" xfId="9663" xr:uid="{00000000-0005-0000-0000-00000E220000}"/>
    <cellStyle name="Normal 78 5 3 3" xfId="9664" xr:uid="{00000000-0005-0000-0000-00000F220000}"/>
    <cellStyle name="Normal 78 5 4" xfId="5779" xr:uid="{00000000-0005-0000-0000-000010220000}"/>
    <cellStyle name="Normal 78 5 4 2" xfId="9665" xr:uid="{00000000-0005-0000-0000-000011220000}"/>
    <cellStyle name="Normal 78 5 5" xfId="9666" xr:uid="{00000000-0005-0000-0000-000012220000}"/>
    <cellStyle name="Normal 78 6" xfId="5780" xr:uid="{00000000-0005-0000-0000-000013220000}"/>
    <cellStyle name="Normal 78 6 2" xfId="5781" xr:uid="{00000000-0005-0000-0000-000014220000}"/>
    <cellStyle name="Normal 78 6 2 2" xfId="5782" xr:uid="{00000000-0005-0000-0000-000015220000}"/>
    <cellStyle name="Normal 78 6 2 2 2" xfId="9667" xr:uid="{00000000-0005-0000-0000-000016220000}"/>
    <cellStyle name="Normal 78 6 2 3" xfId="9668" xr:uid="{00000000-0005-0000-0000-000017220000}"/>
    <cellStyle name="Normal 78 6 3" xfId="5783" xr:uid="{00000000-0005-0000-0000-000018220000}"/>
    <cellStyle name="Normal 78 6 3 2" xfId="9669" xr:uid="{00000000-0005-0000-0000-000019220000}"/>
    <cellStyle name="Normal 78 6 4" xfId="9670" xr:uid="{00000000-0005-0000-0000-00001A220000}"/>
    <cellStyle name="Normal 78 7" xfId="5784" xr:uid="{00000000-0005-0000-0000-00001B220000}"/>
    <cellStyle name="Normal 78 7 2" xfId="5785" xr:uid="{00000000-0005-0000-0000-00001C220000}"/>
    <cellStyle name="Normal 78 7 2 2" xfId="9671" xr:uid="{00000000-0005-0000-0000-00001D220000}"/>
    <cellStyle name="Normal 78 7 3" xfId="9672" xr:uid="{00000000-0005-0000-0000-00001E220000}"/>
    <cellStyle name="Normal 78 8" xfId="5786" xr:uid="{00000000-0005-0000-0000-00001F220000}"/>
    <cellStyle name="Normal 78 8 2" xfId="9673" xr:uid="{00000000-0005-0000-0000-000020220000}"/>
    <cellStyle name="Normal 78 9" xfId="9674" xr:uid="{00000000-0005-0000-0000-000021220000}"/>
    <cellStyle name="Normal 79" xfId="5787" xr:uid="{00000000-0005-0000-0000-000022220000}"/>
    <cellStyle name="Normal 79 2" xfId="5788" xr:uid="{00000000-0005-0000-0000-000023220000}"/>
    <cellStyle name="Normal 79 2 2" xfId="5789" xr:uid="{00000000-0005-0000-0000-000024220000}"/>
    <cellStyle name="Normal 79 3" xfId="5790" xr:uid="{00000000-0005-0000-0000-000025220000}"/>
    <cellStyle name="Normal 79 3 2" xfId="5791" xr:uid="{00000000-0005-0000-0000-000026220000}"/>
    <cellStyle name="Normal 79 3 2 2" xfId="5792" xr:uid="{00000000-0005-0000-0000-000027220000}"/>
    <cellStyle name="Normal 79 3 2 2 2" xfId="5793" xr:uid="{00000000-0005-0000-0000-000028220000}"/>
    <cellStyle name="Normal 79 3 2 2 2 2" xfId="9675" xr:uid="{00000000-0005-0000-0000-000029220000}"/>
    <cellStyle name="Normal 79 3 2 2 3" xfId="9676" xr:uid="{00000000-0005-0000-0000-00002A220000}"/>
    <cellStyle name="Normal 79 3 2 3" xfId="5794" xr:uid="{00000000-0005-0000-0000-00002B220000}"/>
    <cellStyle name="Normal 79 3 2 3 2" xfId="9677" xr:uid="{00000000-0005-0000-0000-00002C220000}"/>
    <cellStyle name="Normal 79 3 2 4" xfId="9678" xr:uid="{00000000-0005-0000-0000-00002D220000}"/>
    <cellStyle name="Normal 79 3 3" xfId="5795" xr:uid="{00000000-0005-0000-0000-00002E220000}"/>
    <cellStyle name="Normal 79 3 3 2" xfId="5796" xr:uid="{00000000-0005-0000-0000-00002F220000}"/>
    <cellStyle name="Normal 79 3 3 2 2" xfId="9679" xr:uid="{00000000-0005-0000-0000-000030220000}"/>
    <cellStyle name="Normal 79 3 3 3" xfId="9680" xr:uid="{00000000-0005-0000-0000-000031220000}"/>
    <cellStyle name="Normal 79 3 4" xfId="5797" xr:uid="{00000000-0005-0000-0000-000032220000}"/>
    <cellStyle name="Normal 79 3 4 2" xfId="9681" xr:uid="{00000000-0005-0000-0000-000033220000}"/>
    <cellStyle name="Normal 79 3 5" xfId="5798" xr:uid="{00000000-0005-0000-0000-000034220000}"/>
    <cellStyle name="Normal 79 4" xfId="5799" xr:uid="{00000000-0005-0000-0000-000035220000}"/>
    <cellStyle name="Normal 79 4 2" xfId="5800" xr:uid="{00000000-0005-0000-0000-000036220000}"/>
    <cellStyle name="Normal 79 4 2 2" xfId="5801" xr:uid="{00000000-0005-0000-0000-000037220000}"/>
    <cellStyle name="Normal 79 4 2 2 2" xfId="5802" xr:uid="{00000000-0005-0000-0000-000038220000}"/>
    <cellStyle name="Normal 79 4 2 2 2 2" xfId="9682" xr:uid="{00000000-0005-0000-0000-000039220000}"/>
    <cellStyle name="Normal 79 4 2 2 3" xfId="9683" xr:uid="{00000000-0005-0000-0000-00003A220000}"/>
    <cellStyle name="Normal 79 4 2 3" xfId="5803" xr:uid="{00000000-0005-0000-0000-00003B220000}"/>
    <cellStyle name="Normal 79 4 2 3 2" xfId="9684" xr:uid="{00000000-0005-0000-0000-00003C220000}"/>
    <cellStyle name="Normal 79 4 2 4" xfId="9685" xr:uid="{00000000-0005-0000-0000-00003D220000}"/>
    <cellStyle name="Normal 79 4 3" xfId="5804" xr:uid="{00000000-0005-0000-0000-00003E220000}"/>
    <cellStyle name="Normal 79 4 3 2" xfId="5805" xr:uid="{00000000-0005-0000-0000-00003F220000}"/>
    <cellStyle name="Normal 79 4 3 2 2" xfId="9686" xr:uid="{00000000-0005-0000-0000-000040220000}"/>
    <cellStyle name="Normal 79 4 3 3" xfId="9687" xr:uid="{00000000-0005-0000-0000-000041220000}"/>
    <cellStyle name="Normal 79 4 4" xfId="5806" xr:uid="{00000000-0005-0000-0000-000042220000}"/>
    <cellStyle name="Normal 79 4 4 2" xfId="9688" xr:uid="{00000000-0005-0000-0000-000043220000}"/>
    <cellStyle name="Normal 79 4 5" xfId="9689" xr:uid="{00000000-0005-0000-0000-000044220000}"/>
    <cellStyle name="Normal 79 5" xfId="5807" xr:uid="{00000000-0005-0000-0000-000045220000}"/>
    <cellStyle name="Normal 79 5 2" xfId="5808" xr:uid="{00000000-0005-0000-0000-000046220000}"/>
    <cellStyle name="Normal 79 5 2 2" xfId="5809" xr:uid="{00000000-0005-0000-0000-000047220000}"/>
    <cellStyle name="Normal 79 5 2 2 2" xfId="5810" xr:uid="{00000000-0005-0000-0000-000048220000}"/>
    <cellStyle name="Normal 79 5 2 2 2 2" xfId="9690" xr:uid="{00000000-0005-0000-0000-000049220000}"/>
    <cellStyle name="Normal 79 5 2 2 3" xfId="9691" xr:uid="{00000000-0005-0000-0000-00004A220000}"/>
    <cellStyle name="Normal 79 5 2 3" xfId="5811" xr:uid="{00000000-0005-0000-0000-00004B220000}"/>
    <cellStyle name="Normal 79 5 2 3 2" xfId="9692" xr:uid="{00000000-0005-0000-0000-00004C220000}"/>
    <cellStyle name="Normal 79 5 2 4" xfId="9693" xr:uid="{00000000-0005-0000-0000-00004D220000}"/>
    <cellStyle name="Normal 79 5 3" xfId="5812" xr:uid="{00000000-0005-0000-0000-00004E220000}"/>
    <cellStyle name="Normal 79 5 3 2" xfId="5813" xr:uid="{00000000-0005-0000-0000-00004F220000}"/>
    <cellStyle name="Normal 79 5 3 2 2" xfId="9694" xr:uid="{00000000-0005-0000-0000-000050220000}"/>
    <cellStyle name="Normal 79 5 3 3" xfId="9695" xr:uid="{00000000-0005-0000-0000-000051220000}"/>
    <cellStyle name="Normal 79 5 4" xfId="5814" xr:uid="{00000000-0005-0000-0000-000052220000}"/>
    <cellStyle name="Normal 79 5 4 2" xfId="9696" xr:uid="{00000000-0005-0000-0000-000053220000}"/>
    <cellStyle name="Normal 79 5 5" xfId="9697" xr:uid="{00000000-0005-0000-0000-000054220000}"/>
    <cellStyle name="Normal 79 6" xfId="5815" xr:uid="{00000000-0005-0000-0000-000055220000}"/>
    <cellStyle name="Normal 79 6 2" xfId="5816" xr:uid="{00000000-0005-0000-0000-000056220000}"/>
    <cellStyle name="Normal 79 6 2 2" xfId="5817" xr:uid="{00000000-0005-0000-0000-000057220000}"/>
    <cellStyle name="Normal 79 6 2 2 2" xfId="9698" xr:uid="{00000000-0005-0000-0000-000058220000}"/>
    <cellStyle name="Normal 79 6 2 3" xfId="9699" xr:uid="{00000000-0005-0000-0000-000059220000}"/>
    <cellStyle name="Normal 79 6 3" xfId="5818" xr:uid="{00000000-0005-0000-0000-00005A220000}"/>
    <cellStyle name="Normal 79 6 3 2" xfId="9700" xr:uid="{00000000-0005-0000-0000-00005B220000}"/>
    <cellStyle name="Normal 79 6 4" xfId="9701" xr:uid="{00000000-0005-0000-0000-00005C220000}"/>
    <cellStyle name="Normal 79 7" xfId="5819" xr:uid="{00000000-0005-0000-0000-00005D220000}"/>
    <cellStyle name="Normal 79 7 2" xfId="5820" xr:uid="{00000000-0005-0000-0000-00005E220000}"/>
    <cellStyle name="Normal 79 7 2 2" xfId="9702" xr:uid="{00000000-0005-0000-0000-00005F220000}"/>
    <cellStyle name="Normal 79 7 3" xfId="9703" xr:uid="{00000000-0005-0000-0000-000060220000}"/>
    <cellStyle name="Normal 79 8" xfId="5821" xr:uid="{00000000-0005-0000-0000-000061220000}"/>
    <cellStyle name="Normal 79 8 2" xfId="9704" xr:uid="{00000000-0005-0000-0000-000062220000}"/>
    <cellStyle name="Normal 79 9" xfId="9705" xr:uid="{00000000-0005-0000-0000-000063220000}"/>
    <cellStyle name="Normal 8" xfId="16" xr:uid="{00000000-0005-0000-0000-000064220000}"/>
    <cellStyle name="Normal 8 2" xfId="19" xr:uid="{00000000-0005-0000-0000-000065220000}"/>
    <cellStyle name="Normal 8 2 2" xfId="295" xr:uid="{00000000-0005-0000-0000-000066220000}"/>
    <cellStyle name="Normal 8 2 2 2" xfId="5822" xr:uid="{00000000-0005-0000-0000-000067220000}"/>
    <cellStyle name="Normal 8 2 3" xfId="294" xr:uid="{00000000-0005-0000-0000-000068220000}"/>
    <cellStyle name="Normal 8 3" xfId="296" xr:uid="{00000000-0005-0000-0000-000069220000}"/>
    <cellStyle name="Normal 8 3 2" xfId="5824" xr:uid="{00000000-0005-0000-0000-00006A220000}"/>
    <cellStyle name="Normal 8 3 2 2" xfId="5825" xr:uid="{00000000-0005-0000-0000-00006B220000}"/>
    <cellStyle name="Normal 8 3 2 2 2" xfId="5826" xr:uid="{00000000-0005-0000-0000-00006C220000}"/>
    <cellStyle name="Normal 8 3 2 2 2 2" xfId="9706" xr:uid="{00000000-0005-0000-0000-00006D220000}"/>
    <cellStyle name="Normal 8 3 2 2 3" xfId="9707" xr:uid="{00000000-0005-0000-0000-00006E220000}"/>
    <cellStyle name="Normal 8 3 2 3" xfId="5827" xr:uid="{00000000-0005-0000-0000-00006F220000}"/>
    <cellStyle name="Normal 8 3 2 3 2" xfId="9708" xr:uid="{00000000-0005-0000-0000-000070220000}"/>
    <cellStyle name="Normal 8 3 2 4" xfId="9709" xr:uid="{00000000-0005-0000-0000-000071220000}"/>
    <cellStyle name="Normal 8 3 3" xfId="5828" xr:uid="{00000000-0005-0000-0000-000072220000}"/>
    <cellStyle name="Normal 8 3 3 2" xfId="5829" xr:uid="{00000000-0005-0000-0000-000073220000}"/>
    <cellStyle name="Normal 8 3 3 2 2" xfId="9710" xr:uid="{00000000-0005-0000-0000-000074220000}"/>
    <cellStyle name="Normal 8 3 3 3" xfId="9711" xr:uid="{00000000-0005-0000-0000-000075220000}"/>
    <cellStyle name="Normal 8 3 4" xfId="5830" xr:uid="{00000000-0005-0000-0000-000076220000}"/>
    <cellStyle name="Normal 8 3 4 2" xfId="9712" xr:uid="{00000000-0005-0000-0000-000077220000}"/>
    <cellStyle name="Normal 8 3 5" xfId="5831" xr:uid="{00000000-0005-0000-0000-000078220000}"/>
    <cellStyle name="Normal 8 3 6" xfId="5823" xr:uid="{00000000-0005-0000-0000-000079220000}"/>
    <cellStyle name="Normal 8 4" xfId="293" xr:uid="{00000000-0005-0000-0000-00007A220000}"/>
    <cellStyle name="Normal 8 4 2" xfId="5832" xr:uid="{00000000-0005-0000-0000-00007B220000}"/>
    <cellStyle name="Normal 8 4 2 2" xfId="5833" xr:uid="{00000000-0005-0000-0000-00007C220000}"/>
    <cellStyle name="Normal 8 4 2 2 2" xfId="5834" xr:uid="{00000000-0005-0000-0000-00007D220000}"/>
    <cellStyle name="Normal 8 4 2 2 2 2" xfId="9713" xr:uid="{00000000-0005-0000-0000-00007E220000}"/>
    <cellStyle name="Normal 8 4 2 2 3" xfId="9714" xr:uid="{00000000-0005-0000-0000-00007F220000}"/>
    <cellStyle name="Normal 8 4 2 3" xfId="5835" xr:uid="{00000000-0005-0000-0000-000080220000}"/>
    <cellStyle name="Normal 8 4 2 3 2" xfId="9715" xr:uid="{00000000-0005-0000-0000-000081220000}"/>
    <cellStyle name="Normal 8 4 2 4" xfId="9716" xr:uid="{00000000-0005-0000-0000-000082220000}"/>
    <cellStyle name="Normal 8 4 3" xfId="5836" xr:uid="{00000000-0005-0000-0000-000083220000}"/>
    <cellStyle name="Normal 8 4 3 2" xfId="5837" xr:uid="{00000000-0005-0000-0000-000084220000}"/>
    <cellStyle name="Normal 8 4 3 2 2" xfId="9717" xr:uid="{00000000-0005-0000-0000-000085220000}"/>
    <cellStyle name="Normal 8 4 3 3" xfId="9718" xr:uid="{00000000-0005-0000-0000-000086220000}"/>
    <cellStyle name="Normal 8 4 4" xfId="5838" xr:uid="{00000000-0005-0000-0000-000087220000}"/>
    <cellStyle name="Normal 8 4 4 2" xfId="9719" xr:uid="{00000000-0005-0000-0000-000088220000}"/>
    <cellStyle name="Normal 8 4 5" xfId="9720" xr:uid="{00000000-0005-0000-0000-000089220000}"/>
    <cellStyle name="Normal 8 5" xfId="389" xr:uid="{00000000-0005-0000-0000-00008A220000}"/>
    <cellStyle name="Normal 8 5 2" xfId="5840" xr:uid="{00000000-0005-0000-0000-00008B220000}"/>
    <cellStyle name="Normal 8 5 2 2" xfId="5841" xr:uid="{00000000-0005-0000-0000-00008C220000}"/>
    <cellStyle name="Normal 8 5 2 2 2" xfId="5842" xr:uid="{00000000-0005-0000-0000-00008D220000}"/>
    <cellStyle name="Normal 8 5 2 2 2 2" xfId="9721" xr:uid="{00000000-0005-0000-0000-00008E220000}"/>
    <cellStyle name="Normal 8 5 2 2 3" xfId="9722" xr:uid="{00000000-0005-0000-0000-00008F220000}"/>
    <cellStyle name="Normal 8 5 2 3" xfId="5843" xr:uid="{00000000-0005-0000-0000-000090220000}"/>
    <cellStyle name="Normal 8 5 2 3 2" xfId="9723" xr:uid="{00000000-0005-0000-0000-000091220000}"/>
    <cellStyle name="Normal 8 5 2 4" xfId="9724" xr:uid="{00000000-0005-0000-0000-000092220000}"/>
    <cellStyle name="Normal 8 5 3" xfId="5844" xr:uid="{00000000-0005-0000-0000-000093220000}"/>
    <cellStyle name="Normal 8 5 3 2" xfId="5845" xr:uid="{00000000-0005-0000-0000-000094220000}"/>
    <cellStyle name="Normal 8 5 3 2 2" xfId="9725" xr:uid="{00000000-0005-0000-0000-000095220000}"/>
    <cellStyle name="Normal 8 5 3 3" xfId="9726" xr:uid="{00000000-0005-0000-0000-000096220000}"/>
    <cellStyle name="Normal 8 5 4" xfId="5846" xr:uid="{00000000-0005-0000-0000-000097220000}"/>
    <cellStyle name="Normal 8 5 4 2" xfId="9727" xr:uid="{00000000-0005-0000-0000-000098220000}"/>
    <cellStyle name="Normal 8 5 5" xfId="9728" xr:uid="{00000000-0005-0000-0000-000099220000}"/>
    <cellStyle name="Normal 8 5 6" xfId="5839" xr:uid="{00000000-0005-0000-0000-00009A220000}"/>
    <cellStyle name="Normal 8 6" xfId="1728" xr:uid="{00000000-0005-0000-0000-00009B220000}"/>
    <cellStyle name="Normal 8 6 2" xfId="5848" xr:uid="{00000000-0005-0000-0000-00009C220000}"/>
    <cellStyle name="Normal 8 6 2 2" xfId="5849" xr:uid="{00000000-0005-0000-0000-00009D220000}"/>
    <cellStyle name="Normal 8 6 2 2 2" xfId="9729" xr:uid="{00000000-0005-0000-0000-00009E220000}"/>
    <cellStyle name="Normal 8 6 2 3" xfId="9730" xr:uid="{00000000-0005-0000-0000-00009F220000}"/>
    <cellStyle name="Normal 8 6 3" xfId="5850" xr:uid="{00000000-0005-0000-0000-0000A0220000}"/>
    <cellStyle name="Normal 8 6 3 2" xfId="9731" xr:uid="{00000000-0005-0000-0000-0000A1220000}"/>
    <cellStyle name="Normal 8 6 4" xfId="9732" xr:uid="{00000000-0005-0000-0000-0000A2220000}"/>
    <cellStyle name="Normal 8 6 5" xfId="5847" xr:uid="{00000000-0005-0000-0000-0000A3220000}"/>
    <cellStyle name="Normal 8 7" xfId="1684" xr:uid="{00000000-0005-0000-0000-0000A4220000}"/>
    <cellStyle name="Normal 8 7 2" xfId="5852" xr:uid="{00000000-0005-0000-0000-0000A5220000}"/>
    <cellStyle name="Normal 8 7 2 2" xfId="9733" xr:uid="{00000000-0005-0000-0000-0000A6220000}"/>
    <cellStyle name="Normal 8 7 3" xfId="9734" xr:uid="{00000000-0005-0000-0000-0000A7220000}"/>
    <cellStyle name="Normal 8 7 4" xfId="5851" xr:uid="{00000000-0005-0000-0000-0000A8220000}"/>
    <cellStyle name="Normal 8 8" xfId="5853" xr:uid="{00000000-0005-0000-0000-0000A9220000}"/>
    <cellStyle name="Normal 8 8 2" xfId="9735" xr:uid="{00000000-0005-0000-0000-0000AA220000}"/>
    <cellStyle name="Normal 8 9" xfId="9736" xr:uid="{00000000-0005-0000-0000-0000AB220000}"/>
    <cellStyle name="Normal 80" xfId="5854" xr:uid="{00000000-0005-0000-0000-0000AC220000}"/>
    <cellStyle name="Normal 80 2" xfId="5855" xr:uid="{00000000-0005-0000-0000-0000AD220000}"/>
    <cellStyle name="Normal 80 2 2" xfId="5856" xr:uid="{00000000-0005-0000-0000-0000AE220000}"/>
    <cellStyle name="Normal 80 3" xfId="5857" xr:uid="{00000000-0005-0000-0000-0000AF220000}"/>
    <cellStyle name="Normal 80 3 2" xfId="5858" xr:uid="{00000000-0005-0000-0000-0000B0220000}"/>
    <cellStyle name="Normal 80 3 2 2" xfId="5859" xr:uid="{00000000-0005-0000-0000-0000B1220000}"/>
    <cellStyle name="Normal 80 3 2 2 2" xfId="5860" xr:uid="{00000000-0005-0000-0000-0000B2220000}"/>
    <cellStyle name="Normal 80 3 2 2 2 2" xfId="9737" xr:uid="{00000000-0005-0000-0000-0000B3220000}"/>
    <cellStyle name="Normal 80 3 2 2 3" xfId="9738" xr:uid="{00000000-0005-0000-0000-0000B4220000}"/>
    <cellStyle name="Normal 80 3 2 3" xfId="5861" xr:uid="{00000000-0005-0000-0000-0000B5220000}"/>
    <cellStyle name="Normal 80 3 2 3 2" xfId="9739" xr:uid="{00000000-0005-0000-0000-0000B6220000}"/>
    <cellStyle name="Normal 80 3 2 4" xfId="9740" xr:uid="{00000000-0005-0000-0000-0000B7220000}"/>
    <cellStyle name="Normal 80 3 3" xfId="5862" xr:uid="{00000000-0005-0000-0000-0000B8220000}"/>
    <cellStyle name="Normal 80 3 3 2" xfId="5863" xr:uid="{00000000-0005-0000-0000-0000B9220000}"/>
    <cellStyle name="Normal 80 3 3 2 2" xfId="9741" xr:uid="{00000000-0005-0000-0000-0000BA220000}"/>
    <cellStyle name="Normal 80 3 3 3" xfId="9742" xr:uid="{00000000-0005-0000-0000-0000BB220000}"/>
    <cellStyle name="Normal 80 3 4" xfId="5864" xr:uid="{00000000-0005-0000-0000-0000BC220000}"/>
    <cellStyle name="Normal 80 3 4 2" xfId="9743" xr:uid="{00000000-0005-0000-0000-0000BD220000}"/>
    <cellStyle name="Normal 80 3 5" xfId="5865" xr:uid="{00000000-0005-0000-0000-0000BE220000}"/>
    <cellStyle name="Normal 80 4" xfId="5866" xr:uid="{00000000-0005-0000-0000-0000BF220000}"/>
    <cellStyle name="Normal 80 4 2" xfId="5867" xr:uid="{00000000-0005-0000-0000-0000C0220000}"/>
    <cellStyle name="Normal 80 4 2 2" xfId="5868" xr:uid="{00000000-0005-0000-0000-0000C1220000}"/>
    <cellStyle name="Normal 80 4 2 2 2" xfId="5869" xr:uid="{00000000-0005-0000-0000-0000C2220000}"/>
    <cellStyle name="Normal 80 4 2 2 2 2" xfId="9744" xr:uid="{00000000-0005-0000-0000-0000C3220000}"/>
    <cellStyle name="Normal 80 4 2 2 3" xfId="9745" xr:uid="{00000000-0005-0000-0000-0000C4220000}"/>
    <cellStyle name="Normal 80 4 2 3" xfId="5870" xr:uid="{00000000-0005-0000-0000-0000C5220000}"/>
    <cellStyle name="Normal 80 4 2 3 2" xfId="9746" xr:uid="{00000000-0005-0000-0000-0000C6220000}"/>
    <cellStyle name="Normal 80 4 2 4" xfId="9747" xr:uid="{00000000-0005-0000-0000-0000C7220000}"/>
    <cellStyle name="Normal 80 4 3" xfId="5871" xr:uid="{00000000-0005-0000-0000-0000C8220000}"/>
    <cellStyle name="Normal 80 4 3 2" xfId="5872" xr:uid="{00000000-0005-0000-0000-0000C9220000}"/>
    <cellStyle name="Normal 80 4 3 2 2" xfId="9748" xr:uid="{00000000-0005-0000-0000-0000CA220000}"/>
    <cellStyle name="Normal 80 4 3 3" xfId="9749" xr:uid="{00000000-0005-0000-0000-0000CB220000}"/>
    <cellStyle name="Normal 80 4 4" xfId="5873" xr:uid="{00000000-0005-0000-0000-0000CC220000}"/>
    <cellStyle name="Normal 80 4 4 2" xfId="9750" xr:uid="{00000000-0005-0000-0000-0000CD220000}"/>
    <cellStyle name="Normal 80 4 5" xfId="9751" xr:uid="{00000000-0005-0000-0000-0000CE220000}"/>
    <cellStyle name="Normal 80 5" xfId="5874" xr:uid="{00000000-0005-0000-0000-0000CF220000}"/>
    <cellStyle name="Normal 80 5 2" xfId="5875" xr:uid="{00000000-0005-0000-0000-0000D0220000}"/>
    <cellStyle name="Normal 80 5 2 2" xfId="5876" xr:uid="{00000000-0005-0000-0000-0000D1220000}"/>
    <cellStyle name="Normal 80 5 2 2 2" xfId="5877" xr:uid="{00000000-0005-0000-0000-0000D2220000}"/>
    <cellStyle name="Normal 80 5 2 2 2 2" xfId="9752" xr:uid="{00000000-0005-0000-0000-0000D3220000}"/>
    <cellStyle name="Normal 80 5 2 2 3" xfId="9753" xr:uid="{00000000-0005-0000-0000-0000D4220000}"/>
    <cellStyle name="Normal 80 5 2 3" xfId="5878" xr:uid="{00000000-0005-0000-0000-0000D5220000}"/>
    <cellStyle name="Normal 80 5 2 3 2" xfId="9754" xr:uid="{00000000-0005-0000-0000-0000D6220000}"/>
    <cellStyle name="Normal 80 5 2 4" xfId="9755" xr:uid="{00000000-0005-0000-0000-0000D7220000}"/>
    <cellStyle name="Normal 80 5 3" xfId="5879" xr:uid="{00000000-0005-0000-0000-0000D8220000}"/>
    <cellStyle name="Normal 80 5 3 2" xfId="5880" xr:uid="{00000000-0005-0000-0000-0000D9220000}"/>
    <cellStyle name="Normal 80 5 3 2 2" xfId="9756" xr:uid="{00000000-0005-0000-0000-0000DA220000}"/>
    <cellStyle name="Normal 80 5 3 3" xfId="9757" xr:uid="{00000000-0005-0000-0000-0000DB220000}"/>
    <cellStyle name="Normal 80 5 4" xfId="5881" xr:uid="{00000000-0005-0000-0000-0000DC220000}"/>
    <cellStyle name="Normal 80 5 4 2" xfId="9758" xr:uid="{00000000-0005-0000-0000-0000DD220000}"/>
    <cellStyle name="Normal 80 5 5" xfId="9759" xr:uid="{00000000-0005-0000-0000-0000DE220000}"/>
    <cellStyle name="Normal 80 6" xfId="5882" xr:uid="{00000000-0005-0000-0000-0000DF220000}"/>
    <cellStyle name="Normal 80 6 2" xfId="5883" xr:uid="{00000000-0005-0000-0000-0000E0220000}"/>
    <cellStyle name="Normal 80 6 2 2" xfId="5884" xr:uid="{00000000-0005-0000-0000-0000E1220000}"/>
    <cellStyle name="Normal 80 6 2 2 2" xfId="9760" xr:uid="{00000000-0005-0000-0000-0000E2220000}"/>
    <cellStyle name="Normal 80 6 2 3" xfId="9761" xr:uid="{00000000-0005-0000-0000-0000E3220000}"/>
    <cellStyle name="Normal 80 6 3" xfId="5885" xr:uid="{00000000-0005-0000-0000-0000E4220000}"/>
    <cellStyle name="Normal 80 6 3 2" xfId="9762" xr:uid="{00000000-0005-0000-0000-0000E5220000}"/>
    <cellStyle name="Normal 80 6 4" xfId="9763" xr:uid="{00000000-0005-0000-0000-0000E6220000}"/>
    <cellStyle name="Normal 80 7" xfId="5886" xr:uid="{00000000-0005-0000-0000-0000E7220000}"/>
    <cellStyle name="Normal 80 7 2" xfId="5887" xr:uid="{00000000-0005-0000-0000-0000E8220000}"/>
    <cellStyle name="Normal 80 7 2 2" xfId="9764" xr:uid="{00000000-0005-0000-0000-0000E9220000}"/>
    <cellStyle name="Normal 80 7 3" xfId="9765" xr:uid="{00000000-0005-0000-0000-0000EA220000}"/>
    <cellStyle name="Normal 80 8" xfId="5888" xr:uid="{00000000-0005-0000-0000-0000EB220000}"/>
    <cellStyle name="Normal 80 8 2" xfId="9766" xr:uid="{00000000-0005-0000-0000-0000EC220000}"/>
    <cellStyle name="Normal 80 9" xfId="9767" xr:uid="{00000000-0005-0000-0000-0000ED220000}"/>
    <cellStyle name="Normal 81" xfId="5889" xr:uid="{00000000-0005-0000-0000-0000EE220000}"/>
    <cellStyle name="Normal 81 2" xfId="5890" xr:uid="{00000000-0005-0000-0000-0000EF220000}"/>
    <cellStyle name="Normal 81 2 2" xfId="5891" xr:uid="{00000000-0005-0000-0000-0000F0220000}"/>
    <cellStyle name="Normal 81 3" xfId="5892" xr:uid="{00000000-0005-0000-0000-0000F1220000}"/>
    <cellStyle name="Normal 81 3 2" xfId="5893" xr:uid="{00000000-0005-0000-0000-0000F2220000}"/>
    <cellStyle name="Normal 81 3 2 2" xfId="5894" xr:uid="{00000000-0005-0000-0000-0000F3220000}"/>
    <cellStyle name="Normal 81 3 2 2 2" xfId="5895" xr:uid="{00000000-0005-0000-0000-0000F4220000}"/>
    <cellStyle name="Normal 81 3 2 2 2 2" xfId="9768" xr:uid="{00000000-0005-0000-0000-0000F5220000}"/>
    <cellStyle name="Normal 81 3 2 2 3" xfId="9769" xr:uid="{00000000-0005-0000-0000-0000F6220000}"/>
    <cellStyle name="Normal 81 3 2 3" xfId="5896" xr:uid="{00000000-0005-0000-0000-0000F7220000}"/>
    <cellStyle name="Normal 81 3 2 3 2" xfId="9770" xr:uid="{00000000-0005-0000-0000-0000F8220000}"/>
    <cellStyle name="Normal 81 3 2 4" xfId="9771" xr:uid="{00000000-0005-0000-0000-0000F9220000}"/>
    <cellStyle name="Normal 81 3 3" xfId="5897" xr:uid="{00000000-0005-0000-0000-0000FA220000}"/>
    <cellStyle name="Normal 81 3 3 2" xfId="5898" xr:uid="{00000000-0005-0000-0000-0000FB220000}"/>
    <cellStyle name="Normal 81 3 3 2 2" xfId="9772" xr:uid="{00000000-0005-0000-0000-0000FC220000}"/>
    <cellStyle name="Normal 81 3 3 3" xfId="9773" xr:uid="{00000000-0005-0000-0000-0000FD220000}"/>
    <cellStyle name="Normal 81 3 4" xfId="5899" xr:uid="{00000000-0005-0000-0000-0000FE220000}"/>
    <cellStyle name="Normal 81 3 4 2" xfId="9774" xr:uid="{00000000-0005-0000-0000-0000FF220000}"/>
    <cellStyle name="Normal 81 3 5" xfId="5900" xr:uid="{00000000-0005-0000-0000-000000230000}"/>
    <cellStyle name="Normal 81 4" xfId="5901" xr:uid="{00000000-0005-0000-0000-000001230000}"/>
    <cellStyle name="Normal 81 4 2" xfId="5902" xr:uid="{00000000-0005-0000-0000-000002230000}"/>
    <cellStyle name="Normal 81 4 2 2" xfId="5903" xr:uid="{00000000-0005-0000-0000-000003230000}"/>
    <cellStyle name="Normal 81 4 2 2 2" xfId="5904" xr:uid="{00000000-0005-0000-0000-000004230000}"/>
    <cellStyle name="Normal 81 4 2 2 2 2" xfId="9775" xr:uid="{00000000-0005-0000-0000-000005230000}"/>
    <cellStyle name="Normal 81 4 2 2 3" xfId="9776" xr:uid="{00000000-0005-0000-0000-000006230000}"/>
    <cellStyle name="Normal 81 4 2 3" xfId="5905" xr:uid="{00000000-0005-0000-0000-000007230000}"/>
    <cellStyle name="Normal 81 4 2 3 2" xfId="9777" xr:uid="{00000000-0005-0000-0000-000008230000}"/>
    <cellStyle name="Normal 81 4 2 4" xfId="9778" xr:uid="{00000000-0005-0000-0000-000009230000}"/>
    <cellStyle name="Normal 81 4 3" xfId="5906" xr:uid="{00000000-0005-0000-0000-00000A230000}"/>
    <cellStyle name="Normal 81 4 3 2" xfId="5907" xr:uid="{00000000-0005-0000-0000-00000B230000}"/>
    <cellStyle name="Normal 81 4 3 2 2" xfId="9779" xr:uid="{00000000-0005-0000-0000-00000C230000}"/>
    <cellStyle name="Normal 81 4 3 3" xfId="9780" xr:uid="{00000000-0005-0000-0000-00000D230000}"/>
    <cellStyle name="Normal 81 4 4" xfId="5908" xr:uid="{00000000-0005-0000-0000-00000E230000}"/>
    <cellStyle name="Normal 81 4 4 2" xfId="9781" xr:uid="{00000000-0005-0000-0000-00000F230000}"/>
    <cellStyle name="Normal 81 4 5" xfId="9782" xr:uid="{00000000-0005-0000-0000-000010230000}"/>
    <cellStyle name="Normal 81 5" xfId="5909" xr:uid="{00000000-0005-0000-0000-000011230000}"/>
    <cellStyle name="Normal 81 5 2" xfId="5910" xr:uid="{00000000-0005-0000-0000-000012230000}"/>
    <cellStyle name="Normal 81 5 2 2" xfId="5911" xr:uid="{00000000-0005-0000-0000-000013230000}"/>
    <cellStyle name="Normal 81 5 2 2 2" xfId="5912" xr:uid="{00000000-0005-0000-0000-000014230000}"/>
    <cellStyle name="Normal 81 5 2 2 2 2" xfId="9783" xr:uid="{00000000-0005-0000-0000-000015230000}"/>
    <cellStyle name="Normal 81 5 2 2 3" xfId="9784" xr:uid="{00000000-0005-0000-0000-000016230000}"/>
    <cellStyle name="Normal 81 5 2 3" xfId="5913" xr:uid="{00000000-0005-0000-0000-000017230000}"/>
    <cellStyle name="Normal 81 5 2 3 2" xfId="9785" xr:uid="{00000000-0005-0000-0000-000018230000}"/>
    <cellStyle name="Normal 81 5 2 4" xfId="9786" xr:uid="{00000000-0005-0000-0000-000019230000}"/>
    <cellStyle name="Normal 81 5 3" xfId="5914" xr:uid="{00000000-0005-0000-0000-00001A230000}"/>
    <cellStyle name="Normal 81 5 3 2" xfId="5915" xr:uid="{00000000-0005-0000-0000-00001B230000}"/>
    <cellStyle name="Normal 81 5 3 2 2" xfId="9787" xr:uid="{00000000-0005-0000-0000-00001C230000}"/>
    <cellStyle name="Normal 81 5 3 3" xfId="9788" xr:uid="{00000000-0005-0000-0000-00001D230000}"/>
    <cellStyle name="Normal 81 5 4" xfId="5916" xr:uid="{00000000-0005-0000-0000-00001E230000}"/>
    <cellStyle name="Normal 81 5 4 2" xfId="9789" xr:uid="{00000000-0005-0000-0000-00001F230000}"/>
    <cellStyle name="Normal 81 5 5" xfId="9790" xr:uid="{00000000-0005-0000-0000-000020230000}"/>
    <cellStyle name="Normal 81 6" xfId="5917" xr:uid="{00000000-0005-0000-0000-000021230000}"/>
    <cellStyle name="Normal 81 6 2" xfId="5918" xr:uid="{00000000-0005-0000-0000-000022230000}"/>
    <cellStyle name="Normal 81 6 2 2" xfId="5919" xr:uid="{00000000-0005-0000-0000-000023230000}"/>
    <cellStyle name="Normal 81 6 2 2 2" xfId="9791" xr:uid="{00000000-0005-0000-0000-000024230000}"/>
    <cellStyle name="Normal 81 6 2 3" xfId="9792" xr:uid="{00000000-0005-0000-0000-000025230000}"/>
    <cellStyle name="Normal 81 6 3" xfId="5920" xr:uid="{00000000-0005-0000-0000-000026230000}"/>
    <cellStyle name="Normal 81 6 3 2" xfId="9793" xr:uid="{00000000-0005-0000-0000-000027230000}"/>
    <cellStyle name="Normal 81 6 4" xfId="9794" xr:uid="{00000000-0005-0000-0000-000028230000}"/>
    <cellStyle name="Normal 81 7" xfId="5921" xr:uid="{00000000-0005-0000-0000-000029230000}"/>
    <cellStyle name="Normal 81 7 2" xfId="5922" xr:uid="{00000000-0005-0000-0000-00002A230000}"/>
    <cellStyle name="Normal 81 7 2 2" xfId="9795" xr:uid="{00000000-0005-0000-0000-00002B230000}"/>
    <cellStyle name="Normal 81 7 3" xfId="9796" xr:uid="{00000000-0005-0000-0000-00002C230000}"/>
    <cellStyle name="Normal 81 8" xfId="5923" xr:uid="{00000000-0005-0000-0000-00002D230000}"/>
    <cellStyle name="Normal 81 8 2" xfId="9797" xr:uid="{00000000-0005-0000-0000-00002E230000}"/>
    <cellStyle name="Normal 81 9" xfId="9798" xr:uid="{00000000-0005-0000-0000-00002F230000}"/>
    <cellStyle name="Normal 82" xfId="5924" xr:uid="{00000000-0005-0000-0000-000030230000}"/>
    <cellStyle name="Normal 82 2" xfId="5925" xr:uid="{00000000-0005-0000-0000-000031230000}"/>
    <cellStyle name="Normal 82 2 2" xfId="5926" xr:uid="{00000000-0005-0000-0000-000032230000}"/>
    <cellStyle name="Normal 82 3" xfId="5927" xr:uid="{00000000-0005-0000-0000-000033230000}"/>
    <cellStyle name="Normal 82 3 2" xfId="5928" xr:uid="{00000000-0005-0000-0000-000034230000}"/>
    <cellStyle name="Normal 82 3 2 2" xfId="5929" xr:uid="{00000000-0005-0000-0000-000035230000}"/>
    <cellStyle name="Normal 82 3 2 2 2" xfId="5930" xr:uid="{00000000-0005-0000-0000-000036230000}"/>
    <cellStyle name="Normal 82 3 2 2 2 2" xfId="9799" xr:uid="{00000000-0005-0000-0000-000037230000}"/>
    <cellStyle name="Normal 82 3 2 2 3" xfId="9800" xr:uid="{00000000-0005-0000-0000-000038230000}"/>
    <cellStyle name="Normal 82 3 2 3" xfId="5931" xr:uid="{00000000-0005-0000-0000-000039230000}"/>
    <cellStyle name="Normal 82 3 2 3 2" xfId="9801" xr:uid="{00000000-0005-0000-0000-00003A230000}"/>
    <cellStyle name="Normal 82 3 2 4" xfId="9802" xr:uid="{00000000-0005-0000-0000-00003B230000}"/>
    <cellStyle name="Normal 82 3 3" xfId="5932" xr:uid="{00000000-0005-0000-0000-00003C230000}"/>
    <cellStyle name="Normal 82 3 3 2" xfId="5933" xr:uid="{00000000-0005-0000-0000-00003D230000}"/>
    <cellStyle name="Normal 82 3 3 2 2" xfId="9803" xr:uid="{00000000-0005-0000-0000-00003E230000}"/>
    <cellStyle name="Normal 82 3 3 3" xfId="9804" xr:uid="{00000000-0005-0000-0000-00003F230000}"/>
    <cellStyle name="Normal 82 3 4" xfId="5934" xr:uid="{00000000-0005-0000-0000-000040230000}"/>
    <cellStyle name="Normal 82 3 4 2" xfId="9805" xr:uid="{00000000-0005-0000-0000-000041230000}"/>
    <cellStyle name="Normal 82 3 5" xfId="5935" xr:uid="{00000000-0005-0000-0000-000042230000}"/>
    <cellStyle name="Normal 82 4" xfId="5936" xr:uid="{00000000-0005-0000-0000-000043230000}"/>
    <cellStyle name="Normal 82 4 2" xfId="5937" xr:uid="{00000000-0005-0000-0000-000044230000}"/>
    <cellStyle name="Normal 82 4 2 2" xfId="5938" xr:uid="{00000000-0005-0000-0000-000045230000}"/>
    <cellStyle name="Normal 82 4 2 2 2" xfId="5939" xr:uid="{00000000-0005-0000-0000-000046230000}"/>
    <cellStyle name="Normal 82 4 2 2 2 2" xfId="9806" xr:uid="{00000000-0005-0000-0000-000047230000}"/>
    <cellStyle name="Normal 82 4 2 2 3" xfId="9807" xr:uid="{00000000-0005-0000-0000-000048230000}"/>
    <cellStyle name="Normal 82 4 2 3" xfId="5940" xr:uid="{00000000-0005-0000-0000-000049230000}"/>
    <cellStyle name="Normal 82 4 2 3 2" xfId="9808" xr:uid="{00000000-0005-0000-0000-00004A230000}"/>
    <cellStyle name="Normal 82 4 2 4" xfId="9809" xr:uid="{00000000-0005-0000-0000-00004B230000}"/>
    <cellStyle name="Normal 82 4 3" xfId="5941" xr:uid="{00000000-0005-0000-0000-00004C230000}"/>
    <cellStyle name="Normal 82 4 3 2" xfId="5942" xr:uid="{00000000-0005-0000-0000-00004D230000}"/>
    <cellStyle name="Normal 82 4 3 2 2" xfId="9810" xr:uid="{00000000-0005-0000-0000-00004E230000}"/>
    <cellStyle name="Normal 82 4 3 3" xfId="9811" xr:uid="{00000000-0005-0000-0000-00004F230000}"/>
    <cellStyle name="Normal 82 4 4" xfId="5943" xr:uid="{00000000-0005-0000-0000-000050230000}"/>
    <cellStyle name="Normal 82 4 4 2" xfId="9812" xr:uid="{00000000-0005-0000-0000-000051230000}"/>
    <cellStyle name="Normal 82 4 5" xfId="9813" xr:uid="{00000000-0005-0000-0000-000052230000}"/>
    <cellStyle name="Normal 82 5" xfId="5944" xr:uid="{00000000-0005-0000-0000-000053230000}"/>
    <cellStyle name="Normal 82 5 2" xfId="5945" xr:uid="{00000000-0005-0000-0000-000054230000}"/>
    <cellStyle name="Normal 82 5 2 2" xfId="5946" xr:uid="{00000000-0005-0000-0000-000055230000}"/>
    <cellStyle name="Normal 82 5 2 2 2" xfId="5947" xr:uid="{00000000-0005-0000-0000-000056230000}"/>
    <cellStyle name="Normal 82 5 2 2 2 2" xfId="9814" xr:uid="{00000000-0005-0000-0000-000057230000}"/>
    <cellStyle name="Normal 82 5 2 2 3" xfId="9815" xr:uid="{00000000-0005-0000-0000-000058230000}"/>
    <cellStyle name="Normal 82 5 2 3" xfId="5948" xr:uid="{00000000-0005-0000-0000-000059230000}"/>
    <cellStyle name="Normal 82 5 2 3 2" xfId="9816" xr:uid="{00000000-0005-0000-0000-00005A230000}"/>
    <cellStyle name="Normal 82 5 2 4" xfId="9817" xr:uid="{00000000-0005-0000-0000-00005B230000}"/>
    <cellStyle name="Normal 82 5 3" xfId="5949" xr:uid="{00000000-0005-0000-0000-00005C230000}"/>
    <cellStyle name="Normal 82 5 3 2" xfId="5950" xr:uid="{00000000-0005-0000-0000-00005D230000}"/>
    <cellStyle name="Normal 82 5 3 2 2" xfId="9818" xr:uid="{00000000-0005-0000-0000-00005E230000}"/>
    <cellStyle name="Normal 82 5 3 3" xfId="9819" xr:uid="{00000000-0005-0000-0000-00005F230000}"/>
    <cellStyle name="Normal 82 5 4" xfId="5951" xr:uid="{00000000-0005-0000-0000-000060230000}"/>
    <cellStyle name="Normal 82 5 4 2" xfId="9820" xr:uid="{00000000-0005-0000-0000-000061230000}"/>
    <cellStyle name="Normal 82 5 5" xfId="9821" xr:uid="{00000000-0005-0000-0000-000062230000}"/>
    <cellStyle name="Normal 82 6" xfId="5952" xr:uid="{00000000-0005-0000-0000-000063230000}"/>
    <cellStyle name="Normal 82 6 2" xfId="5953" xr:uid="{00000000-0005-0000-0000-000064230000}"/>
    <cellStyle name="Normal 82 6 2 2" xfId="5954" xr:uid="{00000000-0005-0000-0000-000065230000}"/>
    <cellStyle name="Normal 82 6 2 2 2" xfId="9822" xr:uid="{00000000-0005-0000-0000-000066230000}"/>
    <cellStyle name="Normal 82 6 2 3" xfId="9823" xr:uid="{00000000-0005-0000-0000-000067230000}"/>
    <cellStyle name="Normal 82 6 3" xfId="5955" xr:uid="{00000000-0005-0000-0000-000068230000}"/>
    <cellStyle name="Normal 82 6 3 2" xfId="9824" xr:uid="{00000000-0005-0000-0000-000069230000}"/>
    <cellStyle name="Normal 82 6 4" xfId="9825" xr:uid="{00000000-0005-0000-0000-00006A230000}"/>
    <cellStyle name="Normal 82 7" xfId="5956" xr:uid="{00000000-0005-0000-0000-00006B230000}"/>
    <cellStyle name="Normal 82 7 2" xfId="5957" xr:uid="{00000000-0005-0000-0000-00006C230000}"/>
    <cellStyle name="Normal 82 7 2 2" xfId="9826" xr:uid="{00000000-0005-0000-0000-00006D230000}"/>
    <cellStyle name="Normal 82 7 3" xfId="9827" xr:uid="{00000000-0005-0000-0000-00006E230000}"/>
    <cellStyle name="Normal 82 8" xfId="5958" xr:uid="{00000000-0005-0000-0000-00006F230000}"/>
    <cellStyle name="Normal 82 8 2" xfId="9828" xr:uid="{00000000-0005-0000-0000-000070230000}"/>
    <cellStyle name="Normal 82 9" xfId="9829" xr:uid="{00000000-0005-0000-0000-000071230000}"/>
    <cellStyle name="Normal 83" xfId="5959" xr:uid="{00000000-0005-0000-0000-000072230000}"/>
    <cellStyle name="Normal 83 2" xfId="5960" xr:uid="{00000000-0005-0000-0000-000073230000}"/>
    <cellStyle name="Normal 83 2 2" xfId="5961" xr:uid="{00000000-0005-0000-0000-000074230000}"/>
    <cellStyle name="Normal 83 3" xfId="5962" xr:uid="{00000000-0005-0000-0000-000075230000}"/>
    <cellStyle name="Normal 83 3 2" xfId="5963" xr:uid="{00000000-0005-0000-0000-000076230000}"/>
    <cellStyle name="Normal 83 3 2 2" xfId="5964" xr:uid="{00000000-0005-0000-0000-000077230000}"/>
    <cellStyle name="Normal 83 3 2 2 2" xfId="5965" xr:uid="{00000000-0005-0000-0000-000078230000}"/>
    <cellStyle name="Normal 83 3 2 2 2 2" xfId="9830" xr:uid="{00000000-0005-0000-0000-000079230000}"/>
    <cellStyle name="Normal 83 3 2 2 3" xfId="9831" xr:uid="{00000000-0005-0000-0000-00007A230000}"/>
    <cellStyle name="Normal 83 3 2 3" xfId="5966" xr:uid="{00000000-0005-0000-0000-00007B230000}"/>
    <cellStyle name="Normal 83 3 2 3 2" xfId="9832" xr:uid="{00000000-0005-0000-0000-00007C230000}"/>
    <cellStyle name="Normal 83 3 2 4" xfId="9833" xr:uid="{00000000-0005-0000-0000-00007D230000}"/>
    <cellStyle name="Normal 83 3 3" xfId="5967" xr:uid="{00000000-0005-0000-0000-00007E230000}"/>
    <cellStyle name="Normal 83 3 3 2" xfId="5968" xr:uid="{00000000-0005-0000-0000-00007F230000}"/>
    <cellStyle name="Normal 83 3 3 2 2" xfId="9834" xr:uid="{00000000-0005-0000-0000-000080230000}"/>
    <cellStyle name="Normal 83 3 3 3" xfId="9835" xr:uid="{00000000-0005-0000-0000-000081230000}"/>
    <cellStyle name="Normal 83 3 4" xfId="5969" xr:uid="{00000000-0005-0000-0000-000082230000}"/>
    <cellStyle name="Normal 83 3 4 2" xfId="9836" xr:uid="{00000000-0005-0000-0000-000083230000}"/>
    <cellStyle name="Normal 83 3 5" xfId="5970" xr:uid="{00000000-0005-0000-0000-000084230000}"/>
    <cellStyle name="Normal 83 4" xfId="5971" xr:uid="{00000000-0005-0000-0000-000085230000}"/>
    <cellStyle name="Normal 83 4 2" xfId="5972" xr:uid="{00000000-0005-0000-0000-000086230000}"/>
    <cellStyle name="Normal 83 4 2 2" xfId="5973" xr:uid="{00000000-0005-0000-0000-000087230000}"/>
    <cellStyle name="Normal 83 4 2 2 2" xfId="5974" xr:uid="{00000000-0005-0000-0000-000088230000}"/>
    <cellStyle name="Normal 83 4 2 2 2 2" xfId="9837" xr:uid="{00000000-0005-0000-0000-000089230000}"/>
    <cellStyle name="Normal 83 4 2 2 3" xfId="9838" xr:uid="{00000000-0005-0000-0000-00008A230000}"/>
    <cellStyle name="Normal 83 4 2 3" xfId="5975" xr:uid="{00000000-0005-0000-0000-00008B230000}"/>
    <cellStyle name="Normal 83 4 2 3 2" xfId="9839" xr:uid="{00000000-0005-0000-0000-00008C230000}"/>
    <cellStyle name="Normal 83 4 2 4" xfId="9840" xr:uid="{00000000-0005-0000-0000-00008D230000}"/>
    <cellStyle name="Normal 83 4 3" xfId="5976" xr:uid="{00000000-0005-0000-0000-00008E230000}"/>
    <cellStyle name="Normal 83 4 3 2" xfId="5977" xr:uid="{00000000-0005-0000-0000-00008F230000}"/>
    <cellStyle name="Normal 83 4 3 2 2" xfId="9841" xr:uid="{00000000-0005-0000-0000-000090230000}"/>
    <cellStyle name="Normal 83 4 3 3" xfId="9842" xr:uid="{00000000-0005-0000-0000-000091230000}"/>
    <cellStyle name="Normal 83 4 4" xfId="5978" xr:uid="{00000000-0005-0000-0000-000092230000}"/>
    <cellStyle name="Normal 83 4 4 2" xfId="9843" xr:uid="{00000000-0005-0000-0000-000093230000}"/>
    <cellStyle name="Normal 83 4 5" xfId="9844" xr:uid="{00000000-0005-0000-0000-000094230000}"/>
    <cellStyle name="Normal 83 5" xfId="5979" xr:uid="{00000000-0005-0000-0000-000095230000}"/>
    <cellStyle name="Normal 83 5 2" xfId="5980" xr:uid="{00000000-0005-0000-0000-000096230000}"/>
    <cellStyle name="Normal 83 5 2 2" xfId="5981" xr:uid="{00000000-0005-0000-0000-000097230000}"/>
    <cellStyle name="Normal 83 5 2 2 2" xfId="5982" xr:uid="{00000000-0005-0000-0000-000098230000}"/>
    <cellStyle name="Normal 83 5 2 2 2 2" xfId="9845" xr:uid="{00000000-0005-0000-0000-000099230000}"/>
    <cellStyle name="Normal 83 5 2 2 3" xfId="9846" xr:uid="{00000000-0005-0000-0000-00009A230000}"/>
    <cellStyle name="Normal 83 5 2 3" xfId="5983" xr:uid="{00000000-0005-0000-0000-00009B230000}"/>
    <cellStyle name="Normal 83 5 2 3 2" xfId="9847" xr:uid="{00000000-0005-0000-0000-00009C230000}"/>
    <cellStyle name="Normal 83 5 2 4" xfId="9848" xr:uid="{00000000-0005-0000-0000-00009D230000}"/>
    <cellStyle name="Normal 83 5 3" xfId="5984" xr:uid="{00000000-0005-0000-0000-00009E230000}"/>
    <cellStyle name="Normal 83 5 3 2" xfId="5985" xr:uid="{00000000-0005-0000-0000-00009F230000}"/>
    <cellStyle name="Normal 83 5 3 2 2" xfId="9849" xr:uid="{00000000-0005-0000-0000-0000A0230000}"/>
    <cellStyle name="Normal 83 5 3 3" xfId="9850" xr:uid="{00000000-0005-0000-0000-0000A1230000}"/>
    <cellStyle name="Normal 83 5 4" xfId="5986" xr:uid="{00000000-0005-0000-0000-0000A2230000}"/>
    <cellStyle name="Normal 83 5 4 2" xfId="9851" xr:uid="{00000000-0005-0000-0000-0000A3230000}"/>
    <cellStyle name="Normal 83 5 5" xfId="9852" xr:uid="{00000000-0005-0000-0000-0000A4230000}"/>
    <cellStyle name="Normal 83 6" xfId="5987" xr:uid="{00000000-0005-0000-0000-0000A5230000}"/>
    <cellStyle name="Normal 83 6 2" xfId="5988" xr:uid="{00000000-0005-0000-0000-0000A6230000}"/>
    <cellStyle name="Normal 83 6 2 2" xfId="5989" xr:uid="{00000000-0005-0000-0000-0000A7230000}"/>
    <cellStyle name="Normal 83 6 2 2 2" xfId="9853" xr:uid="{00000000-0005-0000-0000-0000A8230000}"/>
    <cellStyle name="Normal 83 6 2 3" xfId="9854" xr:uid="{00000000-0005-0000-0000-0000A9230000}"/>
    <cellStyle name="Normal 83 6 3" xfId="5990" xr:uid="{00000000-0005-0000-0000-0000AA230000}"/>
    <cellStyle name="Normal 83 6 3 2" xfId="9855" xr:uid="{00000000-0005-0000-0000-0000AB230000}"/>
    <cellStyle name="Normal 83 6 4" xfId="9856" xr:uid="{00000000-0005-0000-0000-0000AC230000}"/>
    <cellStyle name="Normal 83 7" xfId="5991" xr:uid="{00000000-0005-0000-0000-0000AD230000}"/>
    <cellStyle name="Normal 83 7 2" xfId="5992" xr:uid="{00000000-0005-0000-0000-0000AE230000}"/>
    <cellStyle name="Normal 83 7 2 2" xfId="9857" xr:uid="{00000000-0005-0000-0000-0000AF230000}"/>
    <cellStyle name="Normal 83 7 3" xfId="9858" xr:uid="{00000000-0005-0000-0000-0000B0230000}"/>
    <cellStyle name="Normal 83 8" xfId="5993" xr:uid="{00000000-0005-0000-0000-0000B1230000}"/>
    <cellStyle name="Normal 83 8 2" xfId="9859" xr:uid="{00000000-0005-0000-0000-0000B2230000}"/>
    <cellStyle name="Normal 83 9" xfId="9860" xr:uid="{00000000-0005-0000-0000-0000B3230000}"/>
    <cellStyle name="Normal 84" xfId="5994" xr:uid="{00000000-0005-0000-0000-0000B4230000}"/>
    <cellStyle name="Normal 84 2" xfId="5995" xr:uid="{00000000-0005-0000-0000-0000B5230000}"/>
    <cellStyle name="Normal 84 2 2" xfId="5996" xr:uid="{00000000-0005-0000-0000-0000B6230000}"/>
    <cellStyle name="Normal 84 3" xfId="5997" xr:uid="{00000000-0005-0000-0000-0000B7230000}"/>
    <cellStyle name="Normal 84 3 2" xfId="5998" xr:uid="{00000000-0005-0000-0000-0000B8230000}"/>
    <cellStyle name="Normal 84 3 2 2" xfId="5999" xr:uid="{00000000-0005-0000-0000-0000B9230000}"/>
    <cellStyle name="Normal 84 3 2 2 2" xfId="6000" xr:uid="{00000000-0005-0000-0000-0000BA230000}"/>
    <cellStyle name="Normal 84 3 2 2 2 2" xfId="9861" xr:uid="{00000000-0005-0000-0000-0000BB230000}"/>
    <cellStyle name="Normal 84 3 2 2 3" xfId="9862" xr:uid="{00000000-0005-0000-0000-0000BC230000}"/>
    <cellStyle name="Normal 84 3 2 3" xfId="6001" xr:uid="{00000000-0005-0000-0000-0000BD230000}"/>
    <cellStyle name="Normal 84 3 2 3 2" xfId="9863" xr:uid="{00000000-0005-0000-0000-0000BE230000}"/>
    <cellStyle name="Normal 84 3 2 4" xfId="9864" xr:uid="{00000000-0005-0000-0000-0000BF230000}"/>
    <cellStyle name="Normal 84 3 3" xfId="6002" xr:uid="{00000000-0005-0000-0000-0000C0230000}"/>
    <cellStyle name="Normal 84 3 3 2" xfId="6003" xr:uid="{00000000-0005-0000-0000-0000C1230000}"/>
    <cellStyle name="Normal 84 3 3 2 2" xfId="9865" xr:uid="{00000000-0005-0000-0000-0000C2230000}"/>
    <cellStyle name="Normal 84 3 3 3" xfId="9866" xr:uid="{00000000-0005-0000-0000-0000C3230000}"/>
    <cellStyle name="Normal 84 3 4" xfId="6004" xr:uid="{00000000-0005-0000-0000-0000C4230000}"/>
    <cellStyle name="Normal 84 3 4 2" xfId="9867" xr:uid="{00000000-0005-0000-0000-0000C5230000}"/>
    <cellStyle name="Normal 84 3 5" xfId="6005" xr:uid="{00000000-0005-0000-0000-0000C6230000}"/>
    <cellStyle name="Normal 84 4" xfId="6006" xr:uid="{00000000-0005-0000-0000-0000C7230000}"/>
    <cellStyle name="Normal 84 4 2" xfId="6007" xr:uid="{00000000-0005-0000-0000-0000C8230000}"/>
    <cellStyle name="Normal 84 4 2 2" xfId="6008" xr:uid="{00000000-0005-0000-0000-0000C9230000}"/>
    <cellStyle name="Normal 84 4 2 2 2" xfId="6009" xr:uid="{00000000-0005-0000-0000-0000CA230000}"/>
    <cellStyle name="Normal 84 4 2 2 2 2" xfId="9868" xr:uid="{00000000-0005-0000-0000-0000CB230000}"/>
    <cellStyle name="Normal 84 4 2 2 3" xfId="9869" xr:uid="{00000000-0005-0000-0000-0000CC230000}"/>
    <cellStyle name="Normal 84 4 2 3" xfId="6010" xr:uid="{00000000-0005-0000-0000-0000CD230000}"/>
    <cellStyle name="Normal 84 4 2 3 2" xfId="9870" xr:uid="{00000000-0005-0000-0000-0000CE230000}"/>
    <cellStyle name="Normal 84 4 2 4" xfId="9871" xr:uid="{00000000-0005-0000-0000-0000CF230000}"/>
    <cellStyle name="Normal 84 4 3" xfId="6011" xr:uid="{00000000-0005-0000-0000-0000D0230000}"/>
    <cellStyle name="Normal 84 4 3 2" xfId="6012" xr:uid="{00000000-0005-0000-0000-0000D1230000}"/>
    <cellStyle name="Normal 84 4 3 2 2" xfId="9872" xr:uid="{00000000-0005-0000-0000-0000D2230000}"/>
    <cellStyle name="Normal 84 4 3 3" xfId="9873" xr:uid="{00000000-0005-0000-0000-0000D3230000}"/>
    <cellStyle name="Normal 84 4 4" xfId="6013" xr:uid="{00000000-0005-0000-0000-0000D4230000}"/>
    <cellStyle name="Normal 84 4 4 2" xfId="9874" xr:uid="{00000000-0005-0000-0000-0000D5230000}"/>
    <cellStyle name="Normal 84 4 5" xfId="9875" xr:uid="{00000000-0005-0000-0000-0000D6230000}"/>
    <cellStyle name="Normal 84 5" xfId="6014" xr:uid="{00000000-0005-0000-0000-0000D7230000}"/>
    <cellStyle name="Normal 84 5 2" xfId="6015" xr:uid="{00000000-0005-0000-0000-0000D8230000}"/>
    <cellStyle name="Normal 84 5 2 2" xfId="6016" xr:uid="{00000000-0005-0000-0000-0000D9230000}"/>
    <cellStyle name="Normal 84 5 2 2 2" xfId="6017" xr:uid="{00000000-0005-0000-0000-0000DA230000}"/>
    <cellStyle name="Normal 84 5 2 2 2 2" xfId="9876" xr:uid="{00000000-0005-0000-0000-0000DB230000}"/>
    <cellStyle name="Normal 84 5 2 2 3" xfId="9877" xr:uid="{00000000-0005-0000-0000-0000DC230000}"/>
    <cellStyle name="Normal 84 5 2 3" xfId="6018" xr:uid="{00000000-0005-0000-0000-0000DD230000}"/>
    <cellStyle name="Normal 84 5 2 3 2" xfId="9878" xr:uid="{00000000-0005-0000-0000-0000DE230000}"/>
    <cellStyle name="Normal 84 5 2 4" xfId="9879" xr:uid="{00000000-0005-0000-0000-0000DF230000}"/>
    <cellStyle name="Normal 84 5 3" xfId="6019" xr:uid="{00000000-0005-0000-0000-0000E0230000}"/>
    <cellStyle name="Normal 84 5 3 2" xfId="6020" xr:uid="{00000000-0005-0000-0000-0000E1230000}"/>
    <cellStyle name="Normal 84 5 3 2 2" xfId="9880" xr:uid="{00000000-0005-0000-0000-0000E2230000}"/>
    <cellStyle name="Normal 84 5 3 3" xfId="9881" xr:uid="{00000000-0005-0000-0000-0000E3230000}"/>
    <cellStyle name="Normal 84 5 4" xfId="6021" xr:uid="{00000000-0005-0000-0000-0000E4230000}"/>
    <cellStyle name="Normal 84 5 4 2" xfId="9882" xr:uid="{00000000-0005-0000-0000-0000E5230000}"/>
    <cellStyle name="Normal 84 5 5" xfId="9883" xr:uid="{00000000-0005-0000-0000-0000E6230000}"/>
    <cellStyle name="Normal 84 6" xfId="6022" xr:uid="{00000000-0005-0000-0000-0000E7230000}"/>
    <cellStyle name="Normal 84 6 2" xfId="6023" xr:uid="{00000000-0005-0000-0000-0000E8230000}"/>
    <cellStyle name="Normal 84 6 2 2" xfId="6024" xr:uid="{00000000-0005-0000-0000-0000E9230000}"/>
    <cellStyle name="Normal 84 6 2 2 2" xfId="9884" xr:uid="{00000000-0005-0000-0000-0000EA230000}"/>
    <cellStyle name="Normal 84 6 2 3" xfId="9885" xr:uid="{00000000-0005-0000-0000-0000EB230000}"/>
    <cellStyle name="Normal 84 6 3" xfId="6025" xr:uid="{00000000-0005-0000-0000-0000EC230000}"/>
    <cellStyle name="Normal 84 6 3 2" xfId="9886" xr:uid="{00000000-0005-0000-0000-0000ED230000}"/>
    <cellStyle name="Normal 84 6 4" xfId="9887" xr:uid="{00000000-0005-0000-0000-0000EE230000}"/>
    <cellStyle name="Normal 84 7" xfId="6026" xr:uid="{00000000-0005-0000-0000-0000EF230000}"/>
    <cellStyle name="Normal 84 7 2" xfId="6027" xr:uid="{00000000-0005-0000-0000-0000F0230000}"/>
    <cellStyle name="Normal 84 7 2 2" xfId="9888" xr:uid="{00000000-0005-0000-0000-0000F1230000}"/>
    <cellStyle name="Normal 84 7 3" xfId="9889" xr:uid="{00000000-0005-0000-0000-0000F2230000}"/>
    <cellStyle name="Normal 84 8" xfId="6028" xr:uid="{00000000-0005-0000-0000-0000F3230000}"/>
    <cellStyle name="Normal 84 8 2" xfId="9890" xr:uid="{00000000-0005-0000-0000-0000F4230000}"/>
    <cellStyle name="Normal 84 9" xfId="9891" xr:uid="{00000000-0005-0000-0000-0000F5230000}"/>
    <cellStyle name="Normal 85" xfId="6029" xr:uid="{00000000-0005-0000-0000-0000F6230000}"/>
    <cellStyle name="Normal 85 2" xfId="6030" xr:uid="{00000000-0005-0000-0000-0000F7230000}"/>
    <cellStyle name="Normal 85 2 2" xfId="6031" xr:uid="{00000000-0005-0000-0000-0000F8230000}"/>
    <cellStyle name="Normal 85 3" xfId="6032" xr:uid="{00000000-0005-0000-0000-0000F9230000}"/>
    <cellStyle name="Normal 85 3 2" xfId="6033" xr:uid="{00000000-0005-0000-0000-0000FA230000}"/>
    <cellStyle name="Normal 85 3 2 2" xfId="6034" xr:uid="{00000000-0005-0000-0000-0000FB230000}"/>
    <cellStyle name="Normal 85 3 2 2 2" xfId="6035" xr:uid="{00000000-0005-0000-0000-0000FC230000}"/>
    <cellStyle name="Normal 85 3 2 2 2 2" xfId="9892" xr:uid="{00000000-0005-0000-0000-0000FD230000}"/>
    <cellStyle name="Normal 85 3 2 2 3" xfId="9893" xr:uid="{00000000-0005-0000-0000-0000FE230000}"/>
    <cellStyle name="Normal 85 3 2 3" xfId="6036" xr:uid="{00000000-0005-0000-0000-0000FF230000}"/>
    <cellStyle name="Normal 85 3 2 3 2" xfId="9894" xr:uid="{00000000-0005-0000-0000-000000240000}"/>
    <cellStyle name="Normal 85 3 2 4" xfId="9895" xr:uid="{00000000-0005-0000-0000-000001240000}"/>
    <cellStyle name="Normal 85 3 3" xfId="6037" xr:uid="{00000000-0005-0000-0000-000002240000}"/>
    <cellStyle name="Normal 85 3 3 2" xfId="6038" xr:uid="{00000000-0005-0000-0000-000003240000}"/>
    <cellStyle name="Normal 85 3 3 2 2" xfId="9896" xr:uid="{00000000-0005-0000-0000-000004240000}"/>
    <cellStyle name="Normal 85 3 3 3" xfId="9897" xr:uid="{00000000-0005-0000-0000-000005240000}"/>
    <cellStyle name="Normal 85 3 4" xfId="6039" xr:uid="{00000000-0005-0000-0000-000006240000}"/>
    <cellStyle name="Normal 85 3 4 2" xfId="9898" xr:uid="{00000000-0005-0000-0000-000007240000}"/>
    <cellStyle name="Normal 85 3 5" xfId="6040" xr:uid="{00000000-0005-0000-0000-000008240000}"/>
    <cellStyle name="Normal 85 4" xfId="6041" xr:uid="{00000000-0005-0000-0000-000009240000}"/>
    <cellStyle name="Normal 85 4 2" xfId="6042" xr:uid="{00000000-0005-0000-0000-00000A240000}"/>
    <cellStyle name="Normal 85 4 2 2" xfId="6043" xr:uid="{00000000-0005-0000-0000-00000B240000}"/>
    <cellStyle name="Normal 85 4 2 2 2" xfId="6044" xr:uid="{00000000-0005-0000-0000-00000C240000}"/>
    <cellStyle name="Normal 85 4 2 2 2 2" xfId="9899" xr:uid="{00000000-0005-0000-0000-00000D240000}"/>
    <cellStyle name="Normal 85 4 2 2 3" xfId="9900" xr:uid="{00000000-0005-0000-0000-00000E240000}"/>
    <cellStyle name="Normal 85 4 2 3" xfId="6045" xr:uid="{00000000-0005-0000-0000-00000F240000}"/>
    <cellStyle name="Normal 85 4 2 3 2" xfId="9901" xr:uid="{00000000-0005-0000-0000-000010240000}"/>
    <cellStyle name="Normal 85 4 2 4" xfId="9902" xr:uid="{00000000-0005-0000-0000-000011240000}"/>
    <cellStyle name="Normal 85 4 3" xfId="6046" xr:uid="{00000000-0005-0000-0000-000012240000}"/>
    <cellStyle name="Normal 85 4 3 2" xfId="6047" xr:uid="{00000000-0005-0000-0000-000013240000}"/>
    <cellStyle name="Normal 85 4 3 2 2" xfId="9903" xr:uid="{00000000-0005-0000-0000-000014240000}"/>
    <cellStyle name="Normal 85 4 3 3" xfId="9904" xr:uid="{00000000-0005-0000-0000-000015240000}"/>
    <cellStyle name="Normal 85 4 4" xfId="6048" xr:uid="{00000000-0005-0000-0000-000016240000}"/>
    <cellStyle name="Normal 85 4 4 2" xfId="9905" xr:uid="{00000000-0005-0000-0000-000017240000}"/>
    <cellStyle name="Normal 85 4 5" xfId="9906" xr:uid="{00000000-0005-0000-0000-000018240000}"/>
    <cellStyle name="Normal 85 5" xfId="6049" xr:uid="{00000000-0005-0000-0000-000019240000}"/>
    <cellStyle name="Normal 85 5 2" xfId="6050" xr:uid="{00000000-0005-0000-0000-00001A240000}"/>
    <cellStyle name="Normal 85 5 2 2" xfId="6051" xr:uid="{00000000-0005-0000-0000-00001B240000}"/>
    <cellStyle name="Normal 85 5 2 2 2" xfId="6052" xr:uid="{00000000-0005-0000-0000-00001C240000}"/>
    <cellStyle name="Normal 85 5 2 2 2 2" xfId="9907" xr:uid="{00000000-0005-0000-0000-00001D240000}"/>
    <cellStyle name="Normal 85 5 2 2 3" xfId="9908" xr:uid="{00000000-0005-0000-0000-00001E240000}"/>
    <cellStyle name="Normal 85 5 2 3" xfId="6053" xr:uid="{00000000-0005-0000-0000-00001F240000}"/>
    <cellStyle name="Normal 85 5 2 3 2" xfId="9909" xr:uid="{00000000-0005-0000-0000-000020240000}"/>
    <cellStyle name="Normal 85 5 2 4" xfId="9910" xr:uid="{00000000-0005-0000-0000-000021240000}"/>
    <cellStyle name="Normal 85 5 3" xfId="6054" xr:uid="{00000000-0005-0000-0000-000022240000}"/>
    <cellStyle name="Normal 85 5 3 2" xfId="6055" xr:uid="{00000000-0005-0000-0000-000023240000}"/>
    <cellStyle name="Normal 85 5 3 2 2" xfId="9911" xr:uid="{00000000-0005-0000-0000-000024240000}"/>
    <cellStyle name="Normal 85 5 3 3" xfId="9912" xr:uid="{00000000-0005-0000-0000-000025240000}"/>
    <cellStyle name="Normal 85 5 4" xfId="6056" xr:uid="{00000000-0005-0000-0000-000026240000}"/>
    <cellStyle name="Normal 85 5 4 2" xfId="9913" xr:uid="{00000000-0005-0000-0000-000027240000}"/>
    <cellStyle name="Normal 85 5 5" xfId="9914" xr:uid="{00000000-0005-0000-0000-000028240000}"/>
    <cellStyle name="Normal 85 6" xfId="6057" xr:uid="{00000000-0005-0000-0000-000029240000}"/>
    <cellStyle name="Normal 85 6 2" xfId="6058" xr:uid="{00000000-0005-0000-0000-00002A240000}"/>
    <cellStyle name="Normal 85 6 2 2" xfId="6059" xr:uid="{00000000-0005-0000-0000-00002B240000}"/>
    <cellStyle name="Normal 85 6 2 2 2" xfId="9915" xr:uid="{00000000-0005-0000-0000-00002C240000}"/>
    <cellStyle name="Normal 85 6 2 3" xfId="9916" xr:uid="{00000000-0005-0000-0000-00002D240000}"/>
    <cellStyle name="Normal 85 6 3" xfId="6060" xr:uid="{00000000-0005-0000-0000-00002E240000}"/>
    <cellStyle name="Normal 85 6 3 2" xfId="9917" xr:uid="{00000000-0005-0000-0000-00002F240000}"/>
    <cellStyle name="Normal 85 6 4" xfId="9918" xr:uid="{00000000-0005-0000-0000-000030240000}"/>
    <cellStyle name="Normal 85 7" xfId="6061" xr:uid="{00000000-0005-0000-0000-000031240000}"/>
    <cellStyle name="Normal 85 7 2" xfId="6062" xr:uid="{00000000-0005-0000-0000-000032240000}"/>
    <cellStyle name="Normal 85 7 2 2" xfId="9919" xr:uid="{00000000-0005-0000-0000-000033240000}"/>
    <cellStyle name="Normal 85 7 3" xfId="9920" xr:uid="{00000000-0005-0000-0000-000034240000}"/>
    <cellStyle name="Normal 85 8" xfId="6063" xr:uid="{00000000-0005-0000-0000-000035240000}"/>
    <cellStyle name="Normal 85 8 2" xfId="9921" xr:uid="{00000000-0005-0000-0000-000036240000}"/>
    <cellStyle name="Normal 85 9" xfId="9922" xr:uid="{00000000-0005-0000-0000-000037240000}"/>
    <cellStyle name="Normal 86" xfId="6064" xr:uid="{00000000-0005-0000-0000-000038240000}"/>
    <cellStyle name="Normal 86 2" xfId="6065" xr:uid="{00000000-0005-0000-0000-000039240000}"/>
    <cellStyle name="Normal 86 2 2" xfId="6066" xr:uid="{00000000-0005-0000-0000-00003A240000}"/>
    <cellStyle name="Normal 86 3" xfId="6067" xr:uid="{00000000-0005-0000-0000-00003B240000}"/>
    <cellStyle name="Normal 86 3 2" xfId="6068" xr:uid="{00000000-0005-0000-0000-00003C240000}"/>
    <cellStyle name="Normal 86 3 2 2" xfId="6069" xr:uid="{00000000-0005-0000-0000-00003D240000}"/>
    <cellStyle name="Normal 86 3 2 2 2" xfId="6070" xr:uid="{00000000-0005-0000-0000-00003E240000}"/>
    <cellStyle name="Normal 86 3 2 2 2 2" xfId="9923" xr:uid="{00000000-0005-0000-0000-00003F240000}"/>
    <cellStyle name="Normal 86 3 2 2 3" xfId="9924" xr:uid="{00000000-0005-0000-0000-000040240000}"/>
    <cellStyle name="Normal 86 3 2 3" xfId="6071" xr:uid="{00000000-0005-0000-0000-000041240000}"/>
    <cellStyle name="Normal 86 3 2 3 2" xfId="9925" xr:uid="{00000000-0005-0000-0000-000042240000}"/>
    <cellStyle name="Normal 86 3 2 4" xfId="9926" xr:uid="{00000000-0005-0000-0000-000043240000}"/>
    <cellStyle name="Normal 86 3 3" xfId="6072" xr:uid="{00000000-0005-0000-0000-000044240000}"/>
    <cellStyle name="Normal 86 3 3 2" xfId="6073" xr:uid="{00000000-0005-0000-0000-000045240000}"/>
    <cellStyle name="Normal 86 3 3 2 2" xfId="9927" xr:uid="{00000000-0005-0000-0000-000046240000}"/>
    <cellStyle name="Normal 86 3 3 3" xfId="9928" xr:uid="{00000000-0005-0000-0000-000047240000}"/>
    <cellStyle name="Normal 86 3 4" xfId="6074" xr:uid="{00000000-0005-0000-0000-000048240000}"/>
    <cellStyle name="Normal 86 3 4 2" xfId="9929" xr:uid="{00000000-0005-0000-0000-000049240000}"/>
    <cellStyle name="Normal 86 3 5" xfId="6075" xr:uid="{00000000-0005-0000-0000-00004A240000}"/>
    <cellStyle name="Normal 86 4" xfId="6076" xr:uid="{00000000-0005-0000-0000-00004B240000}"/>
    <cellStyle name="Normal 86 4 2" xfId="6077" xr:uid="{00000000-0005-0000-0000-00004C240000}"/>
    <cellStyle name="Normal 86 4 2 2" xfId="6078" xr:uid="{00000000-0005-0000-0000-00004D240000}"/>
    <cellStyle name="Normal 86 4 2 2 2" xfId="6079" xr:uid="{00000000-0005-0000-0000-00004E240000}"/>
    <cellStyle name="Normal 86 4 2 2 2 2" xfId="9930" xr:uid="{00000000-0005-0000-0000-00004F240000}"/>
    <cellStyle name="Normal 86 4 2 2 3" xfId="9931" xr:uid="{00000000-0005-0000-0000-000050240000}"/>
    <cellStyle name="Normal 86 4 2 3" xfId="6080" xr:uid="{00000000-0005-0000-0000-000051240000}"/>
    <cellStyle name="Normal 86 4 2 3 2" xfId="9932" xr:uid="{00000000-0005-0000-0000-000052240000}"/>
    <cellStyle name="Normal 86 4 2 4" xfId="9933" xr:uid="{00000000-0005-0000-0000-000053240000}"/>
    <cellStyle name="Normal 86 4 3" xfId="6081" xr:uid="{00000000-0005-0000-0000-000054240000}"/>
    <cellStyle name="Normal 86 4 3 2" xfId="6082" xr:uid="{00000000-0005-0000-0000-000055240000}"/>
    <cellStyle name="Normal 86 4 3 2 2" xfId="9934" xr:uid="{00000000-0005-0000-0000-000056240000}"/>
    <cellStyle name="Normal 86 4 3 3" xfId="9935" xr:uid="{00000000-0005-0000-0000-000057240000}"/>
    <cellStyle name="Normal 86 4 4" xfId="6083" xr:uid="{00000000-0005-0000-0000-000058240000}"/>
    <cellStyle name="Normal 86 4 4 2" xfId="9936" xr:uid="{00000000-0005-0000-0000-000059240000}"/>
    <cellStyle name="Normal 86 4 5" xfId="9937" xr:uid="{00000000-0005-0000-0000-00005A240000}"/>
    <cellStyle name="Normal 86 5" xfId="6084" xr:uid="{00000000-0005-0000-0000-00005B240000}"/>
    <cellStyle name="Normal 86 5 2" xfId="6085" xr:uid="{00000000-0005-0000-0000-00005C240000}"/>
    <cellStyle name="Normal 86 5 2 2" xfId="6086" xr:uid="{00000000-0005-0000-0000-00005D240000}"/>
    <cellStyle name="Normal 86 5 2 2 2" xfId="6087" xr:uid="{00000000-0005-0000-0000-00005E240000}"/>
    <cellStyle name="Normal 86 5 2 2 2 2" xfId="9938" xr:uid="{00000000-0005-0000-0000-00005F240000}"/>
    <cellStyle name="Normal 86 5 2 2 3" xfId="9939" xr:uid="{00000000-0005-0000-0000-000060240000}"/>
    <cellStyle name="Normal 86 5 2 3" xfId="6088" xr:uid="{00000000-0005-0000-0000-000061240000}"/>
    <cellStyle name="Normal 86 5 2 3 2" xfId="9940" xr:uid="{00000000-0005-0000-0000-000062240000}"/>
    <cellStyle name="Normal 86 5 2 4" xfId="9941" xr:uid="{00000000-0005-0000-0000-000063240000}"/>
    <cellStyle name="Normal 86 5 3" xfId="6089" xr:uid="{00000000-0005-0000-0000-000064240000}"/>
    <cellStyle name="Normal 86 5 3 2" xfId="6090" xr:uid="{00000000-0005-0000-0000-000065240000}"/>
    <cellStyle name="Normal 86 5 3 2 2" xfId="9942" xr:uid="{00000000-0005-0000-0000-000066240000}"/>
    <cellStyle name="Normal 86 5 3 3" xfId="9943" xr:uid="{00000000-0005-0000-0000-000067240000}"/>
    <cellStyle name="Normal 86 5 4" xfId="6091" xr:uid="{00000000-0005-0000-0000-000068240000}"/>
    <cellStyle name="Normal 86 5 4 2" xfId="9944" xr:uid="{00000000-0005-0000-0000-000069240000}"/>
    <cellStyle name="Normal 86 5 5" xfId="9945" xr:uid="{00000000-0005-0000-0000-00006A240000}"/>
    <cellStyle name="Normal 86 6" xfId="6092" xr:uid="{00000000-0005-0000-0000-00006B240000}"/>
    <cellStyle name="Normal 86 6 2" xfId="6093" xr:uid="{00000000-0005-0000-0000-00006C240000}"/>
    <cellStyle name="Normal 86 6 2 2" xfId="6094" xr:uid="{00000000-0005-0000-0000-00006D240000}"/>
    <cellStyle name="Normal 86 6 2 2 2" xfId="9946" xr:uid="{00000000-0005-0000-0000-00006E240000}"/>
    <cellStyle name="Normal 86 6 2 3" xfId="9947" xr:uid="{00000000-0005-0000-0000-00006F240000}"/>
    <cellStyle name="Normal 86 6 3" xfId="6095" xr:uid="{00000000-0005-0000-0000-000070240000}"/>
    <cellStyle name="Normal 86 6 3 2" xfId="9948" xr:uid="{00000000-0005-0000-0000-000071240000}"/>
    <cellStyle name="Normal 86 6 4" xfId="9949" xr:uid="{00000000-0005-0000-0000-000072240000}"/>
    <cellStyle name="Normal 86 7" xfId="6096" xr:uid="{00000000-0005-0000-0000-000073240000}"/>
    <cellStyle name="Normal 86 7 2" xfId="6097" xr:uid="{00000000-0005-0000-0000-000074240000}"/>
    <cellStyle name="Normal 86 7 2 2" xfId="9950" xr:uid="{00000000-0005-0000-0000-000075240000}"/>
    <cellStyle name="Normal 86 7 3" xfId="9951" xr:uid="{00000000-0005-0000-0000-000076240000}"/>
    <cellStyle name="Normal 86 8" xfId="6098" xr:uid="{00000000-0005-0000-0000-000077240000}"/>
    <cellStyle name="Normal 86 8 2" xfId="9952" xr:uid="{00000000-0005-0000-0000-000078240000}"/>
    <cellStyle name="Normal 86 9" xfId="9953" xr:uid="{00000000-0005-0000-0000-000079240000}"/>
    <cellStyle name="Normal 87" xfId="6099" xr:uid="{00000000-0005-0000-0000-00007A240000}"/>
    <cellStyle name="Normal 87 2" xfId="6100" xr:uid="{00000000-0005-0000-0000-00007B240000}"/>
    <cellStyle name="Normal 87 2 2" xfId="6101" xr:uid="{00000000-0005-0000-0000-00007C240000}"/>
    <cellStyle name="Normal 87 3" xfId="6102" xr:uid="{00000000-0005-0000-0000-00007D240000}"/>
    <cellStyle name="Normal 87 3 2" xfId="6103" xr:uid="{00000000-0005-0000-0000-00007E240000}"/>
    <cellStyle name="Normal 87 3 2 2" xfId="6104" xr:uid="{00000000-0005-0000-0000-00007F240000}"/>
    <cellStyle name="Normal 87 3 2 2 2" xfId="6105" xr:uid="{00000000-0005-0000-0000-000080240000}"/>
    <cellStyle name="Normal 87 3 2 2 2 2" xfId="9954" xr:uid="{00000000-0005-0000-0000-000081240000}"/>
    <cellStyle name="Normal 87 3 2 2 3" xfId="9955" xr:uid="{00000000-0005-0000-0000-000082240000}"/>
    <cellStyle name="Normal 87 3 2 3" xfId="6106" xr:uid="{00000000-0005-0000-0000-000083240000}"/>
    <cellStyle name="Normal 87 3 2 3 2" xfId="9956" xr:uid="{00000000-0005-0000-0000-000084240000}"/>
    <cellStyle name="Normal 87 3 2 4" xfId="9957" xr:uid="{00000000-0005-0000-0000-000085240000}"/>
    <cellStyle name="Normal 87 3 3" xfId="6107" xr:uid="{00000000-0005-0000-0000-000086240000}"/>
    <cellStyle name="Normal 87 3 3 2" xfId="6108" xr:uid="{00000000-0005-0000-0000-000087240000}"/>
    <cellStyle name="Normal 87 3 3 2 2" xfId="9958" xr:uid="{00000000-0005-0000-0000-000088240000}"/>
    <cellStyle name="Normal 87 3 3 3" xfId="9959" xr:uid="{00000000-0005-0000-0000-000089240000}"/>
    <cellStyle name="Normal 87 3 4" xfId="6109" xr:uid="{00000000-0005-0000-0000-00008A240000}"/>
    <cellStyle name="Normal 87 3 4 2" xfId="9960" xr:uid="{00000000-0005-0000-0000-00008B240000}"/>
    <cellStyle name="Normal 87 3 5" xfId="6110" xr:uid="{00000000-0005-0000-0000-00008C240000}"/>
    <cellStyle name="Normal 87 4" xfId="6111" xr:uid="{00000000-0005-0000-0000-00008D240000}"/>
    <cellStyle name="Normal 87 4 2" xfId="6112" xr:uid="{00000000-0005-0000-0000-00008E240000}"/>
    <cellStyle name="Normal 87 4 2 2" xfId="6113" xr:uid="{00000000-0005-0000-0000-00008F240000}"/>
    <cellStyle name="Normal 87 4 2 2 2" xfId="6114" xr:uid="{00000000-0005-0000-0000-000090240000}"/>
    <cellStyle name="Normal 87 4 2 2 2 2" xfId="9961" xr:uid="{00000000-0005-0000-0000-000091240000}"/>
    <cellStyle name="Normal 87 4 2 2 3" xfId="9962" xr:uid="{00000000-0005-0000-0000-000092240000}"/>
    <cellStyle name="Normal 87 4 2 3" xfId="6115" xr:uid="{00000000-0005-0000-0000-000093240000}"/>
    <cellStyle name="Normal 87 4 2 3 2" xfId="9963" xr:uid="{00000000-0005-0000-0000-000094240000}"/>
    <cellStyle name="Normal 87 4 2 4" xfId="9964" xr:uid="{00000000-0005-0000-0000-000095240000}"/>
    <cellStyle name="Normal 87 4 3" xfId="6116" xr:uid="{00000000-0005-0000-0000-000096240000}"/>
    <cellStyle name="Normal 87 4 3 2" xfId="6117" xr:uid="{00000000-0005-0000-0000-000097240000}"/>
    <cellStyle name="Normal 87 4 3 2 2" xfId="9965" xr:uid="{00000000-0005-0000-0000-000098240000}"/>
    <cellStyle name="Normal 87 4 3 3" xfId="9966" xr:uid="{00000000-0005-0000-0000-000099240000}"/>
    <cellStyle name="Normal 87 4 4" xfId="6118" xr:uid="{00000000-0005-0000-0000-00009A240000}"/>
    <cellStyle name="Normal 87 4 4 2" xfId="9967" xr:uid="{00000000-0005-0000-0000-00009B240000}"/>
    <cellStyle name="Normal 87 4 5" xfId="9968" xr:uid="{00000000-0005-0000-0000-00009C240000}"/>
    <cellStyle name="Normal 87 5" xfId="6119" xr:uid="{00000000-0005-0000-0000-00009D240000}"/>
    <cellStyle name="Normal 87 5 2" xfId="6120" xr:uid="{00000000-0005-0000-0000-00009E240000}"/>
    <cellStyle name="Normal 87 5 2 2" xfId="6121" xr:uid="{00000000-0005-0000-0000-00009F240000}"/>
    <cellStyle name="Normal 87 5 2 2 2" xfId="6122" xr:uid="{00000000-0005-0000-0000-0000A0240000}"/>
    <cellStyle name="Normal 87 5 2 2 2 2" xfId="9969" xr:uid="{00000000-0005-0000-0000-0000A1240000}"/>
    <cellStyle name="Normal 87 5 2 2 3" xfId="9970" xr:uid="{00000000-0005-0000-0000-0000A2240000}"/>
    <cellStyle name="Normal 87 5 2 3" xfId="6123" xr:uid="{00000000-0005-0000-0000-0000A3240000}"/>
    <cellStyle name="Normal 87 5 2 3 2" xfId="9971" xr:uid="{00000000-0005-0000-0000-0000A4240000}"/>
    <cellStyle name="Normal 87 5 2 4" xfId="9972" xr:uid="{00000000-0005-0000-0000-0000A5240000}"/>
    <cellStyle name="Normal 87 5 3" xfId="6124" xr:uid="{00000000-0005-0000-0000-0000A6240000}"/>
    <cellStyle name="Normal 87 5 3 2" xfId="6125" xr:uid="{00000000-0005-0000-0000-0000A7240000}"/>
    <cellStyle name="Normal 87 5 3 2 2" xfId="9973" xr:uid="{00000000-0005-0000-0000-0000A8240000}"/>
    <cellStyle name="Normal 87 5 3 3" xfId="9974" xr:uid="{00000000-0005-0000-0000-0000A9240000}"/>
    <cellStyle name="Normal 87 5 4" xfId="6126" xr:uid="{00000000-0005-0000-0000-0000AA240000}"/>
    <cellStyle name="Normal 87 5 4 2" xfId="9975" xr:uid="{00000000-0005-0000-0000-0000AB240000}"/>
    <cellStyle name="Normal 87 5 5" xfId="9976" xr:uid="{00000000-0005-0000-0000-0000AC240000}"/>
    <cellStyle name="Normal 87 6" xfId="6127" xr:uid="{00000000-0005-0000-0000-0000AD240000}"/>
    <cellStyle name="Normal 87 6 2" xfId="6128" xr:uid="{00000000-0005-0000-0000-0000AE240000}"/>
    <cellStyle name="Normal 87 6 2 2" xfId="6129" xr:uid="{00000000-0005-0000-0000-0000AF240000}"/>
    <cellStyle name="Normal 87 6 2 2 2" xfId="9977" xr:uid="{00000000-0005-0000-0000-0000B0240000}"/>
    <cellStyle name="Normal 87 6 2 3" xfId="9978" xr:uid="{00000000-0005-0000-0000-0000B1240000}"/>
    <cellStyle name="Normal 87 6 3" xfId="6130" xr:uid="{00000000-0005-0000-0000-0000B2240000}"/>
    <cellStyle name="Normal 87 6 3 2" xfId="9979" xr:uid="{00000000-0005-0000-0000-0000B3240000}"/>
    <cellStyle name="Normal 87 6 4" xfId="9980" xr:uid="{00000000-0005-0000-0000-0000B4240000}"/>
    <cellStyle name="Normal 87 7" xfId="6131" xr:uid="{00000000-0005-0000-0000-0000B5240000}"/>
    <cellStyle name="Normal 87 7 2" xfId="6132" xr:uid="{00000000-0005-0000-0000-0000B6240000}"/>
    <cellStyle name="Normal 87 7 2 2" xfId="9981" xr:uid="{00000000-0005-0000-0000-0000B7240000}"/>
    <cellStyle name="Normal 87 7 3" xfId="9982" xr:uid="{00000000-0005-0000-0000-0000B8240000}"/>
    <cellStyle name="Normal 87 8" xfId="6133" xr:uid="{00000000-0005-0000-0000-0000B9240000}"/>
    <cellStyle name="Normal 87 8 2" xfId="9983" xr:uid="{00000000-0005-0000-0000-0000BA240000}"/>
    <cellStyle name="Normal 87 9" xfId="9984" xr:uid="{00000000-0005-0000-0000-0000BB240000}"/>
    <cellStyle name="Normal 88" xfId="6134" xr:uid="{00000000-0005-0000-0000-0000BC240000}"/>
    <cellStyle name="Normal 88 2" xfId="6135" xr:uid="{00000000-0005-0000-0000-0000BD240000}"/>
    <cellStyle name="Normal 88 2 2" xfId="6136" xr:uid="{00000000-0005-0000-0000-0000BE240000}"/>
    <cellStyle name="Normal 88 3" xfId="6137" xr:uid="{00000000-0005-0000-0000-0000BF240000}"/>
    <cellStyle name="Normal 88 3 2" xfId="6138" xr:uid="{00000000-0005-0000-0000-0000C0240000}"/>
    <cellStyle name="Normal 88 3 2 2" xfId="6139" xr:uid="{00000000-0005-0000-0000-0000C1240000}"/>
    <cellStyle name="Normal 88 3 2 2 2" xfId="6140" xr:uid="{00000000-0005-0000-0000-0000C2240000}"/>
    <cellStyle name="Normal 88 3 2 2 2 2" xfId="9985" xr:uid="{00000000-0005-0000-0000-0000C3240000}"/>
    <cellStyle name="Normal 88 3 2 2 3" xfId="9986" xr:uid="{00000000-0005-0000-0000-0000C4240000}"/>
    <cellStyle name="Normal 88 3 2 3" xfId="6141" xr:uid="{00000000-0005-0000-0000-0000C5240000}"/>
    <cellStyle name="Normal 88 3 2 3 2" xfId="9987" xr:uid="{00000000-0005-0000-0000-0000C6240000}"/>
    <cellStyle name="Normal 88 3 2 4" xfId="9988" xr:uid="{00000000-0005-0000-0000-0000C7240000}"/>
    <cellStyle name="Normal 88 3 3" xfId="6142" xr:uid="{00000000-0005-0000-0000-0000C8240000}"/>
    <cellStyle name="Normal 88 3 3 2" xfId="6143" xr:uid="{00000000-0005-0000-0000-0000C9240000}"/>
    <cellStyle name="Normal 88 3 3 2 2" xfId="9989" xr:uid="{00000000-0005-0000-0000-0000CA240000}"/>
    <cellStyle name="Normal 88 3 3 3" xfId="9990" xr:uid="{00000000-0005-0000-0000-0000CB240000}"/>
    <cellStyle name="Normal 88 3 4" xfId="6144" xr:uid="{00000000-0005-0000-0000-0000CC240000}"/>
    <cellStyle name="Normal 88 3 4 2" xfId="9991" xr:uid="{00000000-0005-0000-0000-0000CD240000}"/>
    <cellStyle name="Normal 88 3 5" xfId="6145" xr:uid="{00000000-0005-0000-0000-0000CE240000}"/>
    <cellStyle name="Normal 88 4" xfId="6146" xr:uid="{00000000-0005-0000-0000-0000CF240000}"/>
    <cellStyle name="Normal 88 4 2" xfId="6147" xr:uid="{00000000-0005-0000-0000-0000D0240000}"/>
    <cellStyle name="Normal 88 4 2 2" xfId="6148" xr:uid="{00000000-0005-0000-0000-0000D1240000}"/>
    <cellStyle name="Normal 88 4 2 2 2" xfId="6149" xr:uid="{00000000-0005-0000-0000-0000D2240000}"/>
    <cellStyle name="Normal 88 4 2 2 2 2" xfId="9992" xr:uid="{00000000-0005-0000-0000-0000D3240000}"/>
    <cellStyle name="Normal 88 4 2 2 3" xfId="9993" xr:uid="{00000000-0005-0000-0000-0000D4240000}"/>
    <cellStyle name="Normal 88 4 2 3" xfId="6150" xr:uid="{00000000-0005-0000-0000-0000D5240000}"/>
    <cellStyle name="Normal 88 4 2 3 2" xfId="9994" xr:uid="{00000000-0005-0000-0000-0000D6240000}"/>
    <cellStyle name="Normal 88 4 2 4" xfId="9995" xr:uid="{00000000-0005-0000-0000-0000D7240000}"/>
    <cellStyle name="Normal 88 4 3" xfId="6151" xr:uid="{00000000-0005-0000-0000-0000D8240000}"/>
    <cellStyle name="Normal 88 4 3 2" xfId="6152" xr:uid="{00000000-0005-0000-0000-0000D9240000}"/>
    <cellStyle name="Normal 88 4 3 2 2" xfId="9996" xr:uid="{00000000-0005-0000-0000-0000DA240000}"/>
    <cellStyle name="Normal 88 4 3 3" xfId="9997" xr:uid="{00000000-0005-0000-0000-0000DB240000}"/>
    <cellStyle name="Normal 88 4 4" xfId="6153" xr:uid="{00000000-0005-0000-0000-0000DC240000}"/>
    <cellStyle name="Normal 88 4 4 2" xfId="9998" xr:uid="{00000000-0005-0000-0000-0000DD240000}"/>
    <cellStyle name="Normal 88 4 5" xfId="9999" xr:uid="{00000000-0005-0000-0000-0000DE240000}"/>
    <cellStyle name="Normal 88 5" xfId="6154" xr:uid="{00000000-0005-0000-0000-0000DF240000}"/>
    <cellStyle name="Normal 88 5 2" xfId="6155" xr:uid="{00000000-0005-0000-0000-0000E0240000}"/>
    <cellStyle name="Normal 88 5 2 2" xfId="6156" xr:uid="{00000000-0005-0000-0000-0000E1240000}"/>
    <cellStyle name="Normal 88 5 2 2 2" xfId="6157" xr:uid="{00000000-0005-0000-0000-0000E2240000}"/>
    <cellStyle name="Normal 88 5 2 2 2 2" xfId="10000" xr:uid="{00000000-0005-0000-0000-0000E3240000}"/>
    <cellStyle name="Normal 88 5 2 2 3" xfId="10001" xr:uid="{00000000-0005-0000-0000-0000E4240000}"/>
    <cellStyle name="Normal 88 5 2 3" xfId="6158" xr:uid="{00000000-0005-0000-0000-0000E5240000}"/>
    <cellStyle name="Normal 88 5 2 3 2" xfId="10002" xr:uid="{00000000-0005-0000-0000-0000E6240000}"/>
    <cellStyle name="Normal 88 5 2 4" xfId="10003" xr:uid="{00000000-0005-0000-0000-0000E7240000}"/>
    <cellStyle name="Normal 88 5 3" xfId="6159" xr:uid="{00000000-0005-0000-0000-0000E8240000}"/>
    <cellStyle name="Normal 88 5 3 2" xfId="6160" xr:uid="{00000000-0005-0000-0000-0000E9240000}"/>
    <cellStyle name="Normal 88 5 3 2 2" xfId="10004" xr:uid="{00000000-0005-0000-0000-0000EA240000}"/>
    <cellStyle name="Normal 88 5 3 3" xfId="10005" xr:uid="{00000000-0005-0000-0000-0000EB240000}"/>
    <cellStyle name="Normal 88 5 4" xfId="6161" xr:uid="{00000000-0005-0000-0000-0000EC240000}"/>
    <cellStyle name="Normal 88 5 4 2" xfId="10006" xr:uid="{00000000-0005-0000-0000-0000ED240000}"/>
    <cellStyle name="Normal 88 5 5" xfId="10007" xr:uid="{00000000-0005-0000-0000-0000EE240000}"/>
    <cellStyle name="Normal 88 6" xfId="6162" xr:uid="{00000000-0005-0000-0000-0000EF240000}"/>
    <cellStyle name="Normal 88 6 2" xfId="6163" xr:uid="{00000000-0005-0000-0000-0000F0240000}"/>
    <cellStyle name="Normal 88 6 2 2" xfId="6164" xr:uid="{00000000-0005-0000-0000-0000F1240000}"/>
    <cellStyle name="Normal 88 6 2 2 2" xfId="10008" xr:uid="{00000000-0005-0000-0000-0000F2240000}"/>
    <cellStyle name="Normal 88 6 2 3" xfId="10009" xr:uid="{00000000-0005-0000-0000-0000F3240000}"/>
    <cellStyle name="Normal 88 6 3" xfId="6165" xr:uid="{00000000-0005-0000-0000-0000F4240000}"/>
    <cellStyle name="Normal 88 6 3 2" xfId="10010" xr:uid="{00000000-0005-0000-0000-0000F5240000}"/>
    <cellStyle name="Normal 88 6 4" xfId="10011" xr:uid="{00000000-0005-0000-0000-0000F6240000}"/>
    <cellStyle name="Normal 88 7" xfId="6166" xr:uid="{00000000-0005-0000-0000-0000F7240000}"/>
    <cellStyle name="Normal 88 7 2" xfId="6167" xr:uid="{00000000-0005-0000-0000-0000F8240000}"/>
    <cellStyle name="Normal 88 7 2 2" xfId="10012" xr:uid="{00000000-0005-0000-0000-0000F9240000}"/>
    <cellStyle name="Normal 88 7 3" xfId="10013" xr:uid="{00000000-0005-0000-0000-0000FA240000}"/>
    <cellStyle name="Normal 88 8" xfId="6168" xr:uid="{00000000-0005-0000-0000-0000FB240000}"/>
    <cellStyle name="Normal 88 8 2" xfId="10014" xr:uid="{00000000-0005-0000-0000-0000FC240000}"/>
    <cellStyle name="Normal 88 9" xfId="10015" xr:uid="{00000000-0005-0000-0000-0000FD240000}"/>
    <cellStyle name="Normal 89" xfId="6169" xr:uid="{00000000-0005-0000-0000-0000FE240000}"/>
    <cellStyle name="Normal 89 2" xfId="6170" xr:uid="{00000000-0005-0000-0000-0000FF240000}"/>
    <cellStyle name="Normal 89 2 2" xfId="6171" xr:uid="{00000000-0005-0000-0000-000000250000}"/>
    <cellStyle name="Normal 89 3" xfId="6172" xr:uid="{00000000-0005-0000-0000-000001250000}"/>
    <cellStyle name="Normal 89 3 2" xfId="6173" xr:uid="{00000000-0005-0000-0000-000002250000}"/>
    <cellStyle name="Normal 89 3 2 2" xfId="6174" xr:uid="{00000000-0005-0000-0000-000003250000}"/>
    <cellStyle name="Normal 89 3 2 2 2" xfId="6175" xr:uid="{00000000-0005-0000-0000-000004250000}"/>
    <cellStyle name="Normal 89 3 2 2 2 2" xfId="10016" xr:uid="{00000000-0005-0000-0000-000005250000}"/>
    <cellStyle name="Normal 89 3 2 2 3" xfId="10017" xr:uid="{00000000-0005-0000-0000-000006250000}"/>
    <cellStyle name="Normal 89 3 2 3" xfId="6176" xr:uid="{00000000-0005-0000-0000-000007250000}"/>
    <cellStyle name="Normal 89 3 2 3 2" xfId="10018" xr:uid="{00000000-0005-0000-0000-000008250000}"/>
    <cellStyle name="Normal 89 3 2 4" xfId="10019" xr:uid="{00000000-0005-0000-0000-000009250000}"/>
    <cellStyle name="Normal 89 3 3" xfId="6177" xr:uid="{00000000-0005-0000-0000-00000A250000}"/>
    <cellStyle name="Normal 89 3 3 2" xfId="6178" xr:uid="{00000000-0005-0000-0000-00000B250000}"/>
    <cellStyle name="Normal 89 3 3 2 2" xfId="10020" xr:uid="{00000000-0005-0000-0000-00000C250000}"/>
    <cellStyle name="Normal 89 3 3 3" xfId="10021" xr:uid="{00000000-0005-0000-0000-00000D250000}"/>
    <cellStyle name="Normal 89 3 4" xfId="6179" xr:uid="{00000000-0005-0000-0000-00000E250000}"/>
    <cellStyle name="Normal 89 3 4 2" xfId="10022" xr:uid="{00000000-0005-0000-0000-00000F250000}"/>
    <cellStyle name="Normal 89 3 5" xfId="6180" xr:uid="{00000000-0005-0000-0000-000010250000}"/>
    <cellStyle name="Normal 89 4" xfId="6181" xr:uid="{00000000-0005-0000-0000-000011250000}"/>
    <cellStyle name="Normal 89 4 2" xfId="6182" xr:uid="{00000000-0005-0000-0000-000012250000}"/>
    <cellStyle name="Normal 89 4 2 2" xfId="6183" xr:uid="{00000000-0005-0000-0000-000013250000}"/>
    <cellStyle name="Normal 89 4 2 2 2" xfId="6184" xr:uid="{00000000-0005-0000-0000-000014250000}"/>
    <cellStyle name="Normal 89 4 2 2 2 2" xfId="10023" xr:uid="{00000000-0005-0000-0000-000015250000}"/>
    <cellStyle name="Normal 89 4 2 2 3" xfId="10024" xr:uid="{00000000-0005-0000-0000-000016250000}"/>
    <cellStyle name="Normal 89 4 2 3" xfId="6185" xr:uid="{00000000-0005-0000-0000-000017250000}"/>
    <cellStyle name="Normal 89 4 2 3 2" xfId="10025" xr:uid="{00000000-0005-0000-0000-000018250000}"/>
    <cellStyle name="Normal 89 4 2 4" xfId="10026" xr:uid="{00000000-0005-0000-0000-000019250000}"/>
    <cellStyle name="Normal 89 4 3" xfId="6186" xr:uid="{00000000-0005-0000-0000-00001A250000}"/>
    <cellStyle name="Normal 89 4 3 2" xfId="6187" xr:uid="{00000000-0005-0000-0000-00001B250000}"/>
    <cellStyle name="Normal 89 4 3 2 2" xfId="10027" xr:uid="{00000000-0005-0000-0000-00001C250000}"/>
    <cellStyle name="Normal 89 4 3 3" xfId="10028" xr:uid="{00000000-0005-0000-0000-00001D250000}"/>
    <cellStyle name="Normal 89 4 4" xfId="6188" xr:uid="{00000000-0005-0000-0000-00001E250000}"/>
    <cellStyle name="Normal 89 4 4 2" xfId="10029" xr:uid="{00000000-0005-0000-0000-00001F250000}"/>
    <cellStyle name="Normal 89 4 5" xfId="10030" xr:uid="{00000000-0005-0000-0000-000020250000}"/>
    <cellStyle name="Normal 89 5" xfId="6189" xr:uid="{00000000-0005-0000-0000-000021250000}"/>
    <cellStyle name="Normal 89 5 2" xfId="6190" xr:uid="{00000000-0005-0000-0000-000022250000}"/>
    <cellStyle name="Normal 89 5 2 2" xfId="6191" xr:uid="{00000000-0005-0000-0000-000023250000}"/>
    <cellStyle name="Normal 89 5 2 2 2" xfId="6192" xr:uid="{00000000-0005-0000-0000-000024250000}"/>
    <cellStyle name="Normal 89 5 2 2 2 2" xfId="10031" xr:uid="{00000000-0005-0000-0000-000025250000}"/>
    <cellStyle name="Normal 89 5 2 2 3" xfId="10032" xr:uid="{00000000-0005-0000-0000-000026250000}"/>
    <cellStyle name="Normal 89 5 2 3" xfId="6193" xr:uid="{00000000-0005-0000-0000-000027250000}"/>
    <cellStyle name="Normal 89 5 2 3 2" xfId="10033" xr:uid="{00000000-0005-0000-0000-000028250000}"/>
    <cellStyle name="Normal 89 5 2 4" xfId="10034" xr:uid="{00000000-0005-0000-0000-000029250000}"/>
    <cellStyle name="Normal 89 5 3" xfId="6194" xr:uid="{00000000-0005-0000-0000-00002A250000}"/>
    <cellStyle name="Normal 89 5 3 2" xfId="6195" xr:uid="{00000000-0005-0000-0000-00002B250000}"/>
    <cellStyle name="Normal 89 5 3 2 2" xfId="10035" xr:uid="{00000000-0005-0000-0000-00002C250000}"/>
    <cellStyle name="Normal 89 5 3 3" xfId="10036" xr:uid="{00000000-0005-0000-0000-00002D250000}"/>
    <cellStyle name="Normal 89 5 4" xfId="6196" xr:uid="{00000000-0005-0000-0000-00002E250000}"/>
    <cellStyle name="Normal 89 5 4 2" xfId="10037" xr:uid="{00000000-0005-0000-0000-00002F250000}"/>
    <cellStyle name="Normal 89 5 5" xfId="10038" xr:uid="{00000000-0005-0000-0000-000030250000}"/>
    <cellStyle name="Normal 89 6" xfId="6197" xr:uid="{00000000-0005-0000-0000-000031250000}"/>
    <cellStyle name="Normal 89 6 2" xfId="6198" xr:uid="{00000000-0005-0000-0000-000032250000}"/>
    <cellStyle name="Normal 89 6 2 2" xfId="6199" xr:uid="{00000000-0005-0000-0000-000033250000}"/>
    <cellStyle name="Normal 89 6 2 2 2" xfId="10039" xr:uid="{00000000-0005-0000-0000-000034250000}"/>
    <cellStyle name="Normal 89 6 2 3" xfId="10040" xr:uid="{00000000-0005-0000-0000-000035250000}"/>
    <cellStyle name="Normal 89 6 3" xfId="6200" xr:uid="{00000000-0005-0000-0000-000036250000}"/>
    <cellStyle name="Normal 89 6 3 2" xfId="10041" xr:uid="{00000000-0005-0000-0000-000037250000}"/>
    <cellStyle name="Normal 89 6 4" xfId="10042" xr:uid="{00000000-0005-0000-0000-000038250000}"/>
    <cellStyle name="Normal 89 7" xfId="6201" xr:uid="{00000000-0005-0000-0000-000039250000}"/>
    <cellStyle name="Normal 89 7 2" xfId="6202" xr:uid="{00000000-0005-0000-0000-00003A250000}"/>
    <cellStyle name="Normal 89 7 2 2" xfId="10043" xr:uid="{00000000-0005-0000-0000-00003B250000}"/>
    <cellStyle name="Normal 89 7 3" xfId="10044" xr:uid="{00000000-0005-0000-0000-00003C250000}"/>
    <cellStyle name="Normal 89 8" xfId="6203" xr:uid="{00000000-0005-0000-0000-00003D250000}"/>
    <cellStyle name="Normal 89 8 2" xfId="10045" xr:uid="{00000000-0005-0000-0000-00003E250000}"/>
    <cellStyle name="Normal 89 9" xfId="10046" xr:uid="{00000000-0005-0000-0000-00003F250000}"/>
    <cellStyle name="Normal 9" xfId="297" xr:uid="{00000000-0005-0000-0000-000040250000}"/>
    <cellStyle name="Normal 9 2" xfId="298" xr:uid="{00000000-0005-0000-0000-000041250000}"/>
    <cellStyle name="Normal 9 2 2" xfId="299" xr:uid="{00000000-0005-0000-0000-000042250000}"/>
    <cellStyle name="Normal 9 2 2 2" xfId="6204" xr:uid="{00000000-0005-0000-0000-000043250000}"/>
    <cellStyle name="Normal 9 3" xfId="300" xr:uid="{00000000-0005-0000-0000-000044250000}"/>
    <cellStyle name="Normal 9 3 2" xfId="6206" xr:uid="{00000000-0005-0000-0000-000045250000}"/>
    <cellStyle name="Normal 9 3 2 2" xfId="6207" xr:uid="{00000000-0005-0000-0000-000046250000}"/>
    <cellStyle name="Normal 9 3 2 2 2" xfId="6208" xr:uid="{00000000-0005-0000-0000-000047250000}"/>
    <cellStyle name="Normal 9 3 2 2 2 2" xfId="10047" xr:uid="{00000000-0005-0000-0000-000048250000}"/>
    <cellStyle name="Normal 9 3 2 2 3" xfId="10048" xr:uid="{00000000-0005-0000-0000-000049250000}"/>
    <cellStyle name="Normal 9 3 2 3" xfId="6209" xr:uid="{00000000-0005-0000-0000-00004A250000}"/>
    <cellStyle name="Normal 9 3 2 3 2" xfId="10049" xr:uid="{00000000-0005-0000-0000-00004B250000}"/>
    <cellStyle name="Normal 9 3 2 4" xfId="10050" xr:uid="{00000000-0005-0000-0000-00004C250000}"/>
    <cellStyle name="Normal 9 3 3" xfId="6210" xr:uid="{00000000-0005-0000-0000-00004D250000}"/>
    <cellStyle name="Normal 9 3 3 2" xfId="6211" xr:uid="{00000000-0005-0000-0000-00004E250000}"/>
    <cellStyle name="Normal 9 3 3 2 2" xfId="10051" xr:uid="{00000000-0005-0000-0000-00004F250000}"/>
    <cellStyle name="Normal 9 3 3 3" xfId="10052" xr:uid="{00000000-0005-0000-0000-000050250000}"/>
    <cellStyle name="Normal 9 3 4" xfId="6212" xr:uid="{00000000-0005-0000-0000-000051250000}"/>
    <cellStyle name="Normal 9 3 4 2" xfId="10053" xr:uid="{00000000-0005-0000-0000-000052250000}"/>
    <cellStyle name="Normal 9 3 5" xfId="10054" xr:uid="{00000000-0005-0000-0000-000053250000}"/>
    <cellStyle name="Normal 9 3 6" xfId="6205" xr:uid="{00000000-0005-0000-0000-000054250000}"/>
    <cellStyle name="Normal 9 4" xfId="390" xr:uid="{00000000-0005-0000-0000-000055250000}"/>
    <cellStyle name="Normal 9 4 2" xfId="6213" xr:uid="{00000000-0005-0000-0000-000056250000}"/>
    <cellStyle name="Normal 9 4 2 2" xfId="6214" xr:uid="{00000000-0005-0000-0000-000057250000}"/>
    <cellStyle name="Normal 9 4 2 2 2" xfId="6215" xr:uid="{00000000-0005-0000-0000-000058250000}"/>
    <cellStyle name="Normal 9 4 2 2 2 2" xfId="10055" xr:uid="{00000000-0005-0000-0000-000059250000}"/>
    <cellStyle name="Normal 9 4 2 2 3" xfId="10056" xr:uid="{00000000-0005-0000-0000-00005A250000}"/>
    <cellStyle name="Normal 9 4 2 3" xfId="6216" xr:uid="{00000000-0005-0000-0000-00005B250000}"/>
    <cellStyle name="Normal 9 4 2 3 2" xfId="10057" xr:uid="{00000000-0005-0000-0000-00005C250000}"/>
    <cellStyle name="Normal 9 4 2 4" xfId="10058" xr:uid="{00000000-0005-0000-0000-00005D250000}"/>
    <cellStyle name="Normal 9 4 3" xfId="6217" xr:uid="{00000000-0005-0000-0000-00005E250000}"/>
    <cellStyle name="Normal 9 4 3 2" xfId="6218" xr:uid="{00000000-0005-0000-0000-00005F250000}"/>
    <cellStyle name="Normal 9 4 3 2 2" xfId="10059" xr:uid="{00000000-0005-0000-0000-000060250000}"/>
    <cellStyle name="Normal 9 4 3 3" xfId="10060" xr:uid="{00000000-0005-0000-0000-000061250000}"/>
    <cellStyle name="Normal 9 4 4" xfId="6219" xr:uid="{00000000-0005-0000-0000-000062250000}"/>
    <cellStyle name="Normal 9 4 4 2" xfId="10061" xr:uid="{00000000-0005-0000-0000-000063250000}"/>
    <cellStyle name="Normal 9 4 5" xfId="10062" xr:uid="{00000000-0005-0000-0000-000064250000}"/>
    <cellStyle name="Normal 9 5" xfId="1729" xr:uid="{00000000-0005-0000-0000-000065250000}"/>
    <cellStyle name="Normal 9 5 2" xfId="6221" xr:uid="{00000000-0005-0000-0000-000066250000}"/>
    <cellStyle name="Normal 9 5 2 2" xfId="6222" xr:uid="{00000000-0005-0000-0000-000067250000}"/>
    <cellStyle name="Normal 9 5 2 2 2" xfId="6223" xr:uid="{00000000-0005-0000-0000-000068250000}"/>
    <cellStyle name="Normal 9 5 2 2 2 2" xfId="10063" xr:uid="{00000000-0005-0000-0000-000069250000}"/>
    <cellStyle name="Normal 9 5 2 2 3" xfId="10064" xr:uid="{00000000-0005-0000-0000-00006A250000}"/>
    <cellStyle name="Normal 9 5 2 3" xfId="6224" xr:uid="{00000000-0005-0000-0000-00006B250000}"/>
    <cellStyle name="Normal 9 5 2 3 2" xfId="10065" xr:uid="{00000000-0005-0000-0000-00006C250000}"/>
    <cellStyle name="Normal 9 5 2 4" xfId="10066" xr:uid="{00000000-0005-0000-0000-00006D250000}"/>
    <cellStyle name="Normal 9 5 3" xfId="6225" xr:uid="{00000000-0005-0000-0000-00006E250000}"/>
    <cellStyle name="Normal 9 5 3 2" xfId="6226" xr:uid="{00000000-0005-0000-0000-00006F250000}"/>
    <cellStyle name="Normal 9 5 3 2 2" xfId="10067" xr:uid="{00000000-0005-0000-0000-000070250000}"/>
    <cellStyle name="Normal 9 5 3 3" xfId="10068" xr:uid="{00000000-0005-0000-0000-000071250000}"/>
    <cellStyle name="Normal 9 5 4" xfId="6227" xr:uid="{00000000-0005-0000-0000-000072250000}"/>
    <cellStyle name="Normal 9 5 4 2" xfId="10069" xr:uid="{00000000-0005-0000-0000-000073250000}"/>
    <cellStyle name="Normal 9 5 5" xfId="10070" xr:uid="{00000000-0005-0000-0000-000074250000}"/>
    <cellStyle name="Normal 9 5 6" xfId="6220" xr:uid="{00000000-0005-0000-0000-000075250000}"/>
    <cellStyle name="Normal 9 6" xfId="1685" xr:uid="{00000000-0005-0000-0000-000076250000}"/>
    <cellStyle name="Normal 9 6 2" xfId="6229" xr:uid="{00000000-0005-0000-0000-000077250000}"/>
    <cellStyle name="Normal 9 6 2 2" xfId="6230" xr:uid="{00000000-0005-0000-0000-000078250000}"/>
    <cellStyle name="Normal 9 6 2 2 2" xfId="10071" xr:uid="{00000000-0005-0000-0000-000079250000}"/>
    <cellStyle name="Normal 9 6 2 3" xfId="10072" xr:uid="{00000000-0005-0000-0000-00007A250000}"/>
    <cellStyle name="Normal 9 6 3" xfId="6231" xr:uid="{00000000-0005-0000-0000-00007B250000}"/>
    <cellStyle name="Normal 9 6 3 2" xfId="10073" xr:uid="{00000000-0005-0000-0000-00007C250000}"/>
    <cellStyle name="Normal 9 6 4" xfId="10074" xr:uid="{00000000-0005-0000-0000-00007D250000}"/>
    <cellStyle name="Normal 9 6 5" xfId="6228" xr:uid="{00000000-0005-0000-0000-00007E250000}"/>
    <cellStyle name="Normal 9 7" xfId="6232" xr:uid="{00000000-0005-0000-0000-00007F250000}"/>
    <cellStyle name="Normal 9 7 2" xfId="6233" xr:uid="{00000000-0005-0000-0000-000080250000}"/>
    <cellStyle name="Normal 9 7 2 2" xfId="10075" xr:uid="{00000000-0005-0000-0000-000081250000}"/>
    <cellStyle name="Normal 9 7 3" xfId="10076" xr:uid="{00000000-0005-0000-0000-000082250000}"/>
    <cellStyle name="Normal 9 8" xfId="6234" xr:uid="{00000000-0005-0000-0000-000083250000}"/>
    <cellStyle name="Normal 9 8 2" xfId="10077" xr:uid="{00000000-0005-0000-0000-000084250000}"/>
    <cellStyle name="Normal 9 9" xfId="10078" xr:uid="{00000000-0005-0000-0000-000085250000}"/>
    <cellStyle name="Normal 90" xfId="6235" xr:uid="{00000000-0005-0000-0000-000086250000}"/>
    <cellStyle name="Normal 90 2" xfId="6236" xr:uid="{00000000-0005-0000-0000-000087250000}"/>
    <cellStyle name="Normal 90 2 2" xfId="6237" xr:uid="{00000000-0005-0000-0000-000088250000}"/>
    <cellStyle name="Normal 90 3" xfId="6238" xr:uid="{00000000-0005-0000-0000-000089250000}"/>
    <cellStyle name="Normal 90 3 2" xfId="6239" xr:uid="{00000000-0005-0000-0000-00008A250000}"/>
    <cellStyle name="Normal 90 3 2 2" xfId="6240" xr:uid="{00000000-0005-0000-0000-00008B250000}"/>
    <cellStyle name="Normal 90 3 2 2 2" xfId="6241" xr:uid="{00000000-0005-0000-0000-00008C250000}"/>
    <cellStyle name="Normal 90 3 2 2 2 2" xfId="10079" xr:uid="{00000000-0005-0000-0000-00008D250000}"/>
    <cellStyle name="Normal 90 3 2 2 3" xfId="10080" xr:uid="{00000000-0005-0000-0000-00008E250000}"/>
    <cellStyle name="Normal 90 3 2 3" xfId="6242" xr:uid="{00000000-0005-0000-0000-00008F250000}"/>
    <cellStyle name="Normal 90 3 2 3 2" xfId="10081" xr:uid="{00000000-0005-0000-0000-000090250000}"/>
    <cellStyle name="Normal 90 3 2 4" xfId="10082" xr:uid="{00000000-0005-0000-0000-000091250000}"/>
    <cellStyle name="Normal 90 3 3" xfId="6243" xr:uid="{00000000-0005-0000-0000-000092250000}"/>
    <cellStyle name="Normal 90 3 3 2" xfId="6244" xr:uid="{00000000-0005-0000-0000-000093250000}"/>
    <cellStyle name="Normal 90 3 3 2 2" xfId="10083" xr:uid="{00000000-0005-0000-0000-000094250000}"/>
    <cellStyle name="Normal 90 3 3 3" xfId="10084" xr:uid="{00000000-0005-0000-0000-000095250000}"/>
    <cellStyle name="Normal 90 3 4" xfId="6245" xr:uid="{00000000-0005-0000-0000-000096250000}"/>
    <cellStyle name="Normal 90 3 4 2" xfId="10085" xr:uid="{00000000-0005-0000-0000-000097250000}"/>
    <cellStyle name="Normal 90 3 5" xfId="6246" xr:uid="{00000000-0005-0000-0000-000098250000}"/>
    <cellStyle name="Normal 90 4" xfId="6247" xr:uid="{00000000-0005-0000-0000-000099250000}"/>
    <cellStyle name="Normal 90 4 2" xfId="6248" xr:uid="{00000000-0005-0000-0000-00009A250000}"/>
    <cellStyle name="Normal 90 4 2 2" xfId="6249" xr:uid="{00000000-0005-0000-0000-00009B250000}"/>
    <cellStyle name="Normal 90 4 2 2 2" xfId="6250" xr:uid="{00000000-0005-0000-0000-00009C250000}"/>
    <cellStyle name="Normal 90 4 2 2 2 2" xfId="10086" xr:uid="{00000000-0005-0000-0000-00009D250000}"/>
    <cellStyle name="Normal 90 4 2 2 3" xfId="10087" xr:uid="{00000000-0005-0000-0000-00009E250000}"/>
    <cellStyle name="Normal 90 4 2 3" xfId="6251" xr:uid="{00000000-0005-0000-0000-00009F250000}"/>
    <cellStyle name="Normal 90 4 2 3 2" xfId="10088" xr:uid="{00000000-0005-0000-0000-0000A0250000}"/>
    <cellStyle name="Normal 90 4 2 4" xfId="10089" xr:uid="{00000000-0005-0000-0000-0000A1250000}"/>
    <cellStyle name="Normal 90 4 3" xfId="6252" xr:uid="{00000000-0005-0000-0000-0000A2250000}"/>
    <cellStyle name="Normal 90 4 3 2" xfId="6253" xr:uid="{00000000-0005-0000-0000-0000A3250000}"/>
    <cellStyle name="Normal 90 4 3 2 2" xfId="10090" xr:uid="{00000000-0005-0000-0000-0000A4250000}"/>
    <cellStyle name="Normal 90 4 3 3" xfId="10091" xr:uid="{00000000-0005-0000-0000-0000A5250000}"/>
    <cellStyle name="Normal 90 4 4" xfId="6254" xr:uid="{00000000-0005-0000-0000-0000A6250000}"/>
    <cellStyle name="Normal 90 4 4 2" xfId="10092" xr:uid="{00000000-0005-0000-0000-0000A7250000}"/>
    <cellStyle name="Normal 90 4 5" xfId="10093" xr:uid="{00000000-0005-0000-0000-0000A8250000}"/>
    <cellStyle name="Normal 90 5" xfId="6255" xr:uid="{00000000-0005-0000-0000-0000A9250000}"/>
    <cellStyle name="Normal 90 5 2" xfId="6256" xr:uid="{00000000-0005-0000-0000-0000AA250000}"/>
    <cellStyle name="Normal 90 5 2 2" xfId="6257" xr:uid="{00000000-0005-0000-0000-0000AB250000}"/>
    <cellStyle name="Normal 90 5 2 2 2" xfId="6258" xr:uid="{00000000-0005-0000-0000-0000AC250000}"/>
    <cellStyle name="Normal 90 5 2 2 2 2" xfId="10094" xr:uid="{00000000-0005-0000-0000-0000AD250000}"/>
    <cellStyle name="Normal 90 5 2 2 3" xfId="10095" xr:uid="{00000000-0005-0000-0000-0000AE250000}"/>
    <cellStyle name="Normal 90 5 2 3" xfId="6259" xr:uid="{00000000-0005-0000-0000-0000AF250000}"/>
    <cellStyle name="Normal 90 5 2 3 2" xfId="10096" xr:uid="{00000000-0005-0000-0000-0000B0250000}"/>
    <cellStyle name="Normal 90 5 2 4" xfId="10097" xr:uid="{00000000-0005-0000-0000-0000B1250000}"/>
    <cellStyle name="Normal 90 5 3" xfId="6260" xr:uid="{00000000-0005-0000-0000-0000B2250000}"/>
    <cellStyle name="Normal 90 5 3 2" xfId="6261" xr:uid="{00000000-0005-0000-0000-0000B3250000}"/>
    <cellStyle name="Normal 90 5 3 2 2" xfId="10098" xr:uid="{00000000-0005-0000-0000-0000B4250000}"/>
    <cellStyle name="Normal 90 5 3 3" xfId="10099" xr:uid="{00000000-0005-0000-0000-0000B5250000}"/>
    <cellStyle name="Normal 90 5 4" xfId="6262" xr:uid="{00000000-0005-0000-0000-0000B6250000}"/>
    <cellStyle name="Normal 90 5 4 2" xfId="10100" xr:uid="{00000000-0005-0000-0000-0000B7250000}"/>
    <cellStyle name="Normal 90 5 5" xfId="10101" xr:uid="{00000000-0005-0000-0000-0000B8250000}"/>
    <cellStyle name="Normal 90 6" xfId="6263" xr:uid="{00000000-0005-0000-0000-0000B9250000}"/>
    <cellStyle name="Normal 90 6 2" xfId="6264" xr:uid="{00000000-0005-0000-0000-0000BA250000}"/>
    <cellStyle name="Normal 90 6 2 2" xfId="6265" xr:uid="{00000000-0005-0000-0000-0000BB250000}"/>
    <cellStyle name="Normal 90 6 2 2 2" xfId="10102" xr:uid="{00000000-0005-0000-0000-0000BC250000}"/>
    <cellStyle name="Normal 90 6 2 3" xfId="10103" xr:uid="{00000000-0005-0000-0000-0000BD250000}"/>
    <cellStyle name="Normal 90 6 3" xfId="6266" xr:uid="{00000000-0005-0000-0000-0000BE250000}"/>
    <cellStyle name="Normal 90 6 3 2" xfId="10104" xr:uid="{00000000-0005-0000-0000-0000BF250000}"/>
    <cellStyle name="Normal 90 6 4" xfId="10105" xr:uid="{00000000-0005-0000-0000-0000C0250000}"/>
    <cellStyle name="Normal 90 7" xfId="6267" xr:uid="{00000000-0005-0000-0000-0000C1250000}"/>
    <cellStyle name="Normal 90 7 2" xfId="6268" xr:uid="{00000000-0005-0000-0000-0000C2250000}"/>
    <cellStyle name="Normal 90 7 2 2" xfId="10106" xr:uid="{00000000-0005-0000-0000-0000C3250000}"/>
    <cellStyle name="Normal 90 7 3" xfId="10107" xr:uid="{00000000-0005-0000-0000-0000C4250000}"/>
    <cellStyle name="Normal 90 8" xfId="6269" xr:uid="{00000000-0005-0000-0000-0000C5250000}"/>
    <cellStyle name="Normal 90 8 2" xfId="10108" xr:uid="{00000000-0005-0000-0000-0000C6250000}"/>
    <cellStyle name="Normal 90 9" xfId="10109" xr:uid="{00000000-0005-0000-0000-0000C7250000}"/>
    <cellStyle name="Normal 91" xfId="6270" xr:uid="{00000000-0005-0000-0000-0000C8250000}"/>
    <cellStyle name="Normal 91 2" xfId="6271" xr:uid="{00000000-0005-0000-0000-0000C9250000}"/>
    <cellStyle name="Normal 91 2 2" xfId="6272" xr:uid="{00000000-0005-0000-0000-0000CA250000}"/>
    <cellStyle name="Normal 91 3" xfId="6273" xr:uid="{00000000-0005-0000-0000-0000CB250000}"/>
    <cellStyle name="Normal 91 3 2" xfId="6274" xr:uid="{00000000-0005-0000-0000-0000CC250000}"/>
    <cellStyle name="Normal 91 3 2 2" xfId="6275" xr:uid="{00000000-0005-0000-0000-0000CD250000}"/>
    <cellStyle name="Normal 91 3 2 2 2" xfId="6276" xr:uid="{00000000-0005-0000-0000-0000CE250000}"/>
    <cellStyle name="Normal 91 3 2 2 2 2" xfId="10110" xr:uid="{00000000-0005-0000-0000-0000CF250000}"/>
    <cellStyle name="Normal 91 3 2 2 3" xfId="10111" xr:uid="{00000000-0005-0000-0000-0000D0250000}"/>
    <cellStyle name="Normal 91 3 2 3" xfId="6277" xr:uid="{00000000-0005-0000-0000-0000D1250000}"/>
    <cellStyle name="Normal 91 3 2 3 2" xfId="10112" xr:uid="{00000000-0005-0000-0000-0000D2250000}"/>
    <cellStyle name="Normal 91 3 2 4" xfId="10113" xr:uid="{00000000-0005-0000-0000-0000D3250000}"/>
    <cellStyle name="Normal 91 3 3" xfId="6278" xr:uid="{00000000-0005-0000-0000-0000D4250000}"/>
    <cellStyle name="Normal 91 3 3 2" xfId="6279" xr:uid="{00000000-0005-0000-0000-0000D5250000}"/>
    <cellStyle name="Normal 91 3 3 2 2" xfId="10114" xr:uid="{00000000-0005-0000-0000-0000D6250000}"/>
    <cellStyle name="Normal 91 3 3 3" xfId="10115" xr:uid="{00000000-0005-0000-0000-0000D7250000}"/>
    <cellStyle name="Normal 91 3 4" xfId="6280" xr:uid="{00000000-0005-0000-0000-0000D8250000}"/>
    <cellStyle name="Normal 91 3 4 2" xfId="10116" xr:uid="{00000000-0005-0000-0000-0000D9250000}"/>
    <cellStyle name="Normal 91 3 5" xfId="6281" xr:uid="{00000000-0005-0000-0000-0000DA250000}"/>
    <cellStyle name="Normal 91 4" xfId="6282" xr:uid="{00000000-0005-0000-0000-0000DB250000}"/>
    <cellStyle name="Normal 91 4 2" xfId="6283" xr:uid="{00000000-0005-0000-0000-0000DC250000}"/>
    <cellStyle name="Normal 91 4 2 2" xfId="6284" xr:uid="{00000000-0005-0000-0000-0000DD250000}"/>
    <cellStyle name="Normal 91 4 2 2 2" xfId="6285" xr:uid="{00000000-0005-0000-0000-0000DE250000}"/>
    <cellStyle name="Normal 91 4 2 2 2 2" xfId="10117" xr:uid="{00000000-0005-0000-0000-0000DF250000}"/>
    <cellStyle name="Normal 91 4 2 2 3" xfId="10118" xr:uid="{00000000-0005-0000-0000-0000E0250000}"/>
    <cellStyle name="Normal 91 4 2 3" xfId="6286" xr:uid="{00000000-0005-0000-0000-0000E1250000}"/>
    <cellStyle name="Normal 91 4 2 3 2" xfId="10119" xr:uid="{00000000-0005-0000-0000-0000E2250000}"/>
    <cellStyle name="Normal 91 4 2 4" xfId="10120" xr:uid="{00000000-0005-0000-0000-0000E3250000}"/>
    <cellStyle name="Normal 91 4 3" xfId="6287" xr:uid="{00000000-0005-0000-0000-0000E4250000}"/>
    <cellStyle name="Normal 91 4 3 2" xfId="6288" xr:uid="{00000000-0005-0000-0000-0000E5250000}"/>
    <cellStyle name="Normal 91 4 3 2 2" xfId="10121" xr:uid="{00000000-0005-0000-0000-0000E6250000}"/>
    <cellStyle name="Normal 91 4 3 3" xfId="10122" xr:uid="{00000000-0005-0000-0000-0000E7250000}"/>
    <cellStyle name="Normal 91 4 4" xfId="6289" xr:uid="{00000000-0005-0000-0000-0000E8250000}"/>
    <cellStyle name="Normal 91 4 4 2" xfId="10123" xr:uid="{00000000-0005-0000-0000-0000E9250000}"/>
    <cellStyle name="Normal 91 4 5" xfId="10124" xr:uid="{00000000-0005-0000-0000-0000EA250000}"/>
    <cellStyle name="Normal 91 5" xfId="6290" xr:uid="{00000000-0005-0000-0000-0000EB250000}"/>
    <cellStyle name="Normal 91 5 2" xfId="6291" xr:uid="{00000000-0005-0000-0000-0000EC250000}"/>
    <cellStyle name="Normal 91 5 2 2" xfId="6292" xr:uid="{00000000-0005-0000-0000-0000ED250000}"/>
    <cellStyle name="Normal 91 5 2 2 2" xfId="6293" xr:uid="{00000000-0005-0000-0000-0000EE250000}"/>
    <cellStyle name="Normal 91 5 2 2 2 2" xfId="10125" xr:uid="{00000000-0005-0000-0000-0000EF250000}"/>
    <cellStyle name="Normal 91 5 2 2 3" xfId="10126" xr:uid="{00000000-0005-0000-0000-0000F0250000}"/>
    <cellStyle name="Normal 91 5 2 3" xfId="6294" xr:uid="{00000000-0005-0000-0000-0000F1250000}"/>
    <cellStyle name="Normal 91 5 2 3 2" xfId="10127" xr:uid="{00000000-0005-0000-0000-0000F2250000}"/>
    <cellStyle name="Normal 91 5 2 4" xfId="10128" xr:uid="{00000000-0005-0000-0000-0000F3250000}"/>
    <cellStyle name="Normal 91 5 3" xfId="6295" xr:uid="{00000000-0005-0000-0000-0000F4250000}"/>
    <cellStyle name="Normal 91 5 3 2" xfId="6296" xr:uid="{00000000-0005-0000-0000-0000F5250000}"/>
    <cellStyle name="Normal 91 5 3 2 2" xfId="10129" xr:uid="{00000000-0005-0000-0000-0000F6250000}"/>
    <cellStyle name="Normal 91 5 3 3" xfId="10130" xr:uid="{00000000-0005-0000-0000-0000F7250000}"/>
    <cellStyle name="Normal 91 5 4" xfId="6297" xr:uid="{00000000-0005-0000-0000-0000F8250000}"/>
    <cellStyle name="Normal 91 5 4 2" xfId="10131" xr:uid="{00000000-0005-0000-0000-0000F9250000}"/>
    <cellStyle name="Normal 91 5 5" xfId="10132" xr:uid="{00000000-0005-0000-0000-0000FA250000}"/>
    <cellStyle name="Normal 91 6" xfId="6298" xr:uid="{00000000-0005-0000-0000-0000FB250000}"/>
    <cellStyle name="Normal 91 6 2" xfId="6299" xr:uid="{00000000-0005-0000-0000-0000FC250000}"/>
    <cellStyle name="Normal 91 6 2 2" xfId="6300" xr:uid="{00000000-0005-0000-0000-0000FD250000}"/>
    <cellStyle name="Normal 91 6 2 2 2" xfId="10133" xr:uid="{00000000-0005-0000-0000-0000FE250000}"/>
    <cellStyle name="Normal 91 6 2 3" xfId="10134" xr:uid="{00000000-0005-0000-0000-0000FF250000}"/>
    <cellStyle name="Normal 91 6 3" xfId="6301" xr:uid="{00000000-0005-0000-0000-000000260000}"/>
    <cellStyle name="Normal 91 6 3 2" xfId="10135" xr:uid="{00000000-0005-0000-0000-000001260000}"/>
    <cellStyle name="Normal 91 6 4" xfId="10136" xr:uid="{00000000-0005-0000-0000-000002260000}"/>
    <cellStyle name="Normal 91 7" xfId="6302" xr:uid="{00000000-0005-0000-0000-000003260000}"/>
    <cellStyle name="Normal 91 7 2" xfId="6303" xr:uid="{00000000-0005-0000-0000-000004260000}"/>
    <cellStyle name="Normal 91 7 2 2" xfId="10137" xr:uid="{00000000-0005-0000-0000-000005260000}"/>
    <cellStyle name="Normal 91 7 3" xfId="10138" xr:uid="{00000000-0005-0000-0000-000006260000}"/>
    <cellStyle name="Normal 91 8" xfId="6304" xr:uid="{00000000-0005-0000-0000-000007260000}"/>
    <cellStyle name="Normal 91 8 2" xfId="10139" xr:uid="{00000000-0005-0000-0000-000008260000}"/>
    <cellStyle name="Normal 91 9" xfId="10140" xr:uid="{00000000-0005-0000-0000-000009260000}"/>
    <cellStyle name="Normal 92" xfId="6305" xr:uid="{00000000-0005-0000-0000-00000A260000}"/>
    <cellStyle name="Normal 92 2" xfId="6306" xr:uid="{00000000-0005-0000-0000-00000B260000}"/>
    <cellStyle name="Normal 92 2 2" xfId="6307" xr:uid="{00000000-0005-0000-0000-00000C260000}"/>
    <cellStyle name="Normal 92 3" xfId="6308" xr:uid="{00000000-0005-0000-0000-00000D260000}"/>
    <cellStyle name="Normal 92 3 2" xfId="6309" xr:uid="{00000000-0005-0000-0000-00000E260000}"/>
    <cellStyle name="Normal 92 3 2 2" xfId="6310" xr:uid="{00000000-0005-0000-0000-00000F260000}"/>
    <cellStyle name="Normal 92 3 2 2 2" xfId="6311" xr:uid="{00000000-0005-0000-0000-000010260000}"/>
    <cellStyle name="Normal 92 3 2 2 2 2" xfId="10141" xr:uid="{00000000-0005-0000-0000-000011260000}"/>
    <cellStyle name="Normal 92 3 2 2 3" xfId="10142" xr:uid="{00000000-0005-0000-0000-000012260000}"/>
    <cellStyle name="Normal 92 3 2 3" xfId="6312" xr:uid="{00000000-0005-0000-0000-000013260000}"/>
    <cellStyle name="Normal 92 3 2 3 2" xfId="10143" xr:uid="{00000000-0005-0000-0000-000014260000}"/>
    <cellStyle name="Normal 92 3 2 4" xfId="10144" xr:uid="{00000000-0005-0000-0000-000015260000}"/>
    <cellStyle name="Normal 92 3 3" xfId="6313" xr:uid="{00000000-0005-0000-0000-000016260000}"/>
    <cellStyle name="Normal 92 3 3 2" xfId="6314" xr:uid="{00000000-0005-0000-0000-000017260000}"/>
    <cellStyle name="Normal 92 3 3 2 2" xfId="10145" xr:uid="{00000000-0005-0000-0000-000018260000}"/>
    <cellStyle name="Normal 92 3 3 3" xfId="10146" xr:uid="{00000000-0005-0000-0000-000019260000}"/>
    <cellStyle name="Normal 92 3 4" xfId="6315" xr:uid="{00000000-0005-0000-0000-00001A260000}"/>
    <cellStyle name="Normal 92 3 4 2" xfId="10147" xr:uid="{00000000-0005-0000-0000-00001B260000}"/>
    <cellStyle name="Normal 92 3 5" xfId="6316" xr:uid="{00000000-0005-0000-0000-00001C260000}"/>
    <cellStyle name="Normal 92 4" xfId="6317" xr:uid="{00000000-0005-0000-0000-00001D260000}"/>
    <cellStyle name="Normal 92 4 2" xfId="6318" xr:uid="{00000000-0005-0000-0000-00001E260000}"/>
    <cellStyle name="Normal 92 4 2 2" xfId="6319" xr:uid="{00000000-0005-0000-0000-00001F260000}"/>
    <cellStyle name="Normal 92 4 2 2 2" xfId="6320" xr:uid="{00000000-0005-0000-0000-000020260000}"/>
    <cellStyle name="Normal 92 4 2 2 2 2" xfId="10148" xr:uid="{00000000-0005-0000-0000-000021260000}"/>
    <cellStyle name="Normal 92 4 2 2 3" xfId="10149" xr:uid="{00000000-0005-0000-0000-000022260000}"/>
    <cellStyle name="Normal 92 4 2 3" xfId="6321" xr:uid="{00000000-0005-0000-0000-000023260000}"/>
    <cellStyle name="Normal 92 4 2 3 2" xfId="10150" xr:uid="{00000000-0005-0000-0000-000024260000}"/>
    <cellStyle name="Normal 92 4 2 4" xfId="10151" xr:uid="{00000000-0005-0000-0000-000025260000}"/>
    <cellStyle name="Normal 92 4 3" xfId="6322" xr:uid="{00000000-0005-0000-0000-000026260000}"/>
    <cellStyle name="Normal 92 4 3 2" xfId="6323" xr:uid="{00000000-0005-0000-0000-000027260000}"/>
    <cellStyle name="Normal 92 4 3 2 2" xfId="10152" xr:uid="{00000000-0005-0000-0000-000028260000}"/>
    <cellStyle name="Normal 92 4 3 3" xfId="10153" xr:uid="{00000000-0005-0000-0000-000029260000}"/>
    <cellStyle name="Normal 92 4 4" xfId="6324" xr:uid="{00000000-0005-0000-0000-00002A260000}"/>
    <cellStyle name="Normal 92 4 4 2" xfId="10154" xr:uid="{00000000-0005-0000-0000-00002B260000}"/>
    <cellStyle name="Normal 92 4 5" xfId="10155" xr:uid="{00000000-0005-0000-0000-00002C260000}"/>
    <cellStyle name="Normal 92 5" xfId="6325" xr:uid="{00000000-0005-0000-0000-00002D260000}"/>
    <cellStyle name="Normal 92 5 2" xfId="6326" xr:uid="{00000000-0005-0000-0000-00002E260000}"/>
    <cellStyle name="Normal 92 5 2 2" xfId="6327" xr:uid="{00000000-0005-0000-0000-00002F260000}"/>
    <cellStyle name="Normal 92 5 2 2 2" xfId="6328" xr:uid="{00000000-0005-0000-0000-000030260000}"/>
    <cellStyle name="Normal 92 5 2 2 2 2" xfId="10156" xr:uid="{00000000-0005-0000-0000-000031260000}"/>
    <cellStyle name="Normal 92 5 2 2 3" xfId="10157" xr:uid="{00000000-0005-0000-0000-000032260000}"/>
    <cellStyle name="Normal 92 5 2 3" xfId="6329" xr:uid="{00000000-0005-0000-0000-000033260000}"/>
    <cellStyle name="Normal 92 5 2 3 2" xfId="10158" xr:uid="{00000000-0005-0000-0000-000034260000}"/>
    <cellStyle name="Normal 92 5 2 4" xfId="10159" xr:uid="{00000000-0005-0000-0000-000035260000}"/>
    <cellStyle name="Normal 92 5 3" xfId="6330" xr:uid="{00000000-0005-0000-0000-000036260000}"/>
    <cellStyle name="Normal 92 5 3 2" xfId="6331" xr:uid="{00000000-0005-0000-0000-000037260000}"/>
    <cellStyle name="Normal 92 5 3 2 2" xfId="10160" xr:uid="{00000000-0005-0000-0000-000038260000}"/>
    <cellStyle name="Normal 92 5 3 3" xfId="10161" xr:uid="{00000000-0005-0000-0000-000039260000}"/>
    <cellStyle name="Normal 92 5 4" xfId="6332" xr:uid="{00000000-0005-0000-0000-00003A260000}"/>
    <cellStyle name="Normal 92 5 4 2" xfId="10162" xr:uid="{00000000-0005-0000-0000-00003B260000}"/>
    <cellStyle name="Normal 92 5 5" xfId="10163" xr:uid="{00000000-0005-0000-0000-00003C260000}"/>
    <cellStyle name="Normal 92 6" xfId="6333" xr:uid="{00000000-0005-0000-0000-00003D260000}"/>
    <cellStyle name="Normal 92 6 2" xfId="6334" xr:uid="{00000000-0005-0000-0000-00003E260000}"/>
    <cellStyle name="Normal 92 6 2 2" xfId="6335" xr:uid="{00000000-0005-0000-0000-00003F260000}"/>
    <cellStyle name="Normal 92 6 2 2 2" xfId="10164" xr:uid="{00000000-0005-0000-0000-000040260000}"/>
    <cellStyle name="Normal 92 6 2 3" xfId="10165" xr:uid="{00000000-0005-0000-0000-000041260000}"/>
    <cellStyle name="Normal 92 6 3" xfId="6336" xr:uid="{00000000-0005-0000-0000-000042260000}"/>
    <cellStyle name="Normal 92 6 3 2" xfId="10166" xr:uid="{00000000-0005-0000-0000-000043260000}"/>
    <cellStyle name="Normal 92 6 4" xfId="10167" xr:uid="{00000000-0005-0000-0000-000044260000}"/>
    <cellStyle name="Normal 92 7" xfId="6337" xr:uid="{00000000-0005-0000-0000-000045260000}"/>
    <cellStyle name="Normal 92 7 2" xfId="6338" xr:uid="{00000000-0005-0000-0000-000046260000}"/>
    <cellStyle name="Normal 92 7 2 2" xfId="10168" xr:uid="{00000000-0005-0000-0000-000047260000}"/>
    <cellStyle name="Normal 92 7 3" xfId="10169" xr:uid="{00000000-0005-0000-0000-000048260000}"/>
    <cellStyle name="Normal 92 8" xfId="6339" xr:uid="{00000000-0005-0000-0000-000049260000}"/>
    <cellStyle name="Normal 92 8 2" xfId="10170" xr:uid="{00000000-0005-0000-0000-00004A260000}"/>
    <cellStyle name="Normal 92 9" xfId="10171" xr:uid="{00000000-0005-0000-0000-00004B260000}"/>
    <cellStyle name="Normal 93" xfId="6340" xr:uid="{00000000-0005-0000-0000-00004C260000}"/>
    <cellStyle name="Normal 93 2" xfId="6341" xr:uid="{00000000-0005-0000-0000-00004D260000}"/>
    <cellStyle name="Normal 93 2 2" xfId="6342" xr:uid="{00000000-0005-0000-0000-00004E260000}"/>
    <cellStyle name="Normal 93 3" xfId="6343" xr:uid="{00000000-0005-0000-0000-00004F260000}"/>
    <cellStyle name="Normal 93 3 2" xfId="6344" xr:uid="{00000000-0005-0000-0000-000050260000}"/>
    <cellStyle name="Normal 93 3 2 2" xfId="6345" xr:uid="{00000000-0005-0000-0000-000051260000}"/>
    <cellStyle name="Normal 93 3 2 2 2" xfId="6346" xr:uid="{00000000-0005-0000-0000-000052260000}"/>
    <cellStyle name="Normal 93 3 2 2 2 2" xfId="10172" xr:uid="{00000000-0005-0000-0000-000053260000}"/>
    <cellStyle name="Normal 93 3 2 2 3" xfId="10173" xr:uid="{00000000-0005-0000-0000-000054260000}"/>
    <cellStyle name="Normal 93 3 2 3" xfId="6347" xr:uid="{00000000-0005-0000-0000-000055260000}"/>
    <cellStyle name="Normal 93 3 2 3 2" xfId="10174" xr:uid="{00000000-0005-0000-0000-000056260000}"/>
    <cellStyle name="Normal 93 3 2 4" xfId="10175" xr:uid="{00000000-0005-0000-0000-000057260000}"/>
    <cellStyle name="Normal 93 3 3" xfId="6348" xr:uid="{00000000-0005-0000-0000-000058260000}"/>
    <cellStyle name="Normal 93 3 3 2" xfId="6349" xr:uid="{00000000-0005-0000-0000-000059260000}"/>
    <cellStyle name="Normal 93 3 3 2 2" xfId="10176" xr:uid="{00000000-0005-0000-0000-00005A260000}"/>
    <cellStyle name="Normal 93 3 3 3" xfId="10177" xr:uid="{00000000-0005-0000-0000-00005B260000}"/>
    <cellStyle name="Normal 93 3 4" xfId="6350" xr:uid="{00000000-0005-0000-0000-00005C260000}"/>
    <cellStyle name="Normal 93 3 4 2" xfId="10178" xr:uid="{00000000-0005-0000-0000-00005D260000}"/>
    <cellStyle name="Normal 93 3 5" xfId="6351" xr:uid="{00000000-0005-0000-0000-00005E260000}"/>
    <cellStyle name="Normal 93 4" xfId="6352" xr:uid="{00000000-0005-0000-0000-00005F260000}"/>
    <cellStyle name="Normal 93 4 2" xfId="6353" xr:uid="{00000000-0005-0000-0000-000060260000}"/>
    <cellStyle name="Normal 93 4 2 2" xfId="6354" xr:uid="{00000000-0005-0000-0000-000061260000}"/>
    <cellStyle name="Normal 93 4 2 2 2" xfId="6355" xr:uid="{00000000-0005-0000-0000-000062260000}"/>
    <cellStyle name="Normal 93 4 2 2 2 2" xfId="10179" xr:uid="{00000000-0005-0000-0000-000063260000}"/>
    <cellStyle name="Normal 93 4 2 2 3" xfId="10180" xr:uid="{00000000-0005-0000-0000-000064260000}"/>
    <cellStyle name="Normal 93 4 2 3" xfId="6356" xr:uid="{00000000-0005-0000-0000-000065260000}"/>
    <cellStyle name="Normal 93 4 2 3 2" xfId="10181" xr:uid="{00000000-0005-0000-0000-000066260000}"/>
    <cellStyle name="Normal 93 4 2 4" xfId="10182" xr:uid="{00000000-0005-0000-0000-000067260000}"/>
    <cellStyle name="Normal 93 4 3" xfId="6357" xr:uid="{00000000-0005-0000-0000-000068260000}"/>
    <cellStyle name="Normal 93 4 3 2" xfId="6358" xr:uid="{00000000-0005-0000-0000-000069260000}"/>
    <cellStyle name="Normal 93 4 3 2 2" xfId="10183" xr:uid="{00000000-0005-0000-0000-00006A260000}"/>
    <cellStyle name="Normal 93 4 3 3" xfId="10184" xr:uid="{00000000-0005-0000-0000-00006B260000}"/>
    <cellStyle name="Normal 93 4 4" xfId="6359" xr:uid="{00000000-0005-0000-0000-00006C260000}"/>
    <cellStyle name="Normal 93 4 4 2" xfId="10185" xr:uid="{00000000-0005-0000-0000-00006D260000}"/>
    <cellStyle name="Normal 93 4 5" xfId="10186" xr:uid="{00000000-0005-0000-0000-00006E260000}"/>
    <cellStyle name="Normal 93 5" xfId="6360" xr:uid="{00000000-0005-0000-0000-00006F260000}"/>
    <cellStyle name="Normal 93 5 2" xfId="6361" xr:uid="{00000000-0005-0000-0000-000070260000}"/>
    <cellStyle name="Normal 93 5 2 2" xfId="6362" xr:uid="{00000000-0005-0000-0000-000071260000}"/>
    <cellStyle name="Normal 93 5 2 2 2" xfId="6363" xr:uid="{00000000-0005-0000-0000-000072260000}"/>
    <cellStyle name="Normal 93 5 2 2 2 2" xfId="10187" xr:uid="{00000000-0005-0000-0000-000073260000}"/>
    <cellStyle name="Normal 93 5 2 2 3" xfId="10188" xr:uid="{00000000-0005-0000-0000-000074260000}"/>
    <cellStyle name="Normal 93 5 2 3" xfId="6364" xr:uid="{00000000-0005-0000-0000-000075260000}"/>
    <cellStyle name="Normal 93 5 2 3 2" xfId="10189" xr:uid="{00000000-0005-0000-0000-000076260000}"/>
    <cellStyle name="Normal 93 5 2 4" xfId="10190" xr:uid="{00000000-0005-0000-0000-000077260000}"/>
    <cellStyle name="Normal 93 5 3" xfId="6365" xr:uid="{00000000-0005-0000-0000-000078260000}"/>
    <cellStyle name="Normal 93 5 3 2" xfId="6366" xr:uid="{00000000-0005-0000-0000-000079260000}"/>
    <cellStyle name="Normal 93 5 3 2 2" xfId="10191" xr:uid="{00000000-0005-0000-0000-00007A260000}"/>
    <cellStyle name="Normal 93 5 3 3" xfId="10192" xr:uid="{00000000-0005-0000-0000-00007B260000}"/>
    <cellStyle name="Normal 93 5 4" xfId="6367" xr:uid="{00000000-0005-0000-0000-00007C260000}"/>
    <cellStyle name="Normal 93 5 4 2" xfId="10193" xr:uid="{00000000-0005-0000-0000-00007D260000}"/>
    <cellStyle name="Normal 93 5 5" xfId="10194" xr:uid="{00000000-0005-0000-0000-00007E260000}"/>
    <cellStyle name="Normal 93 6" xfId="6368" xr:uid="{00000000-0005-0000-0000-00007F260000}"/>
    <cellStyle name="Normal 93 6 2" xfId="6369" xr:uid="{00000000-0005-0000-0000-000080260000}"/>
    <cellStyle name="Normal 93 6 2 2" xfId="6370" xr:uid="{00000000-0005-0000-0000-000081260000}"/>
    <cellStyle name="Normal 93 6 2 2 2" xfId="10195" xr:uid="{00000000-0005-0000-0000-000082260000}"/>
    <cellStyle name="Normal 93 6 2 3" xfId="10196" xr:uid="{00000000-0005-0000-0000-000083260000}"/>
    <cellStyle name="Normal 93 6 3" xfId="6371" xr:uid="{00000000-0005-0000-0000-000084260000}"/>
    <cellStyle name="Normal 93 6 3 2" xfId="10197" xr:uid="{00000000-0005-0000-0000-000085260000}"/>
    <cellStyle name="Normal 93 6 4" xfId="10198" xr:uid="{00000000-0005-0000-0000-000086260000}"/>
    <cellStyle name="Normal 93 7" xfId="6372" xr:uid="{00000000-0005-0000-0000-000087260000}"/>
    <cellStyle name="Normal 93 7 2" xfId="6373" xr:uid="{00000000-0005-0000-0000-000088260000}"/>
    <cellStyle name="Normal 93 7 2 2" xfId="10199" xr:uid="{00000000-0005-0000-0000-000089260000}"/>
    <cellStyle name="Normal 93 7 3" xfId="10200" xr:uid="{00000000-0005-0000-0000-00008A260000}"/>
    <cellStyle name="Normal 93 8" xfId="6374" xr:uid="{00000000-0005-0000-0000-00008B260000}"/>
    <cellStyle name="Normal 93 8 2" xfId="10201" xr:uid="{00000000-0005-0000-0000-00008C260000}"/>
    <cellStyle name="Normal 93 9" xfId="10202" xr:uid="{00000000-0005-0000-0000-00008D260000}"/>
    <cellStyle name="Normal 94" xfId="6375" xr:uid="{00000000-0005-0000-0000-00008E260000}"/>
    <cellStyle name="Normal 94 2" xfId="6376" xr:uid="{00000000-0005-0000-0000-00008F260000}"/>
    <cellStyle name="Normal 94 2 2" xfId="6377" xr:uid="{00000000-0005-0000-0000-000090260000}"/>
    <cellStyle name="Normal 94 3" xfId="6378" xr:uid="{00000000-0005-0000-0000-000091260000}"/>
    <cellStyle name="Normal 94 3 2" xfId="6379" xr:uid="{00000000-0005-0000-0000-000092260000}"/>
    <cellStyle name="Normal 94 3 2 2" xfId="6380" xr:uid="{00000000-0005-0000-0000-000093260000}"/>
    <cellStyle name="Normal 94 3 2 2 2" xfId="6381" xr:uid="{00000000-0005-0000-0000-000094260000}"/>
    <cellStyle name="Normal 94 3 2 2 2 2" xfId="10203" xr:uid="{00000000-0005-0000-0000-000095260000}"/>
    <cellStyle name="Normal 94 3 2 2 3" xfId="10204" xr:uid="{00000000-0005-0000-0000-000096260000}"/>
    <cellStyle name="Normal 94 3 2 3" xfId="6382" xr:uid="{00000000-0005-0000-0000-000097260000}"/>
    <cellStyle name="Normal 94 3 2 3 2" xfId="10205" xr:uid="{00000000-0005-0000-0000-000098260000}"/>
    <cellStyle name="Normal 94 3 2 4" xfId="10206" xr:uid="{00000000-0005-0000-0000-000099260000}"/>
    <cellStyle name="Normal 94 3 3" xfId="6383" xr:uid="{00000000-0005-0000-0000-00009A260000}"/>
    <cellStyle name="Normal 94 3 3 2" xfId="6384" xr:uid="{00000000-0005-0000-0000-00009B260000}"/>
    <cellStyle name="Normal 94 3 3 2 2" xfId="10207" xr:uid="{00000000-0005-0000-0000-00009C260000}"/>
    <cellStyle name="Normal 94 3 3 3" xfId="10208" xr:uid="{00000000-0005-0000-0000-00009D260000}"/>
    <cellStyle name="Normal 94 3 4" xfId="6385" xr:uid="{00000000-0005-0000-0000-00009E260000}"/>
    <cellStyle name="Normal 94 3 4 2" xfId="10209" xr:uid="{00000000-0005-0000-0000-00009F260000}"/>
    <cellStyle name="Normal 94 3 5" xfId="6386" xr:uid="{00000000-0005-0000-0000-0000A0260000}"/>
    <cellStyle name="Normal 94 4" xfId="6387" xr:uid="{00000000-0005-0000-0000-0000A1260000}"/>
    <cellStyle name="Normal 94 4 2" xfId="6388" xr:uid="{00000000-0005-0000-0000-0000A2260000}"/>
    <cellStyle name="Normal 94 4 2 2" xfId="6389" xr:uid="{00000000-0005-0000-0000-0000A3260000}"/>
    <cellStyle name="Normal 94 4 2 2 2" xfId="6390" xr:uid="{00000000-0005-0000-0000-0000A4260000}"/>
    <cellStyle name="Normal 94 4 2 2 2 2" xfId="10210" xr:uid="{00000000-0005-0000-0000-0000A5260000}"/>
    <cellStyle name="Normal 94 4 2 2 3" xfId="10211" xr:uid="{00000000-0005-0000-0000-0000A6260000}"/>
    <cellStyle name="Normal 94 4 2 3" xfId="6391" xr:uid="{00000000-0005-0000-0000-0000A7260000}"/>
    <cellStyle name="Normal 94 4 2 3 2" xfId="10212" xr:uid="{00000000-0005-0000-0000-0000A8260000}"/>
    <cellStyle name="Normal 94 4 2 4" xfId="10213" xr:uid="{00000000-0005-0000-0000-0000A9260000}"/>
    <cellStyle name="Normal 94 4 3" xfId="6392" xr:uid="{00000000-0005-0000-0000-0000AA260000}"/>
    <cellStyle name="Normal 94 4 3 2" xfId="6393" xr:uid="{00000000-0005-0000-0000-0000AB260000}"/>
    <cellStyle name="Normal 94 4 3 2 2" xfId="10214" xr:uid="{00000000-0005-0000-0000-0000AC260000}"/>
    <cellStyle name="Normal 94 4 3 3" xfId="10215" xr:uid="{00000000-0005-0000-0000-0000AD260000}"/>
    <cellStyle name="Normal 94 4 4" xfId="6394" xr:uid="{00000000-0005-0000-0000-0000AE260000}"/>
    <cellStyle name="Normal 94 4 4 2" xfId="10216" xr:uid="{00000000-0005-0000-0000-0000AF260000}"/>
    <cellStyle name="Normal 94 4 5" xfId="10217" xr:uid="{00000000-0005-0000-0000-0000B0260000}"/>
    <cellStyle name="Normal 94 5" xfId="6395" xr:uid="{00000000-0005-0000-0000-0000B1260000}"/>
    <cellStyle name="Normal 94 5 2" xfId="6396" xr:uid="{00000000-0005-0000-0000-0000B2260000}"/>
    <cellStyle name="Normal 94 5 2 2" xfId="6397" xr:uid="{00000000-0005-0000-0000-0000B3260000}"/>
    <cellStyle name="Normal 94 5 2 2 2" xfId="6398" xr:uid="{00000000-0005-0000-0000-0000B4260000}"/>
    <cellStyle name="Normal 94 5 2 2 2 2" xfId="10218" xr:uid="{00000000-0005-0000-0000-0000B5260000}"/>
    <cellStyle name="Normal 94 5 2 2 3" xfId="10219" xr:uid="{00000000-0005-0000-0000-0000B6260000}"/>
    <cellStyle name="Normal 94 5 2 3" xfId="6399" xr:uid="{00000000-0005-0000-0000-0000B7260000}"/>
    <cellStyle name="Normal 94 5 2 3 2" xfId="10220" xr:uid="{00000000-0005-0000-0000-0000B8260000}"/>
    <cellStyle name="Normal 94 5 2 4" xfId="10221" xr:uid="{00000000-0005-0000-0000-0000B9260000}"/>
    <cellStyle name="Normal 94 5 3" xfId="6400" xr:uid="{00000000-0005-0000-0000-0000BA260000}"/>
    <cellStyle name="Normal 94 5 3 2" xfId="6401" xr:uid="{00000000-0005-0000-0000-0000BB260000}"/>
    <cellStyle name="Normal 94 5 3 2 2" xfId="10222" xr:uid="{00000000-0005-0000-0000-0000BC260000}"/>
    <cellStyle name="Normal 94 5 3 3" xfId="10223" xr:uid="{00000000-0005-0000-0000-0000BD260000}"/>
    <cellStyle name="Normal 94 5 4" xfId="6402" xr:uid="{00000000-0005-0000-0000-0000BE260000}"/>
    <cellStyle name="Normal 94 5 4 2" xfId="10224" xr:uid="{00000000-0005-0000-0000-0000BF260000}"/>
    <cellStyle name="Normal 94 5 5" xfId="10225" xr:uid="{00000000-0005-0000-0000-0000C0260000}"/>
    <cellStyle name="Normal 94 6" xfId="6403" xr:uid="{00000000-0005-0000-0000-0000C1260000}"/>
    <cellStyle name="Normal 94 6 2" xfId="6404" xr:uid="{00000000-0005-0000-0000-0000C2260000}"/>
    <cellStyle name="Normal 94 6 2 2" xfId="6405" xr:uid="{00000000-0005-0000-0000-0000C3260000}"/>
    <cellStyle name="Normal 94 6 2 2 2" xfId="10226" xr:uid="{00000000-0005-0000-0000-0000C4260000}"/>
    <cellStyle name="Normal 94 6 2 3" xfId="10227" xr:uid="{00000000-0005-0000-0000-0000C5260000}"/>
    <cellStyle name="Normal 94 6 3" xfId="6406" xr:uid="{00000000-0005-0000-0000-0000C6260000}"/>
    <cellStyle name="Normal 94 6 3 2" xfId="10228" xr:uid="{00000000-0005-0000-0000-0000C7260000}"/>
    <cellStyle name="Normal 94 6 4" xfId="10229" xr:uid="{00000000-0005-0000-0000-0000C8260000}"/>
    <cellStyle name="Normal 94 7" xfId="6407" xr:uid="{00000000-0005-0000-0000-0000C9260000}"/>
    <cellStyle name="Normal 94 7 2" xfId="6408" xr:uid="{00000000-0005-0000-0000-0000CA260000}"/>
    <cellStyle name="Normal 94 7 2 2" xfId="10230" xr:uid="{00000000-0005-0000-0000-0000CB260000}"/>
    <cellStyle name="Normal 94 7 3" xfId="10231" xr:uid="{00000000-0005-0000-0000-0000CC260000}"/>
    <cellStyle name="Normal 94 8" xfId="6409" xr:uid="{00000000-0005-0000-0000-0000CD260000}"/>
    <cellStyle name="Normal 94 8 2" xfId="10232" xr:uid="{00000000-0005-0000-0000-0000CE260000}"/>
    <cellStyle name="Normal 94 9" xfId="10233" xr:uid="{00000000-0005-0000-0000-0000CF260000}"/>
    <cellStyle name="Normal 95" xfId="6410" xr:uid="{00000000-0005-0000-0000-0000D0260000}"/>
    <cellStyle name="Normal 95 2" xfId="6411" xr:uid="{00000000-0005-0000-0000-0000D1260000}"/>
    <cellStyle name="Normal 95 2 2" xfId="6412" xr:uid="{00000000-0005-0000-0000-0000D2260000}"/>
    <cellStyle name="Normal 95 3" xfId="6413" xr:uid="{00000000-0005-0000-0000-0000D3260000}"/>
    <cellStyle name="Normal 95 3 2" xfId="6414" xr:uid="{00000000-0005-0000-0000-0000D4260000}"/>
    <cellStyle name="Normal 95 3 2 2" xfId="6415" xr:uid="{00000000-0005-0000-0000-0000D5260000}"/>
    <cellStyle name="Normal 95 3 2 2 2" xfId="6416" xr:uid="{00000000-0005-0000-0000-0000D6260000}"/>
    <cellStyle name="Normal 95 3 2 2 2 2" xfId="10234" xr:uid="{00000000-0005-0000-0000-0000D7260000}"/>
    <cellStyle name="Normal 95 3 2 2 3" xfId="10235" xr:uid="{00000000-0005-0000-0000-0000D8260000}"/>
    <cellStyle name="Normal 95 3 2 3" xfId="6417" xr:uid="{00000000-0005-0000-0000-0000D9260000}"/>
    <cellStyle name="Normal 95 3 2 3 2" xfId="10236" xr:uid="{00000000-0005-0000-0000-0000DA260000}"/>
    <cellStyle name="Normal 95 3 2 4" xfId="10237" xr:uid="{00000000-0005-0000-0000-0000DB260000}"/>
    <cellStyle name="Normal 95 3 3" xfId="6418" xr:uid="{00000000-0005-0000-0000-0000DC260000}"/>
    <cellStyle name="Normal 95 3 3 2" xfId="6419" xr:uid="{00000000-0005-0000-0000-0000DD260000}"/>
    <cellStyle name="Normal 95 3 3 2 2" xfId="10238" xr:uid="{00000000-0005-0000-0000-0000DE260000}"/>
    <cellStyle name="Normal 95 3 3 3" xfId="10239" xr:uid="{00000000-0005-0000-0000-0000DF260000}"/>
    <cellStyle name="Normal 95 3 4" xfId="6420" xr:uid="{00000000-0005-0000-0000-0000E0260000}"/>
    <cellStyle name="Normal 95 3 4 2" xfId="10240" xr:uid="{00000000-0005-0000-0000-0000E1260000}"/>
    <cellStyle name="Normal 95 3 5" xfId="6421" xr:uid="{00000000-0005-0000-0000-0000E2260000}"/>
    <cellStyle name="Normal 95 4" xfId="6422" xr:uid="{00000000-0005-0000-0000-0000E3260000}"/>
    <cellStyle name="Normal 95 4 2" xfId="6423" xr:uid="{00000000-0005-0000-0000-0000E4260000}"/>
    <cellStyle name="Normal 95 4 2 2" xfId="6424" xr:uid="{00000000-0005-0000-0000-0000E5260000}"/>
    <cellStyle name="Normal 95 4 2 2 2" xfId="6425" xr:uid="{00000000-0005-0000-0000-0000E6260000}"/>
    <cellStyle name="Normal 95 4 2 2 2 2" xfId="10241" xr:uid="{00000000-0005-0000-0000-0000E7260000}"/>
    <cellStyle name="Normal 95 4 2 2 3" xfId="10242" xr:uid="{00000000-0005-0000-0000-0000E8260000}"/>
    <cellStyle name="Normal 95 4 2 3" xfId="6426" xr:uid="{00000000-0005-0000-0000-0000E9260000}"/>
    <cellStyle name="Normal 95 4 2 3 2" xfId="10243" xr:uid="{00000000-0005-0000-0000-0000EA260000}"/>
    <cellStyle name="Normal 95 4 2 4" xfId="10244" xr:uid="{00000000-0005-0000-0000-0000EB260000}"/>
    <cellStyle name="Normal 95 4 3" xfId="6427" xr:uid="{00000000-0005-0000-0000-0000EC260000}"/>
    <cellStyle name="Normal 95 4 3 2" xfId="6428" xr:uid="{00000000-0005-0000-0000-0000ED260000}"/>
    <cellStyle name="Normal 95 4 3 2 2" xfId="10245" xr:uid="{00000000-0005-0000-0000-0000EE260000}"/>
    <cellStyle name="Normal 95 4 3 3" xfId="10246" xr:uid="{00000000-0005-0000-0000-0000EF260000}"/>
    <cellStyle name="Normal 95 4 4" xfId="6429" xr:uid="{00000000-0005-0000-0000-0000F0260000}"/>
    <cellStyle name="Normal 95 4 4 2" xfId="10247" xr:uid="{00000000-0005-0000-0000-0000F1260000}"/>
    <cellStyle name="Normal 95 4 5" xfId="10248" xr:uid="{00000000-0005-0000-0000-0000F2260000}"/>
    <cellStyle name="Normal 95 5" xfId="6430" xr:uid="{00000000-0005-0000-0000-0000F3260000}"/>
    <cellStyle name="Normal 95 5 2" xfId="6431" xr:uid="{00000000-0005-0000-0000-0000F4260000}"/>
    <cellStyle name="Normal 95 5 2 2" xfId="6432" xr:uid="{00000000-0005-0000-0000-0000F5260000}"/>
    <cellStyle name="Normal 95 5 2 2 2" xfId="6433" xr:uid="{00000000-0005-0000-0000-0000F6260000}"/>
    <cellStyle name="Normal 95 5 2 2 2 2" xfId="10249" xr:uid="{00000000-0005-0000-0000-0000F7260000}"/>
    <cellStyle name="Normal 95 5 2 2 3" xfId="10250" xr:uid="{00000000-0005-0000-0000-0000F8260000}"/>
    <cellStyle name="Normal 95 5 2 3" xfId="6434" xr:uid="{00000000-0005-0000-0000-0000F9260000}"/>
    <cellStyle name="Normal 95 5 2 3 2" xfId="10251" xr:uid="{00000000-0005-0000-0000-0000FA260000}"/>
    <cellStyle name="Normal 95 5 2 4" xfId="10252" xr:uid="{00000000-0005-0000-0000-0000FB260000}"/>
    <cellStyle name="Normal 95 5 3" xfId="6435" xr:uid="{00000000-0005-0000-0000-0000FC260000}"/>
    <cellStyle name="Normal 95 5 3 2" xfId="6436" xr:uid="{00000000-0005-0000-0000-0000FD260000}"/>
    <cellStyle name="Normal 95 5 3 2 2" xfId="10253" xr:uid="{00000000-0005-0000-0000-0000FE260000}"/>
    <cellStyle name="Normal 95 5 3 3" xfId="10254" xr:uid="{00000000-0005-0000-0000-0000FF260000}"/>
    <cellStyle name="Normal 95 5 4" xfId="6437" xr:uid="{00000000-0005-0000-0000-000000270000}"/>
    <cellStyle name="Normal 95 5 4 2" xfId="10255" xr:uid="{00000000-0005-0000-0000-000001270000}"/>
    <cellStyle name="Normal 95 5 5" xfId="10256" xr:uid="{00000000-0005-0000-0000-000002270000}"/>
    <cellStyle name="Normal 95 6" xfId="6438" xr:uid="{00000000-0005-0000-0000-000003270000}"/>
    <cellStyle name="Normal 95 6 2" xfId="6439" xr:uid="{00000000-0005-0000-0000-000004270000}"/>
    <cellStyle name="Normal 95 6 2 2" xfId="6440" xr:uid="{00000000-0005-0000-0000-000005270000}"/>
    <cellStyle name="Normal 95 6 2 2 2" xfId="10257" xr:uid="{00000000-0005-0000-0000-000006270000}"/>
    <cellStyle name="Normal 95 6 2 3" xfId="10258" xr:uid="{00000000-0005-0000-0000-000007270000}"/>
    <cellStyle name="Normal 95 6 3" xfId="6441" xr:uid="{00000000-0005-0000-0000-000008270000}"/>
    <cellStyle name="Normal 95 6 3 2" xfId="10259" xr:uid="{00000000-0005-0000-0000-000009270000}"/>
    <cellStyle name="Normal 95 6 4" xfId="10260" xr:uid="{00000000-0005-0000-0000-00000A270000}"/>
    <cellStyle name="Normal 95 7" xfId="6442" xr:uid="{00000000-0005-0000-0000-00000B270000}"/>
    <cellStyle name="Normal 95 7 2" xfId="6443" xr:uid="{00000000-0005-0000-0000-00000C270000}"/>
    <cellStyle name="Normal 95 7 2 2" xfId="10261" xr:uid="{00000000-0005-0000-0000-00000D270000}"/>
    <cellStyle name="Normal 95 7 3" xfId="10262" xr:uid="{00000000-0005-0000-0000-00000E270000}"/>
    <cellStyle name="Normal 95 8" xfId="6444" xr:uid="{00000000-0005-0000-0000-00000F270000}"/>
    <cellStyle name="Normal 95 8 2" xfId="10263" xr:uid="{00000000-0005-0000-0000-000010270000}"/>
    <cellStyle name="Normal 95 9" xfId="10264" xr:uid="{00000000-0005-0000-0000-000011270000}"/>
    <cellStyle name="Normal 96" xfId="6445" xr:uid="{00000000-0005-0000-0000-000012270000}"/>
    <cellStyle name="Normal 96 2" xfId="6446" xr:uid="{00000000-0005-0000-0000-000013270000}"/>
    <cellStyle name="Normal 96 2 2" xfId="6447" xr:uid="{00000000-0005-0000-0000-000014270000}"/>
    <cellStyle name="Normal 96 3" xfId="6448" xr:uid="{00000000-0005-0000-0000-000015270000}"/>
    <cellStyle name="Normal 96 3 2" xfId="6449" xr:uid="{00000000-0005-0000-0000-000016270000}"/>
    <cellStyle name="Normal 96 3 2 2" xfId="6450" xr:uid="{00000000-0005-0000-0000-000017270000}"/>
    <cellStyle name="Normal 96 3 2 2 2" xfId="6451" xr:uid="{00000000-0005-0000-0000-000018270000}"/>
    <cellStyle name="Normal 96 3 2 2 2 2" xfId="10265" xr:uid="{00000000-0005-0000-0000-000019270000}"/>
    <cellStyle name="Normal 96 3 2 2 3" xfId="10266" xr:uid="{00000000-0005-0000-0000-00001A270000}"/>
    <cellStyle name="Normal 96 3 2 3" xfId="6452" xr:uid="{00000000-0005-0000-0000-00001B270000}"/>
    <cellStyle name="Normal 96 3 2 3 2" xfId="10267" xr:uid="{00000000-0005-0000-0000-00001C270000}"/>
    <cellStyle name="Normal 96 3 2 4" xfId="10268" xr:uid="{00000000-0005-0000-0000-00001D270000}"/>
    <cellStyle name="Normal 96 3 3" xfId="6453" xr:uid="{00000000-0005-0000-0000-00001E270000}"/>
    <cellStyle name="Normal 96 3 3 2" xfId="6454" xr:uid="{00000000-0005-0000-0000-00001F270000}"/>
    <cellStyle name="Normal 96 3 3 2 2" xfId="10269" xr:uid="{00000000-0005-0000-0000-000020270000}"/>
    <cellStyle name="Normal 96 3 3 3" xfId="10270" xr:uid="{00000000-0005-0000-0000-000021270000}"/>
    <cellStyle name="Normal 96 3 4" xfId="6455" xr:uid="{00000000-0005-0000-0000-000022270000}"/>
    <cellStyle name="Normal 96 3 4 2" xfId="10271" xr:uid="{00000000-0005-0000-0000-000023270000}"/>
    <cellStyle name="Normal 96 3 5" xfId="6456" xr:uid="{00000000-0005-0000-0000-000024270000}"/>
    <cellStyle name="Normal 96 4" xfId="6457" xr:uid="{00000000-0005-0000-0000-000025270000}"/>
    <cellStyle name="Normal 96 4 2" xfId="6458" xr:uid="{00000000-0005-0000-0000-000026270000}"/>
    <cellStyle name="Normal 96 4 2 2" xfId="6459" xr:uid="{00000000-0005-0000-0000-000027270000}"/>
    <cellStyle name="Normal 96 4 2 2 2" xfId="6460" xr:uid="{00000000-0005-0000-0000-000028270000}"/>
    <cellStyle name="Normal 96 4 2 2 2 2" xfId="10272" xr:uid="{00000000-0005-0000-0000-000029270000}"/>
    <cellStyle name="Normal 96 4 2 2 3" xfId="10273" xr:uid="{00000000-0005-0000-0000-00002A270000}"/>
    <cellStyle name="Normal 96 4 2 3" xfId="6461" xr:uid="{00000000-0005-0000-0000-00002B270000}"/>
    <cellStyle name="Normal 96 4 2 3 2" xfId="10274" xr:uid="{00000000-0005-0000-0000-00002C270000}"/>
    <cellStyle name="Normal 96 4 2 4" xfId="10275" xr:uid="{00000000-0005-0000-0000-00002D270000}"/>
    <cellStyle name="Normal 96 4 3" xfId="6462" xr:uid="{00000000-0005-0000-0000-00002E270000}"/>
    <cellStyle name="Normal 96 4 3 2" xfId="6463" xr:uid="{00000000-0005-0000-0000-00002F270000}"/>
    <cellStyle name="Normal 96 4 3 2 2" xfId="10276" xr:uid="{00000000-0005-0000-0000-000030270000}"/>
    <cellStyle name="Normal 96 4 3 3" xfId="10277" xr:uid="{00000000-0005-0000-0000-000031270000}"/>
    <cellStyle name="Normal 96 4 4" xfId="6464" xr:uid="{00000000-0005-0000-0000-000032270000}"/>
    <cellStyle name="Normal 96 4 4 2" xfId="10278" xr:uid="{00000000-0005-0000-0000-000033270000}"/>
    <cellStyle name="Normal 96 4 5" xfId="10279" xr:uid="{00000000-0005-0000-0000-000034270000}"/>
    <cellStyle name="Normal 96 5" xfId="6465" xr:uid="{00000000-0005-0000-0000-000035270000}"/>
    <cellStyle name="Normal 96 5 2" xfId="6466" xr:uid="{00000000-0005-0000-0000-000036270000}"/>
    <cellStyle name="Normal 96 5 2 2" xfId="6467" xr:uid="{00000000-0005-0000-0000-000037270000}"/>
    <cellStyle name="Normal 96 5 2 2 2" xfId="6468" xr:uid="{00000000-0005-0000-0000-000038270000}"/>
    <cellStyle name="Normal 96 5 2 2 2 2" xfId="10280" xr:uid="{00000000-0005-0000-0000-000039270000}"/>
    <cellStyle name="Normal 96 5 2 2 3" xfId="10281" xr:uid="{00000000-0005-0000-0000-00003A270000}"/>
    <cellStyle name="Normal 96 5 2 3" xfId="6469" xr:uid="{00000000-0005-0000-0000-00003B270000}"/>
    <cellStyle name="Normal 96 5 2 3 2" xfId="10282" xr:uid="{00000000-0005-0000-0000-00003C270000}"/>
    <cellStyle name="Normal 96 5 2 4" xfId="10283" xr:uid="{00000000-0005-0000-0000-00003D270000}"/>
    <cellStyle name="Normal 96 5 3" xfId="6470" xr:uid="{00000000-0005-0000-0000-00003E270000}"/>
    <cellStyle name="Normal 96 5 3 2" xfId="6471" xr:uid="{00000000-0005-0000-0000-00003F270000}"/>
    <cellStyle name="Normal 96 5 3 2 2" xfId="10284" xr:uid="{00000000-0005-0000-0000-000040270000}"/>
    <cellStyle name="Normal 96 5 3 3" xfId="10285" xr:uid="{00000000-0005-0000-0000-000041270000}"/>
    <cellStyle name="Normal 96 5 4" xfId="6472" xr:uid="{00000000-0005-0000-0000-000042270000}"/>
    <cellStyle name="Normal 96 5 4 2" xfId="10286" xr:uid="{00000000-0005-0000-0000-000043270000}"/>
    <cellStyle name="Normal 96 5 5" xfId="10287" xr:uid="{00000000-0005-0000-0000-000044270000}"/>
    <cellStyle name="Normal 96 6" xfId="6473" xr:uid="{00000000-0005-0000-0000-000045270000}"/>
    <cellStyle name="Normal 96 6 2" xfId="6474" xr:uid="{00000000-0005-0000-0000-000046270000}"/>
    <cellStyle name="Normal 96 6 2 2" xfId="6475" xr:uid="{00000000-0005-0000-0000-000047270000}"/>
    <cellStyle name="Normal 96 6 2 2 2" xfId="10288" xr:uid="{00000000-0005-0000-0000-000048270000}"/>
    <cellStyle name="Normal 96 6 2 3" xfId="10289" xr:uid="{00000000-0005-0000-0000-000049270000}"/>
    <cellStyle name="Normal 96 6 3" xfId="6476" xr:uid="{00000000-0005-0000-0000-00004A270000}"/>
    <cellStyle name="Normal 96 6 3 2" xfId="10290" xr:uid="{00000000-0005-0000-0000-00004B270000}"/>
    <cellStyle name="Normal 96 6 4" xfId="10291" xr:uid="{00000000-0005-0000-0000-00004C270000}"/>
    <cellStyle name="Normal 96 7" xfId="6477" xr:uid="{00000000-0005-0000-0000-00004D270000}"/>
    <cellStyle name="Normal 96 7 2" xfId="6478" xr:uid="{00000000-0005-0000-0000-00004E270000}"/>
    <cellStyle name="Normal 96 7 2 2" xfId="10292" xr:uid="{00000000-0005-0000-0000-00004F270000}"/>
    <cellStyle name="Normal 96 7 3" xfId="10293" xr:uid="{00000000-0005-0000-0000-000050270000}"/>
    <cellStyle name="Normal 96 8" xfId="6479" xr:uid="{00000000-0005-0000-0000-000051270000}"/>
    <cellStyle name="Normal 96 8 2" xfId="10294" xr:uid="{00000000-0005-0000-0000-000052270000}"/>
    <cellStyle name="Normal 96 9" xfId="10295" xr:uid="{00000000-0005-0000-0000-000053270000}"/>
    <cellStyle name="Normal 97" xfId="6480" xr:uid="{00000000-0005-0000-0000-000054270000}"/>
    <cellStyle name="Normal 97 2" xfId="6481" xr:uid="{00000000-0005-0000-0000-000055270000}"/>
    <cellStyle name="Normal 97 2 2" xfId="6482" xr:uid="{00000000-0005-0000-0000-000056270000}"/>
    <cellStyle name="Normal 97 3" xfId="6483" xr:uid="{00000000-0005-0000-0000-000057270000}"/>
    <cellStyle name="Normal 97 3 2" xfId="6484" xr:uid="{00000000-0005-0000-0000-000058270000}"/>
    <cellStyle name="Normal 97 3 2 2" xfId="6485" xr:uid="{00000000-0005-0000-0000-000059270000}"/>
    <cellStyle name="Normal 97 3 2 2 2" xfId="6486" xr:uid="{00000000-0005-0000-0000-00005A270000}"/>
    <cellStyle name="Normal 97 3 2 2 2 2" xfId="10296" xr:uid="{00000000-0005-0000-0000-00005B270000}"/>
    <cellStyle name="Normal 97 3 2 2 3" xfId="10297" xr:uid="{00000000-0005-0000-0000-00005C270000}"/>
    <cellStyle name="Normal 97 3 2 3" xfId="6487" xr:uid="{00000000-0005-0000-0000-00005D270000}"/>
    <cellStyle name="Normal 97 3 2 3 2" xfId="10298" xr:uid="{00000000-0005-0000-0000-00005E270000}"/>
    <cellStyle name="Normal 97 3 2 4" xfId="10299" xr:uid="{00000000-0005-0000-0000-00005F270000}"/>
    <cellStyle name="Normal 97 3 3" xfId="6488" xr:uid="{00000000-0005-0000-0000-000060270000}"/>
    <cellStyle name="Normal 97 3 3 2" xfId="6489" xr:uid="{00000000-0005-0000-0000-000061270000}"/>
    <cellStyle name="Normal 97 3 3 2 2" xfId="10300" xr:uid="{00000000-0005-0000-0000-000062270000}"/>
    <cellStyle name="Normal 97 3 3 3" xfId="10301" xr:uid="{00000000-0005-0000-0000-000063270000}"/>
    <cellStyle name="Normal 97 3 4" xfId="6490" xr:uid="{00000000-0005-0000-0000-000064270000}"/>
    <cellStyle name="Normal 97 3 4 2" xfId="10302" xr:uid="{00000000-0005-0000-0000-000065270000}"/>
    <cellStyle name="Normal 97 3 5" xfId="6491" xr:uid="{00000000-0005-0000-0000-000066270000}"/>
    <cellStyle name="Normal 97 4" xfId="6492" xr:uid="{00000000-0005-0000-0000-000067270000}"/>
    <cellStyle name="Normal 97 4 2" xfId="6493" xr:uid="{00000000-0005-0000-0000-000068270000}"/>
    <cellStyle name="Normal 97 4 2 2" xfId="6494" xr:uid="{00000000-0005-0000-0000-000069270000}"/>
    <cellStyle name="Normal 97 4 2 2 2" xfId="6495" xr:uid="{00000000-0005-0000-0000-00006A270000}"/>
    <cellStyle name="Normal 97 4 2 2 2 2" xfId="10303" xr:uid="{00000000-0005-0000-0000-00006B270000}"/>
    <cellStyle name="Normal 97 4 2 2 3" xfId="10304" xr:uid="{00000000-0005-0000-0000-00006C270000}"/>
    <cellStyle name="Normal 97 4 2 3" xfId="6496" xr:uid="{00000000-0005-0000-0000-00006D270000}"/>
    <cellStyle name="Normal 97 4 2 3 2" xfId="10305" xr:uid="{00000000-0005-0000-0000-00006E270000}"/>
    <cellStyle name="Normal 97 4 2 4" xfId="10306" xr:uid="{00000000-0005-0000-0000-00006F270000}"/>
    <cellStyle name="Normal 97 4 3" xfId="6497" xr:uid="{00000000-0005-0000-0000-000070270000}"/>
    <cellStyle name="Normal 97 4 3 2" xfId="6498" xr:uid="{00000000-0005-0000-0000-000071270000}"/>
    <cellStyle name="Normal 97 4 3 2 2" xfId="10307" xr:uid="{00000000-0005-0000-0000-000072270000}"/>
    <cellStyle name="Normal 97 4 3 3" xfId="10308" xr:uid="{00000000-0005-0000-0000-000073270000}"/>
    <cellStyle name="Normal 97 4 4" xfId="6499" xr:uid="{00000000-0005-0000-0000-000074270000}"/>
    <cellStyle name="Normal 97 4 4 2" xfId="10309" xr:uid="{00000000-0005-0000-0000-000075270000}"/>
    <cellStyle name="Normal 97 4 5" xfId="10310" xr:uid="{00000000-0005-0000-0000-000076270000}"/>
    <cellStyle name="Normal 97 5" xfId="6500" xr:uid="{00000000-0005-0000-0000-000077270000}"/>
    <cellStyle name="Normal 97 5 2" xfId="6501" xr:uid="{00000000-0005-0000-0000-000078270000}"/>
    <cellStyle name="Normal 97 5 2 2" xfId="6502" xr:uid="{00000000-0005-0000-0000-000079270000}"/>
    <cellStyle name="Normal 97 5 2 2 2" xfId="6503" xr:uid="{00000000-0005-0000-0000-00007A270000}"/>
    <cellStyle name="Normal 97 5 2 2 2 2" xfId="10311" xr:uid="{00000000-0005-0000-0000-00007B270000}"/>
    <cellStyle name="Normal 97 5 2 2 3" xfId="10312" xr:uid="{00000000-0005-0000-0000-00007C270000}"/>
    <cellStyle name="Normal 97 5 2 3" xfId="6504" xr:uid="{00000000-0005-0000-0000-00007D270000}"/>
    <cellStyle name="Normal 97 5 2 3 2" xfId="10313" xr:uid="{00000000-0005-0000-0000-00007E270000}"/>
    <cellStyle name="Normal 97 5 2 4" xfId="10314" xr:uid="{00000000-0005-0000-0000-00007F270000}"/>
    <cellStyle name="Normal 97 5 3" xfId="6505" xr:uid="{00000000-0005-0000-0000-000080270000}"/>
    <cellStyle name="Normal 97 5 3 2" xfId="6506" xr:uid="{00000000-0005-0000-0000-000081270000}"/>
    <cellStyle name="Normal 97 5 3 2 2" xfId="10315" xr:uid="{00000000-0005-0000-0000-000082270000}"/>
    <cellStyle name="Normal 97 5 3 3" xfId="10316" xr:uid="{00000000-0005-0000-0000-000083270000}"/>
    <cellStyle name="Normal 97 5 4" xfId="6507" xr:uid="{00000000-0005-0000-0000-000084270000}"/>
    <cellStyle name="Normal 97 5 4 2" xfId="10317" xr:uid="{00000000-0005-0000-0000-000085270000}"/>
    <cellStyle name="Normal 97 5 5" xfId="10318" xr:uid="{00000000-0005-0000-0000-000086270000}"/>
    <cellStyle name="Normal 97 6" xfId="6508" xr:uid="{00000000-0005-0000-0000-000087270000}"/>
    <cellStyle name="Normal 97 6 2" xfId="6509" xr:uid="{00000000-0005-0000-0000-000088270000}"/>
    <cellStyle name="Normal 97 6 2 2" xfId="6510" xr:uid="{00000000-0005-0000-0000-000089270000}"/>
    <cellStyle name="Normal 97 6 2 2 2" xfId="10319" xr:uid="{00000000-0005-0000-0000-00008A270000}"/>
    <cellStyle name="Normal 97 6 2 3" xfId="10320" xr:uid="{00000000-0005-0000-0000-00008B270000}"/>
    <cellStyle name="Normal 97 6 3" xfId="6511" xr:uid="{00000000-0005-0000-0000-00008C270000}"/>
    <cellStyle name="Normal 97 6 3 2" xfId="10321" xr:uid="{00000000-0005-0000-0000-00008D270000}"/>
    <cellStyle name="Normal 97 6 4" xfId="10322" xr:uid="{00000000-0005-0000-0000-00008E270000}"/>
    <cellStyle name="Normal 97 7" xfId="6512" xr:uid="{00000000-0005-0000-0000-00008F270000}"/>
    <cellStyle name="Normal 97 7 2" xfId="6513" xr:uid="{00000000-0005-0000-0000-000090270000}"/>
    <cellStyle name="Normal 97 7 2 2" xfId="10323" xr:uid="{00000000-0005-0000-0000-000091270000}"/>
    <cellStyle name="Normal 97 7 3" xfId="10324" xr:uid="{00000000-0005-0000-0000-000092270000}"/>
    <cellStyle name="Normal 97 8" xfId="6514" xr:uid="{00000000-0005-0000-0000-000093270000}"/>
    <cellStyle name="Normal 97 8 2" xfId="10325" xr:uid="{00000000-0005-0000-0000-000094270000}"/>
    <cellStyle name="Normal 97 9" xfId="10326" xr:uid="{00000000-0005-0000-0000-000095270000}"/>
    <cellStyle name="Normal 98" xfId="6515" xr:uid="{00000000-0005-0000-0000-000096270000}"/>
    <cellStyle name="Normal 98 2" xfId="6516" xr:uid="{00000000-0005-0000-0000-000097270000}"/>
    <cellStyle name="Normal 98 2 2" xfId="6517" xr:uid="{00000000-0005-0000-0000-000098270000}"/>
    <cellStyle name="Normal 98 3" xfId="6518" xr:uid="{00000000-0005-0000-0000-000099270000}"/>
    <cellStyle name="Normal 98 3 2" xfId="6519" xr:uid="{00000000-0005-0000-0000-00009A270000}"/>
    <cellStyle name="Normal 98 3 2 2" xfId="6520" xr:uid="{00000000-0005-0000-0000-00009B270000}"/>
    <cellStyle name="Normal 98 3 2 2 2" xfId="6521" xr:uid="{00000000-0005-0000-0000-00009C270000}"/>
    <cellStyle name="Normal 98 3 2 2 2 2" xfId="10327" xr:uid="{00000000-0005-0000-0000-00009D270000}"/>
    <cellStyle name="Normal 98 3 2 2 3" xfId="10328" xr:uid="{00000000-0005-0000-0000-00009E270000}"/>
    <cellStyle name="Normal 98 3 2 3" xfId="6522" xr:uid="{00000000-0005-0000-0000-00009F270000}"/>
    <cellStyle name="Normal 98 3 2 3 2" xfId="10329" xr:uid="{00000000-0005-0000-0000-0000A0270000}"/>
    <cellStyle name="Normal 98 3 2 4" xfId="10330" xr:uid="{00000000-0005-0000-0000-0000A1270000}"/>
    <cellStyle name="Normal 98 3 3" xfId="6523" xr:uid="{00000000-0005-0000-0000-0000A2270000}"/>
    <cellStyle name="Normal 98 3 3 2" xfId="6524" xr:uid="{00000000-0005-0000-0000-0000A3270000}"/>
    <cellStyle name="Normal 98 3 3 2 2" xfId="10331" xr:uid="{00000000-0005-0000-0000-0000A4270000}"/>
    <cellStyle name="Normal 98 3 3 3" xfId="10332" xr:uid="{00000000-0005-0000-0000-0000A5270000}"/>
    <cellStyle name="Normal 98 3 4" xfId="6525" xr:uid="{00000000-0005-0000-0000-0000A6270000}"/>
    <cellStyle name="Normal 98 3 4 2" xfId="10333" xr:uid="{00000000-0005-0000-0000-0000A7270000}"/>
    <cellStyle name="Normal 98 3 5" xfId="6526" xr:uid="{00000000-0005-0000-0000-0000A8270000}"/>
    <cellStyle name="Normal 98 4" xfId="6527" xr:uid="{00000000-0005-0000-0000-0000A9270000}"/>
    <cellStyle name="Normal 98 4 2" xfId="6528" xr:uid="{00000000-0005-0000-0000-0000AA270000}"/>
    <cellStyle name="Normal 98 4 2 2" xfId="6529" xr:uid="{00000000-0005-0000-0000-0000AB270000}"/>
    <cellStyle name="Normal 98 4 2 2 2" xfId="6530" xr:uid="{00000000-0005-0000-0000-0000AC270000}"/>
    <cellStyle name="Normal 98 4 2 2 2 2" xfId="10334" xr:uid="{00000000-0005-0000-0000-0000AD270000}"/>
    <cellStyle name="Normal 98 4 2 2 3" xfId="10335" xr:uid="{00000000-0005-0000-0000-0000AE270000}"/>
    <cellStyle name="Normal 98 4 2 3" xfId="6531" xr:uid="{00000000-0005-0000-0000-0000AF270000}"/>
    <cellStyle name="Normal 98 4 2 3 2" xfId="10336" xr:uid="{00000000-0005-0000-0000-0000B0270000}"/>
    <cellStyle name="Normal 98 4 2 4" xfId="10337" xr:uid="{00000000-0005-0000-0000-0000B1270000}"/>
    <cellStyle name="Normal 98 4 3" xfId="6532" xr:uid="{00000000-0005-0000-0000-0000B2270000}"/>
    <cellStyle name="Normal 98 4 3 2" xfId="6533" xr:uid="{00000000-0005-0000-0000-0000B3270000}"/>
    <cellStyle name="Normal 98 4 3 2 2" xfId="10338" xr:uid="{00000000-0005-0000-0000-0000B4270000}"/>
    <cellStyle name="Normal 98 4 3 3" xfId="10339" xr:uid="{00000000-0005-0000-0000-0000B5270000}"/>
    <cellStyle name="Normal 98 4 4" xfId="6534" xr:uid="{00000000-0005-0000-0000-0000B6270000}"/>
    <cellStyle name="Normal 98 4 4 2" xfId="10340" xr:uid="{00000000-0005-0000-0000-0000B7270000}"/>
    <cellStyle name="Normal 98 4 5" xfId="10341" xr:uid="{00000000-0005-0000-0000-0000B8270000}"/>
    <cellStyle name="Normal 98 5" xfId="6535" xr:uid="{00000000-0005-0000-0000-0000B9270000}"/>
    <cellStyle name="Normal 98 5 2" xfId="6536" xr:uid="{00000000-0005-0000-0000-0000BA270000}"/>
    <cellStyle name="Normal 98 5 2 2" xfId="6537" xr:uid="{00000000-0005-0000-0000-0000BB270000}"/>
    <cellStyle name="Normal 98 5 2 2 2" xfId="6538" xr:uid="{00000000-0005-0000-0000-0000BC270000}"/>
    <cellStyle name="Normal 98 5 2 2 2 2" xfId="10342" xr:uid="{00000000-0005-0000-0000-0000BD270000}"/>
    <cellStyle name="Normal 98 5 2 2 3" xfId="10343" xr:uid="{00000000-0005-0000-0000-0000BE270000}"/>
    <cellStyle name="Normal 98 5 2 3" xfId="6539" xr:uid="{00000000-0005-0000-0000-0000BF270000}"/>
    <cellStyle name="Normal 98 5 2 3 2" xfId="10344" xr:uid="{00000000-0005-0000-0000-0000C0270000}"/>
    <cellStyle name="Normal 98 5 2 4" xfId="10345" xr:uid="{00000000-0005-0000-0000-0000C1270000}"/>
    <cellStyle name="Normal 98 5 3" xfId="6540" xr:uid="{00000000-0005-0000-0000-0000C2270000}"/>
    <cellStyle name="Normal 98 5 3 2" xfId="6541" xr:uid="{00000000-0005-0000-0000-0000C3270000}"/>
    <cellStyle name="Normal 98 5 3 2 2" xfId="10346" xr:uid="{00000000-0005-0000-0000-0000C4270000}"/>
    <cellStyle name="Normal 98 5 3 3" xfId="10347" xr:uid="{00000000-0005-0000-0000-0000C5270000}"/>
    <cellStyle name="Normal 98 5 4" xfId="6542" xr:uid="{00000000-0005-0000-0000-0000C6270000}"/>
    <cellStyle name="Normal 98 5 4 2" xfId="10348" xr:uid="{00000000-0005-0000-0000-0000C7270000}"/>
    <cellStyle name="Normal 98 5 5" xfId="10349" xr:uid="{00000000-0005-0000-0000-0000C8270000}"/>
    <cellStyle name="Normal 98 6" xfId="6543" xr:uid="{00000000-0005-0000-0000-0000C9270000}"/>
    <cellStyle name="Normal 98 6 2" xfId="6544" xr:uid="{00000000-0005-0000-0000-0000CA270000}"/>
    <cellStyle name="Normal 98 6 2 2" xfId="6545" xr:uid="{00000000-0005-0000-0000-0000CB270000}"/>
    <cellStyle name="Normal 98 6 2 2 2" xfId="10350" xr:uid="{00000000-0005-0000-0000-0000CC270000}"/>
    <cellStyle name="Normal 98 6 2 3" xfId="10351" xr:uid="{00000000-0005-0000-0000-0000CD270000}"/>
    <cellStyle name="Normal 98 6 3" xfId="6546" xr:uid="{00000000-0005-0000-0000-0000CE270000}"/>
    <cellStyle name="Normal 98 6 3 2" xfId="10352" xr:uid="{00000000-0005-0000-0000-0000CF270000}"/>
    <cellStyle name="Normal 98 6 4" xfId="10353" xr:uid="{00000000-0005-0000-0000-0000D0270000}"/>
    <cellStyle name="Normal 98 7" xfId="6547" xr:uid="{00000000-0005-0000-0000-0000D1270000}"/>
    <cellStyle name="Normal 98 7 2" xfId="6548" xr:uid="{00000000-0005-0000-0000-0000D2270000}"/>
    <cellStyle name="Normal 98 7 2 2" xfId="10354" xr:uid="{00000000-0005-0000-0000-0000D3270000}"/>
    <cellStyle name="Normal 98 7 3" xfId="10355" xr:uid="{00000000-0005-0000-0000-0000D4270000}"/>
    <cellStyle name="Normal 98 8" xfId="6549" xr:uid="{00000000-0005-0000-0000-0000D5270000}"/>
    <cellStyle name="Normal 98 8 2" xfId="10356" xr:uid="{00000000-0005-0000-0000-0000D6270000}"/>
    <cellStyle name="Normal 98 9" xfId="10357" xr:uid="{00000000-0005-0000-0000-0000D7270000}"/>
    <cellStyle name="Normal 99" xfId="6550" xr:uid="{00000000-0005-0000-0000-0000D8270000}"/>
    <cellStyle name="Normal 99 2" xfId="10358" xr:uid="{00000000-0005-0000-0000-0000D9270000}"/>
    <cellStyle name="Normal_Cognex 4.17.07" xfId="4" xr:uid="{00000000-0005-0000-0000-0000DA270000}"/>
    <cellStyle name="Normal_EMC072000" xfId="8" xr:uid="{00000000-0005-0000-0000-0000DB270000}"/>
    <cellStyle name="Normal_GIGM test" xfId="391" xr:uid="{00000000-0005-0000-0000-0000DC270000}"/>
    <cellStyle name="NormalItalic" xfId="1939" xr:uid="{00000000-0005-0000-0000-0000DD270000}"/>
    <cellStyle name="Nota" xfId="1940" xr:uid="{00000000-0005-0000-0000-0000DE270000}"/>
    <cellStyle name="Nota 2" xfId="11094" xr:uid="{00000000-0005-0000-0000-0000DF270000}"/>
    <cellStyle name="Notas" xfId="1941" xr:uid="{00000000-0005-0000-0000-0000E0270000}"/>
    <cellStyle name="Notas 2" xfId="11095" xr:uid="{00000000-0005-0000-0000-0000E1270000}"/>
    <cellStyle name="Note" xfId="1757" builtinId="10" customBuiltin="1"/>
    <cellStyle name="Note 2" xfId="71" xr:uid="{00000000-0005-0000-0000-0000E3270000}"/>
    <cellStyle name="Note 2 2" xfId="301" xr:uid="{00000000-0005-0000-0000-0000E4270000}"/>
    <cellStyle name="Note 2 2 2" xfId="1597" xr:uid="{00000000-0005-0000-0000-0000E5270000}"/>
    <cellStyle name="Note 2 2 2 2" xfId="1640" xr:uid="{00000000-0005-0000-0000-0000E6270000}"/>
    <cellStyle name="Note 2 2 2 2 2" xfId="10359" xr:uid="{00000000-0005-0000-0000-0000E7270000}"/>
    <cellStyle name="Note 2 2 2 2 3" xfId="6554" xr:uid="{00000000-0005-0000-0000-0000E8270000}"/>
    <cellStyle name="Note 2 2 2 3" xfId="1659" xr:uid="{00000000-0005-0000-0000-0000E9270000}"/>
    <cellStyle name="Note 2 2 2 3 2" xfId="10360" xr:uid="{00000000-0005-0000-0000-0000EA270000}"/>
    <cellStyle name="Note 2 2 2 4" xfId="6553" xr:uid="{00000000-0005-0000-0000-0000EB270000}"/>
    <cellStyle name="Note 2 2 3" xfId="1620" xr:uid="{00000000-0005-0000-0000-0000EC270000}"/>
    <cellStyle name="Note 2 2 3 2" xfId="10361" xr:uid="{00000000-0005-0000-0000-0000ED270000}"/>
    <cellStyle name="Note 2 2 3 3" xfId="6555" xr:uid="{00000000-0005-0000-0000-0000EE270000}"/>
    <cellStyle name="Note 2 2 4" xfId="10362" xr:uid="{00000000-0005-0000-0000-0000EF270000}"/>
    <cellStyle name="Note 2 2 5" xfId="6552" xr:uid="{00000000-0005-0000-0000-0000F0270000}"/>
    <cellStyle name="Note 2 3" xfId="1591" xr:uid="{00000000-0005-0000-0000-0000F1270000}"/>
    <cellStyle name="Note 2 3 2" xfId="1634" xr:uid="{00000000-0005-0000-0000-0000F2270000}"/>
    <cellStyle name="Note 2 3 2 2" xfId="10363" xr:uid="{00000000-0005-0000-0000-0000F3270000}"/>
    <cellStyle name="Note 2 3 2 3" xfId="6557" xr:uid="{00000000-0005-0000-0000-0000F4270000}"/>
    <cellStyle name="Note 2 3 3" xfId="1653" xr:uid="{00000000-0005-0000-0000-0000F5270000}"/>
    <cellStyle name="Note 2 3 3 2" xfId="10364" xr:uid="{00000000-0005-0000-0000-0000F6270000}"/>
    <cellStyle name="Note 2 3 4" xfId="6556" xr:uid="{00000000-0005-0000-0000-0000F7270000}"/>
    <cellStyle name="Note 2 4" xfId="1614" xr:uid="{00000000-0005-0000-0000-0000F8270000}"/>
    <cellStyle name="Note 2 4 2" xfId="10365" xr:uid="{00000000-0005-0000-0000-0000F9270000}"/>
    <cellStyle name="Note 2 4 3" xfId="6558" xr:uid="{00000000-0005-0000-0000-0000FA270000}"/>
    <cellStyle name="Note 2 5" xfId="10366" xr:uid="{00000000-0005-0000-0000-0000FB270000}"/>
    <cellStyle name="Note 2 6" xfId="10908" xr:uid="{00000000-0005-0000-0000-0000FC270000}"/>
    <cellStyle name="Note 2 7" xfId="6551" xr:uid="{00000000-0005-0000-0000-0000FD270000}"/>
    <cellStyle name="Note 3" xfId="302" xr:uid="{00000000-0005-0000-0000-0000FE270000}"/>
    <cellStyle name="Note 3 2" xfId="303" xr:uid="{00000000-0005-0000-0000-0000FF270000}"/>
    <cellStyle name="Note 3 2 2" xfId="304" xr:uid="{00000000-0005-0000-0000-000000280000}"/>
    <cellStyle name="Note 3 2 2 2" xfId="6559" xr:uid="{00000000-0005-0000-0000-000001280000}"/>
    <cellStyle name="Note 3 2 3" xfId="6560" xr:uid="{00000000-0005-0000-0000-000002280000}"/>
    <cellStyle name="Note 3 3" xfId="305" xr:uid="{00000000-0005-0000-0000-000003280000}"/>
    <cellStyle name="Note 3 3 2" xfId="6561" xr:uid="{00000000-0005-0000-0000-000004280000}"/>
    <cellStyle name="Note 3 4" xfId="6562" xr:uid="{00000000-0005-0000-0000-000005280000}"/>
    <cellStyle name="Note 4" xfId="1164" xr:uid="{00000000-0005-0000-0000-000006280000}"/>
    <cellStyle name="Note 4 2" xfId="1604" xr:uid="{00000000-0005-0000-0000-000007280000}"/>
    <cellStyle name="Note 4 2 2" xfId="1646" xr:uid="{00000000-0005-0000-0000-000008280000}"/>
    <cellStyle name="Note 4 2 2 2" xfId="6565" xr:uid="{00000000-0005-0000-0000-000009280000}"/>
    <cellStyle name="Note 4 2 3" xfId="1665" xr:uid="{00000000-0005-0000-0000-00000A280000}"/>
    <cellStyle name="Note 4 2 4" xfId="6564" xr:uid="{00000000-0005-0000-0000-00000B280000}"/>
    <cellStyle name="Note 4 3" xfId="1629" xr:uid="{00000000-0005-0000-0000-00000C280000}"/>
    <cellStyle name="Note 4 3 2" xfId="6566" xr:uid="{00000000-0005-0000-0000-00000D280000}"/>
    <cellStyle name="Note 4 4" xfId="1626" xr:uid="{00000000-0005-0000-0000-00000E280000}"/>
    <cellStyle name="Note 4 5" xfId="6563" xr:uid="{00000000-0005-0000-0000-00000F280000}"/>
    <cellStyle name="Note 5" xfId="6567" xr:uid="{00000000-0005-0000-0000-000010280000}"/>
    <cellStyle name="Note 5 2" xfId="6568" xr:uid="{00000000-0005-0000-0000-000011280000}"/>
    <cellStyle name="Note 6" xfId="6569" xr:uid="{00000000-0005-0000-0000-000012280000}"/>
    <cellStyle name="Note 6 2" xfId="6570" xr:uid="{00000000-0005-0000-0000-000013280000}"/>
    <cellStyle name="Note 7" xfId="6571" xr:uid="{00000000-0005-0000-0000-000014280000}"/>
    <cellStyle name="Note 8" xfId="6572" xr:uid="{00000000-0005-0000-0000-000015280000}"/>
    <cellStyle name="Note 9" xfId="6573" xr:uid="{00000000-0005-0000-0000-000016280000}"/>
    <cellStyle name="Nulos" xfId="1942" xr:uid="{00000000-0005-0000-0000-000017280000}"/>
    <cellStyle name="Number" xfId="21" xr:uid="{00000000-0005-0000-0000-000018280000}"/>
    <cellStyle name="Œ…‹æØ‚è [0.00]_GE 3 MINIMUM" xfId="1943" xr:uid="{00000000-0005-0000-0000-000019280000}"/>
    <cellStyle name="Œ…‹æØ‚è_GE 3 MINIMUM" xfId="1944" xr:uid="{00000000-0005-0000-0000-00001A280000}"/>
    <cellStyle name="Oficio" xfId="1945" xr:uid="{00000000-0005-0000-0000-00001B280000}"/>
    <cellStyle name="Osborne" xfId="306" xr:uid="{00000000-0005-0000-0000-00001C280000}"/>
    <cellStyle name="Osborne 2" xfId="10416" xr:uid="{00000000-0005-0000-0000-00001D280000}"/>
    <cellStyle name="Osborne 3" xfId="11111" xr:uid="{00000000-0005-0000-0000-00001E280000}"/>
    <cellStyle name="OSW_RowLabels" xfId="1165" xr:uid="{00000000-0005-0000-0000-00001F280000}"/>
    <cellStyle name="Output" xfId="1752" builtinId="21" customBuiltin="1"/>
    <cellStyle name="Output 2" xfId="72" xr:uid="{00000000-0005-0000-0000-000021280000}"/>
    <cellStyle name="Output 2 2" xfId="307" xr:uid="{00000000-0005-0000-0000-000022280000}"/>
    <cellStyle name="Output 2 2 2" xfId="1598" xr:uid="{00000000-0005-0000-0000-000023280000}"/>
    <cellStyle name="Output 2 2 2 2" xfId="1641" xr:uid="{00000000-0005-0000-0000-000024280000}"/>
    <cellStyle name="Output 2 2 2 3" xfId="1660" xr:uid="{00000000-0005-0000-0000-000025280000}"/>
    <cellStyle name="Output 2 2 3" xfId="11113" xr:uid="{00000000-0005-0000-0000-000026280000}"/>
    <cellStyle name="Output 2 3" xfId="1592" xr:uid="{00000000-0005-0000-0000-000027280000}"/>
    <cellStyle name="Output 2 3 2" xfId="1635" xr:uid="{00000000-0005-0000-0000-000028280000}"/>
    <cellStyle name="Output 2 3 3" xfId="1654" xr:uid="{00000000-0005-0000-0000-000029280000}"/>
    <cellStyle name="Output 2 4" xfId="1615" xr:uid="{00000000-0005-0000-0000-00002A280000}"/>
    <cellStyle name="Output 2 5" xfId="11112" xr:uid="{00000000-0005-0000-0000-00002B280000}"/>
    <cellStyle name="Output 3" xfId="1166" xr:uid="{00000000-0005-0000-0000-00002C280000}"/>
    <cellStyle name="Output 3 2" xfId="1605" xr:uid="{00000000-0005-0000-0000-00002D280000}"/>
    <cellStyle name="Output 3 2 2" xfId="1647" xr:uid="{00000000-0005-0000-0000-00002E280000}"/>
    <cellStyle name="Output 3 2 3" xfId="1666" xr:uid="{00000000-0005-0000-0000-00002F280000}"/>
    <cellStyle name="Output 3 3" xfId="1630" xr:uid="{00000000-0005-0000-0000-000030280000}"/>
    <cellStyle name="Output 3 4" xfId="1625" xr:uid="{00000000-0005-0000-0000-000031280000}"/>
    <cellStyle name="Page" xfId="1167" xr:uid="{00000000-0005-0000-0000-000032280000}"/>
    <cellStyle name="Palatino" xfId="1168" xr:uid="{00000000-0005-0000-0000-000033280000}"/>
    <cellStyle name="pe" xfId="1169" xr:uid="{00000000-0005-0000-0000-000034280000}"/>
    <cellStyle name="PEG" xfId="1170" xr:uid="{00000000-0005-0000-0000-000035280000}"/>
    <cellStyle name="Percent" xfId="3" builtinId="5"/>
    <cellStyle name="Percent % Long Underline" xfId="6634" xr:uid="{00000000-0005-0000-0000-000037280000}"/>
    <cellStyle name="Percent [0]" xfId="1171" xr:uid="{00000000-0005-0000-0000-000038280000}"/>
    <cellStyle name="Percent [1]" xfId="1172" xr:uid="{00000000-0005-0000-0000-000039280000}"/>
    <cellStyle name="Percent [1][]" xfId="1173" xr:uid="{00000000-0005-0000-0000-00003A280000}"/>
    <cellStyle name="Percent [1]_LANCE_Model_v0.6.DCF.MASTER.Name" xfId="1174" xr:uid="{00000000-0005-0000-0000-00003B280000}"/>
    <cellStyle name="Percent [2]" xfId="1175" xr:uid="{00000000-0005-0000-0000-00003C280000}"/>
    <cellStyle name="Percent [2] 2" xfId="1946" xr:uid="{00000000-0005-0000-0000-00003D280000}"/>
    <cellStyle name="Percent 0.00% Long Underline" xfId="6635" xr:uid="{00000000-0005-0000-0000-00003E280000}"/>
    <cellStyle name="Percent 1" xfId="392" xr:uid="{00000000-0005-0000-0000-00003F280000}"/>
    <cellStyle name="Percent 1 2" xfId="393" xr:uid="{00000000-0005-0000-0000-000040280000}"/>
    <cellStyle name="Percent 10" xfId="394" xr:uid="{00000000-0005-0000-0000-000041280000}"/>
    <cellStyle name="Percent 10 2" xfId="395" xr:uid="{00000000-0005-0000-0000-000042280000}"/>
    <cellStyle name="Percent 10 2 2" xfId="10367" xr:uid="{00000000-0005-0000-0000-000043280000}"/>
    <cellStyle name="Percent 10 3" xfId="396" xr:uid="{00000000-0005-0000-0000-000044280000}"/>
    <cellStyle name="Percent 10 4" xfId="1690" xr:uid="{00000000-0005-0000-0000-000045280000}"/>
    <cellStyle name="Percent 100" xfId="10668" xr:uid="{00000000-0005-0000-0000-000046280000}"/>
    <cellStyle name="Percent 101" xfId="10671" xr:uid="{00000000-0005-0000-0000-000047280000}"/>
    <cellStyle name="Percent 102" xfId="10674" xr:uid="{00000000-0005-0000-0000-000048280000}"/>
    <cellStyle name="Percent 103" xfId="10677" xr:uid="{00000000-0005-0000-0000-000049280000}"/>
    <cellStyle name="Percent 104" xfId="10680" xr:uid="{00000000-0005-0000-0000-00004A280000}"/>
    <cellStyle name="Percent 105" xfId="10683" xr:uid="{00000000-0005-0000-0000-00004B280000}"/>
    <cellStyle name="Percent 106" xfId="10686" xr:uid="{00000000-0005-0000-0000-00004C280000}"/>
    <cellStyle name="Percent 107" xfId="10689" xr:uid="{00000000-0005-0000-0000-00004D280000}"/>
    <cellStyle name="Percent 108" xfId="10692" xr:uid="{00000000-0005-0000-0000-00004E280000}"/>
    <cellStyle name="Percent 109" xfId="10695" xr:uid="{00000000-0005-0000-0000-00004F280000}"/>
    <cellStyle name="Percent 11" xfId="397" xr:uid="{00000000-0005-0000-0000-000050280000}"/>
    <cellStyle name="Percent 11 2" xfId="398" xr:uid="{00000000-0005-0000-0000-000051280000}"/>
    <cellStyle name="Percent 11 3" xfId="399" xr:uid="{00000000-0005-0000-0000-000052280000}"/>
    <cellStyle name="Percent 11 4" xfId="1731" xr:uid="{00000000-0005-0000-0000-000053280000}"/>
    <cellStyle name="Percent 11 5" xfId="11118" xr:uid="{00000000-0005-0000-0000-000054280000}"/>
    <cellStyle name="Percent 110" xfId="10698" xr:uid="{00000000-0005-0000-0000-000055280000}"/>
    <cellStyle name="Percent 111" xfId="10701" xr:uid="{00000000-0005-0000-0000-000056280000}"/>
    <cellStyle name="Percent 112" xfId="10704" xr:uid="{00000000-0005-0000-0000-000057280000}"/>
    <cellStyle name="Percent 113" xfId="10707" xr:uid="{00000000-0005-0000-0000-000058280000}"/>
    <cellStyle name="Percent 114" xfId="10710" xr:uid="{00000000-0005-0000-0000-000059280000}"/>
    <cellStyle name="Percent 115" xfId="10713" xr:uid="{00000000-0005-0000-0000-00005A280000}"/>
    <cellStyle name="Percent 116" xfId="10716" xr:uid="{00000000-0005-0000-0000-00005B280000}"/>
    <cellStyle name="Percent 117" xfId="10719" xr:uid="{00000000-0005-0000-0000-00005C280000}"/>
    <cellStyle name="Percent 118" xfId="10722" xr:uid="{00000000-0005-0000-0000-00005D280000}"/>
    <cellStyle name="Percent 119" xfId="10725" xr:uid="{00000000-0005-0000-0000-00005E280000}"/>
    <cellStyle name="Percent 12" xfId="1583" xr:uid="{00000000-0005-0000-0000-00005F280000}"/>
    <cellStyle name="Percent 12 2" xfId="6574" xr:uid="{00000000-0005-0000-0000-000060280000}"/>
    <cellStyle name="Percent 12 3" xfId="10368" xr:uid="{00000000-0005-0000-0000-000061280000}"/>
    <cellStyle name="Percent 120" xfId="10728" xr:uid="{00000000-0005-0000-0000-000062280000}"/>
    <cellStyle name="Percent 121" xfId="10731" xr:uid="{00000000-0005-0000-0000-000063280000}"/>
    <cellStyle name="Percent 122" xfId="10734" xr:uid="{00000000-0005-0000-0000-000064280000}"/>
    <cellStyle name="Percent 123" xfId="10737" xr:uid="{00000000-0005-0000-0000-000065280000}"/>
    <cellStyle name="Percent 124" xfId="10740" xr:uid="{00000000-0005-0000-0000-000066280000}"/>
    <cellStyle name="Percent 125" xfId="10743" xr:uid="{00000000-0005-0000-0000-000067280000}"/>
    <cellStyle name="Percent 126" xfId="10746" xr:uid="{00000000-0005-0000-0000-000068280000}"/>
    <cellStyle name="Percent 127" xfId="10749" xr:uid="{00000000-0005-0000-0000-000069280000}"/>
    <cellStyle name="Percent 128" xfId="10752" xr:uid="{00000000-0005-0000-0000-00006A280000}"/>
    <cellStyle name="Percent 129" xfId="10755" xr:uid="{00000000-0005-0000-0000-00006B280000}"/>
    <cellStyle name="Percent 13" xfId="1585" xr:uid="{00000000-0005-0000-0000-00006C280000}"/>
    <cellStyle name="Percent 130" xfId="10758" xr:uid="{00000000-0005-0000-0000-00006D280000}"/>
    <cellStyle name="Percent 131" xfId="10761" xr:uid="{00000000-0005-0000-0000-00006E280000}"/>
    <cellStyle name="Percent 132" xfId="10764" xr:uid="{00000000-0005-0000-0000-00006F280000}"/>
    <cellStyle name="Percent 133" xfId="10767" xr:uid="{00000000-0005-0000-0000-000070280000}"/>
    <cellStyle name="Percent 134" xfId="10770" xr:uid="{00000000-0005-0000-0000-000071280000}"/>
    <cellStyle name="Percent 135" xfId="10773" xr:uid="{00000000-0005-0000-0000-000072280000}"/>
    <cellStyle name="Percent 136" xfId="10776" xr:uid="{00000000-0005-0000-0000-000073280000}"/>
    <cellStyle name="Percent 137" xfId="10779" xr:uid="{00000000-0005-0000-0000-000074280000}"/>
    <cellStyle name="Percent 138" xfId="10782" xr:uid="{00000000-0005-0000-0000-000075280000}"/>
    <cellStyle name="Percent 139" xfId="10785" xr:uid="{00000000-0005-0000-0000-000076280000}"/>
    <cellStyle name="Percent 14" xfId="1587" xr:uid="{00000000-0005-0000-0000-000077280000}"/>
    <cellStyle name="Percent 140" xfId="10788" xr:uid="{00000000-0005-0000-0000-000078280000}"/>
    <cellStyle name="Percent 141" xfId="10791" xr:uid="{00000000-0005-0000-0000-000079280000}"/>
    <cellStyle name="Percent 142" xfId="10794" xr:uid="{00000000-0005-0000-0000-00007A280000}"/>
    <cellStyle name="Percent 143" xfId="10797" xr:uid="{00000000-0005-0000-0000-00007B280000}"/>
    <cellStyle name="Percent 144" xfId="10800" xr:uid="{00000000-0005-0000-0000-00007C280000}"/>
    <cellStyle name="Percent 145" xfId="10803" xr:uid="{00000000-0005-0000-0000-00007D280000}"/>
    <cellStyle name="Percent 146" xfId="10806" xr:uid="{00000000-0005-0000-0000-00007E280000}"/>
    <cellStyle name="Percent 147" xfId="10809" xr:uid="{00000000-0005-0000-0000-00007F280000}"/>
    <cellStyle name="Percent 148" xfId="10812" xr:uid="{00000000-0005-0000-0000-000080280000}"/>
    <cellStyle name="Percent 149" xfId="10815" xr:uid="{00000000-0005-0000-0000-000081280000}"/>
    <cellStyle name="Percent 15" xfId="1730" xr:uid="{00000000-0005-0000-0000-000082280000}"/>
    <cellStyle name="Percent 15 2" xfId="6624" xr:uid="{00000000-0005-0000-0000-000083280000}"/>
    <cellStyle name="Percent 150" xfId="10818" xr:uid="{00000000-0005-0000-0000-000084280000}"/>
    <cellStyle name="Percent 151" xfId="10821" xr:uid="{00000000-0005-0000-0000-000085280000}"/>
    <cellStyle name="Percent 152" xfId="10824" xr:uid="{00000000-0005-0000-0000-000086280000}"/>
    <cellStyle name="Percent 153" xfId="10827" xr:uid="{00000000-0005-0000-0000-000087280000}"/>
    <cellStyle name="Percent 154" xfId="10830" xr:uid="{00000000-0005-0000-0000-000088280000}"/>
    <cellStyle name="Percent 155" xfId="10833" xr:uid="{00000000-0005-0000-0000-000089280000}"/>
    <cellStyle name="Percent 156" xfId="10836" xr:uid="{00000000-0005-0000-0000-00008A280000}"/>
    <cellStyle name="Percent 157" xfId="10839" xr:uid="{00000000-0005-0000-0000-00008B280000}"/>
    <cellStyle name="Percent 158" xfId="10842" xr:uid="{00000000-0005-0000-0000-00008C280000}"/>
    <cellStyle name="Percent 159" xfId="10845" xr:uid="{00000000-0005-0000-0000-00008D280000}"/>
    <cellStyle name="Percent 16" xfId="1738" xr:uid="{00000000-0005-0000-0000-00008E280000}"/>
    <cellStyle name="Percent 16 2" xfId="2134" xr:uid="{00000000-0005-0000-0000-00008F280000}"/>
    <cellStyle name="Percent 160" xfId="10848" xr:uid="{00000000-0005-0000-0000-000090280000}"/>
    <cellStyle name="Percent 161" xfId="10851" xr:uid="{00000000-0005-0000-0000-000091280000}"/>
    <cellStyle name="Percent 162" xfId="10854" xr:uid="{00000000-0005-0000-0000-000092280000}"/>
    <cellStyle name="Percent 163" xfId="10857" xr:uid="{00000000-0005-0000-0000-000093280000}"/>
    <cellStyle name="Percent 164" xfId="10860" xr:uid="{00000000-0005-0000-0000-000094280000}"/>
    <cellStyle name="Percent 165" xfId="10863" xr:uid="{00000000-0005-0000-0000-000095280000}"/>
    <cellStyle name="Percent 166" xfId="10866" xr:uid="{00000000-0005-0000-0000-000096280000}"/>
    <cellStyle name="Percent 167" xfId="10869" xr:uid="{00000000-0005-0000-0000-000097280000}"/>
    <cellStyle name="Percent 168" xfId="10872" xr:uid="{00000000-0005-0000-0000-000098280000}"/>
    <cellStyle name="Percent 169" xfId="10875" xr:uid="{00000000-0005-0000-0000-000099280000}"/>
    <cellStyle name="Percent 17" xfId="1686" xr:uid="{00000000-0005-0000-0000-00009A280000}"/>
    <cellStyle name="Percent 17 2" xfId="10419" xr:uid="{00000000-0005-0000-0000-00009B280000}"/>
    <cellStyle name="Percent 170" xfId="10878" xr:uid="{00000000-0005-0000-0000-00009C280000}"/>
    <cellStyle name="Percent 171" xfId="10881" xr:uid="{00000000-0005-0000-0000-00009D280000}"/>
    <cellStyle name="Percent 172" xfId="10950" xr:uid="{00000000-0005-0000-0000-00009E280000}"/>
    <cellStyle name="Percent 173" xfId="10953" xr:uid="{00000000-0005-0000-0000-00009F280000}"/>
    <cellStyle name="Percent 174" xfId="10956" xr:uid="{00000000-0005-0000-0000-0000A0280000}"/>
    <cellStyle name="Percent 175" xfId="10959" xr:uid="{00000000-0005-0000-0000-0000A1280000}"/>
    <cellStyle name="Percent 176" xfId="10962" xr:uid="{00000000-0005-0000-0000-0000A2280000}"/>
    <cellStyle name="Percent 177" xfId="10965" xr:uid="{00000000-0005-0000-0000-0000A3280000}"/>
    <cellStyle name="Percent 178" xfId="10968" xr:uid="{00000000-0005-0000-0000-0000A4280000}"/>
    <cellStyle name="Percent 179" xfId="10971" xr:uid="{00000000-0005-0000-0000-0000A5280000}"/>
    <cellStyle name="Percent 18" xfId="1695" xr:uid="{00000000-0005-0000-0000-0000A6280000}"/>
    <cellStyle name="Percent 18 2" xfId="10422" xr:uid="{00000000-0005-0000-0000-0000A7280000}"/>
    <cellStyle name="Percent 180" xfId="10974" xr:uid="{00000000-0005-0000-0000-0000A8280000}"/>
    <cellStyle name="Percent 181" xfId="10977" xr:uid="{00000000-0005-0000-0000-0000A9280000}"/>
    <cellStyle name="Percent 182" xfId="10980" xr:uid="{00000000-0005-0000-0000-0000AA280000}"/>
    <cellStyle name="Percent 183" xfId="10983" xr:uid="{00000000-0005-0000-0000-0000AB280000}"/>
    <cellStyle name="Percent 184" xfId="10986" xr:uid="{00000000-0005-0000-0000-0000AC280000}"/>
    <cellStyle name="Percent 185" xfId="10989" xr:uid="{00000000-0005-0000-0000-0000AD280000}"/>
    <cellStyle name="Percent 186" xfId="10992" xr:uid="{00000000-0005-0000-0000-0000AE280000}"/>
    <cellStyle name="Percent 187" xfId="10995" xr:uid="{00000000-0005-0000-0000-0000AF280000}"/>
    <cellStyle name="Percent 188" xfId="10998" xr:uid="{00000000-0005-0000-0000-0000B0280000}"/>
    <cellStyle name="Percent 189" xfId="11001" xr:uid="{00000000-0005-0000-0000-0000B1280000}"/>
    <cellStyle name="Percent 19" xfId="1742" xr:uid="{00000000-0005-0000-0000-0000B2280000}"/>
    <cellStyle name="Percent 19 2" xfId="10425" xr:uid="{00000000-0005-0000-0000-0000B3280000}"/>
    <cellStyle name="Percent 190" xfId="11004" xr:uid="{00000000-0005-0000-0000-0000B4280000}"/>
    <cellStyle name="Percent 191" xfId="11007" xr:uid="{00000000-0005-0000-0000-0000B5280000}"/>
    <cellStyle name="Percent 192" xfId="11010" xr:uid="{00000000-0005-0000-0000-0000B6280000}"/>
    <cellStyle name="Percent 193" xfId="11013" xr:uid="{00000000-0005-0000-0000-0000B7280000}"/>
    <cellStyle name="Percent 194" xfId="11016" xr:uid="{00000000-0005-0000-0000-0000B8280000}"/>
    <cellStyle name="Percent 195" xfId="11019" xr:uid="{00000000-0005-0000-0000-0000B9280000}"/>
    <cellStyle name="Percent 196" xfId="11022" xr:uid="{00000000-0005-0000-0000-0000BA280000}"/>
    <cellStyle name="Percent 197" xfId="11025" xr:uid="{00000000-0005-0000-0000-0000BB280000}"/>
    <cellStyle name="Percent 198" xfId="11028" xr:uid="{00000000-0005-0000-0000-0000BC280000}"/>
    <cellStyle name="Percent 199" xfId="11031" xr:uid="{00000000-0005-0000-0000-0000BD280000}"/>
    <cellStyle name="Percent 2" xfId="26" xr:uid="{00000000-0005-0000-0000-0000BE280000}"/>
    <cellStyle name="Percent 2 2" xfId="32" xr:uid="{00000000-0005-0000-0000-0000BF280000}"/>
    <cellStyle name="Percent 2 2 2" xfId="78" xr:uid="{00000000-0005-0000-0000-0000C0280000}"/>
    <cellStyle name="Percent 2 2 2 2" xfId="308" xr:uid="{00000000-0005-0000-0000-0000C1280000}"/>
    <cellStyle name="Percent 2 2 2 2 2" xfId="10369" xr:uid="{00000000-0005-0000-0000-0000C2280000}"/>
    <cellStyle name="Percent 2 2 3" xfId="309" xr:uid="{00000000-0005-0000-0000-0000C3280000}"/>
    <cellStyle name="Percent 2 2 3 2" xfId="6576" xr:uid="{00000000-0005-0000-0000-0000C4280000}"/>
    <cellStyle name="Percent 2 3" xfId="84" xr:uid="{00000000-0005-0000-0000-0000C5280000}"/>
    <cellStyle name="Percent 2 3 2" xfId="310" xr:uid="{00000000-0005-0000-0000-0000C6280000}"/>
    <cellStyle name="Percent 2 3 2 2" xfId="6577" xr:uid="{00000000-0005-0000-0000-0000C7280000}"/>
    <cellStyle name="Percent 2 3 3" xfId="1691" xr:uid="{00000000-0005-0000-0000-0000C8280000}"/>
    <cellStyle name="Percent 2 4" xfId="311" xr:uid="{00000000-0005-0000-0000-0000C9280000}"/>
    <cellStyle name="Percent 2 4 2" xfId="6578" xr:uid="{00000000-0005-0000-0000-0000CA280000}"/>
    <cellStyle name="Percent 2 5" xfId="1687" xr:uid="{00000000-0005-0000-0000-0000CB280000}"/>
    <cellStyle name="Percent 2 6" xfId="6575" xr:uid="{00000000-0005-0000-0000-0000CC280000}"/>
    <cellStyle name="Percent 2 7" xfId="2141" xr:uid="{00000000-0005-0000-0000-0000CD280000}"/>
    <cellStyle name="Percent 2 8" xfId="10909" xr:uid="{00000000-0005-0000-0000-0000CE280000}"/>
    <cellStyle name="Percent 2 9" xfId="1788" xr:uid="{00000000-0005-0000-0000-0000CF280000}"/>
    <cellStyle name="Percent 20" xfId="10428" xr:uid="{00000000-0005-0000-0000-0000D0280000}"/>
    <cellStyle name="Percent 200" xfId="11034" xr:uid="{00000000-0005-0000-0000-0000D1280000}"/>
    <cellStyle name="Percent 201" xfId="11037" xr:uid="{00000000-0005-0000-0000-0000D2280000}"/>
    <cellStyle name="Percent 202" xfId="11040" xr:uid="{00000000-0005-0000-0000-0000D3280000}"/>
    <cellStyle name="Percent 203" xfId="11043" xr:uid="{00000000-0005-0000-0000-0000D4280000}"/>
    <cellStyle name="Percent 204" xfId="11046" xr:uid="{00000000-0005-0000-0000-0000D5280000}"/>
    <cellStyle name="Percent 205" xfId="11049" xr:uid="{00000000-0005-0000-0000-0000D6280000}"/>
    <cellStyle name="Percent 206" xfId="11052" xr:uid="{00000000-0005-0000-0000-0000D7280000}"/>
    <cellStyle name="Percent 207" xfId="1786" xr:uid="{00000000-0005-0000-0000-0000D8280000}"/>
    <cellStyle name="Percent 208" xfId="10944" xr:uid="{00000000-0005-0000-0000-0000D9280000}"/>
    <cellStyle name="Percent 209" xfId="11084" xr:uid="{00000000-0005-0000-0000-0000DA280000}"/>
    <cellStyle name="Percent 21" xfId="10431" xr:uid="{00000000-0005-0000-0000-0000DB280000}"/>
    <cellStyle name="Percent 22" xfId="10434" xr:uid="{00000000-0005-0000-0000-0000DC280000}"/>
    <cellStyle name="Percent 23" xfId="10437" xr:uid="{00000000-0005-0000-0000-0000DD280000}"/>
    <cellStyle name="Percent 24" xfId="10440" xr:uid="{00000000-0005-0000-0000-0000DE280000}"/>
    <cellStyle name="Percent 25" xfId="10443" xr:uid="{00000000-0005-0000-0000-0000DF280000}"/>
    <cellStyle name="Percent 26" xfId="10446" xr:uid="{00000000-0005-0000-0000-0000E0280000}"/>
    <cellStyle name="Percent 27" xfId="10449" xr:uid="{00000000-0005-0000-0000-0000E1280000}"/>
    <cellStyle name="Percent 28" xfId="10452" xr:uid="{00000000-0005-0000-0000-0000E2280000}"/>
    <cellStyle name="Percent 29" xfId="10455" xr:uid="{00000000-0005-0000-0000-0000E3280000}"/>
    <cellStyle name="Percent 3" xfId="15" xr:uid="{00000000-0005-0000-0000-0000E4280000}"/>
    <cellStyle name="Percent 3 2" xfId="77" xr:uid="{00000000-0005-0000-0000-0000E5280000}"/>
    <cellStyle name="Percent 3 2 2" xfId="312" xr:uid="{00000000-0005-0000-0000-0000E6280000}"/>
    <cellStyle name="Percent 3 2 3" xfId="6580" xr:uid="{00000000-0005-0000-0000-0000E7280000}"/>
    <cellStyle name="Percent 3 3" xfId="313" xr:uid="{00000000-0005-0000-0000-0000E8280000}"/>
    <cellStyle name="Percent 3 3 2" xfId="6579" xr:uid="{00000000-0005-0000-0000-0000E9280000}"/>
    <cellStyle name="Percent 3 4" xfId="10370" xr:uid="{00000000-0005-0000-0000-0000EA280000}"/>
    <cellStyle name="Percent 3 5" xfId="10910" xr:uid="{00000000-0005-0000-0000-0000EB280000}"/>
    <cellStyle name="Percent 3 6" xfId="2160" xr:uid="{00000000-0005-0000-0000-0000EC280000}"/>
    <cellStyle name="Percent 30" xfId="10458" xr:uid="{00000000-0005-0000-0000-0000ED280000}"/>
    <cellStyle name="Percent 31" xfId="10461" xr:uid="{00000000-0005-0000-0000-0000EE280000}"/>
    <cellStyle name="Percent 32" xfId="10464" xr:uid="{00000000-0005-0000-0000-0000EF280000}"/>
    <cellStyle name="Percent 33" xfId="10467" xr:uid="{00000000-0005-0000-0000-0000F0280000}"/>
    <cellStyle name="Percent 34" xfId="10470" xr:uid="{00000000-0005-0000-0000-0000F1280000}"/>
    <cellStyle name="Percent 35" xfId="10473" xr:uid="{00000000-0005-0000-0000-0000F2280000}"/>
    <cellStyle name="Percent 36" xfId="10476" xr:uid="{00000000-0005-0000-0000-0000F3280000}"/>
    <cellStyle name="Percent 37" xfId="10479" xr:uid="{00000000-0005-0000-0000-0000F4280000}"/>
    <cellStyle name="Percent 38" xfId="10482" xr:uid="{00000000-0005-0000-0000-0000F5280000}"/>
    <cellStyle name="Percent 39" xfId="10485" xr:uid="{00000000-0005-0000-0000-0000F6280000}"/>
    <cellStyle name="Percent 4" xfId="314" xr:uid="{00000000-0005-0000-0000-0000F7280000}"/>
    <cellStyle name="Percent 4 2" xfId="315" xr:uid="{00000000-0005-0000-0000-0000F8280000}"/>
    <cellStyle name="Percent 4 2 2" xfId="6582" xr:uid="{00000000-0005-0000-0000-0000F9280000}"/>
    <cellStyle name="Percent 4 2 2 2" xfId="6583" xr:uid="{00000000-0005-0000-0000-0000FA280000}"/>
    <cellStyle name="Percent 4 2 2 2 2" xfId="10371" xr:uid="{00000000-0005-0000-0000-0000FB280000}"/>
    <cellStyle name="Percent 4 2 2 3" xfId="10372" xr:uid="{00000000-0005-0000-0000-0000FC280000}"/>
    <cellStyle name="Percent 4 2 3" xfId="6584" xr:uid="{00000000-0005-0000-0000-0000FD280000}"/>
    <cellStyle name="Percent 4 2 3 2" xfId="10373" xr:uid="{00000000-0005-0000-0000-0000FE280000}"/>
    <cellStyle name="Percent 4 2 4" xfId="10374" xr:uid="{00000000-0005-0000-0000-0000FF280000}"/>
    <cellStyle name="Percent 4 2 5" xfId="6581" xr:uid="{00000000-0005-0000-0000-000000290000}"/>
    <cellStyle name="Percent 4 3" xfId="6585" xr:uid="{00000000-0005-0000-0000-000001290000}"/>
    <cellStyle name="Percent 4 3 2" xfId="6586" xr:uid="{00000000-0005-0000-0000-000002290000}"/>
    <cellStyle name="Percent 4 3 2 2" xfId="10375" xr:uid="{00000000-0005-0000-0000-000003290000}"/>
    <cellStyle name="Percent 4 3 3" xfId="10376" xr:uid="{00000000-0005-0000-0000-000004290000}"/>
    <cellStyle name="Percent 4 4" xfId="6587" xr:uid="{00000000-0005-0000-0000-000005290000}"/>
    <cellStyle name="Percent 4 4 2" xfId="10377" xr:uid="{00000000-0005-0000-0000-000006290000}"/>
    <cellStyle name="Percent 4 5" xfId="6588" xr:uid="{00000000-0005-0000-0000-000007290000}"/>
    <cellStyle name="Percent 4 6" xfId="10378" xr:uid="{00000000-0005-0000-0000-000008290000}"/>
    <cellStyle name="Percent 4 7" xfId="10911" xr:uid="{00000000-0005-0000-0000-000009290000}"/>
    <cellStyle name="Percent 40" xfId="10488" xr:uid="{00000000-0005-0000-0000-00000A290000}"/>
    <cellStyle name="Percent 41" xfId="10491" xr:uid="{00000000-0005-0000-0000-00000B290000}"/>
    <cellStyle name="Percent 42" xfId="10494" xr:uid="{00000000-0005-0000-0000-00000C290000}"/>
    <cellStyle name="Percent 43" xfId="10497" xr:uid="{00000000-0005-0000-0000-00000D290000}"/>
    <cellStyle name="Percent 44" xfId="10500" xr:uid="{00000000-0005-0000-0000-00000E290000}"/>
    <cellStyle name="Percent 45" xfId="10503" xr:uid="{00000000-0005-0000-0000-00000F290000}"/>
    <cellStyle name="Percent 46" xfId="10506" xr:uid="{00000000-0005-0000-0000-000010290000}"/>
    <cellStyle name="Percent 47" xfId="10509" xr:uid="{00000000-0005-0000-0000-000011290000}"/>
    <cellStyle name="Percent 48" xfId="10512" xr:uid="{00000000-0005-0000-0000-000012290000}"/>
    <cellStyle name="Percent 49" xfId="10515" xr:uid="{00000000-0005-0000-0000-000013290000}"/>
    <cellStyle name="Percent 5" xfId="316" xr:uid="{00000000-0005-0000-0000-000014290000}"/>
    <cellStyle name="Percent 5 2" xfId="1732" xr:uid="{00000000-0005-0000-0000-000015290000}"/>
    <cellStyle name="Percent 5 2 2" xfId="6589" xr:uid="{00000000-0005-0000-0000-000016290000}"/>
    <cellStyle name="Percent 5 2 2 2" xfId="6590" xr:uid="{00000000-0005-0000-0000-000017290000}"/>
    <cellStyle name="Percent 5 2 2 2 2" xfId="10379" xr:uid="{00000000-0005-0000-0000-000018290000}"/>
    <cellStyle name="Percent 5 2 2 3" xfId="10380" xr:uid="{00000000-0005-0000-0000-000019290000}"/>
    <cellStyle name="Percent 5 2 3" xfId="6591" xr:uid="{00000000-0005-0000-0000-00001A290000}"/>
    <cellStyle name="Percent 5 2 3 2" xfId="10381" xr:uid="{00000000-0005-0000-0000-00001B290000}"/>
    <cellStyle name="Percent 5 2 4" xfId="6592" xr:uid="{00000000-0005-0000-0000-00001C290000}"/>
    <cellStyle name="Percent 5 3" xfId="6593" xr:uid="{00000000-0005-0000-0000-00001D290000}"/>
    <cellStyle name="Percent 5 3 2" xfId="6594" xr:uid="{00000000-0005-0000-0000-00001E290000}"/>
    <cellStyle name="Percent 5 3 2 2" xfId="10382" xr:uid="{00000000-0005-0000-0000-00001F290000}"/>
    <cellStyle name="Percent 5 3 3" xfId="10383" xr:uid="{00000000-0005-0000-0000-000020290000}"/>
    <cellStyle name="Percent 5 4" xfId="6595" xr:uid="{00000000-0005-0000-0000-000021290000}"/>
    <cellStyle name="Percent 5 4 2" xfId="10384" xr:uid="{00000000-0005-0000-0000-000022290000}"/>
    <cellStyle name="Percent 5 5" xfId="6596" xr:uid="{00000000-0005-0000-0000-000023290000}"/>
    <cellStyle name="Percent 50" xfId="10518" xr:uid="{00000000-0005-0000-0000-000024290000}"/>
    <cellStyle name="Percent 51" xfId="10521" xr:uid="{00000000-0005-0000-0000-000025290000}"/>
    <cellStyle name="Percent 52" xfId="10524" xr:uid="{00000000-0005-0000-0000-000026290000}"/>
    <cellStyle name="Percent 53" xfId="10527" xr:uid="{00000000-0005-0000-0000-000027290000}"/>
    <cellStyle name="Percent 54" xfId="10530" xr:uid="{00000000-0005-0000-0000-000028290000}"/>
    <cellStyle name="Percent 55" xfId="10533" xr:uid="{00000000-0005-0000-0000-000029290000}"/>
    <cellStyle name="Percent 56" xfId="10536" xr:uid="{00000000-0005-0000-0000-00002A290000}"/>
    <cellStyle name="Percent 57" xfId="10539" xr:uid="{00000000-0005-0000-0000-00002B290000}"/>
    <cellStyle name="Percent 58" xfId="10542" xr:uid="{00000000-0005-0000-0000-00002C290000}"/>
    <cellStyle name="Percent 59" xfId="10545" xr:uid="{00000000-0005-0000-0000-00002D290000}"/>
    <cellStyle name="Percent 6" xfId="25" xr:uid="{00000000-0005-0000-0000-00002E290000}"/>
    <cellStyle name="Percent 6 2" xfId="1733" xr:uid="{00000000-0005-0000-0000-00002F290000}"/>
    <cellStyle name="Percent 6 2 2" xfId="6599" xr:uid="{00000000-0005-0000-0000-000030290000}"/>
    <cellStyle name="Percent 6 2 2 2" xfId="6600" xr:uid="{00000000-0005-0000-0000-000031290000}"/>
    <cellStyle name="Percent 6 2 2 2 2" xfId="10385" xr:uid="{00000000-0005-0000-0000-000032290000}"/>
    <cellStyle name="Percent 6 2 2 3" xfId="10386" xr:uid="{00000000-0005-0000-0000-000033290000}"/>
    <cellStyle name="Percent 6 2 3" xfId="6601" xr:uid="{00000000-0005-0000-0000-000034290000}"/>
    <cellStyle name="Percent 6 2 3 2" xfId="10387" xr:uid="{00000000-0005-0000-0000-000035290000}"/>
    <cellStyle name="Percent 6 2 4" xfId="10388" xr:uid="{00000000-0005-0000-0000-000036290000}"/>
    <cellStyle name="Percent 6 2 5" xfId="6598" xr:uid="{00000000-0005-0000-0000-000037290000}"/>
    <cellStyle name="Percent 6 3" xfId="6602" xr:uid="{00000000-0005-0000-0000-000038290000}"/>
    <cellStyle name="Percent 6 3 2" xfId="6603" xr:uid="{00000000-0005-0000-0000-000039290000}"/>
    <cellStyle name="Percent 6 3 2 2" xfId="10389" xr:uid="{00000000-0005-0000-0000-00003A290000}"/>
    <cellStyle name="Percent 6 3 3" xfId="10390" xr:uid="{00000000-0005-0000-0000-00003B290000}"/>
    <cellStyle name="Percent 6 4" xfId="6604" xr:uid="{00000000-0005-0000-0000-00003C290000}"/>
    <cellStyle name="Percent 6 4 2" xfId="10391" xr:uid="{00000000-0005-0000-0000-00003D290000}"/>
    <cellStyle name="Percent 6 5" xfId="10392" xr:uid="{00000000-0005-0000-0000-00003E290000}"/>
    <cellStyle name="Percent 6 6" xfId="6597" xr:uid="{00000000-0005-0000-0000-00003F290000}"/>
    <cellStyle name="Percent 60" xfId="10548" xr:uid="{00000000-0005-0000-0000-000040290000}"/>
    <cellStyle name="Percent 61" xfId="10551" xr:uid="{00000000-0005-0000-0000-000041290000}"/>
    <cellStyle name="Percent 62" xfId="10554" xr:uid="{00000000-0005-0000-0000-000042290000}"/>
    <cellStyle name="Percent 63" xfId="10557" xr:uid="{00000000-0005-0000-0000-000043290000}"/>
    <cellStyle name="Percent 64" xfId="10560" xr:uid="{00000000-0005-0000-0000-000044290000}"/>
    <cellStyle name="Percent 65" xfId="10563" xr:uid="{00000000-0005-0000-0000-000045290000}"/>
    <cellStyle name="Percent 66" xfId="10566" xr:uid="{00000000-0005-0000-0000-000046290000}"/>
    <cellStyle name="Percent 67" xfId="10569" xr:uid="{00000000-0005-0000-0000-000047290000}"/>
    <cellStyle name="Percent 68" xfId="10572" xr:uid="{00000000-0005-0000-0000-000048290000}"/>
    <cellStyle name="Percent 69" xfId="10575" xr:uid="{00000000-0005-0000-0000-000049290000}"/>
    <cellStyle name="Percent 7" xfId="400" xr:uid="{00000000-0005-0000-0000-00004A290000}"/>
    <cellStyle name="Percent 7 2" xfId="1734" xr:uid="{00000000-0005-0000-0000-00004B290000}"/>
    <cellStyle name="Percent 7 2 2" xfId="6607" xr:uid="{00000000-0005-0000-0000-00004C290000}"/>
    <cellStyle name="Percent 7 2 2 2" xfId="6608" xr:uid="{00000000-0005-0000-0000-00004D290000}"/>
    <cellStyle name="Percent 7 2 2 2 2" xfId="10393" xr:uid="{00000000-0005-0000-0000-00004E290000}"/>
    <cellStyle name="Percent 7 2 2 3" xfId="10394" xr:uid="{00000000-0005-0000-0000-00004F290000}"/>
    <cellStyle name="Percent 7 2 3" xfId="6609" xr:uid="{00000000-0005-0000-0000-000050290000}"/>
    <cellStyle name="Percent 7 2 3 2" xfId="10395" xr:uid="{00000000-0005-0000-0000-000051290000}"/>
    <cellStyle name="Percent 7 2 4" xfId="10396" xr:uid="{00000000-0005-0000-0000-000052290000}"/>
    <cellStyle name="Percent 7 2 5" xfId="6606" xr:uid="{00000000-0005-0000-0000-000053290000}"/>
    <cellStyle name="Percent 7 3" xfId="6610" xr:uid="{00000000-0005-0000-0000-000054290000}"/>
    <cellStyle name="Percent 7 3 2" xfId="6611" xr:uid="{00000000-0005-0000-0000-000055290000}"/>
    <cellStyle name="Percent 7 3 2 2" xfId="10397" xr:uid="{00000000-0005-0000-0000-000056290000}"/>
    <cellStyle name="Percent 7 3 3" xfId="10398" xr:uid="{00000000-0005-0000-0000-000057290000}"/>
    <cellStyle name="Percent 7 4" xfId="6612" xr:uid="{00000000-0005-0000-0000-000058290000}"/>
    <cellStyle name="Percent 7 4 2" xfId="10399" xr:uid="{00000000-0005-0000-0000-000059290000}"/>
    <cellStyle name="Percent 7 5" xfId="10400" xr:uid="{00000000-0005-0000-0000-00005A290000}"/>
    <cellStyle name="Percent 7 6" xfId="6605" xr:uid="{00000000-0005-0000-0000-00005B290000}"/>
    <cellStyle name="Percent 70" xfId="10578" xr:uid="{00000000-0005-0000-0000-00005C290000}"/>
    <cellStyle name="Percent 71" xfId="10581" xr:uid="{00000000-0005-0000-0000-00005D290000}"/>
    <cellStyle name="Percent 72" xfId="10584" xr:uid="{00000000-0005-0000-0000-00005E290000}"/>
    <cellStyle name="Percent 73" xfId="10587" xr:uid="{00000000-0005-0000-0000-00005F290000}"/>
    <cellStyle name="Percent 74" xfId="10590" xr:uid="{00000000-0005-0000-0000-000060290000}"/>
    <cellStyle name="Percent 75" xfId="10593" xr:uid="{00000000-0005-0000-0000-000061290000}"/>
    <cellStyle name="Percent 76" xfId="10596" xr:uid="{00000000-0005-0000-0000-000062290000}"/>
    <cellStyle name="Percent 77" xfId="10599" xr:uid="{00000000-0005-0000-0000-000063290000}"/>
    <cellStyle name="Percent 78" xfId="10602" xr:uid="{00000000-0005-0000-0000-000064290000}"/>
    <cellStyle name="Percent 79" xfId="10605" xr:uid="{00000000-0005-0000-0000-000065290000}"/>
    <cellStyle name="Percent 8" xfId="401" xr:uid="{00000000-0005-0000-0000-000066290000}"/>
    <cellStyle name="Percent 8 2" xfId="1735" xr:uid="{00000000-0005-0000-0000-000067290000}"/>
    <cellStyle name="Percent 80" xfId="10608" xr:uid="{00000000-0005-0000-0000-000068290000}"/>
    <cellStyle name="Percent 81" xfId="10611" xr:uid="{00000000-0005-0000-0000-000069290000}"/>
    <cellStyle name="Percent 82" xfId="10614" xr:uid="{00000000-0005-0000-0000-00006A290000}"/>
    <cellStyle name="Percent 83" xfId="10617" xr:uid="{00000000-0005-0000-0000-00006B290000}"/>
    <cellStyle name="Percent 84" xfId="10620" xr:uid="{00000000-0005-0000-0000-00006C290000}"/>
    <cellStyle name="Percent 85" xfId="10623" xr:uid="{00000000-0005-0000-0000-00006D290000}"/>
    <cellStyle name="Percent 86" xfId="10626" xr:uid="{00000000-0005-0000-0000-00006E290000}"/>
    <cellStyle name="Percent 87" xfId="10629" xr:uid="{00000000-0005-0000-0000-00006F290000}"/>
    <cellStyle name="Percent 88" xfId="10632" xr:uid="{00000000-0005-0000-0000-000070290000}"/>
    <cellStyle name="Percent 89" xfId="10635" xr:uid="{00000000-0005-0000-0000-000071290000}"/>
    <cellStyle name="Percent 9" xfId="402" xr:uid="{00000000-0005-0000-0000-000072290000}"/>
    <cellStyle name="Percent 9 2" xfId="1736" xr:uid="{00000000-0005-0000-0000-000073290000}"/>
    <cellStyle name="Percent 9 2 2" xfId="10401" xr:uid="{00000000-0005-0000-0000-000074290000}"/>
    <cellStyle name="Percent 9 3" xfId="6613" xr:uid="{00000000-0005-0000-0000-000075290000}"/>
    <cellStyle name="Percent 90" xfId="10638" xr:uid="{00000000-0005-0000-0000-000076290000}"/>
    <cellStyle name="Percent 91" xfId="10641" xr:uid="{00000000-0005-0000-0000-000077290000}"/>
    <cellStyle name="Percent 92" xfId="10644" xr:uid="{00000000-0005-0000-0000-000078290000}"/>
    <cellStyle name="Percent 93" xfId="10647" xr:uid="{00000000-0005-0000-0000-000079290000}"/>
    <cellStyle name="Percent 94" xfId="10650" xr:uid="{00000000-0005-0000-0000-00007A290000}"/>
    <cellStyle name="Percent 95" xfId="10653" xr:uid="{00000000-0005-0000-0000-00007B290000}"/>
    <cellStyle name="Percent 96" xfId="10656" xr:uid="{00000000-0005-0000-0000-00007C290000}"/>
    <cellStyle name="Percent 97" xfId="10659" xr:uid="{00000000-0005-0000-0000-00007D290000}"/>
    <cellStyle name="Percent 98" xfId="10662" xr:uid="{00000000-0005-0000-0000-00007E290000}"/>
    <cellStyle name="Percent 99" xfId="10665" xr:uid="{00000000-0005-0000-0000-00007F290000}"/>
    <cellStyle name="Percent Comma" xfId="1176" xr:uid="{00000000-0005-0000-0000-000080290000}"/>
    <cellStyle name="Percent1" xfId="1947" xr:uid="{00000000-0005-0000-0000-000081290000}"/>
    <cellStyle name="Percent2" xfId="1948" xr:uid="{00000000-0005-0000-0000-000082290000}"/>
    <cellStyle name="percentage" xfId="1949" xr:uid="{00000000-0005-0000-0000-000083290000}"/>
    <cellStyle name="PercentChange" xfId="1950" xr:uid="{00000000-0005-0000-0000-000084290000}"/>
    <cellStyle name="PO BORDER" xfId="317" xr:uid="{00000000-0005-0000-0000-000085290000}"/>
    <cellStyle name="PO BORDER 2" xfId="1599" xr:uid="{00000000-0005-0000-0000-000086290000}"/>
    <cellStyle name="PO BORDER 2 2" xfId="1642" xr:uid="{00000000-0005-0000-0000-000087290000}"/>
    <cellStyle name="PO BORDER 2 3" xfId="1661" xr:uid="{00000000-0005-0000-0000-000088290000}"/>
    <cellStyle name="PO BORDER 3" xfId="1743" xr:uid="{00000000-0005-0000-0000-000089290000}"/>
    <cellStyle name="PO BORDER 4" xfId="11114" xr:uid="{00000000-0005-0000-0000-00008A290000}"/>
    <cellStyle name="Porcentagem_Cenário Básico" xfId="1951" xr:uid="{00000000-0005-0000-0000-00008B290000}"/>
    <cellStyle name="Porcentual_mov_dolar" xfId="1952" xr:uid="{00000000-0005-0000-0000-00008C290000}"/>
    <cellStyle name="price" xfId="1177" xr:uid="{00000000-0005-0000-0000-00008D290000}"/>
    <cellStyle name="PSChar" xfId="318" xr:uid="{00000000-0005-0000-0000-00008E290000}"/>
    <cellStyle name="PSChar 2" xfId="319" xr:uid="{00000000-0005-0000-0000-00008F290000}"/>
    <cellStyle name="PSDate" xfId="320" xr:uid="{00000000-0005-0000-0000-000090290000}"/>
    <cellStyle name="PSDate 2" xfId="321" xr:uid="{00000000-0005-0000-0000-000091290000}"/>
    <cellStyle name="PSDec" xfId="322" xr:uid="{00000000-0005-0000-0000-000092290000}"/>
    <cellStyle name="PSDec 2" xfId="323" xr:uid="{00000000-0005-0000-0000-000093290000}"/>
    <cellStyle name="PSHeading" xfId="324" xr:uid="{00000000-0005-0000-0000-000094290000}"/>
    <cellStyle name="PSHeading 2" xfId="334" xr:uid="{00000000-0005-0000-0000-000095290000}"/>
    <cellStyle name="PSHeading 2 2" xfId="403" xr:uid="{00000000-0005-0000-0000-000096290000}"/>
    <cellStyle name="PSHeading 2 2 2" xfId="1694" xr:uid="{00000000-0005-0000-0000-000097290000}"/>
    <cellStyle name="PSHeading 2 3" xfId="1693" xr:uid="{00000000-0005-0000-0000-000098290000}"/>
    <cellStyle name="PSInt" xfId="325" xr:uid="{00000000-0005-0000-0000-000099290000}"/>
    <cellStyle name="PSInt 2" xfId="326" xr:uid="{00000000-0005-0000-0000-00009A290000}"/>
    <cellStyle name="PSSpacer" xfId="327" xr:uid="{00000000-0005-0000-0000-00009B290000}"/>
    <cellStyle name="PSSpacer 2" xfId="328" xr:uid="{00000000-0005-0000-0000-00009C290000}"/>
    <cellStyle name="PutnamPh#" xfId="329" xr:uid="{00000000-0005-0000-0000-00009D290000}"/>
    <cellStyle name="q" xfId="1178" xr:uid="{00000000-0005-0000-0000-00009E290000}"/>
    <cellStyle name="q_1 FM_101_Examples_v7.31McIntire" xfId="1179" xr:uid="{00000000-0005-0000-0000-00009F290000}"/>
    <cellStyle name="q_1 FM_101_Examples_v7.31McIntire_1 FM_101_Examples_TWO-Day_v7.31" xfId="1180" xr:uid="{00000000-0005-0000-0000-0000A0290000}"/>
    <cellStyle name="q_AVP" xfId="1181" xr:uid="{00000000-0005-0000-0000-0000A1290000}"/>
    <cellStyle name="q_AVP_1 FM_101_Examples_v7.31McIntire" xfId="1182" xr:uid="{00000000-0005-0000-0000-0000A2290000}"/>
    <cellStyle name="q_AVP_1 FM_101_Examples_v7.31McIntire_1 FM_101_Examples_TWO-Day_v7.31" xfId="1183" xr:uid="{00000000-0005-0000-0000-0000A3290000}"/>
    <cellStyle name="q_AVP_Graphic Depiction - NO DEV" xfId="1184" xr:uid="{00000000-0005-0000-0000-0000A4290000}"/>
    <cellStyle name="q_AVP_Graphic Depiction - NO DEV_1 FM_101_Examples_v7.31McIntire" xfId="1185" xr:uid="{00000000-0005-0000-0000-0000A5290000}"/>
    <cellStyle name="q_AVP_Graphic Depiction - NO DEV_1 FM_101_Examples_v7.31McIntire_1 FM_101_Examples_TWO-Day_v7.31" xfId="1186" xr:uid="{00000000-0005-0000-0000-0000A6290000}"/>
    <cellStyle name="q_AVP_Graphic Depiction - NO DEV_Val_1_Book_Lecture_Notes_v3.06" xfId="1187" xr:uid="{00000000-0005-0000-0000-0000A7290000}"/>
    <cellStyle name="q_AVP_THEsumPage (2)" xfId="1188" xr:uid="{00000000-0005-0000-0000-0000A8290000}"/>
    <cellStyle name="q_AVP_THEsumPage (2)_1 FM_101_Examples_v7.31McIntire" xfId="1189" xr:uid="{00000000-0005-0000-0000-0000A9290000}"/>
    <cellStyle name="q_AVP_THEsumPage (2)_1 FM_101_Examples_v7.31McIntire_1 FM_101_Examples_TWO-Day_v7.31" xfId="1190" xr:uid="{00000000-0005-0000-0000-0000AA290000}"/>
    <cellStyle name="q_AVP_THEsumPage (2)_Val_1_Book_Lecture_Notes_v3.06" xfId="1191" xr:uid="{00000000-0005-0000-0000-0000AB290000}"/>
    <cellStyle name="q_AVP_Val_1_Book_Lecture_Notes_v3.06" xfId="1192" xr:uid="{00000000-0005-0000-0000-0000AC290000}"/>
    <cellStyle name="q_AVP_Valuation Summary Graphics" xfId="1193" xr:uid="{00000000-0005-0000-0000-0000AD290000}"/>
    <cellStyle name="q_AVP_Valuation Summary Graphics_1 FM_101_Examples_v7.31McIntire" xfId="1194" xr:uid="{00000000-0005-0000-0000-0000AE290000}"/>
    <cellStyle name="q_AVP_Valuation Summary Graphics_1 FM_101_Examples_v7.31McIntire_1 FM_101_Examples_TWO-Day_v7.31" xfId="1195" xr:uid="{00000000-0005-0000-0000-0000AF290000}"/>
    <cellStyle name="q_AVP_Valuation Summary Graphics_Val_1_Book_Lecture_Notes_v3.06" xfId="1196" xr:uid="{00000000-0005-0000-0000-0000B0290000}"/>
    <cellStyle name="q_CompSheet" xfId="1197" xr:uid="{00000000-0005-0000-0000-0000B1290000}"/>
    <cellStyle name="q_CompSheet_Val_1_Book_Lecture_Notes_v3.06" xfId="1198" xr:uid="{00000000-0005-0000-0000-0000B2290000}"/>
    <cellStyle name="q_Disc Analysis" xfId="1199" xr:uid="{00000000-0005-0000-0000-0000B3290000}"/>
    <cellStyle name="q_Disc Analysis_1 FM_101_Examples_v7.31McIntire" xfId="1200" xr:uid="{00000000-0005-0000-0000-0000B4290000}"/>
    <cellStyle name="q_Disc Analysis_1 FM_101_Examples_v7.31McIntire_1 FM_101_Examples_TWO-Day_v7.31" xfId="1201" xr:uid="{00000000-0005-0000-0000-0000B5290000}"/>
    <cellStyle name="q_Disc Analysis_CompSheet" xfId="1202" xr:uid="{00000000-0005-0000-0000-0000B6290000}"/>
    <cellStyle name="q_Disc Analysis_CompSheet_1 FM_101_Examples_v7.31McIntire" xfId="1203" xr:uid="{00000000-0005-0000-0000-0000B7290000}"/>
    <cellStyle name="q_Disc Analysis_CompSheet_1 FM_101_Examples_v7.31McIntire_1 FM_101_Examples_TWO-Day_v7.31" xfId="1204" xr:uid="{00000000-0005-0000-0000-0000B8290000}"/>
    <cellStyle name="q_Disc Analysis_CompSheet_Val_1_Book_Lecture_Notes_v3.06" xfId="1205" xr:uid="{00000000-0005-0000-0000-0000B9290000}"/>
    <cellStyle name="q_Disc Analysis_Fairness Opinion Valuation 4-23a.xls Chart 1" xfId="1206" xr:uid="{00000000-0005-0000-0000-0000BA290000}"/>
    <cellStyle name="q_Disc Analysis_Fairness Opinion Valuation 4-23a.xls Chart 1_1 FM_101_Examples_v7.31McIntire" xfId="1207" xr:uid="{00000000-0005-0000-0000-0000BB290000}"/>
    <cellStyle name="q_Disc Analysis_Fairness Opinion Valuation 4-23a.xls Chart 1_1 FM_101_Examples_v7.31McIntire_1 FM_101_Examples_TWO-Day_v7.31" xfId="1208" xr:uid="{00000000-0005-0000-0000-0000BC290000}"/>
    <cellStyle name="q_Disc Analysis_Fairness Opinion Valuation 4-23a.xls Chart 1_Val_1_Book_Lecture_Notes_v3.06" xfId="1209" xr:uid="{00000000-0005-0000-0000-0000BD290000}"/>
    <cellStyle name="q_Disc Analysis_PowerValuation.xls Chart 21" xfId="1210" xr:uid="{00000000-0005-0000-0000-0000BE290000}"/>
    <cellStyle name="q_Disc Analysis_PowerValuation.xls Chart 21_1 FM_101_Examples_v7.31McIntire" xfId="1211" xr:uid="{00000000-0005-0000-0000-0000BF290000}"/>
    <cellStyle name="q_Disc Analysis_PowerValuation.xls Chart 21_1 FM_101_Examples_v7.31McIntire_1 FM_101_Examples_TWO-Day_v7.31" xfId="1212" xr:uid="{00000000-0005-0000-0000-0000C0290000}"/>
    <cellStyle name="q_Disc Analysis_PowerValuation.xls Chart 21_Val_1_Book_Lecture_Notes_v3.06" xfId="1213" xr:uid="{00000000-0005-0000-0000-0000C1290000}"/>
    <cellStyle name="q_Disc Analysis_PowerValuation.xls Chart 28" xfId="1214" xr:uid="{00000000-0005-0000-0000-0000C2290000}"/>
    <cellStyle name="q_Disc Analysis_PowerValuation.xls Chart 28_1 FM_101_Examples_v7.31McIntire" xfId="1215" xr:uid="{00000000-0005-0000-0000-0000C3290000}"/>
    <cellStyle name="q_Disc Analysis_PowerValuation.xls Chart 28_1 FM_101_Examples_v7.31McIntire_1 FM_101_Examples_TWO-Day_v7.31" xfId="1216" xr:uid="{00000000-0005-0000-0000-0000C4290000}"/>
    <cellStyle name="q_Disc Analysis_PowerValuation.xls Chart 28_Val_1_Book_Lecture_Notes_v3.06" xfId="1217" xr:uid="{00000000-0005-0000-0000-0000C5290000}"/>
    <cellStyle name="q_Disc Analysis_THEsumPage (2)" xfId="1218" xr:uid="{00000000-0005-0000-0000-0000C6290000}"/>
    <cellStyle name="q_Disc Analysis_THEsumPage (2)_1 FM_101_Examples_v7.31McIntire" xfId="1219" xr:uid="{00000000-0005-0000-0000-0000C7290000}"/>
    <cellStyle name="q_Disc Analysis_THEsumPage (2)_1 FM_101_Examples_v7.31McIntire_1 FM_101_Examples_TWO-Day_v7.31" xfId="1220" xr:uid="{00000000-0005-0000-0000-0000C8290000}"/>
    <cellStyle name="q_Disc Analysis_THEsumPage (2)_Val_1_Book_Lecture_Notes_v3.06" xfId="1221" xr:uid="{00000000-0005-0000-0000-0000C9290000}"/>
    <cellStyle name="q_Disc Analysis_Val_1_Book_Lecture_Notes_v3.06" xfId="1222" xr:uid="{00000000-0005-0000-0000-0000CA290000}"/>
    <cellStyle name="q_Disc Analysis_Valuation summaries" xfId="1223" xr:uid="{00000000-0005-0000-0000-0000CB290000}"/>
    <cellStyle name="q_Disc Analysis_Valuation summaries_1 FM_101_Examples_v7.31McIntire" xfId="1224" xr:uid="{00000000-0005-0000-0000-0000CC290000}"/>
    <cellStyle name="q_Disc Analysis_Valuation summaries_1 FM_101_Examples_v7.31McIntire_1 FM_101_Examples_TWO-Day_v7.31" xfId="1225" xr:uid="{00000000-0005-0000-0000-0000CD290000}"/>
    <cellStyle name="q_Disc Analysis_Valuation summaries_Val_1_Book_Lecture_Notes_v3.06" xfId="1226" xr:uid="{00000000-0005-0000-0000-0000CE290000}"/>
    <cellStyle name="q_Fairness Opinion Valuation 4-23a.xls Chart 1" xfId="1227" xr:uid="{00000000-0005-0000-0000-0000CF290000}"/>
    <cellStyle name="q_Fairness Opinion Valuation 4-23a.xls Chart 1_Val_1_Book_Lecture_Notes_v3.06" xfId="1228" xr:uid="{00000000-0005-0000-0000-0000D0290000}"/>
    <cellStyle name="q_Merg Cons" xfId="1229" xr:uid="{00000000-0005-0000-0000-0000D1290000}"/>
    <cellStyle name="q_Merg Cons_1 FM_101_Examples_v7.31McIntire" xfId="1230" xr:uid="{00000000-0005-0000-0000-0000D2290000}"/>
    <cellStyle name="q_Merg Cons_1 FM_101_Examples_v7.31McIntire_1 FM_101_Examples_TWO-Day_v7.31" xfId="1231" xr:uid="{00000000-0005-0000-0000-0000D3290000}"/>
    <cellStyle name="q_Merg Cons_CompSheet" xfId="1232" xr:uid="{00000000-0005-0000-0000-0000D4290000}"/>
    <cellStyle name="q_Merg Cons_CompSheet_1 FM_101_Examples_v7.31McIntire" xfId="1233" xr:uid="{00000000-0005-0000-0000-0000D5290000}"/>
    <cellStyle name="q_Merg Cons_CompSheet_1 FM_101_Examples_v7.31McIntire_1 FM_101_Examples_TWO-Day_v7.31" xfId="1234" xr:uid="{00000000-0005-0000-0000-0000D6290000}"/>
    <cellStyle name="q_Merg Cons_CompSheet_Val_1_Book_Lecture_Notes_v3.06" xfId="1235" xr:uid="{00000000-0005-0000-0000-0000D7290000}"/>
    <cellStyle name="q_Merg Cons_Fairness Opinion Valuation 4-23a.xls Chart 1" xfId="1236" xr:uid="{00000000-0005-0000-0000-0000D8290000}"/>
    <cellStyle name="q_Merg Cons_Fairness Opinion Valuation 4-23a.xls Chart 1_1 FM_101_Examples_v7.31McIntire" xfId="1237" xr:uid="{00000000-0005-0000-0000-0000D9290000}"/>
    <cellStyle name="q_Merg Cons_Fairness Opinion Valuation 4-23a.xls Chart 1_1 FM_101_Examples_v7.31McIntire_1 FM_101_Examples_TWO-Day_v7.31" xfId="1238" xr:uid="{00000000-0005-0000-0000-0000DA290000}"/>
    <cellStyle name="q_Merg Cons_Fairness Opinion Valuation 4-23a.xls Chart 1_Val_1_Book_Lecture_Notes_v3.06" xfId="1239" xr:uid="{00000000-0005-0000-0000-0000DB290000}"/>
    <cellStyle name="q_Merg Cons_PowerValuation.xls Chart 21" xfId="1240" xr:uid="{00000000-0005-0000-0000-0000DC290000}"/>
    <cellStyle name="q_Merg Cons_PowerValuation.xls Chart 21_1 FM_101_Examples_v7.31McIntire" xfId="1241" xr:uid="{00000000-0005-0000-0000-0000DD290000}"/>
    <cellStyle name="q_Merg Cons_PowerValuation.xls Chart 21_1 FM_101_Examples_v7.31McIntire_1 FM_101_Examples_TWO-Day_v7.31" xfId="1242" xr:uid="{00000000-0005-0000-0000-0000DE290000}"/>
    <cellStyle name="q_Merg Cons_PowerValuation.xls Chart 21_Val_1_Book_Lecture_Notes_v3.06" xfId="1243" xr:uid="{00000000-0005-0000-0000-0000DF290000}"/>
    <cellStyle name="q_Merg Cons_PowerValuation.xls Chart 28" xfId="1244" xr:uid="{00000000-0005-0000-0000-0000E0290000}"/>
    <cellStyle name="q_Merg Cons_PowerValuation.xls Chart 28_1 FM_101_Examples_v7.31McIntire" xfId="1245" xr:uid="{00000000-0005-0000-0000-0000E1290000}"/>
    <cellStyle name="q_Merg Cons_PowerValuation.xls Chart 28_1 FM_101_Examples_v7.31McIntire_1 FM_101_Examples_TWO-Day_v7.31" xfId="1246" xr:uid="{00000000-0005-0000-0000-0000E2290000}"/>
    <cellStyle name="q_Merg Cons_PowerValuation.xls Chart 28_Val_1_Book_Lecture_Notes_v3.06" xfId="1247" xr:uid="{00000000-0005-0000-0000-0000E3290000}"/>
    <cellStyle name="q_Merg Cons_THEsumPage (2)" xfId="1248" xr:uid="{00000000-0005-0000-0000-0000E4290000}"/>
    <cellStyle name="q_Merg Cons_THEsumPage (2)_1 FM_101_Examples_v7.31McIntire" xfId="1249" xr:uid="{00000000-0005-0000-0000-0000E5290000}"/>
    <cellStyle name="q_Merg Cons_THEsumPage (2)_1 FM_101_Examples_v7.31McIntire_1 FM_101_Examples_TWO-Day_v7.31" xfId="1250" xr:uid="{00000000-0005-0000-0000-0000E6290000}"/>
    <cellStyle name="q_Merg Cons_THEsumPage (2)_Val_1_Book_Lecture_Notes_v3.06" xfId="1251" xr:uid="{00000000-0005-0000-0000-0000E7290000}"/>
    <cellStyle name="q_Merg Cons_Val_1_Book_Lecture_Notes_v3.06" xfId="1252" xr:uid="{00000000-0005-0000-0000-0000E8290000}"/>
    <cellStyle name="q_Merg Cons_Valuation summaries" xfId="1253" xr:uid="{00000000-0005-0000-0000-0000E9290000}"/>
    <cellStyle name="q_Merg Cons_Valuation summaries_1 FM_101_Examples_v7.31McIntire" xfId="1254" xr:uid="{00000000-0005-0000-0000-0000EA290000}"/>
    <cellStyle name="q_Merg Cons_Valuation summaries_1 FM_101_Examples_v7.31McIntire_1 FM_101_Examples_TWO-Day_v7.31" xfId="1255" xr:uid="{00000000-0005-0000-0000-0000EB290000}"/>
    <cellStyle name="q_Merg Cons_Valuation summaries_Val_1_Book_Lecture_Notes_v3.06" xfId="1256" xr:uid="{00000000-0005-0000-0000-0000EC290000}"/>
    <cellStyle name="q_PowerValuation.xls Chart 21" xfId="1257" xr:uid="{00000000-0005-0000-0000-0000ED290000}"/>
    <cellStyle name="q_PowerValuation.xls Chart 21_Val_1_Book_Lecture_Notes_v3.06" xfId="1258" xr:uid="{00000000-0005-0000-0000-0000EE290000}"/>
    <cellStyle name="q_PowerValuation.xls Chart 28" xfId="1259" xr:uid="{00000000-0005-0000-0000-0000EF290000}"/>
    <cellStyle name="q_PowerValuation.xls Chart 28_Val_1_Book_Lecture_Notes_v3.06" xfId="1260" xr:uid="{00000000-0005-0000-0000-0000F0290000}"/>
    <cellStyle name="q_Proj10" xfId="1261" xr:uid="{00000000-0005-0000-0000-0000F1290000}"/>
    <cellStyle name="q_Proj10_1 FM_101_Examples_v7.31McIntire" xfId="1262" xr:uid="{00000000-0005-0000-0000-0000F2290000}"/>
    <cellStyle name="q_Proj10_1 FM_101_Examples_v7.31McIntire_1 FM_101_Examples_TWO-Day_v7.31" xfId="1263" xr:uid="{00000000-0005-0000-0000-0000F3290000}"/>
    <cellStyle name="q_Proj10_AVP" xfId="1264" xr:uid="{00000000-0005-0000-0000-0000F4290000}"/>
    <cellStyle name="q_Proj10_AVP_1 FM_101_Examples_v7.31McIntire" xfId="1265" xr:uid="{00000000-0005-0000-0000-0000F5290000}"/>
    <cellStyle name="q_Proj10_AVP_1 FM_101_Examples_v7.31McIntire_1 FM_101_Examples_TWO-Day_v7.31" xfId="1266" xr:uid="{00000000-0005-0000-0000-0000F6290000}"/>
    <cellStyle name="q_Proj10_AVP_Graphic Depiction - NO DEV" xfId="1267" xr:uid="{00000000-0005-0000-0000-0000F7290000}"/>
    <cellStyle name="q_Proj10_AVP_Graphic Depiction - NO DEV_1 FM_101_Examples_v7.31McIntire" xfId="1268" xr:uid="{00000000-0005-0000-0000-0000F8290000}"/>
    <cellStyle name="q_Proj10_AVP_Graphic Depiction - NO DEV_1 FM_101_Examples_v7.31McIntire_1 FM_101_Examples_TWO-Day_v7.31" xfId="1269" xr:uid="{00000000-0005-0000-0000-0000F9290000}"/>
    <cellStyle name="q_Proj10_AVP_Graphic Depiction - NO DEV_Val_1_Book_Lecture_Notes_v3.06" xfId="1270" xr:uid="{00000000-0005-0000-0000-0000FA290000}"/>
    <cellStyle name="q_Proj10_AVP_THEsumPage (2)" xfId="1271" xr:uid="{00000000-0005-0000-0000-0000FB290000}"/>
    <cellStyle name="q_Proj10_AVP_THEsumPage (2)_1 FM_101_Examples_v7.31McIntire" xfId="1272" xr:uid="{00000000-0005-0000-0000-0000FC290000}"/>
    <cellStyle name="q_Proj10_AVP_THEsumPage (2)_1 FM_101_Examples_v7.31McIntire_1 FM_101_Examples_TWO-Day_v7.31" xfId="1273" xr:uid="{00000000-0005-0000-0000-0000FD290000}"/>
    <cellStyle name="q_Proj10_AVP_THEsumPage (2)_Val_1_Book_Lecture_Notes_v3.06" xfId="1274" xr:uid="{00000000-0005-0000-0000-0000FE290000}"/>
    <cellStyle name="q_Proj10_AVP_Val_1_Book_Lecture_Notes_v3.06" xfId="1275" xr:uid="{00000000-0005-0000-0000-0000FF290000}"/>
    <cellStyle name="q_Proj10_AVP_Valuation Summary Graphics" xfId="1276" xr:uid="{00000000-0005-0000-0000-0000002A0000}"/>
    <cellStyle name="q_Proj10_AVP_Valuation Summary Graphics_1 FM_101_Examples_v7.31McIntire" xfId="1277" xr:uid="{00000000-0005-0000-0000-0000012A0000}"/>
    <cellStyle name="q_Proj10_AVP_Valuation Summary Graphics_1 FM_101_Examples_v7.31McIntire_1 FM_101_Examples_TWO-Day_v7.31" xfId="1278" xr:uid="{00000000-0005-0000-0000-0000022A0000}"/>
    <cellStyle name="q_Proj10_AVP_Valuation Summary Graphics_Val_1_Book_Lecture_Notes_v3.06" xfId="1279" xr:uid="{00000000-0005-0000-0000-0000032A0000}"/>
    <cellStyle name="q_Proj10_CompSheet" xfId="1280" xr:uid="{00000000-0005-0000-0000-0000042A0000}"/>
    <cellStyle name="q_Proj10_CompSheet_Val_1_Book_Lecture_Notes_v3.06" xfId="1281" xr:uid="{00000000-0005-0000-0000-0000052A0000}"/>
    <cellStyle name="q_Proj10_Disc Analysis" xfId="1282" xr:uid="{00000000-0005-0000-0000-0000062A0000}"/>
    <cellStyle name="q_Proj10_Disc Analysis_1 FM_101_Examples_v7.31McIntire" xfId="1283" xr:uid="{00000000-0005-0000-0000-0000072A0000}"/>
    <cellStyle name="q_Proj10_Disc Analysis_1 FM_101_Examples_v7.31McIntire_1 FM_101_Examples_TWO-Day_v7.31" xfId="1284" xr:uid="{00000000-0005-0000-0000-0000082A0000}"/>
    <cellStyle name="q_Proj10_Disc Analysis_CompSheet" xfId="1285" xr:uid="{00000000-0005-0000-0000-0000092A0000}"/>
    <cellStyle name="q_Proj10_Disc Analysis_CompSheet_1 FM_101_Examples_v7.31McIntire" xfId="1286" xr:uid="{00000000-0005-0000-0000-00000A2A0000}"/>
    <cellStyle name="q_Proj10_Disc Analysis_CompSheet_1 FM_101_Examples_v7.31McIntire_1 FM_101_Examples_TWO-Day_v7.31" xfId="1287" xr:uid="{00000000-0005-0000-0000-00000B2A0000}"/>
    <cellStyle name="q_Proj10_Disc Analysis_CompSheet_Val_1_Book_Lecture_Notes_v3.06" xfId="1288" xr:uid="{00000000-0005-0000-0000-00000C2A0000}"/>
    <cellStyle name="q_Proj10_Disc Analysis_Fairness Opinion Valuation 4-23a.xls Chart 1" xfId="1289" xr:uid="{00000000-0005-0000-0000-00000D2A0000}"/>
    <cellStyle name="q_Proj10_Disc Analysis_Fairness Opinion Valuation 4-23a.xls Chart 1_1 FM_101_Examples_v7.31McIntire" xfId="1290" xr:uid="{00000000-0005-0000-0000-00000E2A0000}"/>
    <cellStyle name="q_Proj10_Disc Analysis_Fairness Opinion Valuation 4-23a.xls Chart 1_1 FM_101_Examples_v7.31McIntire_1 FM_101_Examples_TWO-Day_v7.31" xfId="1291" xr:uid="{00000000-0005-0000-0000-00000F2A0000}"/>
    <cellStyle name="q_Proj10_Disc Analysis_Fairness Opinion Valuation 4-23a.xls Chart 1_Val_1_Book_Lecture_Notes_v3.06" xfId="1292" xr:uid="{00000000-0005-0000-0000-0000102A0000}"/>
    <cellStyle name="q_Proj10_Disc Analysis_PowerValuation.xls Chart 21" xfId="1293" xr:uid="{00000000-0005-0000-0000-0000112A0000}"/>
    <cellStyle name="q_Proj10_Disc Analysis_PowerValuation.xls Chart 21_1 FM_101_Examples_v7.31McIntire" xfId="1294" xr:uid="{00000000-0005-0000-0000-0000122A0000}"/>
    <cellStyle name="q_Proj10_Disc Analysis_PowerValuation.xls Chart 21_1 FM_101_Examples_v7.31McIntire_1 FM_101_Examples_TWO-Day_v7.31" xfId="1295" xr:uid="{00000000-0005-0000-0000-0000132A0000}"/>
    <cellStyle name="q_Proj10_Disc Analysis_PowerValuation.xls Chart 21_Val_1_Book_Lecture_Notes_v3.06" xfId="1296" xr:uid="{00000000-0005-0000-0000-0000142A0000}"/>
    <cellStyle name="q_Proj10_Disc Analysis_PowerValuation.xls Chart 28" xfId="1297" xr:uid="{00000000-0005-0000-0000-0000152A0000}"/>
    <cellStyle name="q_Proj10_Disc Analysis_PowerValuation.xls Chart 28_1 FM_101_Examples_v7.31McIntire" xfId="1298" xr:uid="{00000000-0005-0000-0000-0000162A0000}"/>
    <cellStyle name="q_Proj10_Disc Analysis_PowerValuation.xls Chart 28_1 FM_101_Examples_v7.31McIntire_1 FM_101_Examples_TWO-Day_v7.31" xfId="1299" xr:uid="{00000000-0005-0000-0000-0000172A0000}"/>
    <cellStyle name="q_Proj10_Disc Analysis_PowerValuation.xls Chart 28_Val_1_Book_Lecture_Notes_v3.06" xfId="1300" xr:uid="{00000000-0005-0000-0000-0000182A0000}"/>
    <cellStyle name="q_Proj10_Disc Analysis_THEsumPage (2)" xfId="1301" xr:uid="{00000000-0005-0000-0000-0000192A0000}"/>
    <cellStyle name="q_Proj10_Disc Analysis_THEsumPage (2)_1 FM_101_Examples_v7.31McIntire" xfId="1302" xr:uid="{00000000-0005-0000-0000-00001A2A0000}"/>
    <cellStyle name="q_Proj10_Disc Analysis_THEsumPage (2)_1 FM_101_Examples_v7.31McIntire_1 FM_101_Examples_TWO-Day_v7.31" xfId="1303" xr:uid="{00000000-0005-0000-0000-00001B2A0000}"/>
    <cellStyle name="q_Proj10_Disc Analysis_THEsumPage (2)_Val_1_Book_Lecture_Notes_v3.06" xfId="1304" xr:uid="{00000000-0005-0000-0000-00001C2A0000}"/>
    <cellStyle name="q_Proj10_Disc Analysis_Val_1_Book_Lecture_Notes_v3.06" xfId="1305" xr:uid="{00000000-0005-0000-0000-00001D2A0000}"/>
    <cellStyle name="q_Proj10_Disc Analysis_Valuation summaries" xfId="1306" xr:uid="{00000000-0005-0000-0000-00001E2A0000}"/>
    <cellStyle name="q_Proj10_Disc Analysis_Valuation summaries_1 FM_101_Examples_v7.31McIntire" xfId="1307" xr:uid="{00000000-0005-0000-0000-00001F2A0000}"/>
    <cellStyle name="q_Proj10_Disc Analysis_Valuation summaries_1 FM_101_Examples_v7.31McIntire_1 FM_101_Examples_TWO-Day_v7.31" xfId="1308" xr:uid="{00000000-0005-0000-0000-0000202A0000}"/>
    <cellStyle name="q_Proj10_Disc Analysis_Valuation summaries_Val_1_Book_Lecture_Notes_v3.06" xfId="1309" xr:uid="{00000000-0005-0000-0000-0000212A0000}"/>
    <cellStyle name="q_Proj10_Fairness Opinion Valuation 4-23a.xls Chart 1" xfId="1310" xr:uid="{00000000-0005-0000-0000-0000222A0000}"/>
    <cellStyle name="q_Proj10_Fairness Opinion Valuation 4-23a.xls Chart 1_Val_1_Book_Lecture_Notes_v3.06" xfId="1311" xr:uid="{00000000-0005-0000-0000-0000232A0000}"/>
    <cellStyle name="q_Proj10_Merg Cons" xfId="1312" xr:uid="{00000000-0005-0000-0000-0000242A0000}"/>
    <cellStyle name="q_Proj10_Merg Cons_1 FM_101_Examples_v7.31McIntire" xfId="1313" xr:uid="{00000000-0005-0000-0000-0000252A0000}"/>
    <cellStyle name="q_Proj10_Merg Cons_1 FM_101_Examples_v7.31McIntire_1 FM_101_Examples_TWO-Day_v7.31" xfId="1314" xr:uid="{00000000-0005-0000-0000-0000262A0000}"/>
    <cellStyle name="q_Proj10_Merg Cons_CompSheet" xfId="1315" xr:uid="{00000000-0005-0000-0000-0000272A0000}"/>
    <cellStyle name="q_Proj10_Merg Cons_CompSheet_1 FM_101_Examples_v7.31McIntire" xfId="1316" xr:uid="{00000000-0005-0000-0000-0000282A0000}"/>
    <cellStyle name="q_Proj10_Merg Cons_CompSheet_1 FM_101_Examples_v7.31McIntire_1 FM_101_Examples_TWO-Day_v7.31" xfId="1317" xr:uid="{00000000-0005-0000-0000-0000292A0000}"/>
    <cellStyle name="q_Proj10_Merg Cons_CompSheet_Val_1_Book_Lecture_Notes_v3.06" xfId="1318" xr:uid="{00000000-0005-0000-0000-00002A2A0000}"/>
    <cellStyle name="q_Proj10_Merg Cons_Fairness Opinion Valuation 4-23a.xls Chart 1" xfId="1319" xr:uid="{00000000-0005-0000-0000-00002B2A0000}"/>
    <cellStyle name="q_Proj10_Merg Cons_Fairness Opinion Valuation 4-23a.xls Chart 1_1 FM_101_Examples_v7.31McIntire" xfId="1320" xr:uid="{00000000-0005-0000-0000-00002C2A0000}"/>
    <cellStyle name="q_Proj10_Merg Cons_Fairness Opinion Valuation 4-23a.xls Chart 1_1 FM_101_Examples_v7.31McIntire_1 FM_101_Examples_TWO-Day_v7.31" xfId="1321" xr:uid="{00000000-0005-0000-0000-00002D2A0000}"/>
    <cellStyle name="q_Proj10_Merg Cons_Fairness Opinion Valuation 4-23a.xls Chart 1_Val_1_Book_Lecture_Notes_v3.06" xfId="1322" xr:uid="{00000000-0005-0000-0000-00002E2A0000}"/>
    <cellStyle name="q_Proj10_Merg Cons_PowerValuation.xls Chart 21" xfId="1323" xr:uid="{00000000-0005-0000-0000-00002F2A0000}"/>
    <cellStyle name="q_Proj10_Merg Cons_PowerValuation.xls Chart 21_1 FM_101_Examples_v7.31McIntire" xfId="1324" xr:uid="{00000000-0005-0000-0000-0000302A0000}"/>
    <cellStyle name="q_Proj10_Merg Cons_PowerValuation.xls Chart 21_1 FM_101_Examples_v7.31McIntire_1 FM_101_Examples_TWO-Day_v7.31" xfId="1325" xr:uid="{00000000-0005-0000-0000-0000312A0000}"/>
    <cellStyle name="q_Proj10_Merg Cons_PowerValuation.xls Chart 21_Val_1_Book_Lecture_Notes_v3.06" xfId="1326" xr:uid="{00000000-0005-0000-0000-0000322A0000}"/>
    <cellStyle name="q_Proj10_Merg Cons_PowerValuation.xls Chart 28" xfId="1327" xr:uid="{00000000-0005-0000-0000-0000332A0000}"/>
    <cellStyle name="q_Proj10_Merg Cons_PowerValuation.xls Chart 28_1 FM_101_Examples_v7.31McIntire" xfId="1328" xr:uid="{00000000-0005-0000-0000-0000342A0000}"/>
    <cellStyle name="q_Proj10_Merg Cons_PowerValuation.xls Chart 28_1 FM_101_Examples_v7.31McIntire_1 FM_101_Examples_TWO-Day_v7.31" xfId="1329" xr:uid="{00000000-0005-0000-0000-0000352A0000}"/>
    <cellStyle name="q_Proj10_Merg Cons_PowerValuation.xls Chart 28_Val_1_Book_Lecture_Notes_v3.06" xfId="1330" xr:uid="{00000000-0005-0000-0000-0000362A0000}"/>
    <cellStyle name="q_Proj10_Merg Cons_THEsumPage (2)" xfId="1331" xr:uid="{00000000-0005-0000-0000-0000372A0000}"/>
    <cellStyle name="q_Proj10_Merg Cons_THEsumPage (2)_1 FM_101_Examples_v7.31McIntire" xfId="1332" xr:uid="{00000000-0005-0000-0000-0000382A0000}"/>
    <cellStyle name="q_Proj10_Merg Cons_THEsumPage (2)_1 FM_101_Examples_v7.31McIntire_1 FM_101_Examples_TWO-Day_v7.31" xfId="1333" xr:uid="{00000000-0005-0000-0000-0000392A0000}"/>
    <cellStyle name="q_Proj10_Merg Cons_THEsumPage (2)_Val_1_Book_Lecture_Notes_v3.06" xfId="1334" xr:uid="{00000000-0005-0000-0000-00003A2A0000}"/>
    <cellStyle name="q_Proj10_Merg Cons_Val_1_Book_Lecture_Notes_v3.06" xfId="1335" xr:uid="{00000000-0005-0000-0000-00003B2A0000}"/>
    <cellStyle name="q_Proj10_Merg Cons_Valuation summaries" xfId="1336" xr:uid="{00000000-0005-0000-0000-00003C2A0000}"/>
    <cellStyle name="q_Proj10_Merg Cons_Valuation summaries_1 FM_101_Examples_v7.31McIntire" xfId="1337" xr:uid="{00000000-0005-0000-0000-00003D2A0000}"/>
    <cellStyle name="q_Proj10_Merg Cons_Valuation summaries_1 FM_101_Examples_v7.31McIntire_1 FM_101_Examples_TWO-Day_v7.31" xfId="1338" xr:uid="{00000000-0005-0000-0000-00003E2A0000}"/>
    <cellStyle name="q_Proj10_Merg Cons_Valuation summaries_Val_1_Book_Lecture_Notes_v3.06" xfId="1339" xr:uid="{00000000-0005-0000-0000-00003F2A0000}"/>
    <cellStyle name="q_Proj10_PowerValuation.xls Chart 21" xfId="1340" xr:uid="{00000000-0005-0000-0000-0000402A0000}"/>
    <cellStyle name="q_Proj10_PowerValuation.xls Chart 21_Val_1_Book_Lecture_Notes_v3.06" xfId="1341" xr:uid="{00000000-0005-0000-0000-0000412A0000}"/>
    <cellStyle name="q_Proj10_PowerValuation.xls Chart 28" xfId="1342" xr:uid="{00000000-0005-0000-0000-0000422A0000}"/>
    <cellStyle name="q_Proj10_PowerValuation.xls Chart 28_Val_1_Book_Lecture_Notes_v3.06" xfId="1343" xr:uid="{00000000-0005-0000-0000-0000432A0000}"/>
    <cellStyle name="q_Proj10_Sensitivity" xfId="1344" xr:uid="{00000000-0005-0000-0000-0000442A0000}"/>
    <cellStyle name="q_Proj10_Sensitivity_1 FM_101_Examples_v7.31McIntire" xfId="1345" xr:uid="{00000000-0005-0000-0000-0000452A0000}"/>
    <cellStyle name="q_Proj10_Sensitivity_1 FM_101_Examples_v7.31McIntire_1 FM_101_Examples_TWO-Day_v7.31" xfId="1346" xr:uid="{00000000-0005-0000-0000-0000462A0000}"/>
    <cellStyle name="q_Proj10_Sensitivity_CompSheet" xfId="1347" xr:uid="{00000000-0005-0000-0000-0000472A0000}"/>
    <cellStyle name="q_Proj10_Sensitivity_CompSheet_1 FM_101_Examples_v7.31McIntire" xfId="1348" xr:uid="{00000000-0005-0000-0000-0000482A0000}"/>
    <cellStyle name="q_Proj10_Sensitivity_CompSheet_1 FM_101_Examples_v7.31McIntire_1 FM_101_Examples_TWO-Day_v7.31" xfId="1349" xr:uid="{00000000-0005-0000-0000-0000492A0000}"/>
    <cellStyle name="q_Proj10_Sensitivity_CompSheet_Val_1_Book_Lecture_Notes_v3.06" xfId="1350" xr:uid="{00000000-0005-0000-0000-00004A2A0000}"/>
    <cellStyle name="q_Proj10_Sensitivity_Fairness Opinion Valuation 4-23a.xls Chart 1" xfId="1351" xr:uid="{00000000-0005-0000-0000-00004B2A0000}"/>
    <cellStyle name="q_Proj10_Sensitivity_Fairness Opinion Valuation 4-23a.xls Chart 1_1 FM_101_Examples_v7.31McIntire" xfId="1352" xr:uid="{00000000-0005-0000-0000-00004C2A0000}"/>
    <cellStyle name="q_Proj10_Sensitivity_Fairness Opinion Valuation 4-23a.xls Chart 1_1 FM_101_Examples_v7.31McIntire_1 FM_101_Examples_TWO-Day_v7.31" xfId="1353" xr:uid="{00000000-0005-0000-0000-00004D2A0000}"/>
    <cellStyle name="q_Proj10_Sensitivity_Fairness Opinion Valuation 4-23a.xls Chart 1_Val_1_Book_Lecture_Notes_v3.06" xfId="1354" xr:uid="{00000000-0005-0000-0000-00004E2A0000}"/>
    <cellStyle name="q_Proj10_Sensitivity_PowerValuation.xls Chart 21" xfId="1355" xr:uid="{00000000-0005-0000-0000-00004F2A0000}"/>
    <cellStyle name="q_Proj10_Sensitivity_PowerValuation.xls Chart 21_1 FM_101_Examples_v7.31McIntire" xfId="1356" xr:uid="{00000000-0005-0000-0000-0000502A0000}"/>
    <cellStyle name="q_Proj10_Sensitivity_PowerValuation.xls Chart 21_1 FM_101_Examples_v7.31McIntire_1 FM_101_Examples_TWO-Day_v7.31" xfId="1357" xr:uid="{00000000-0005-0000-0000-0000512A0000}"/>
    <cellStyle name="q_Proj10_Sensitivity_PowerValuation.xls Chart 21_Val_1_Book_Lecture_Notes_v3.06" xfId="1358" xr:uid="{00000000-0005-0000-0000-0000522A0000}"/>
    <cellStyle name="q_Proj10_Sensitivity_PowerValuation.xls Chart 28" xfId="1359" xr:uid="{00000000-0005-0000-0000-0000532A0000}"/>
    <cellStyle name="q_Proj10_Sensitivity_PowerValuation.xls Chart 28_1 FM_101_Examples_v7.31McIntire" xfId="1360" xr:uid="{00000000-0005-0000-0000-0000542A0000}"/>
    <cellStyle name="q_Proj10_Sensitivity_PowerValuation.xls Chart 28_1 FM_101_Examples_v7.31McIntire_1 FM_101_Examples_TWO-Day_v7.31" xfId="1361" xr:uid="{00000000-0005-0000-0000-0000552A0000}"/>
    <cellStyle name="q_Proj10_Sensitivity_PowerValuation.xls Chart 28_Val_1_Book_Lecture_Notes_v3.06" xfId="1362" xr:uid="{00000000-0005-0000-0000-0000562A0000}"/>
    <cellStyle name="q_Proj10_Sensitivity_THEsumPage (2)" xfId="1363" xr:uid="{00000000-0005-0000-0000-0000572A0000}"/>
    <cellStyle name="q_Proj10_Sensitivity_THEsumPage (2)_1 FM_101_Examples_v7.31McIntire" xfId="1364" xr:uid="{00000000-0005-0000-0000-0000582A0000}"/>
    <cellStyle name="q_Proj10_Sensitivity_THEsumPage (2)_1 FM_101_Examples_v7.31McIntire_1 FM_101_Examples_TWO-Day_v7.31" xfId="1365" xr:uid="{00000000-0005-0000-0000-0000592A0000}"/>
    <cellStyle name="q_Proj10_Sensitivity_THEsumPage (2)_Val_1_Book_Lecture_Notes_v3.06" xfId="1366" xr:uid="{00000000-0005-0000-0000-00005A2A0000}"/>
    <cellStyle name="q_Proj10_Sensitivity_Val_1_Book_Lecture_Notes_v3.06" xfId="1367" xr:uid="{00000000-0005-0000-0000-00005B2A0000}"/>
    <cellStyle name="q_Proj10_Sensitivity_Valuation summaries" xfId="1368" xr:uid="{00000000-0005-0000-0000-00005C2A0000}"/>
    <cellStyle name="q_Proj10_Sensitivity_Valuation summaries_1 FM_101_Examples_v7.31McIntire" xfId="1369" xr:uid="{00000000-0005-0000-0000-00005D2A0000}"/>
    <cellStyle name="q_Proj10_Sensitivity_Valuation summaries_1 FM_101_Examples_v7.31McIntire_1 FM_101_Examples_TWO-Day_v7.31" xfId="1370" xr:uid="{00000000-0005-0000-0000-00005E2A0000}"/>
    <cellStyle name="q_Proj10_Sensitivity_Valuation summaries_Val_1_Book_Lecture_Notes_v3.06" xfId="1371" xr:uid="{00000000-0005-0000-0000-00005F2A0000}"/>
    <cellStyle name="q_Proj10_show-hold" xfId="1372" xr:uid="{00000000-0005-0000-0000-0000602A0000}"/>
    <cellStyle name="q_Proj10_show-hold_1 FM_101_Examples_v7.31McIntire" xfId="1373" xr:uid="{00000000-0005-0000-0000-0000612A0000}"/>
    <cellStyle name="q_Proj10_show-hold_1 FM_101_Examples_v7.31McIntire_1 FM_101_Examples_TWO-Day_v7.31" xfId="1374" xr:uid="{00000000-0005-0000-0000-0000622A0000}"/>
    <cellStyle name="q_Proj10_show-hold_Graphic Depiction - NO DEV" xfId="1375" xr:uid="{00000000-0005-0000-0000-0000632A0000}"/>
    <cellStyle name="q_Proj10_show-hold_Graphic Depiction - NO DEV_1 FM_101_Examples_v7.31McIntire" xfId="1376" xr:uid="{00000000-0005-0000-0000-0000642A0000}"/>
    <cellStyle name="q_Proj10_show-hold_Graphic Depiction - NO DEV_1 FM_101_Examples_v7.31McIntire_1 FM_101_Examples_TWO-Day_v7.31" xfId="1377" xr:uid="{00000000-0005-0000-0000-0000652A0000}"/>
    <cellStyle name="q_Proj10_show-hold_Graphic Depiction - NO DEV_Val_1_Book_Lecture_Notes_v3.06" xfId="1378" xr:uid="{00000000-0005-0000-0000-0000662A0000}"/>
    <cellStyle name="q_Proj10_show-hold_THEsumPage (2)" xfId="1379" xr:uid="{00000000-0005-0000-0000-0000672A0000}"/>
    <cellStyle name="q_Proj10_show-hold_THEsumPage (2)_1 FM_101_Examples_v7.31McIntire" xfId="1380" xr:uid="{00000000-0005-0000-0000-0000682A0000}"/>
    <cellStyle name="q_Proj10_show-hold_THEsumPage (2)_1 FM_101_Examples_v7.31McIntire_1 FM_101_Examples_TWO-Day_v7.31" xfId="1381" xr:uid="{00000000-0005-0000-0000-0000692A0000}"/>
    <cellStyle name="q_Proj10_show-hold_THEsumPage (2)_Val_1_Book_Lecture_Notes_v3.06" xfId="1382" xr:uid="{00000000-0005-0000-0000-00006A2A0000}"/>
    <cellStyle name="q_Proj10_show-hold_Val_1_Book_Lecture_Notes_v3.06" xfId="1383" xr:uid="{00000000-0005-0000-0000-00006B2A0000}"/>
    <cellStyle name="q_Proj10_show-hold_Valuation Summary Graphics" xfId="1384" xr:uid="{00000000-0005-0000-0000-00006C2A0000}"/>
    <cellStyle name="q_Proj10_show-hold_Valuation Summary Graphics_1 FM_101_Examples_v7.31McIntire" xfId="1385" xr:uid="{00000000-0005-0000-0000-00006D2A0000}"/>
    <cellStyle name="q_Proj10_show-hold_Valuation Summary Graphics_1 FM_101_Examples_v7.31McIntire_1 FM_101_Examples_TWO-Day_v7.31" xfId="1386" xr:uid="{00000000-0005-0000-0000-00006E2A0000}"/>
    <cellStyle name="q_Proj10_show-hold_Valuation Summary Graphics_Val_1_Book_Lecture_Notes_v3.06" xfId="1387" xr:uid="{00000000-0005-0000-0000-00006F2A0000}"/>
    <cellStyle name="q_Proj10_THEsumPage (2)" xfId="1388" xr:uid="{00000000-0005-0000-0000-0000702A0000}"/>
    <cellStyle name="q_Proj10_THEsumPage (2)_Val_1_Book_Lecture_Notes_v3.06" xfId="1389" xr:uid="{00000000-0005-0000-0000-0000712A0000}"/>
    <cellStyle name="q_Proj10_Val_1_Book_Lecture_Notes_v3.06" xfId="1390" xr:uid="{00000000-0005-0000-0000-0000722A0000}"/>
    <cellStyle name="q_Proj10_Valuation summaries" xfId="1391" xr:uid="{00000000-0005-0000-0000-0000732A0000}"/>
    <cellStyle name="q_Proj10_Valuation summaries_Val_1_Book_Lecture_Notes_v3.06" xfId="1392" xr:uid="{00000000-0005-0000-0000-0000742A0000}"/>
    <cellStyle name="q_Proj10_WACC-CableCar" xfId="1393" xr:uid="{00000000-0005-0000-0000-0000752A0000}"/>
    <cellStyle name="q_Proj10_WACC-CableCar_LANCE_Model_v0.6.DCF.MASTER.Name" xfId="1394" xr:uid="{00000000-0005-0000-0000-0000762A0000}"/>
    <cellStyle name="q_Proj10_WACC-CableCar_LANCE_Model_v0.6.DCF.MASTER.Name_Campbell_MBA_HALF_v2.2" xfId="1395" xr:uid="{00000000-0005-0000-0000-0000772A0000}"/>
    <cellStyle name="q_Proj10_WACC-CableCar_LANCE_Model_v0.6.DCF.MASTER.Name_Key Info_WACC" xfId="1396" xr:uid="{00000000-0005-0000-0000-0000782A0000}"/>
    <cellStyle name="q_Proj10_WACC-CableCar_LANCE_Model_v0.6.DCF.MASTER.Name_Tootsie_TWO_DAY_TTS_Solution_v1.34" xfId="1397" xr:uid="{00000000-0005-0000-0000-0000792A0000}"/>
    <cellStyle name="q_Proj10_WACC-CableCar_LANCE_Model_v0.6.DCF.MASTER.Name_Val_1_Book_Lecture_Notes_v3.06" xfId="1398" xr:uid="{00000000-0005-0000-0000-00007A2A0000}"/>
    <cellStyle name="q_Proj10_WACC-CableCar_THEsumPage (2)" xfId="1399" xr:uid="{00000000-0005-0000-0000-00007B2A0000}"/>
    <cellStyle name="q_Proj10_WACC-CableCar_THEsumPage (2)_LANCE_Model_v0.6.DCF.MASTER.Name" xfId="1400" xr:uid="{00000000-0005-0000-0000-00007C2A0000}"/>
    <cellStyle name="q_Proj10_WACC-CableCar_THEsumPage (2)_LANCE_Model_v0.6.DCF.MASTER.Name_Campbell_MBA_HALF_v2.2" xfId="1401" xr:uid="{00000000-0005-0000-0000-00007D2A0000}"/>
    <cellStyle name="q_Proj10_WACC-CableCar_THEsumPage (2)_LANCE_Model_v0.6.DCF.MASTER.Name_Key Info_WACC" xfId="1402" xr:uid="{00000000-0005-0000-0000-00007E2A0000}"/>
    <cellStyle name="q_Proj10_WACC-CableCar_THEsumPage (2)_LANCE_Model_v0.6.DCF.MASTER.Name_Tootsie_TWO_DAY_TTS_Solution_v1.34" xfId="1403" xr:uid="{00000000-0005-0000-0000-00007F2A0000}"/>
    <cellStyle name="q_Proj10_WACC-CableCar_THEsumPage (2)_LANCE_Model_v0.6.DCF.MASTER.Name_Val_1_Book_Lecture_Notes_v3.06" xfId="1404" xr:uid="{00000000-0005-0000-0000-0000802A0000}"/>
    <cellStyle name="q_Proj10_WACC-CableCar_THEsumPage (2)_Val_1_Book_Lecture_Notes_v3.06" xfId="1405" xr:uid="{00000000-0005-0000-0000-0000812A0000}"/>
    <cellStyle name="q_Proj10_WACC-CableCar_Val_1_Book_Lecture_Notes_v3.06" xfId="1406" xr:uid="{00000000-0005-0000-0000-0000822A0000}"/>
    <cellStyle name="q_Sensitivity" xfId="1407" xr:uid="{00000000-0005-0000-0000-0000832A0000}"/>
    <cellStyle name="q_Sensitivity_1 FM_101_Examples_v7.31McIntire" xfId="1408" xr:uid="{00000000-0005-0000-0000-0000842A0000}"/>
    <cellStyle name="q_Sensitivity_1 FM_101_Examples_v7.31McIntire_1 FM_101_Examples_TWO-Day_v7.31" xfId="1409" xr:uid="{00000000-0005-0000-0000-0000852A0000}"/>
    <cellStyle name="q_Sensitivity_CompSheet" xfId="1410" xr:uid="{00000000-0005-0000-0000-0000862A0000}"/>
    <cellStyle name="q_Sensitivity_CompSheet_1 FM_101_Examples_v7.31McIntire" xfId="1411" xr:uid="{00000000-0005-0000-0000-0000872A0000}"/>
    <cellStyle name="q_Sensitivity_CompSheet_1 FM_101_Examples_v7.31McIntire_1 FM_101_Examples_TWO-Day_v7.31" xfId="1412" xr:uid="{00000000-0005-0000-0000-0000882A0000}"/>
    <cellStyle name="q_Sensitivity_CompSheet_Val_1_Book_Lecture_Notes_v3.06" xfId="1413" xr:uid="{00000000-0005-0000-0000-0000892A0000}"/>
    <cellStyle name="q_Sensitivity_Fairness Opinion Valuation 4-23a.xls Chart 1" xfId="1414" xr:uid="{00000000-0005-0000-0000-00008A2A0000}"/>
    <cellStyle name="q_Sensitivity_Fairness Opinion Valuation 4-23a.xls Chart 1_1 FM_101_Examples_v7.31McIntire" xfId="1415" xr:uid="{00000000-0005-0000-0000-00008B2A0000}"/>
    <cellStyle name="q_Sensitivity_Fairness Opinion Valuation 4-23a.xls Chart 1_1 FM_101_Examples_v7.31McIntire_1 FM_101_Examples_TWO-Day_v7.31" xfId="1416" xr:uid="{00000000-0005-0000-0000-00008C2A0000}"/>
    <cellStyle name="q_Sensitivity_Fairness Opinion Valuation 4-23a.xls Chart 1_Val_1_Book_Lecture_Notes_v3.06" xfId="1417" xr:uid="{00000000-0005-0000-0000-00008D2A0000}"/>
    <cellStyle name="q_Sensitivity_PowerValuation.xls Chart 21" xfId="1418" xr:uid="{00000000-0005-0000-0000-00008E2A0000}"/>
    <cellStyle name="q_Sensitivity_PowerValuation.xls Chart 21_1 FM_101_Examples_v7.31McIntire" xfId="1419" xr:uid="{00000000-0005-0000-0000-00008F2A0000}"/>
    <cellStyle name="q_Sensitivity_PowerValuation.xls Chart 21_1 FM_101_Examples_v7.31McIntire_1 FM_101_Examples_TWO-Day_v7.31" xfId="1420" xr:uid="{00000000-0005-0000-0000-0000902A0000}"/>
    <cellStyle name="q_Sensitivity_PowerValuation.xls Chart 21_Val_1_Book_Lecture_Notes_v3.06" xfId="1421" xr:uid="{00000000-0005-0000-0000-0000912A0000}"/>
    <cellStyle name="q_Sensitivity_PowerValuation.xls Chart 28" xfId="1422" xr:uid="{00000000-0005-0000-0000-0000922A0000}"/>
    <cellStyle name="q_Sensitivity_PowerValuation.xls Chart 28_1 FM_101_Examples_v7.31McIntire" xfId="1423" xr:uid="{00000000-0005-0000-0000-0000932A0000}"/>
    <cellStyle name="q_Sensitivity_PowerValuation.xls Chart 28_1 FM_101_Examples_v7.31McIntire_1 FM_101_Examples_TWO-Day_v7.31" xfId="1424" xr:uid="{00000000-0005-0000-0000-0000942A0000}"/>
    <cellStyle name="q_Sensitivity_PowerValuation.xls Chart 28_Val_1_Book_Lecture_Notes_v3.06" xfId="1425" xr:uid="{00000000-0005-0000-0000-0000952A0000}"/>
    <cellStyle name="q_Sensitivity_THEsumPage (2)" xfId="1426" xr:uid="{00000000-0005-0000-0000-0000962A0000}"/>
    <cellStyle name="q_Sensitivity_THEsumPage (2)_1 FM_101_Examples_v7.31McIntire" xfId="1427" xr:uid="{00000000-0005-0000-0000-0000972A0000}"/>
    <cellStyle name="q_Sensitivity_THEsumPage (2)_1 FM_101_Examples_v7.31McIntire_1 FM_101_Examples_TWO-Day_v7.31" xfId="1428" xr:uid="{00000000-0005-0000-0000-0000982A0000}"/>
    <cellStyle name="q_Sensitivity_THEsumPage (2)_Val_1_Book_Lecture_Notes_v3.06" xfId="1429" xr:uid="{00000000-0005-0000-0000-0000992A0000}"/>
    <cellStyle name="q_Sensitivity_Val_1_Book_Lecture_Notes_v3.06" xfId="1430" xr:uid="{00000000-0005-0000-0000-00009A2A0000}"/>
    <cellStyle name="q_Sensitivity_Valuation summaries" xfId="1431" xr:uid="{00000000-0005-0000-0000-00009B2A0000}"/>
    <cellStyle name="q_Sensitivity_Valuation summaries_1 FM_101_Examples_v7.31McIntire" xfId="1432" xr:uid="{00000000-0005-0000-0000-00009C2A0000}"/>
    <cellStyle name="q_Sensitivity_Valuation summaries_1 FM_101_Examples_v7.31McIntire_1 FM_101_Examples_TWO-Day_v7.31" xfId="1433" xr:uid="{00000000-0005-0000-0000-00009D2A0000}"/>
    <cellStyle name="q_Sensitivity_Valuation summaries_Val_1_Book_Lecture_Notes_v3.06" xfId="1434" xr:uid="{00000000-0005-0000-0000-00009E2A0000}"/>
    <cellStyle name="q_show-hold" xfId="1435" xr:uid="{00000000-0005-0000-0000-00009F2A0000}"/>
    <cellStyle name="q_show-hold_1 FM_101_Examples_v7.31McIntire" xfId="1436" xr:uid="{00000000-0005-0000-0000-0000A02A0000}"/>
    <cellStyle name="q_show-hold_1 FM_101_Examples_v7.31McIntire_1 FM_101_Examples_TWO-Day_v7.31" xfId="1437" xr:uid="{00000000-0005-0000-0000-0000A12A0000}"/>
    <cellStyle name="q_show-hold_CompSheet" xfId="1438" xr:uid="{00000000-0005-0000-0000-0000A22A0000}"/>
    <cellStyle name="q_show-hold_CompSheet_1 FM_101_Examples_v7.31McIntire" xfId="1439" xr:uid="{00000000-0005-0000-0000-0000A32A0000}"/>
    <cellStyle name="q_show-hold_CompSheet_1 FM_101_Examples_v7.31McIntire_1 FM_101_Examples_TWO-Day_v7.31" xfId="1440" xr:uid="{00000000-0005-0000-0000-0000A42A0000}"/>
    <cellStyle name="q_show-hold_CompSheet_Val_1_Book_Lecture_Notes_v3.06" xfId="1441" xr:uid="{00000000-0005-0000-0000-0000A52A0000}"/>
    <cellStyle name="q_show-hold_Fairness Opinion Valuation 4-23a.xls Chart 1" xfId="1442" xr:uid="{00000000-0005-0000-0000-0000A62A0000}"/>
    <cellStyle name="q_show-hold_Fairness Opinion Valuation 4-23a.xls Chart 1_1 FM_101_Examples_v7.31McIntire" xfId="1443" xr:uid="{00000000-0005-0000-0000-0000A72A0000}"/>
    <cellStyle name="q_show-hold_Fairness Opinion Valuation 4-23a.xls Chart 1_1 FM_101_Examples_v7.31McIntire_1 FM_101_Examples_TWO-Day_v7.31" xfId="1444" xr:uid="{00000000-0005-0000-0000-0000A82A0000}"/>
    <cellStyle name="q_show-hold_Fairness Opinion Valuation 4-23a.xls Chart 1_Val_1_Book_Lecture_Notes_v3.06" xfId="1445" xr:uid="{00000000-0005-0000-0000-0000A92A0000}"/>
    <cellStyle name="q_show-hold_PowerValuation.xls Chart 21" xfId="1446" xr:uid="{00000000-0005-0000-0000-0000AA2A0000}"/>
    <cellStyle name="q_show-hold_PowerValuation.xls Chart 21_1 FM_101_Examples_v7.31McIntire" xfId="1447" xr:uid="{00000000-0005-0000-0000-0000AB2A0000}"/>
    <cellStyle name="q_show-hold_PowerValuation.xls Chart 21_1 FM_101_Examples_v7.31McIntire_1 FM_101_Examples_TWO-Day_v7.31" xfId="1448" xr:uid="{00000000-0005-0000-0000-0000AC2A0000}"/>
    <cellStyle name="q_show-hold_PowerValuation.xls Chart 21_Val_1_Book_Lecture_Notes_v3.06" xfId="1449" xr:uid="{00000000-0005-0000-0000-0000AD2A0000}"/>
    <cellStyle name="q_show-hold_PowerValuation.xls Chart 28" xfId="1450" xr:uid="{00000000-0005-0000-0000-0000AE2A0000}"/>
    <cellStyle name="q_show-hold_PowerValuation.xls Chart 28_1 FM_101_Examples_v7.31McIntire" xfId="1451" xr:uid="{00000000-0005-0000-0000-0000AF2A0000}"/>
    <cellStyle name="q_show-hold_PowerValuation.xls Chart 28_1 FM_101_Examples_v7.31McIntire_1 FM_101_Examples_TWO-Day_v7.31" xfId="1452" xr:uid="{00000000-0005-0000-0000-0000B02A0000}"/>
    <cellStyle name="q_show-hold_PowerValuation.xls Chart 28_Val_1_Book_Lecture_Notes_v3.06" xfId="1453" xr:uid="{00000000-0005-0000-0000-0000B12A0000}"/>
    <cellStyle name="q_show-hold_THEsumPage (2)" xfId="1454" xr:uid="{00000000-0005-0000-0000-0000B22A0000}"/>
    <cellStyle name="q_show-hold_THEsumPage (2)_1 FM_101_Examples_v7.31McIntire" xfId="1455" xr:uid="{00000000-0005-0000-0000-0000B32A0000}"/>
    <cellStyle name="q_show-hold_THEsumPage (2)_1 FM_101_Examples_v7.31McIntire_1 FM_101_Examples_TWO-Day_v7.31" xfId="1456" xr:uid="{00000000-0005-0000-0000-0000B42A0000}"/>
    <cellStyle name="q_show-hold_THEsumPage (2)_Val_1_Book_Lecture_Notes_v3.06" xfId="1457" xr:uid="{00000000-0005-0000-0000-0000B52A0000}"/>
    <cellStyle name="q_show-hold_Val_1_Book_Lecture_Notes_v3.06" xfId="1458" xr:uid="{00000000-0005-0000-0000-0000B62A0000}"/>
    <cellStyle name="q_show-hold_Valuation summaries" xfId="1459" xr:uid="{00000000-0005-0000-0000-0000B72A0000}"/>
    <cellStyle name="q_show-hold_Valuation summaries_1 FM_101_Examples_v7.31McIntire" xfId="1460" xr:uid="{00000000-0005-0000-0000-0000B82A0000}"/>
    <cellStyle name="q_show-hold_Valuation summaries_1 FM_101_Examples_v7.31McIntire_1 FM_101_Examples_TWO-Day_v7.31" xfId="1461" xr:uid="{00000000-0005-0000-0000-0000B92A0000}"/>
    <cellStyle name="q_show-hold_Valuation summaries_Val_1_Book_Lecture_Notes_v3.06" xfId="1462" xr:uid="{00000000-0005-0000-0000-0000BA2A0000}"/>
    <cellStyle name="q_THEsumPage (2)" xfId="1463" xr:uid="{00000000-0005-0000-0000-0000BB2A0000}"/>
    <cellStyle name="q_THEsumPage (2)_Val_1_Book_Lecture_Notes_v3.06" xfId="1464" xr:uid="{00000000-0005-0000-0000-0000BC2A0000}"/>
    <cellStyle name="q_Val_1_Book_Lecture_Notes_v3.06" xfId="1465" xr:uid="{00000000-0005-0000-0000-0000BD2A0000}"/>
    <cellStyle name="q_Valuation summaries" xfId="1466" xr:uid="{00000000-0005-0000-0000-0000BE2A0000}"/>
    <cellStyle name="q_Valuation summaries_Val_1_Book_Lecture_Notes_v3.06" xfId="1467" xr:uid="{00000000-0005-0000-0000-0000BF2A0000}"/>
    <cellStyle name="q_WACC-CableCar" xfId="1468" xr:uid="{00000000-0005-0000-0000-0000C02A0000}"/>
    <cellStyle name="q_WACC-CableCar_LANCE_Model_v0.6.DCF.MASTER.Name" xfId="1469" xr:uid="{00000000-0005-0000-0000-0000C12A0000}"/>
    <cellStyle name="q_WACC-CableCar_LANCE_Model_v0.6.DCF.MASTER.Name_Campbell_MBA_HALF_v2.2" xfId="1470" xr:uid="{00000000-0005-0000-0000-0000C22A0000}"/>
    <cellStyle name="q_WACC-CableCar_LANCE_Model_v0.6.DCF.MASTER.Name_Key Info_WACC" xfId="1471" xr:uid="{00000000-0005-0000-0000-0000C32A0000}"/>
    <cellStyle name="q_WACC-CableCar_LANCE_Model_v0.6.DCF.MASTER.Name_Tootsie_TWO_DAY_TTS_Solution_v1.34" xfId="1472" xr:uid="{00000000-0005-0000-0000-0000C42A0000}"/>
    <cellStyle name="q_WACC-CableCar_LANCE_Model_v0.6.DCF.MASTER.Name_Val_1_Book_Lecture_Notes_v3.06" xfId="1473" xr:uid="{00000000-0005-0000-0000-0000C52A0000}"/>
    <cellStyle name="q_WACC-CableCar_THEsumPage (2)" xfId="1474" xr:uid="{00000000-0005-0000-0000-0000C62A0000}"/>
    <cellStyle name="q_WACC-CableCar_THEsumPage (2)_LANCE_Model_v0.6.DCF.MASTER.Name" xfId="1475" xr:uid="{00000000-0005-0000-0000-0000C72A0000}"/>
    <cellStyle name="q_WACC-CableCar_THEsumPage (2)_LANCE_Model_v0.6.DCF.MASTER.Name_Campbell_MBA_HALF_v2.2" xfId="1476" xr:uid="{00000000-0005-0000-0000-0000C82A0000}"/>
    <cellStyle name="q_WACC-CableCar_THEsumPage (2)_LANCE_Model_v0.6.DCF.MASTER.Name_Key Info_WACC" xfId="1477" xr:uid="{00000000-0005-0000-0000-0000C92A0000}"/>
    <cellStyle name="q_WACC-CableCar_THEsumPage (2)_LANCE_Model_v0.6.DCF.MASTER.Name_Tootsie_TWO_DAY_TTS_Solution_v1.34" xfId="1478" xr:uid="{00000000-0005-0000-0000-0000CA2A0000}"/>
    <cellStyle name="q_WACC-CableCar_THEsumPage (2)_LANCE_Model_v0.6.DCF.MASTER.Name_Val_1_Book_Lecture_Notes_v3.06" xfId="1479" xr:uid="{00000000-0005-0000-0000-0000CB2A0000}"/>
    <cellStyle name="q_WACC-CableCar_THEsumPage (2)_Val_1_Book_Lecture_Notes_v3.06" xfId="1480" xr:uid="{00000000-0005-0000-0000-0000CC2A0000}"/>
    <cellStyle name="q_WACC-CableCar_Val_1_Book_Lecture_Notes_v3.06" xfId="1481" xr:uid="{00000000-0005-0000-0000-0000CD2A0000}"/>
    <cellStyle name="QEPS-h" xfId="1482" xr:uid="{00000000-0005-0000-0000-0000CE2A0000}"/>
    <cellStyle name="QEPS-H1" xfId="1483" xr:uid="{00000000-0005-0000-0000-0000CF2A0000}"/>
    <cellStyle name="qRange" xfId="1484" xr:uid="{00000000-0005-0000-0000-0000D02A0000}"/>
    <cellStyle name="r" xfId="1485" xr:uid="{00000000-0005-0000-0000-0000D12A0000}"/>
    <cellStyle name="range" xfId="1486" xr:uid="{00000000-0005-0000-0000-0000D22A0000}"/>
    <cellStyle name="rate" xfId="1487" xr:uid="{00000000-0005-0000-0000-0000D32A0000}"/>
    <cellStyle name="Ratio" xfId="1488" xr:uid="{00000000-0005-0000-0000-0000D42A0000}"/>
    <cellStyle name="Ratio 2" xfId="1953" xr:uid="{00000000-0005-0000-0000-0000D52A0000}"/>
    <cellStyle name="Ratio Comma" xfId="1489" xr:uid="{00000000-0005-0000-0000-0000D62A0000}"/>
    <cellStyle name="Ratio_1 FM_101_Examples_v7.3 McIntire" xfId="1490" xr:uid="{00000000-0005-0000-0000-0000D72A0000}"/>
    <cellStyle name="RatioX" xfId="1954" xr:uid="{00000000-0005-0000-0000-0000D82A0000}"/>
    <cellStyle name="Red" xfId="330" xr:uid="{00000000-0005-0000-0000-0000D92A0000}"/>
    <cellStyle name="Red Text" xfId="1955" xr:uid="{00000000-0005-0000-0000-0000DA2A0000}"/>
    <cellStyle name="rh" xfId="10402" xr:uid="{00000000-0005-0000-0000-0000DB2A0000}"/>
    <cellStyle name="s_HardInc " xfId="1491" xr:uid="{00000000-0005-0000-0000-0000DC2A0000}"/>
    <cellStyle name="s_HardInc _1 Cadbury_&amp;_Kraft_Model_v11.0" xfId="1492" xr:uid="{00000000-0005-0000-0000-0000DD2A0000}"/>
    <cellStyle name="s_HardInc _2 HNZ_CPB_v11.0" xfId="1493" xr:uid="{00000000-0005-0000-0000-0000DE2A0000}"/>
    <cellStyle name="s_HardInc _2 HNZ_CPB_v11.0.2" xfId="1494" xr:uid="{00000000-0005-0000-0000-0000DF2A0000}"/>
    <cellStyle name="s_HardInc _Book2" xfId="1495" xr:uid="{00000000-0005-0000-0000-0000E02A0000}"/>
    <cellStyle name="s_HardInc _CBRY_Case_v2.0 DRAFT4.0_AL" xfId="1496" xr:uid="{00000000-0005-0000-0000-0000E12A0000}"/>
    <cellStyle name="s_HardInc _CBRY_Case_v2.0 DRAFT4.0_AL_MBA_Val_101_CAD_2009_BACKUP_v1.0_Draft_10" xfId="1497" xr:uid="{00000000-0005-0000-0000-0000E22A0000}"/>
    <cellStyle name="s_HardInc _CBRY_Case_v2.0 DRAFT4.0_AL_MBA_Val_101_CAD_2009_BACKUP_v1.0_Draft_15" xfId="1498" xr:uid="{00000000-0005-0000-0000-0000E32A0000}"/>
    <cellStyle name="s_HardInc _COH_Merger_Model_Analysts_SOLUTION_v1.88" xfId="1499" xr:uid="{00000000-0005-0000-0000-0000E42A0000}"/>
    <cellStyle name="s_HardInc _Copy of COH_2008_FM_SOLUTION_DCF_v1.05" xfId="1500" xr:uid="{00000000-0005-0000-0000-0000E52A0000}"/>
    <cellStyle name="s_HardInc _MBA_Val_CAD_DCFv2.0" xfId="1501" xr:uid="{00000000-0005-0000-0000-0000E62A0000}"/>
    <cellStyle name="s_HardInc _MBA_Val_CAD_DCFv2.0_MBA_Val_101_CAD_2009_BACKUP_v1.0_Draft_10" xfId="1502" xr:uid="{00000000-0005-0000-0000-0000E72A0000}"/>
    <cellStyle name="s_HardInc _MBA_Val_CAD_DCFv2.0_MBA_Val_101_CAD_2009_BACKUP_v1.0_Draft_15" xfId="1503" xr:uid="{00000000-0005-0000-0000-0000E82A0000}"/>
    <cellStyle name="s_HardInc _MBA_Val_CAD_DCFv2.0_MBA_Val_101_CAD_2009_BACKUP_v1.0_Draft_9" xfId="1504" xr:uid="{00000000-0005-0000-0000-0000E92A0000}"/>
    <cellStyle name="s_Valuation " xfId="1505" xr:uid="{00000000-0005-0000-0000-0000EA2A0000}"/>
    <cellStyle name="s_Valuation _Book2" xfId="1506" xr:uid="{00000000-0005-0000-0000-0000EB2A0000}"/>
    <cellStyle name="s_Valuation _MBA_Val_CAD_DCFv2.0" xfId="1507" xr:uid="{00000000-0005-0000-0000-0000EC2A0000}"/>
    <cellStyle name="s_Valuation _TTS" xfId="1508" xr:uid="{00000000-0005-0000-0000-0000ED2A0000}"/>
    <cellStyle name="s_Valuation _TTS_Worksheet_2010-5-5" xfId="1509" xr:uid="{00000000-0005-0000-0000-0000EE2A0000}"/>
    <cellStyle name="s_Valuation _TTS_Worksheet_2010-5-6" xfId="1510" xr:uid="{00000000-0005-0000-0000-0000EF2A0000}"/>
    <cellStyle name="s_Valuation _TTS_Worksheet_v3.00" xfId="1511" xr:uid="{00000000-0005-0000-0000-0000F02A0000}"/>
    <cellStyle name="s_Valuation _TTS-LBO_TEMPLATE_v1.0d" xfId="1512" xr:uid="{00000000-0005-0000-0000-0000F12A0000}"/>
    <cellStyle name="Saída" xfId="1956" xr:uid="{00000000-0005-0000-0000-0000F22A0000}"/>
    <cellStyle name="Saída 2" xfId="11096" xr:uid="{00000000-0005-0000-0000-0000F32A0000}"/>
    <cellStyle name="Salida" xfId="1957" xr:uid="{00000000-0005-0000-0000-0000F42A0000}"/>
    <cellStyle name="Salida 2" xfId="11097" xr:uid="{00000000-0005-0000-0000-0000F52A0000}"/>
    <cellStyle name="ScripFactor" xfId="1958" xr:uid="{00000000-0005-0000-0000-0000F62A0000}"/>
    <cellStyle name="Section" xfId="1513" xr:uid="{00000000-0005-0000-0000-0000F72A0000}"/>
    <cellStyle name="SectionHeaderNormal" xfId="404" xr:uid="{00000000-0005-0000-0000-0000F82A0000}"/>
    <cellStyle name="SectionHeaderNormal 2" xfId="1514" xr:uid="{00000000-0005-0000-0000-0000F92A0000}"/>
    <cellStyle name="SectionHeading" xfId="1959" xr:uid="{00000000-0005-0000-0000-0000FA2A0000}"/>
    <cellStyle name="Sep. milhar [0]" xfId="1960" xr:uid="{00000000-0005-0000-0000-0000FB2A0000}"/>
    <cellStyle name="Separador de milhares [0]_ANALISE_backup 14_08_1345" xfId="1961" xr:uid="{00000000-0005-0000-0000-0000FC2A0000}"/>
    <cellStyle name="Separador de milhares_ANALISE_backup 14_08_1345" xfId="1962" xr:uid="{00000000-0005-0000-0000-0000FD2A0000}"/>
    <cellStyle name="Shading" xfId="1963" xr:uid="{00000000-0005-0000-0000-0000FE2A0000}"/>
    <cellStyle name="srh" xfId="10403" xr:uid="{00000000-0005-0000-0000-0000FF2A0000}"/>
    <cellStyle name="ssp " xfId="1515" xr:uid="{00000000-0005-0000-0000-0000002B0000}"/>
    <cellStyle name="Standard" xfId="1964" xr:uid="{00000000-0005-0000-0000-0000012B0000}"/>
    <cellStyle name="Stock Comma" xfId="1516" xr:uid="{00000000-0005-0000-0000-0000022B0000}"/>
    <cellStyle name="Stock Price" xfId="1517" xr:uid="{00000000-0005-0000-0000-0000032B0000}"/>
    <cellStyle name="Style 1" xfId="405" xr:uid="{00000000-0005-0000-0000-0000042B0000}"/>
    <cellStyle name="Style 1 2" xfId="1518" xr:uid="{00000000-0005-0000-0000-0000052B0000}"/>
    <cellStyle name="Style 21" xfId="1519" xr:uid="{00000000-0005-0000-0000-0000062B0000}"/>
    <cellStyle name="Style 22" xfId="1520" xr:uid="{00000000-0005-0000-0000-0000072B0000}"/>
    <cellStyle name="Style 23" xfId="1521" xr:uid="{00000000-0005-0000-0000-0000082B0000}"/>
    <cellStyle name="Style 24" xfId="1522" xr:uid="{00000000-0005-0000-0000-0000092B0000}"/>
    <cellStyle name="Style 25" xfId="1523" xr:uid="{00000000-0005-0000-0000-00000A2B0000}"/>
    <cellStyle name="Style 26" xfId="1524" xr:uid="{00000000-0005-0000-0000-00000B2B0000}"/>
    <cellStyle name="Style 27" xfId="1525" xr:uid="{00000000-0005-0000-0000-00000C2B0000}"/>
    <cellStyle name="Style 28" xfId="1526" xr:uid="{00000000-0005-0000-0000-00000D2B0000}"/>
    <cellStyle name="Style 29" xfId="1527" xr:uid="{00000000-0005-0000-0000-00000E2B0000}"/>
    <cellStyle name="Style 30" xfId="1528" xr:uid="{00000000-0005-0000-0000-00000F2B0000}"/>
    <cellStyle name="Style 31" xfId="1529" xr:uid="{00000000-0005-0000-0000-0000102B0000}"/>
    <cellStyle name="Style 32" xfId="1530" xr:uid="{00000000-0005-0000-0000-0000112B0000}"/>
    <cellStyle name="Style 33" xfId="1531" xr:uid="{00000000-0005-0000-0000-0000122B0000}"/>
    <cellStyle name="Style 34" xfId="1532" xr:uid="{00000000-0005-0000-0000-0000132B0000}"/>
    <cellStyle name="Style 35" xfId="1533" xr:uid="{00000000-0005-0000-0000-0000142B0000}"/>
    <cellStyle name="Style 36" xfId="1534" xr:uid="{00000000-0005-0000-0000-0000152B0000}"/>
    <cellStyle name="Style 37" xfId="1535" xr:uid="{00000000-0005-0000-0000-0000162B0000}"/>
    <cellStyle name="Style 38" xfId="1536" xr:uid="{00000000-0005-0000-0000-0000172B0000}"/>
    <cellStyle name="Style 39" xfId="1537" xr:uid="{00000000-0005-0000-0000-0000182B0000}"/>
    <cellStyle name="Style 40" xfId="1538" xr:uid="{00000000-0005-0000-0000-0000192B0000}"/>
    <cellStyle name="Style 41" xfId="1539" xr:uid="{00000000-0005-0000-0000-00001A2B0000}"/>
    <cellStyle name="Style 42" xfId="1540" xr:uid="{00000000-0005-0000-0000-00001B2B0000}"/>
    <cellStyle name="Style 43" xfId="1541" xr:uid="{00000000-0005-0000-0000-00001C2B0000}"/>
    <cellStyle name="Style 44" xfId="1542" xr:uid="{00000000-0005-0000-0000-00001D2B0000}"/>
    <cellStyle name="Style 45" xfId="1543" xr:uid="{00000000-0005-0000-0000-00001E2B0000}"/>
    <cellStyle name="Style 46" xfId="1544" xr:uid="{00000000-0005-0000-0000-00001F2B0000}"/>
    <cellStyle name="Style 47" xfId="1545" xr:uid="{00000000-0005-0000-0000-0000202B0000}"/>
    <cellStyle name="Style 48" xfId="1546" xr:uid="{00000000-0005-0000-0000-0000212B0000}"/>
    <cellStyle name="Style 67" xfId="1547" xr:uid="{00000000-0005-0000-0000-0000222B0000}"/>
    <cellStyle name="Style 74" xfId="1548" xr:uid="{00000000-0005-0000-0000-0000232B0000}"/>
    <cellStyle name="Style 79" xfId="1549" xr:uid="{00000000-0005-0000-0000-0000242B0000}"/>
    <cellStyle name="Style 83" xfId="1550" xr:uid="{00000000-0005-0000-0000-0000252B0000}"/>
    <cellStyle name="SubScript" xfId="406" xr:uid="{00000000-0005-0000-0000-0000262B0000}"/>
    <cellStyle name="SubScript 2" xfId="1551" xr:uid="{00000000-0005-0000-0000-0000272B0000}"/>
    <cellStyle name="Sum" xfId="1552" xr:uid="{00000000-0005-0000-0000-0000282B0000}"/>
    <cellStyle name="SuperScript" xfId="407" xr:uid="{00000000-0005-0000-0000-0000292B0000}"/>
    <cellStyle name="SuperScript 2" xfId="1553" xr:uid="{00000000-0005-0000-0000-00002A2B0000}"/>
    <cellStyle name="Table_Header" xfId="1554" xr:uid="{00000000-0005-0000-0000-00002B2B0000}"/>
    <cellStyle name="TableName" xfId="1965" xr:uid="{00000000-0005-0000-0000-00002C2B0000}"/>
    <cellStyle name="tcn" xfId="1555" xr:uid="{00000000-0005-0000-0000-00002D2B0000}"/>
    <cellStyle name="Test" xfId="1556" xr:uid="{00000000-0005-0000-0000-00002E2B0000}"/>
    <cellStyle name="Text Wrap" xfId="1966" xr:uid="{00000000-0005-0000-0000-00002F2B0000}"/>
    <cellStyle name="Text Wrap 2" xfId="1990" xr:uid="{00000000-0005-0000-0000-0000302B0000}"/>
    <cellStyle name="Text Wrap 3" xfId="2073" xr:uid="{00000000-0005-0000-0000-0000312B0000}"/>
    <cellStyle name="TextBold" xfId="408" xr:uid="{00000000-0005-0000-0000-0000322B0000}"/>
    <cellStyle name="TextBold 2" xfId="1557" xr:uid="{00000000-0005-0000-0000-0000332B0000}"/>
    <cellStyle name="TextItalic" xfId="409" xr:uid="{00000000-0005-0000-0000-0000342B0000}"/>
    <cellStyle name="TextItalic 2" xfId="410" xr:uid="{00000000-0005-0000-0000-0000352B0000}"/>
    <cellStyle name="TextItalic 3" xfId="1558" xr:uid="{00000000-0005-0000-0000-0000362B0000}"/>
    <cellStyle name="TextNormal" xfId="411" xr:uid="{00000000-0005-0000-0000-0000372B0000}"/>
    <cellStyle name="TextNormal 2" xfId="1559" xr:uid="{00000000-0005-0000-0000-0000382B0000}"/>
    <cellStyle name="Texto de advertencia" xfId="1967" xr:uid="{00000000-0005-0000-0000-0000392B0000}"/>
    <cellStyle name="Texto de Aviso" xfId="1968" xr:uid="{00000000-0005-0000-0000-00003A2B0000}"/>
    <cellStyle name="Texto explicativo" xfId="1969" xr:uid="{00000000-0005-0000-0000-00003B2B0000}"/>
    <cellStyle name="Time" xfId="1560" xr:uid="{00000000-0005-0000-0000-00003C2B0000}"/>
    <cellStyle name="Tina" xfId="1561" xr:uid="{00000000-0005-0000-0000-00003D2B0000}"/>
    <cellStyle name="Title 2" xfId="73" xr:uid="{00000000-0005-0000-0000-00003E2B0000}"/>
    <cellStyle name="Title 2 2" xfId="331" xr:uid="{00000000-0005-0000-0000-00003F2B0000}"/>
    <cellStyle name="Title 2 3" xfId="2256" xr:uid="{00000000-0005-0000-0000-0000402B0000}"/>
    <cellStyle name="Title1" xfId="1563" xr:uid="{00000000-0005-0000-0000-0000412B0000}"/>
    <cellStyle name="Title2" xfId="1564" xr:uid="{00000000-0005-0000-0000-0000422B0000}"/>
    <cellStyle name="TitleNormal" xfId="412" xr:uid="{00000000-0005-0000-0000-0000432B0000}"/>
    <cellStyle name="TitleNormal 2" xfId="1565" xr:uid="{00000000-0005-0000-0000-0000442B0000}"/>
    <cellStyle name="Titles" xfId="1970" xr:uid="{00000000-0005-0000-0000-0000452B0000}"/>
    <cellStyle name="Título" xfId="1971" xr:uid="{00000000-0005-0000-0000-0000462B0000}"/>
    <cellStyle name="Título 1" xfId="1972" xr:uid="{00000000-0005-0000-0000-0000472B0000}"/>
    <cellStyle name="Título 2" xfId="1973" xr:uid="{00000000-0005-0000-0000-0000482B0000}"/>
    <cellStyle name="Título 3" xfId="1974" xr:uid="{00000000-0005-0000-0000-0000492B0000}"/>
    <cellStyle name="Título 4" xfId="1975" xr:uid="{00000000-0005-0000-0000-00004A2B0000}"/>
    <cellStyle name="tn" xfId="1566" xr:uid="{00000000-0005-0000-0000-00004B2B0000}"/>
    <cellStyle name="Top Edge" xfId="1567" xr:uid="{00000000-0005-0000-0000-00004C2B0000}"/>
    <cellStyle name="Total" xfId="1759" builtinId="25" customBuiltin="1"/>
    <cellStyle name="Total 2" xfId="74" xr:uid="{00000000-0005-0000-0000-00004E2B0000}"/>
    <cellStyle name="Total 2 2" xfId="332" xr:uid="{00000000-0005-0000-0000-00004F2B0000}"/>
    <cellStyle name="Total 2 2 2" xfId="1600" xr:uid="{00000000-0005-0000-0000-0000502B0000}"/>
    <cellStyle name="Total 2 2 2 2" xfId="1643" xr:uid="{00000000-0005-0000-0000-0000512B0000}"/>
    <cellStyle name="Total 2 2 2 3" xfId="1662" xr:uid="{00000000-0005-0000-0000-0000522B0000}"/>
    <cellStyle name="Total 2 2 3" xfId="11116" xr:uid="{00000000-0005-0000-0000-0000532B0000}"/>
    <cellStyle name="Total 2 3" xfId="1593" xr:uid="{00000000-0005-0000-0000-0000542B0000}"/>
    <cellStyle name="Total 2 3 2" xfId="1636" xr:uid="{00000000-0005-0000-0000-0000552B0000}"/>
    <cellStyle name="Total 2 3 3" xfId="1655" xr:uid="{00000000-0005-0000-0000-0000562B0000}"/>
    <cellStyle name="Total 2 4" xfId="1616" xr:uid="{00000000-0005-0000-0000-0000572B0000}"/>
    <cellStyle name="Total 2 5" xfId="11115" xr:uid="{00000000-0005-0000-0000-0000582B0000}"/>
    <cellStyle name="Total 3" xfId="1568" xr:uid="{00000000-0005-0000-0000-0000592B0000}"/>
    <cellStyle name="Total 3 2" xfId="1608" xr:uid="{00000000-0005-0000-0000-00005A2B0000}"/>
    <cellStyle name="Total 3 2 2" xfId="1650" xr:uid="{00000000-0005-0000-0000-00005B2B0000}"/>
    <cellStyle name="Total 3 2 3" xfId="1669" xr:uid="{00000000-0005-0000-0000-00005C2B0000}"/>
    <cellStyle name="Total 3 3" xfId="1631" xr:uid="{00000000-0005-0000-0000-00005D2B0000}"/>
    <cellStyle name="Total 3 4" xfId="1622" xr:uid="{00000000-0005-0000-0000-00005E2B0000}"/>
    <cellStyle name="TTS" xfId="1569" xr:uid="{00000000-0005-0000-0000-00005F2B0000}"/>
    <cellStyle name="TTS 2" xfId="1570" xr:uid="{00000000-0005-0000-0000-0000602B0000}"/>
    <cellStyle name="TTS 3" xfId="1571" xr:uid="{00000000-0005-0000-0000-0000612B0000}"/>
    <cellStyle name="TTS_1 Cadbury_&amp;_Kraft_Model_v11.0" xfId="1572" xr:uid="{00000000-0005-0000-0000-0000622B0000}"/>
    <cellStyle name="ubordinated Debt" xfId="1573" xr:uid="{00000000-0005-0000-0000-0000632B0000}"/>
    <cellStyle name="UnderlineNormal" xfId="1976" xr:uid="{00000000-0005-0000-0000-0000642B0000}"/>
    <cellStyle name="vaca" xfId="1977" xr:uid="{00000000-0005-0000-0000-0000652B0000}"/>
    <cellStyle name="ValueConstant" xfId="1574" xr:uid="{00000000-0005-0000-0000-0000662B0000}"/>
    <cellStyle name="Warning Text" xfId="1756" builtinId="11" customBuiltin="1"/>
    <cellStyle name="Warning Text 2" xfId="75" xr:uid="{00000000-0005-0000-0000-0000682B0000}"/>
    <cellStyle name="Warning Text 3" xfId="1575" xr:uid="{00000000-0005-0000-0000-0000692B0000}"/>
    <cellStyle name="wheat merger's and acquisitions" xfId="1576" xr:uid="{00000000-0005-0000-0000-00006A2B0000}"/>
    <cellStyle name="WorkbookFormula" xfId="1577" xr:uid="{00000000-0005-0000-0000-00006B2B0000}"/>
    <cellStyle name="Years" xfId="1578" xr:uid="{00000000-0005-0000-0000-00006C2B0000}"/>
    <cellStyle name="yellow" xfId="1579" xr:uid="{00000000-0005-0000-0000-00006D2B0000}"/>
    <cellStyle name="Yellow 2" xfId="1978" xr:uid="{00000000-0005-0000-0000-00006E2B0000}"/>
  </cellStyles>
  <dxfs count="0"/>
  <tableStyles count="0" defaultTableStyle="TableStyleMedium2" defaultPivotStyle="PivotStyleLight16"/>
  <colors>
    <mruColors>
      <color rgb="FF0156FF"/>
      <color rgb="FFB3110D"/>
      <color rgb="FF005BE2"/>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16"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66" Type="http://schemas.openxmlformats.org/officeDocument/2006/relationships/externalLink" Target="externalLinks/externalLink51.xml"/><Relationship Id="rId74" Type="http://schemas.openxmlformats.org/officeDocument/2006/relationships/externalLink" Target="externalLinks/externalLink59.xml"/><Relationship Id="rId79"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externalLink" Target="externalLinks/externalLink46.xml"/><Relationship Id="rId19" Type="http://schemas.openxmlformats.org/officeDocument/2006/relationships/externalLink" Target="externalLinks/externalLink4.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56" Type="http://schemas.openxmlformats.org/officeDocument/2006/relationships/externalLink" Target="externalLinks/externalLink41.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56.xml"/><Relationship Id="rId2" Type="http://schemas.openxmlformats.org/officeDocument/2006/relationships/worksheet" Target="worksheets/sheet2.xml"/><Relationship Id="rId29" Type="http://schemas.openxmlformats.org/officeDocument/2006/relationships/externalLink" Target="externalLinks/externalLink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29116535871613"/>
          <c:y val="8.1242532855436075E-2"/>
          <c:w val="0.72560447487923663"/>
          <c:h val="0.72783977271658251"/>
        </c:manualLayout>
      </c:layout>
      <c:barChart>
        <c:barDir val="col"/>
        <c:grouping val="clustered"/>
        <c:varyColors val="0"/>
        <c:ser>
          <c:idx val="0"/>
          <c:order val="0"/>
          <c:tx>
            <c:strRef>
              <c:f>'Summary Metrics'!$E$26</c:f>
              <c:strCache>
                <c:ptCount val="1"/>
                <c:pt idx="0">
                  <c:v>Total Customers</c:v>
                </c:pt>
              </c:strCache>
            </c:strRef>
          </c:tx>
          <c:spPr>
            <a:solidFill>
              <a:srgbClr val="0070C0"/>
            </a:solidFill>
            <a:ln>
              <a:solidFill>
                <a:srgbClr val="0070C0"/>
              </a:solid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575-4D31-99C4-EB7F1EE6A239}"/>
                </c:ext>
              </c:extLst>
            </c:dLbl>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75-4D31-99C4-EB7F1EE6A2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Metrics'!$F$25,'Summary Metrics'!$G$25,'Summary Metrics'!$H$25,'Summary Metrics'!$I$25,'Summary Metrics'!$K$25,'Summary Metrics'!$L$25,'Summary Metrics'!$M$25,'Summary Metrics'!$N$25,'Summary Metrics'!$P$25)</c:f>
              <c:strCache>
                <c:ptCount val="9"/>
                <c:pt idx="0">
                  <c:v>1Q19</c:v>
                </c:pt>
                <c:pt idx="1">
                  <c:v>2Q19</c:v>
                </c:pt>
                <c:pt idx="2">
                  <c:v>3Q19</c:v>
                </c:pt>
                <c:pt idx="3">
                  <c:v>4Q19</c:v>
                </c:pt>
                <c:pt idx="4">
                  <c:v>1Q20</c:v>
                </c:pt>
                <c:pt idx="5">
                  <c:v>2Q20</c:v>
                </c:pt>
                <c:pt idx="6">
                  <c:v>3Q20</c:v>
                </c:pt>
                <c:pt idx="7">
                  <c:v>4Q20</c:v>
                </c:pt>
                <c:pt idx="8">
                  <c:v>1Q21</c:v>
                </c:pt>
              </c:strCache>
            </c:strRef>
          </c:cat>
          <c:val>
            <c:numRef>
              <c:f>('Summary Metrics'!$F$26,'Summary Metrics'!$G$26,'Summary Metrics'!$H$26,'Summary Metrics'!$I$26,'Summary Metrics'!$K$26,'Summary Metrics'!$L$26,'Summary Metrics'!$M$26,'Summary Metrics'!$N$26,'Summary Metrics'!$P$26)</c:f>
              <c:numCache>
                <c:formatCode>_(* #,##0_);_(* \(#,##0\);_(* "-"??_);_(@_)</c:formatCode>
                <c:ptCount val="9"/>
                <c:pt idx="0">
                  <c:v>480</c:v>
                </c:pt>
                <c:pt idx="1">
                  <c:v>509</c:v>
                </c:pt>
                <c:pt idx="2">
                  <c:v>530</c:v>
                </c:pt>
                <c:pt idx="3">
                  <c:v>635</c:v>
                </c:pt>
                <c:pt idx="4">
                  <c:v>713</c:v>
                </c:pt>
                <c:pt idx="5">
                  <c:v>762</c:v>
                </c:pt>
                <c:pt idx="6">
                  <c:v>792</c:v>
                </c:pt>
                <c:pt idx="7">
                  <c:v>825</c:v>
                </c:pt>
                <c:pt idx="8">
                  <c:v>909</c:v>
                </c:pt>
              </c:numCache>
            </c:numRef>
          </c:val>
          <c:extLst>
            <c:ext xmlns:c16="http://schemas.microsoft.com/office/drawing/2014/chart" uri="{C3380CC4-5D6E-409C-BE32-E72D297353CC}">
              <c16:uniqueId val="{00000000-12F4-4219-A375-D250D31E4499}"/>
            </c:ext>
          </c:extLst>
        </c:ser>
        <c:dLbls>
          <c:showLegendKey val="0"/>
          <c:showVal val="0"/>
          <c:showCatName val="0"/>
          <c:showSerName val="0"/>
          <c:showPercent val="0"/>
          <c:showBubbleSize val="0"/>
        </c:dLbls>
        <c:gapWidth val="219"/>
        <c:axId val="676890096"/>
        <c:axId val="856954432"/>
      </c:barChart>
      <c:lineChart>
        <c:grouping val="standard"/>
        <c:varyColors val="0"/>
        <c:ser>
          <c:idx val="1"/>
          <c:order val="1"/>
          <c:tx>
            <c:strRef>
              <c:f>'Summary Metrics'!$E$31</c:f>
              <c:strCache>
                <c:ptCount val="1"/>
                <c:pt idx="0">
                  <c:v>ARPU</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strRef>
              <c:f>('Summary Metrics'!$F$25,'Summary Metrics'!$G$25,'Summary Metrics'!$H$25,'Summary Metrics'!$I$25,'Summary Metrics'!$K$25,'Summary Metrics'!$L$25,'Summary Metrics'!$M$25,'Summary Metrics'!$N$25,'Summary Metrics'!$P$25)</c:f>
              <c:strCache>
                <c:ptCount val="9"/>
                <c:pt idx="0">
                  <c:v>1Q19</c:v>
                </c:pt>
                <c:pt idx="1">
                  <c:v>2Q19</c:v>
                </c:pt>
                <c:pt idx="2">
                  <c:v>3Q19</c:v>
                </c:pt>
                <c:pt idx="3">
                  <c:v>4Q19</c:v>
                </c:pt>
                <c:pt idx="4">
                  <c:v>1Q20</c:v>
                </c:pt>
                <c:pt idx="5">
                  <c:v>2Q20</c:v>
                </c:pt>
                <c:pt idx="6">
                  <c:v>3Q20</c:v>
                </c:pt>
                <c:pt idx="7">
                  <c:v>4Q20</c:v>
                </c:pt>
                <c:pt idx="8">
                  <c:v>1Q21</c:v>
                </c:pt>
              </c:strCache>
            </c:strRef>
          </c:cat>
          <c:val>
            <c:numRef>
              <c:f>('Summary Metrics'!$F$31,'Summary Metrics'!$G$31,'Summary Metrics'!$H$31,'Summary Metrics'!$I$31,'Summary Metrics'!$K$31,'Summary Metrics'!$L$31,'Summary Metrics'!$M$31,'Summary Metrics'!$N$31,'Summary Metrics'!$P$31)</c:f>
              <c:numCache>
                <c:formatCode>_("$"* #,##0_);_("$"* \(#,##0\);_("$"* "-"??_);_(@_)</c:formatCode>
                <c:ptCount val="9"/>
                <c:pt idx="0">
                  <c:v>86483.333333333328</c:v>
                </c:pt>
                <c:pt idx="1">
                  <c:v>88840.864440078585</c:v>
                </c:pt>
                <c:pt idx="2">
                  <c:v>95486.792452830181</c:v>
                </c:pt>
                <c:pt idx="3">
                  <c:v>89581.102362204721</c:v>
                </c:pt>
                <c:pt idx="4">
                  <c:v>87899.018232819071</c:v>
                </c:pt>
                <c:pt idx="5">
                  <c:v>82556.430446194223</c:v>
                </c:pt>
                <c:pt idx="6">
                  <c:v>90217.171717171717</c:v>
                </c:pt>
                <c:pt idx="7">
                  <c:v>93023.030303030289</c:v>
                </c:pt>
                <c:pt idx="8">
                  <c:v>92985.698569856977</c:v>
                </c:pt>
              </c:numCache>
            </c:numRef>
          </c:val>
          <c:smooth val="0"/>
          <c:extLst>
            <c:ext xmlns:c16="http://schemas.microsoft.com/office/drawing/2014/chart" uri="{C3380CC4-5D6E-409C-BE32-E72D297353CC}">
              <c16:uniqueId val="{00000001-12F4-4219-A375-D250D31E4499}"/>
            </c:ext>
          </c:extLst>
        </c:ser>
        <c:dLbls>
          <c:showLegendKey val="0"/>
          <c:showVal val="0"/>
          <c:showCatName val="0"/>
          <c:showSerName val="0"/>
          <c:showPercent val="0"/>
          <c:showBubbleSize val="0"/>
        </c:dLbls>
        <c:marker val="1"/>
        <c:smooth val="0"/>
        <c:axId val="676888896"/>
        <c:axId val="856956928"/>
      </c:lineChart>
      <c:valAx>
        <c:axId val="856956928"/>
        <c:scaling>
          <c:orientation val="minMax"/>
          <c:min val="75000"/>
        </c:scaling>
        <c:delete val="0"/>
        <c:axPos val="r"/>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76888896"/>
        <c:crosses val="max"/>
        <c:crossBetween val="between"/>
      </c:valAx>
      <c:catAx>
        <c:axId val="676888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56956928"/>
        <c:crosses val="autoZero"/>
        <c:auto val="1"/>
        <c:lblAlgn val="ctr"/>
        <c:lblOffset val="100"/>
        <c:noMultiLvlLbl val="0"/>
      </c:catAx>
      <c:valAx>
        <c:axId val="856954432"/>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76890096"/>
        <c:crosses val="autoZero"/>
        <c:crossBetween val="between"/>
      </c:valAx>
      <c:catAx>
        <c:axId val="676890096"/>
        <c:scaling>
          <c:orientation val="minMax"/>
        </c:scaling>
        <c:delete val="1"/>
        <c:axPos val="b"/>
        <c:numFmt formatCode="General" sourceLinked="1"/>
        <c:majorTickMark val="out"/>
        <c:minorTickMark val="none"/>
        <c:tickLblPos val="nextTo"/>
        <c:crossAx val="856954432"/>
        <c:crosses val="autoZero"/>
        <c:auto val="1"/>
        <c:lblAlgn val="ctr"/>
        <c:lblOffset val="100"/>
        <c:noMultiLvlLbl val="0"/>
      </c:catAx>
      <c:spPr>
        <a:noFill/>
        <a:ln>
          <a:noFill/>
        </a:ln>
        <a:effectLst/>
      </c:spPr>
    </c:plotArea>
    <c:legend>
      <c:legendPos val="b"/>
      <c:layout>
        <c:manualLayout>
          <c:xMode val="edge"/>
          <c:yMode val="edge"/>
          <c:x val="0.26771039584964162"/>
          <c:y val="0.92377764607381052"/>
          <c:w val="0.46457920830071681"/>
          <c:h val="7.6222353926189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baseline="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847550306211724E-2"/>
          <c:y val="0.16858814523184601"/>
          <c:w val="0.88215244969378825"/>
          <c:h val="0.65524569845435987"/>
        </c:manualLayout>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Initiation!$J$9:$W$9</c:f>
              <c:strCache>
                <c:ptCount val="13"/>
                <c:pt idx="0">
                  <c:v>4Q20</c:v>
                </c:pt>
                <c:pt idx="1">
                  <c:v>1Q21</c:v>
                </c:pt>
                <c:pt idx="2">
                  <c:v>2Q21E</c:v>
                </c:pt>
                <c:pt idx="3">
                  <c:v>3Q21E</c:v>
                </c:pt>
                <c:pt idx="4">
                  <c:v>4Q21E</c:v>
                </c:pt>
                <c:pt idx="5">
                  <c:v>1Q22E</c:v>
                </c:pt>
                <c:pt idx="6">
                  <c:v>2Q22E</c:v>
                </c:pt>
                <c:pt idx="7">
                  <c:v>3Q22E</c:v>
                </c:pt>
                <c:pt idx="8">
                  <c:v>4Q22E</c:v>
                </c:pt>
                <c:pt idx="9">
                  <c:v>1Q23E</c:v>
                </c:pt>
                <c:pt idx="10">
                  <c:v>2Q23E</c:v>
                </c:pt>
                <c:pt idx="11">
                  <c:v>3Q22E</c:v>
                </c:pt>
                <c:pt idx="12">
                  <c:v>4Q23E</c:v>
                </c:pt>
              </c:strCache>
            </c:strRef>
          </c:cat>
          <c:val>
            <c:numRef>
              <c:f>Initiation!$J$10:$W$10</c:f>
              <c:numCache>
                <c:formatCode>0.00</c:formatCode>
                <c:ptCount val="14"/>
                <c:pt idx="0">
                  <c:v>1.5449517296862429</c:v>
                </c:pt>
                <c:pt idx="1">
                  <c:v>1.4893179835055028</c:v>
                </c:pt>
                <c:pt idx="2">
                  <c:v>1.2782082653616096</c:v>
                </c:pt>
                <c:pt idx="3">
                  <c:v>1.2125991947148274</c:v>
                </c:pt>
                <c:pt idx="4">
                  <c:v>0.99758159396923618</c:v>
                </c:pt>
                <c:pt idx="5">
                  <c:v>1.0341525917297612</c:v>
                </c:pt>
                <c:pt idx="6">
                  <c:v>1.1972264233165004</c:v>
                </c:pt>
                <c:pt idx="7">
                  <c:v>1.4333348035107838</c:v>
                </c:pt>
                <c:pt idx="8">
                  <c:v>3.2930257099002302</c:v>
                </c:pt>
                <c:pt idx="9">
                  <c:v>5.3221770136063347</c:v>
                </c:pt>
                <c:pt idx="10">
                  <c:v>6.3457610892458245</c:v>
                </c:pt>
                <c:pt idx="11">
                  <c:v>5.7342160346590081</c:v>
                </c:pt>
                <c:pt idx="12">
                  <c:v>21.42</c:v>
                </c:pt>
              </c:numCache>
            </c:numRef>
          </c:val>
          <c:smooth val="0"/>
          <c:extLst>
            <c:ext xmlns:c16="http://schemas.microsoft.com/office/drawing/2014/chart" uri="{C3380CC4-5D6E-409C-BE32-E72D297353CC}">
              <c16:uniqueId val="{00000000-E726-4376-8566-CE6E27A68662}"/>
            </c:ext>
          </c:extLst>
        </c:ser>
        <c:dLbls>
          <c:showLegendKey val="0"/>
          <c:showVal val="0"/>
          <c:showCatName val="0"/>
          <c:showSerName val="0"/>
          <c:showPercent val="0"/>
          <c:showBubbleSize val="0"/>
        </c:dLbls>
        <c:marker val="1"/>
        <c:smooth val="0"/>
        <c:axId val="1673256080"/>
        <c:axId val="1744841824"/>
      </c:lineChart>
      <c:catAx>
        <c:axId val="167325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44841824"/>
        <c:crosses val="autoZero"/>
        <c:auto val="1"/>
        <c:lblAlgn val="ctr"/>
        <c:lblOffset val="100"/>
        <c:noMultiLvlLbl val="0"/>
      </c:catAx>
      <c:valAx>
        <c:axId val="1744841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67325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Q/Q Revenue</a:t>
            </a:r>
            <a:r>
              <a:rPr lang="en-US" baseline="0"/>
              <a:t> Growth vs. Gross Margins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Initiation!$B$47</c:f>
              <c:strCache>
                <c:ptCount val="1"/>
                <c:pt idx="0">
                  <c:v>Q/Q Revenue Growth</c:v>
                </c:pt>
              </c:strCache>
            </c:strRef>
          </c:tx>
          <c:spPr>
            <a:solidFill>
              <a:schemeClr val="accent1"/>
            </a:solidFill>
            <a:ln>
              <a:noFill/>
            </a:ln>
            <a:effectLst/>
          </c:spPr>
          <c:invertIfNegative val="0"/>
          <c:cat>
            <c:strRef>
              <c:f>Initiation!$C$46:$K$46</c:f>
              <c:strCache>
                <c:ptCount val="9"/>
                <c:pt idx="0">
                  <c:v>1Q19</c:v>
                </c:pt>
                <c:pt idx="1">
                  <c:v>2Q19</c:v>
                </c:pt>
                <c:pt idx="2">
                  <c:v>3Q19</c:v>
                </c:pt>
                <c:pt idx="3">
                  <c:v>4Q19</c:v>
                </c:pt>
                <c:pt idx="4">
                  <c:v>1Q20</c:v>
                </c:pt>
                <c:pt idx="5">
                  <c:v>2Q20</c:v>
                </c:pt>
                <c:pt idx="6">
                  <c:v>3Q20</c:v>
                </c:pt>
                <c:pt idx="7">
                  <c:v>4Q20</c:v>
                </c:pt>
                <c:pt idx="8">
                  <c:v>1Q21</c:v>
                </c:pt>
              </c:strCache>
            </c:strRef>
          </c:cat>
          <c:val>
            <c:numRef>
              <c:f>Initiation!$C$47:$K$47</c:f>
              <c:numCache>
                <c:formatCode>0.0%</c:formatCode>
                <c:ptCount val="9"/>
                <c:pt idx="1">
                  <c:v>8.93235690884564E-2</c:v>
                </c:pt>
                <c:pt idx="2">
                  <c:v>0.11915081822202556</c:v>
                </c:pt>
                <c:pt idx="3">
                  <c:v>0.12401201391084404</c:v>
                </c:pt>
                <c:pt idx="4">
                  <c:v>0.10175093172069483</c:v>
                </c:pt>
                <c:pt idx="5">
                  <c:v>3.7656369670666656E-3</c:v>
                </c:pt>
                <c:pt idx="6">
                  <c:v>0.13581738411648758</c:v>
                </c:pt>
                <c:pt idx="7">
                  <c:v>7.4063707104069954E-2</c:v>
                </c:pt>
                <c:pt idx="8">
                  <c:v>0.10137600333576557</c:v>
                </c:pt>
              </c:numCache>
            </c:numRef>
          </c:val>
          <c:extLst>
            <c:ext xmlns:c16="http://schemas.microsoft.com/office/drawing/2014/chart" uri="{C3380CC4-5D6E-409C-BE32-E72D297353CC}">
              <c16:uniqueId val="{00000000-F846-4BD5-AE23-A348021CFC63}"/>
            </c:ext>
          </c:extLst>
        </c:ser>
        <c:dLbls>
          <c:showLegendKey val="0"/>
          <c:showVal val="0"/>
          <c:showCatName val="0"/>
          <c:showSerName val="0"/>
          <c:showPercent val="0"/>
          <c:showBubbleSize val="0"/>
        </c:dLbls>
        <c:gapWidth val="219"/>
        <c:overlap val="-27"/>
        <c:axId val="451887599"/>
        <c:axId val="450848575"/>
      </c:barChart>
      <c:lineChart>
        <c:grouping val="standard"/>
        <c:varyColors val="0"/>
        <c:ser>
          <c:idx val="1"/>
          <c:order val="1"/>
          <c:tx>
            <c:strRef>
              <c:f>Initiation!$B$48</c:f>
              <c:strCache>
                <c:ptCount val="1"/>
                <c:pt idx="0">
                  <c:v>Gross Margins</c:v>
                </c:pt>
              </c:strCache>
            </c:strRef>
          </c:tx>
          <c:spPr>
            <a:ln w="28575" cap="rnd">
              <a:solidFill>
                <a:schemeClr val="accent2"/>
              </a:solidFill>
              <a:round/>
            </a:ln>
            <a:effectLst/>
          </c:spPr>
          <c:marker>
            <c:symbol val="none"/>
          </c:marker>
          <c:cat>
            <c:strRef>
              <c:f>Initiation!$C$46:$K$46</c:f>
              <c:strCache>
                <c:ptCount val="9"/>
                <c:pt idx="0">
                  <c:v>1Q19</c:v>
                </c:pt>
                <c:pt idx="1">
                  <c:v>2Q19</c:v>
                </c:pt>
                <c:pt idx="2">
                  <c:v>3Q19</c:v>
                </c:pt>
                <c:pt idx="3">
                  <c:v>4Q19</c:v>
                </c:pt>
                <c:pt idx="4">
                  <c:v>1Q20</c:v>
                </c:pt>
                <c:pt idx="5">
                  <c:v>2Q20</c:v>
                </c:pt>
                <c:pt idx="6">
                  <c:v>3Q20</c:v>
                </c:pt>
                <c:pt idx="7">
                  <c:v>4Q20</c:v>
                </c:pt>
                <c:pt idx="8">
                  <c:v>1Q21</c:v>
                </c:pt>
              </c:strCache>
            </c:strRef>
          </c:cat>
          <c:val>
            <c:numRef>
              <c:f>Initiation!$C$48:$K$48</c:f>
              <c:numCache>
                <c:formatCode>0.0%</c:formatCode>
                <c:ptCount val="9"/>
                <c:pt idx="0">
                  <c:v>0.72037001349007512</c:v>
                </c:pt>
                <c:pt idx="1">
                  <c:v>0.7077399380804954</c:v>
                </c:pt>
                <c:pt idx="2">
                  <c:v>0.71403730635472651</c:v>
                </c:pt>
                <c:pt idx="3">
                  <c:v>0.67470642008297588</c:v>
                </c:pt>
                <c:pt idx="4">
                  <c:v>0.67672964003063574</c:v>
                </c:pt>
                <c:pt idx="5">
                  <c:v>0.71374070070579254</c:v>
                </c:pt>
                <c:pt idx="6">
                  <c:v>0.69126126630465212</c:v>
                </c:pt>
                <c:pt idx="7">
                  <c:v>0.72172417387678511</c:v>
                </c:pt>
                <c:pt idx="8">
                  <c:v>0.7264682220434433</c:v>
                </c:pt>
              </c:numCache>
            </c:numRef>
          </c:val>
          <c:smooth val="0"/>
          <c:extLst>
            <c:ext xmlns:c16="http://schemas.microsoft.com/office/drawing/2014/chart" uri="{C3380CC4-5D6E-409C-BE32-E72D297353CC}">
              <c16:uniqueId val="{00000001-F846-4BD5-AE23-A348021CFC63}"/>
            </c:ext>
          </c:extLst>
        </c:ser>
        <c:dLbls>
          <c:showLegendKey val="0"/>
          <c:showVal val="0"/>
          <c:showCatName val="0"/>
          <c:showSerName val="0"/>
          <c:showPercent val="0"/>
          <c:showBubbleSize val="0"/>
        </c:dLbls>
        <c:marker val="1"/>
        <c:smooth val="0"/>
        <c:axId val="451896799"/>
        <c:axId val="450847327"/>
      </c:lineChart>
      <c:catAx>
        <c:axId val="45188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848575"/>
        <c:crosses val="autoZero"/>
        <c:auto val="1"/>
        <c:lblAlgn val="ctr"/>
        <c:lblOffset val="100"/>
        <c:noMultiLvlLbl val="0"/>
      </c:catAx>
      <c:valAx>
        <c:axId val="4508485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887599"/>
        <c:crosses val="autoZero"/>
        <c:crossBetween val="between"/>
      </c:valAx>
      <c:valAx>
        <c:axId val="450847327"/>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896799"/>
        <c:crosses val="max"/>
        <c:crossBetween val="between"/>
      </c:valAx>
      <c:catAx>
        <c:axId val="451896799"/>
        <c:scaling>
          <c:orientation val="minMax"/>
        </c:scaling>
        <c:delete val="1"/>
        <c:axPos val="b"/>
        <c:numFmt formatCode="General" sourceLinked="1"/>
        <c:majorTickMark val="out"/>
        <c:minorTickMark val="none"/>
        <c:tickLblPos val="nextTo"/>
        <c:crossAx val="45084732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Margins vs. Q/Q Revenue Growth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Initiation!$B$48</c:f>
              <c:strCache>
                <c:ptCount val="1"/>
                <c:pt idx="0">
                  <c:v>Gross Margins</c:v>
                </c:pt>
              </c:strCache>
            </c:strRef>
          </c:tx>
          <c:spPr>
            <a:solidFill>
              <a:schemeClr val="accent2"/>
            </a:solidFill>
            <a:ln>
              <a:noFill/>
            </a:ln>
            <a:effectLst/>
          </c:spPr>
          <c:invertIfNegative val="0"/>
          <c:cat>
            <c:strRef>
              <c:f>Initiation!$C$46:$K$46</c:f>
              <c:strCache>
                <c:ptCount val="9"/>
                <c:pt idx="0">
                  <c:v>1Q19</c:v>
                </c:pt>
                <c:pt idx="1">
                  <c:v>2Q19</c:v>
                </c:pt>
                <c:pt idx="2">
                  <c:v>3Q19</c:v>
                </c:pt>
                <c:pt idx="3">
                  <c:v>4Q19</c:v>
                </c:pt>
                <c:pt idx="4">
                  <c:v>1Q20</c:v>
                </c:pt>
                <c:pt idx="5">
                  <c:v>2Q20</c:v>
                </c:pt>
                <c:pt idx="6">
                  <c:v>3Q20</c:v>
                </c:pt>
                <c:pt idx="7">
                  <c:v>4Q20</c:v>
                </c:pt>
                <c:pt idx="8">
                  <c:v>1Q21</c:v>
                </c:pt>
              </c:strCache>
            </c:strRef>
          </c:cat>
          <c:val>
            <c:numRef>
              <c:f>Initiation!$C$48:$K$48</c:f>
              <c:numCache>
                <c:formatCode>0.0%</c:formatCode>
                <c:ptCount val="9"/>
                <c:pt idx="0">
                  <c:v>0.72037001349007512</c:v>
                </c:pt>
                <c:pt idx="1">
                  <c:v>0.7077399380804954</c:v>
                </c:pt>
                <c:pt idx="2">
                  <c:v>0.71403730635472651</c:v>
                </c:pt>
                <c:pt idx="3">
                  <c:v>0.67470642008297588</c:v>
                </c:pt>
                <c:pt idx="4">
                  <c:v>0.67672964003063574</c:v>
                </c:pt>
                <c:pt idx="5">
                  <c:v>0.71374070070579254</c:v>
                </c:pt>
                <c:pt idx="6">
                  <c:v>0.69126126630465212</c:v>
                </c:pt>
                <c:pt idx="7">
                  <c:v>0.72172417387678511</c:v>
                </c:pt>
                <c:pt idx="8">
                  <c:v>0.7264682220434433</c:v>
                </c:pt>
              </c:numCache>
            </c:numRef>
          </c:val>
          <c:extLst>
            <c:ext xmlns:c16="http://schemas.microsoft.com/office/drawing/2014/chart" uri="{C3380CC4-5D6E-409C-BE32-E72D297353CC}">
              <c16:uniqueId val="{00000001-52F7-42F9-9554-F5CB2816207D}"/>
            </c:ext>
          </c:extLst>
        </c:ser>
        <c:dLbls>
          <c:showLegendKey val="0"/>
          <c:showVal val="0"/>
          <c:showCatName val="0"/>
          <c:showSerName val="0"/>
          <c:showPercent val="0"/>
          <c:showBubbleSize val="0"/>
        </c:dLbls>
        <c:gapWidth val="219"/>
        <c:axId val="472244927"/>
        <c:axId val="450848991"/>
      </c:barChart>
      <c:lineChart>
        <c:grouping val="standard"/>
        <c:varyColors val="0"/>
        <c:ser>
          <c:idx val="0"/>
          <c:order val="0"/>
          <c:tx>
            <c:strRef>
              <c:f>Initiation!$B$47</c:f>
              <c:strCache>
                <c:ptCount val="1"/>
                <c:pt idx="0">
                  <c:v>Q/Q Revenue Growth</c:v>
                </c:pt>
              </c:strCache>
            </c:strRef>
          </c:tx>
          <c:spPr>
            <a:ln w="28575" cap="rnd">
              <a:solidFill>
                <a:schemeClr val="accent1"/>
              </a:solidFill>
              <a:round/>
            </a:ln>
            <a:effectLst/>
          </c:spPr>
          <c:marker>
            <c:symbol val="none"/>
          </c:marker>
          <c:cat>
            <c:strRef>
              <c:f>Initiation!$C$46:$K$46</c:f>
              <c:strCache>
                <c:ptCount val="9"/>
                <c:pt idx="0">
                  <c:v>1Q19</c:v>
                </c:pt>
                <c:pt idx="1">
                  <c:v>2Q19</c:v>
                </c:pt>
                <c:pt idx="2">
                  <c:v>3Q19</c:v>
                </c:pt>
                <c:pt idx="3">
                  <c:v>4Q19</c:v>
                </c:pt>
                <c:pt idx="4">
                  <c:v>1Q20</c:v>
                </c:pt>
                <c:pt idx="5">
                  <c:v>2Q20</c:v>
                </c:pt>
                <c:pt idx="6">
                  <c:v>3Q20</c:v>
                </c:pt>
                <c:pt idx="7">
                  <c:v>4Q20</c:v>
                </c:pt>
                <c:pt idx="8">
                  <c:v>1Q21</c:v>
                </c:pt>
              </c:strCache>
            </c:strRef>
          </c:cat>
          <c:val>
            <c:numRef>
              <c:f>Initiation!$C$47:$K$47</c:f>
              <c:numCache>
                <c:formatCode>0.0%</c:formatCode>
                <c:ptCount val="9"/>
                <c:pt idx="1">
                  <c:v>8.93235690884564E-2</c:v>
                </c:pt>
                <c:pt idx="2">
                  <c:v>0.11915081822202556</c:v>
                </c:pt>
                <c:pt idx="3">
                  <c:v>0.12401201391084404</c:v>
                </c:pt>
                <c:pt idx="4">
                  <c:v>0.10175093172069483</c:v>
                </c:pt>
                <c:pt idx="5">
                  <c:v>3.7656369670666656E-3</c:v>
                </c:pt>
                <c:pt idx="6">
                  <c:v>0.13581738411648758</c:v>
                </c:pt>
                <c:pt idx="7">
                  <c:v>7.4063707104069954E-2</c:v>
                </c:pt>
                <c:pt idx="8">
                  <c:v>0.10137600333576557</c:v>
                </c:pt>
              </c:numCache>
            </c:numRef>
          </c:val>
          <c:smooth val="0"/>
          <c:extLst>
            <c:ext xmlns:c16="http://schemas.microsoft.com/office/drawing/2014/chart" uri="{C3380CC4-5D6E-409C-BE32-E72D297353CC}">
              <c16:uniqueId val="{00000000-52F7-42F9-9554-F5CB2816207D}"/>
            </c:ext>
          </c:extLst>
        </c:ser>
        <c:dLbls>
          <c:showLegendKey val="0"/>
          <c:showVal val="0"/>
          <c:showCatName val="0"/>
          <c:showSerName val="0"/>
          <c:showPercent val="0"/>
          <c:showBubbleSize val="0"/>
        </c:dLbls>
        <c:marker val="1"/>
        <c:smooth val="0"/>
        <c:axId val="486555807"/>
        <c:axId val="450852319"/>
      </c:lineChart>
      <c:catAx>
        <c:axId val="47224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848991"/>
        <c:crosses val="autoZero"/>
        <c:auto val="1"/>
        <c:lblAlgn val="ctr"/>
        <c:lblOffset val="100"/>
        <c:noMultiLvlLbl val="0"/>
      </c:catAx>
      <c:valAx>
        <c:axId val="4508489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44927"/>
        <c:crosses val="autoZero"/>
        <c:crossBetween val="between"/>
      </c:valAx>
      <c:valAx>
        <c:axId val="450852319"/>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55807"/>
        <c:crosses val="max"/>
        <c:crossBetween val="between"/>
      </c:valAx>
      <c:catAx>
        <c:axId val="486555807"/>
        <c:scaling>
          <c:orientation val="minMax"/>
        </c:scaling>
        <c:delete val="1"/>
        <c:axPos val="b"/>
        <c:numFmt formatCode="General" sourceLinked="1"/>
        <c:majorTickMark val="out"/>
        <c:minorTickMark val="none"/>
        <c:tickLblPos val="nextTo"/>
        <c:crossAx val="4508523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Initiation!$B$9</c:f>
              <c:strCache>
                <c:ptCount val="1"/>
                <c:pt idx="0">
                  <c:v>Revenues ($M)</c:v>
                </c:pt>
              </c:strCache>
            </c:strRef>
          </c:tx>
          <c:spPr>
            <a:solidFill>
              <a:schemeClr val="accent1"/>
            </a:solidFill>
            <a:ln>
              <a:noFill/>
            </a:ln>
            <a:effectLst/>
          </c:spPr>
          <c:invertIfNegative val="0"/>
          <c:dPt>
            <c:idx val="0"/>
            <c:invertIfNegative val="0"/>
            <c:bubble3D val="0"/>
            <c:spPr>
              <a:solidFill>
                <a:srgbClr val="0070C0"/>
              </a:solidFill>
              <a:ln>
                <a:solidFill>
                  <a:srgbClr val="0070C0"/>
                </a:solidFill>
              </a:ln>
              <a:effectLst/>
            </c:spPr>
            <c:extLst>
              <c:ext xmlns:c16="http://schemas.microsoft.com/office/drawing/2014/chart" uri="{C3380CC4-5D6E-409C-BE32-E72D297353CC}">
                <c16:uniqueId val="{00000002-A964-49D0-9B51-8F054CE1222E}"/>
              </c:ext>
            </c:extLst>
          </c:dPt>
          <c:dPt>
            <c:idx val="1"/>
            <c:invertIfNegative val="0"/>
            <c:bubble3D val="0"/>
            <c:spPr>
              <a:solidFill>
                <a:srgbClr val="0070C0"/>
              </a:solidFill>
              <a:ln>
                <a:solidFill>
                  <a:srgbClr val="0070C0"/>
                </a:solidFill>
              </a:ln>
              <a:effectLst/>
            </c:spPr>
            <c:extLst>
              <c:ext xmlns:c16="http://schemas.microsoft.com/office/drawing/2014/chart" uri="{C3380CC4-5D6E-409C-BE32-E72D297353CC}">
                <c16:uniqueId val="{00000003-A964-49D0-9B51-8F054CE1222E}"/>
              </c:ext>
            </c:extLst>
          </c:dPt>
          <c:dPt>
            <c:idx val="2"/>
            <c:invertIfNegative val="0"/>
            <c:bubble3D val="0"/>
            <c:spPr>
              <a:solidFill>
                <a:srgbClr val="00B050"/>
              </a:solidFill>
              <a:ln>
                <a:solidFill>
                  <a:srgbClr val="00B050"/>
                </a:solidFill>
              </a:ln>
              <a:effectLst/>
            </c:spPr>
            <c:extLst>
              <c:ext xmlns:c16="http://schemas.microsoft.com/office/drawing/2014/chart" uri="{C3380CC4-5D6E-409C-BE32-E72D297353CC}">
                <c16:uniqueId val="{00000004-A964-49D0-9B51-8F054CE1222E}"/>
              </c:ext>
            </c:extLst>
          </c:dPt>
          <c:dPt>
            <c:idx val="3"/>
            <c:invertIfNegative val="0"/>
            <c:bubble3D val="0"/>
            <c:spPr>
              <a:solidFill>
                <a:srgbClr val="00B050"/>
              </a:solidFill>
              <a:ln>
                <a:solidFill>
                  <a:srgbClr val="00B050"/>
                </a:solidFill>
              </a:ln>
              <a:effectLst/>
            </c:spPr>
            <c:extLst>
              <c:ext xmlns:c16="http://schemas.microsoft.com/office/drawing/2014/chart" uri="{C3380CC4-5D6E-409C-BE32-E72D297353CC}">
                <c16:uniqueId val="{00000005-A964-49D0-9B51-8F054CE1222E}"/>
              </c:ext>
            </c:extLst>
          </c:dPt>
          <c:dPt>
            <c:idx val="4"/>
            <c:invertIfNegative val="0"/>
            <c:bubble3D val="0"/>
            <c:spPr>
              <a:solidFill>
                <a:srgbClr val="00B050"/>
              </a:solidFill>
              <a:ln>
                <a:solidFill>
                  <a:srgbClr val="00B050"/>
                </a:solidFill>
              </a:ln>
              <a:effectLst/>
            </c:spPr>
            <c:extLst>
              <c:ext xmlns:c16="http://schemas.microsoft.com/office/drawing/2014/chart" uri="{C3380CC4-5D6E-409C-BE32-E72D297353CC}">
                <c16:uniqueId val="{00000006-A964-49D0-9B51-8F054CE1222E}"/>
              </c:ext>
            </c:extLst>
          </c:dPt>
          <c:cat>
            <c:strRef>
              <c:f>Initiation!$C$8:$G$8</c:f>
              <c:strCache>
                <c:ptCount val="5"/>
                <c:pt idx="0">
                  <c:v>2019</c:v>
                </c:pt>
                <c:pt idx="1">
                  <c:v>2020</c:v>
                </c:pt>
                <c:pt idx="2">
                  <c:v>2021E</c:v>
                </c:pt>
                <c:pt idx="3">
                  <c:v>2022E</c:v>
                </c:pt>
                <c:pt idx="4">
                  <c:v>2023E</c:v>
                </c:pt>
              </c:strCache>
            </c:strRef>
          </c:cat>
          <c:val>
            <c:numRef>
              <c:f>Initiation!$C$9:$G$9</c:f>
              <c:numCache>
                <c:formatCode>_(* #,##0.0_);_(* \(#,##0.0\);_(* "-"??_);_(@_)</c:formatCode>
                <c:ptCount val="5"/>
                <c:pt idx="0">
                  <c:v>48.555999999999997</c:v>
                </c:pt>
                <c:pt idx="1">
                  <c:v>68.444000000000003</c:v>
                </c:pt>
                <c:pt idx="2">
                  <c:v>114.342</c:v>
                </c:pt>
                <c:pt idx="3">
                  <c:v>135.19</c:v>
                </c:pt>
                <c:pt idx="4">
                  <c:v>138.09</c:v>
                </c:pt>
              </c:numCache>
            </c:numRef>
          </c:val>
          <c:extLst>
            <c:ext xmlns:c16="http://schemas.microsoft.com/office/drawing/2014/chart" uri="{C3380CC4-5D6E-409C-BE32-E72D297353CC}">
              <c16:uniqueId val="{00000000-A964-49D0-9B51-8F054CE1222E}"/>
            </c:ext>
          </c:extLst>
        </c:ser>
        <c:dLbls>
          <c:showLegendKey val="0"/>
          <c:showVal val="0"/>
          <c:showCatName val="0"/>
          <c:showSerName val="0"/>
          <c:showPercent val="0"/>
          <c:showBubbleSize val="0"/>
        </c:dLbls>
        <c:gapWidth val="219"/>
        <c:overlap val="-27"/>
        <c:axId val="940699951"/>
        <c:axId val="877393295"/>
      </c:barChart>
      <c:lineChart>
        <c:grouping val="standard"/>
        <c:varyColors val="0"/>
        <c:ser>
          <c:idx val="1"/>
          <c:order val="1"/>
          <c:tx>
            <c:strRef>
              <c:f>Initiation!$B$10</c:f>
              <c:strCache>
                <c:ptCount val="1"/>
                <c:pt idx="0">
                  <c:v>Non-GAAP Operating Margin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Initiation!$C$8:$G$8</c:f>
              <c:strCache>
                <c:ptCount val="5"/>
                <c:pt idx="0">
                  <c:v>2019</c:v>
                </c:pt>
                <c:pt idx="1">
                  <c:v>2020</c:v>
                </c:pt>
                <c:pt idx="2">
                  <c:v>2021E</c:v>
                </c:pt>
                <c:pt idx="3">
                  <c:v>2022E</c:v>
                </c:pt>
                <c:pt idx="4">
                  <c:v>2023E</c:v>
                </c:pt>
              </c:strCache>
            </c:strRef>
          </c:cat>
          <c:val>
            <c:numRef>
              <c:f>Initiation!$C$10:$G$10</c:f>
              <c:numCache>
                <c:formatCode>0.0%</c:formatCode>
                <c:ptCount val="5"/>
                <c:pt idx="0">
                  <c:v>-0.54020100502512558</c:v>
                </c:pt>
                <c:pt idx="1">
                  <c:v>-0.31507509789024601</c:v>
                </c:pt>
                <c:pt idx="2">
                  <c:v>-0.15939899599447271</c:v>
                </c:pt>
                <c:pt idx="3">
                  <c:v>-0.35518899326873288</c:v>
                </c:pt>
                <c:pt idx="4">
                  <c:v>-0.22103700485190816</c:v>
                </c:pt>
              </c:numCache>
            </c:numRef>
          </c:val>
          <c:smooth val="0"/>
          <c:extLst>
            <c:ext xmlns:c16="http://schemas.microsoft.com/office/drawing/2014/chart" uri="{C3380CC4-5D6E-409C-BE32-E72D297353CC}">
              <c16:uniqueId val="{00000001-A964-49D0-9B51-8F054CE1222E}"/>
            </c:ext>
          </c:extLst>
        </c:ser>
        <c:dLbls>
          <c:showLegendKey val="0"/>
          <c:showVal val="0"/>
          <c:showCatName val="0"/>
          <c:showSerName val="0"/>
          <c:showPercent val="0"/>
          <c:showBubbleSize val="0"/>
        </c:dLbls>
        <c:marker val="1"/>
        <c:smooth val="0"/>
        <c:axId val="940717151"/>
        <c:axId val="877407855"/>
      </c:lineChart>
      <c:catAx>
        <c:axId val="94069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77393295"/>
        <c:crosses val="autoZero"/>
        <c:auto val="1"/>
        <c:lblAlgn val="ctr"/>
        <c:lblOffset val="100"/>
        <c:noMultiLvlLbl val="0"/>
      </c:catAx>
      <c:valAx>
        <c:axId val="877393295"/>
        <c:scaling>
          <c:orientation val="minMax"/>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40699951"/>
        <c:crosses val="autoZero"/>
        <c:crossBetween val="between"/>
      </c:valAx>
      <c:valAx>
        <c:axId val="877407855"/>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40717151"/>
        <c:crosses val="max"/>
        <c:crossBetween val="between"/>
      </c:valAx>
      <c:catAx>
        <c:axId val="940717151"/>
        <c:scaling>
          <c:orientation val="minMax"/>
        </c:scaling>
        <c:delete val="1"/>
        <c:axPos val="b"/>
        <c:numFmt formatCode="General" sourceLinked="1"/>
        <c:majorTickMark val="out"/>
        <c:minorTickMark val="none"/>
        <c:tickLblPos val="nextTo"/>
        <c:crossAx val="8774078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baseline="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404812</xdr:colOff>
      <xdr:row>41</xdr:row>
      <xdr:rowOff>95250</xdr:rowOff>
    </xdr:from>
    <xdr:to>
      <xdr:col>11</xdr:col>
      <xdr:colOff>576262</xdr:colOff>
      <xdr:row>56</xdr:row>
      <xdr:rowOff>123825</xdr:rowOff>
    </xdr:to>
    <xdr:graphicFrame macro="">
      <xdr:nvGraphicFramePr>
        <xdr:cNvPr id="3" name="Chart 2">
          <a:extLst>
            <a:ext uri="{FF2B5EF4-FFF2-40B4-BE49-F238E27FC236}">
              <a16:creationId xmlns:a16="http://schemas.microsoft.com/office/drawing/2014/main" id="{2FE4D361-E0C6-440D-93C8-49D23E53C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592667</xdr:colOff>
      <xdr:row>12</xdr:row>
      <xdr:rowOff>94191</xdr:rowOff>
    </xdr:from>
    <xdr:to>
      <xdr:col>18</xdr:col>
      <xdr:colOff>571501</xdr:colOff>
      <xdr:row>29</xdr:row>
      <xdr:rowOff>138641</xdr:rowOff>
    </xdr:to>
    <xdr:graphicFrame macro="">
      <xdr:nvGraphicFramePr>
        <xdr:cNvPr id="10" name="Chart 9">
          <a:extLst>
            <a:ext uri="{FF2B5EF4-FFF2-40B4-BE49-F238E27FC236}">
              <a16:creationId xmlns:a16="http://schemas.microsoft.com/office/drawing/2014/main" id="{8BF6B7E7-BBD1-4EBA-A4BF-FB9D3EA47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1042987</xdr:colOff>
      <xdr:row>49</xdr:row>
      <xdr:rowOff>0</xdr:rowOff>
    </xdr:from>
    <xdr:to>
      <xdr:col>6</xdr:col>
      <xdr:colOff>90487</xdr:colOff>
      <xdr:row>64</xdr:row>
      <xdr:rowOff>123825</xdr:rowOff>
    </xdr:to>
    <xdr:graphicFrame macro="">
      <xdr:nvGraphicFramePr>
        <xdr:cNvPr id="4" name="Chart 3">
          <a:extLst>
            <a:ext uri="{FF2B5EF4-FFF2-40B4-BE49-F238E27FC236}">
              <a16:creationId xmlns:a16="http://schemas.microsoft.com/office/drawing/2014/main" id="{78023C06-E42A-4D57-8503-9A8A06E6A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323850</xdr:colOff>
      <xdr:row>49</xdr:row>
      <xdr:rowOff>28575</xdr:rowOff>
    </xdr:from>
    <xdr:to>
      <xdr:col>11</xdr:col>
      <xdr:colOff>323850</xdr:colOff>
      <xdr:row>64</xdr:row>
      <xdr:rowOff>152400</xdr:rowOff>
    </xdr:to>
    <xdr:graphicFrame macro="">
      <xdr:nvGraphicFramePr>
        <xdr:cNvPr id="5" name="Chart 4">
          <a:extLst>
            <a:ext uri="{FF2B5EF4-FFF2-40B4-BE49-F238E27FC236}">
              <a16:creationId xmlns:a16="http://schemas.microsoft.com/office/drawing/2014/main" id="{FCA90145-FE0A-43E8-837F-FAD79C1AB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948690</xdr:colOff>
      <xdr:row>12</xdr:row>
      <xdr:rowOff>45720</xdr:rowOff>
    </xdr:from>
    <xdr:to>
      <xdr:col>5</xdr:col>
      <xdr:colOff>1002030</xdr:colOff>
      <xdr:row>28</xdr:row>
      <xdr:rowOff>68580</xdr:rowOff>
    </xdr:to>
    <xdr:graphicFrame macro="">
      <xdr:nvGraphicFramePr>
        <xdr:cNvPr id="3" name="Chart 2">
          <a:extLst>
            <a:ext uri="{FF2B5EF4-FFF2-40B4-BE49-F238E27FC236}">
              <a16:creationId xmlns:a16="http://schemas.microsoft.com/office/drawing/2014/main" id="{7FB4460D-8A1D-471B-8F58-0D8740F26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Users\DREA616\Mercator\MCTR_Md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Hamilton%20Personal\Repadre\Old%20model\goldfields%20operating%20result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ublic\SAAS\ET\RBC%20ET%20Mode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Documents%20and%20Settings\rdolan\Desktop\MIRAMAR\MiramarMode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public\Security\SYMC\RBC%20SYMC%20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K:\HOME\research\GOLDRES\MODELS\GLG\GLAMIS_Q2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HOME\RESEARCH\STEWALK\ABX\ABX.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K:\EQR-DATA\EQR-FUNDAMENTAL\Goldres\MODELS\EGU\EGU_Curren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HOME\RESEARCH\STEWALK\AGE\AG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K:\public\Content%20Mgmt\STEL\RBC%20STEL%20Mode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public\SAAS\BCOV\RBC%20BCOV%20Mode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K:\My%20Documents\A%20list\Placer%20Dome\pdg%20dec9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public\Security\IMPV\RBC%20IMPV%20Mode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X:\Software%20Enterprise\PFPT\PFPT-%203Q1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public\Infrastructure\TIBX\RBC%20TIBX%20Mod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public\SAAS\FLTX\RBC%20FLTX%20Mod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K:\Common\Internet%20SS\Public%20Companies\YHOO\twppageview.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atofps109\eqr$\EQR-DATA\EQR-FUNDAMENTAL\Goldres\MODELS\ABX\ABX_625.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UT-NYFLOOR-10\msue\Universe\RBOCs\SBC\Models\1-SB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K:\public\infrastructure\BEAS\Company%20info\White%20papers\AIM%20forecast%200704.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K:\MODELS\FRG\FIU.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K:\EQR-DATA\EQR-FUNDAMENTAL\Goldres\MODELS\NG\NG%20Model%20-%20LP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K:\Software\rob\comp%20sheet%20and%20valuation\Comp%20Extern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K:\public\Content%20Mgmt\IWOV\RBC%20IWOV%20Model.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K:\public\Security\SCUR\RBC%20SCUR%20mode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K:\Meisner\COMPANY\RATL\Models\Old\RATLQPL%20(old).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EMP\OMK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public\Infrastructure\TDC\RBC%20TDC%20Mode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Anyco.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K:\HOME\research\GOLDRES\MODELS\AGE\AgeRockFal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ODELS\FRG\FRG%20-%20LPN.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K:\Users\RBreza\Desktop\From%20Desktop\RBC%20CHKP%20mode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K:\EQR-DATA\EQR-FUNDAMENTAL\Goldres\PROSPECTOR\Canadian%20Shield\20110129%20-%20RBC%20Prospector%20Figures%20-%20Canadian%20Shield.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public\SAAS\LOCK\RBC%20LOCK%20Model.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public\Security\WBSN\RBC%20WBSN%20Mode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K:\Work\Market%20Stats\hwcp-la\10524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public\Infrastructure\ADBE\RBC%20ADBE%20Model.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atofps109\eqr$\EQR-DATA\EQR-FUNDAMENTAL\Goldres\MODELS\ABX\ABX_$425_Q10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resny04d\Projects\sherlund\COMPANY\BAANF\BAANFQPL.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Y:\Software%20Enterprise\PFPT\FTNT.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public\Infrastructure\QLIK\RBC%20QLIK%20Mode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K:\Meisner\COMPANY\BEAS\Reports\Fy2001q3\Old\BEASQPL%20(archive).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K:\rmacdona\BLKB\BLKB-Pre3Q17.xlsm"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rmacdonald/Downloads/PAYC-1Q18%20(1).xlsm" TargetMode="External"/><Relationship Id="rId1" Type="http://schemas.openxmlformats.org/officeDocument/2006/relationships/externalLinkPath" Target="/Users/rmacdonald/Downloads/PAYC-1Q18%20(1).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K:\HOME\research\GOLDRES\MODELS\NEM\NemNdyFn_POB.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nymail.thinkequity.com/Documents%20and%20Settings/tmadda/Local%20Settings/Temporary%20Internet%20Files/OLK2/Companies/cmrc/Model/cmrc.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H:\public\Infrastructure\ADSK\RBC%20ADSK%20Model.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G:\XLDATA\PRICES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K:\MODELS\FRG\AXU.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K:\Documents%20and%20Settings\jwilson\Desktop\RBC%20SNWL%20Model.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y%20Documents\New%20CPWR\CAQPL.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public\Infrastructure\AVCT\AVCT_Model_Curlin_mockup.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K:\public\Content%20Mgmt\VIGN\RBC%20VIGN%20Model.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K:\MODELS\CRJ\CRJ_Model%20-%20LPN.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K:\public\Security\CHKP\RBC%20CHKP%20mode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K:\DOCUME~1\jallen\LOCALS~1\Temp\2Q02PCQSJAM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K:\SemiManufGroup%20(SMG)\'01%20Market%20Share\Pub%20Systems\Table%20Generator_04010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mplfile01\Users\Documents%20and%20Settings\admin\My%20Documents\Stew's%20Portfolio\Suresh\XPRT\AMAT%20-%20XPRT.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mplfile01\Users\Research\Sbalaraman\Stks\NVL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
      <sheetName val="Balance Sheet"/>
      <sheetName val="Valuation"/>
      <sheetName val="Salesforce"/>
      <sheetName val="Misc."/>
      <sheetName val="LINKS"/>
      <sheetName val="TSFW"/>
      <sheetName val="TSFW+BRAId"/>
      <sheetName val="PV Valuation"/>
      <sheetName val="Valuation  (2)"/>
      <sheetName val="Income Statement - All"/>
      <sheetName val="Sheet1"/>
      <sheetName val="Novera"/>
      <sheetName val="BRAID"/>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sheetName val="MODEL"/>
      <sheetName val="goldfields operating results"/>
      <sheetName val="Assumptions"/>
    </sheetNames>
    <sheetDataSet>
      <sheetData sheetId="0"/>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Upside_Downside"/>
      <sheetName val="QUICK SUMMARY"/>
      <sheetName val="guidance"/>
      <sheetName val="EXHIBITS"/>
      <sheetName val="Job Postings"/>
      <sheetName val="SENSITIVITY"/>
      <sheetName val="WACC"/>
      <sheetName val="DCF"/>
      <sheetName val="LINKS&amp;INPUTS"/>
      <sheetName val="RBC ET Model"/>
    </sheetNames>
    <sheetDataSet>
      <sheetData sheetId="0"/>
      <sheetData sheetId="1" refreshError="1">
        <row r="10">
          <cell r="A10" t="str">
            <v>Cost of Subscription</v>
          </cell>
          <cell r="AD10">
            <v>2.5010000000000003</v>
          </cell>
          <cell r="AE10">
            <v>2.7054</v>
          </cell>
          <cell r="AF10">
            <v>3.0270000000000001</v>
          </cell>
          <cell r="AG10">
            <v>3.6805000000000003</v>
          </cell>
          <cell r="AH10">
            <v>3.7949999999999999</v>
          </cell>
          <cell r="AI10">
            <v>4.391</v>
          </cell>
          <cell r="AJ10">
            <v>4.726</v>
          </cell>
          <cell r="AK10">
            <v>5.4640000000000004</v>
          </cell>
          <cell r="AL10">
            <v>5.7059999999999995</v>
          </cell>
          <cell r="AM10">
            <v>5.9290000000000003</v>
          </cell>
          <cell r="AN10">
            <v>6.0510000000000002</v>
          </cell>
          <cell r="AO10">
            <v>7.282</v>
          </cell>
          <cell r="AP10">
            <v>8.3710000000000004</v>
          </cell>
          <cell r="AQ10">
            <v>8.9870000000000001</v>
          </cell>
          <cell r="AR10">
            <v>10.107000000000001</v>
          </cell>
          <cell r="AS10">
            <v>11.513000000000002</v>
          </cell>
          <cell r="AT10">
            <v>12.313000000000001</v>
          </cell>
          <cell r="AU10">
            <v>12.538000000000002</v>
          </cell>
          <cell r="AV10">
            <v>13.358000000000002</v>
          </cell>
          <cell r="AW10">
            <v>16.968</v>
          </cell>
          <cell r="AX10">
            <v>17.749999999999996</v>
          </cell>
          <cell r="AY10">
            <v>18.374999999999989</v>
          </cell>
          <cell r="AZ10">
            <v>19.000000000000011</v>
          </cell>
          <cell r="BA10">
            <v>20.25</v>
          </cell>
          <cell r="BB10">
            <v>21.999999999999996</v>
          </cell>
          <cell r="BC10">
            <v>23.374999999999996</v>
          </cell>
          <cell r="BD10">
            <v>24.875000000000039</v>
          </cell>
          <cell r="BE10">
            <v>26.625</v>
          </cell>
          <cell r="BF10">
            <v>25.027199999999993</v>
          </cell>
          <cell r="BG10">
            <v>26.591399999999993</v>
          </cell>
          <cell r="BH10">
            <v>28.297800000000041</v>
          </cell>
          <cell r="BI10">
            <v>30.288599999999999</v>
          </cell>
          <cell r="BJ10">
            <v>29.282879999999995</v>
          </cell>
          <cell r="BK10">
            <v>31.113059999999994</v>
          </cell>
          <cell r="BL10">
            <v>33.109620000000049</v>
          </cell>
          <cell r="BM10">
            <v>35.438939999999995</v>
          </cell>
          <cell r="BN10">
            <v>33.532619999999994</v>
          </cell>
          <cell r="BO10">
            <v>36.402939374999995</v>
          </cell>
          <cell r="BP10">
            <v>37.914723750000057</v>
          </cell>
          <cell r="BQ10">
            <v>40.582091249999991</v>
          </cell>
          <cell r="BY10">
            <v>11.9139</v>
          </cell>
          <cell r="BZ10">
            <v>18.375999999999998</v>
          </cell>
          <cell r="CA10">
            <v>24.968</v>
          </cell>
          <cell r="CB10">
            <v>38.978000000000009</v>
          </cell>
          <cell r="CC10">
            <v>55.177000000000007</v>
          </cell>
          <cell r="CD10">
            <v>75.375</v>
          </cell>
          <cell r="CE10">
            <v>96.875000000000028</v>
          </cell>
          <cell r="CF10">
            <v>110.20500000000003</v>
          </cell>
          <cell r="CG10">
            <v>128.94450000000003</v>
          </cell>
          <cell r="CH10">
            <v>148.43237437500005</v>
          </cell>
        </row>
        <row r="12">
          <cell r="A12" t="str">
            <v>Total Cost of Sales</v>
          </cell>
          <cell r="AD12">
            <v>4.1290000000000004</v>
          </cell>
          <cell r="AE12">
            <v>4.4847999999999999</v>
          </cell>
          <cell r="AF12">
            <v>5.1680000000000001</v>
          </cell>
          <cell r="AG12">
            <v>6.0975000000000001</v>
          </cell>
          <cell r="AH12">
            <v>6.383</v>
          </cell>
          <cell r="AI12">
            <v>7.2720000000000002</v>
          </cell>
          <cell r="AJ12">
            <v>7.7</v>
          </cell>
          <cell r="AK12">
            <v>9.0010000000000012</v>
          </cell>
          <cell r="AL12">
            <v>9.27</v>
          </cell>
          <cell r="AM12">
            <v>10.015000000000001</v>
          </cell>
          <cell r="AN12">
            <v>11.068999999999999</v>
          </cell>
          <cell r="AO12">
            <v>12.626000000000001</v>
          </cell>
          <cell r="AP12">
            <v>14.361000000000001</v>
          </cell>
          <cell r="AQ12">
            <v>16.28</v>
          </cell>
          <cell r="AR12">
            <v>17.931000000000001</v>
          </cell>
          <cell r="AS12">
            <v>20.268000000000001</v>
          </cell>
          <cell r="AT12">
            <v>23.444000000000003</v>
          </cell>
          <cell r="AU12">
            <v>23.382000000000001</v>
          </cell>
          <cell r="AV12">
            <v>24.333000000000002</v>
          </cell>
          <cell r="AW12">
            <v>30.038</v>
          </cell>
          <cell r="AX12">
            <v>30.949999999999996</v>
          </cell>
          <cell r="AY12">
            <v>32.17499999999999</v>
          </cell>
          <cell r="AZ12">
            <v>33.400000000000013</v>
          </cell>
          <cell r="BA12">
            <v>35.25</v>
          </cell>
          <cell r="BB12">
            <v>37.599999999999994</v>
          </cell>
          <cell r="BC12">
            <v>39.575000000000003</v>
          </cell>
          <cell r="BD12">
            <v>41.67500000000004</v>
          </cell>
          <cell r="BE12">
            <v>44.025000000000006</v>
          </cell>
          <cell r="BF12">
            <v>44.332199999999986</v>
          </cell>
          <cell r="BG12">
            <v>46.638899999999992</v>
          </cell>
          <cell r="BH12">
            <v>49.087800000000044</v>
          </cell>
          <cell r="BI12">
            <v>51.821099999999994</v>
          </cell>
          <cell r="BJ12">
            <v>51.897517499999992</v>
          </cell>
          <cell r="BK12">
            <v>54.597491249999997</v>
          </cell>
          <cell r="BL12">
            <v>57.463845000000049</v>
          </cell>
          <cell r="BM12">
            <v>60.662958749999994</v>
          </cell>
          <cell r="BN12">
            <v>59.460404999999994</v>
          </cell>
          <cell r="BO12">
            <v>63.327946875000002</v>
          </cell>
          <cell r="BP12">
            <v>65.836953750000049</v>
          </cell>
          <cell r="BQ12">
            <v>69.501543749999996</v>
          </cell>
          <cell r="BY12">
            <v>19.879300000000001</v>
          </cell>
          <cell r="BZ12">
            <v>30.356000000000002</v>
          </cell>
          <cell r="CA12">
            <v>42.980000000000004</v>
          </cell>
          <cell r="CB12">
            <v>68.84</v>
          </cell>
          <cell r="CC12">
            <v>101.197</v>
          </cell>
          <cell r="CD12">
            <v>131.77500000000001</v>
          </cell>
          <cell r="CE12">
            <v>162.87500000000006</v>
          </cell>
          <cell r="CF12">
            <v>191.88000000000002</v>
          </cell>
          <cell r="CG12">
            <v>224.62181250000003</v>
          </cell>
          <cell r="CH12">
            <v>258.12684937500001</v>
          </cell>
        </row>
        <row r="14">
          <cell r="A14" t="str">
            <v>Gross Profit Subscription</v>
          </cell>
          <cell r="AD14">
            <v>10.898</v>
          </cell>
          <cell r="AE14">
            <v>12.264600000000002</v>
          </cell>
          <cell r="AF14">
            <v>13.416399999999999</v>
          </cell>
          <cell r="AG14">
            <v>14.0235</v>
          </cell>
          <cell r="AH14">
            <v>14.497000000000002</v>
          </cell>
          <cell r="AI14">
            <v>16.136499999999998</v>
          </cell>
          <cell r="AJ14">
            <v>16.577999999999999</v>
          </cell>
          <cell r="AK14">
            <v>17.545999999999999</v>
          </cell>
          <cell r="AL14">
            <v>19.475000000000001</v>
          </cell>
          <cell r="AM14">
            <v>21.823999999999998</v>
          </cell>
          <cell r="AN14">
            <v>23.579000000000001</v>
          </cell>
          <cell r="AO14">
            <v>25.706999999999997</v>
          </cell>
          <cell r="AP14">
            <v>28.851999999999997</v>
          </cell>
          <cell r="AQ14">
            <v>31.589999999999996</v>
          </cell>
          <cell r="AR14">
            <v>35.08</v>
          </cell>
          <cell r="AS14">
            <v>36.195999999999998</v>
          </cell>
          <cell r="AT14">
            <v>38.833999999999996</v>
          </cell>
          <cell r="AU14">
            <v>42.564999999999998</v>
          </cell>
          <cell r="AV14">
            <v>45.83</v>
          </cell>
          <cell r="AW14">
            <v>53.338999999999999</v>
          </cell>
          <cell r="AX14">
            <v>53.249999999999986</v>
          </cell>
          <cell r="AY14">
            <v>55.124999999999972</v>
          </cell>
          <cell r="AZ14">
            <v>57.000000000000028</v>
          </cell>
          <cell r="BA14">
            <v>60.75</v>
          </cell>
          <cell r="BB14">
            <v>65.999999999999986</v>
          </cell>
          <cell r="BC14">
            <v>70.124999999999986</v>
          </cell>
          <cell r="BD14">
            <v>74.625000000000114</v>
          </cell>
          <cell r="BE14">
            <v>79.875</v>
          </cell>
          <cell r="BF14">
            <v>80.572799999999987</v>
          </cell>
          <cell r="BG14">
            <v>85.608599999999981</v>
          </cell>
          <cell r="BH14">
            <v>91.102200000000138</v>
          </cell>
          <cell r="BI14">
            <v>97.511399999999995</v>
          </cell>
          <cell r="BJ14">
            <v>94.797119999999993</v>
          </cell>
          <cell r="BK14">
            <v>100.72193999999999</v>
          </cell>
          <cell r="BL14">
            <v>107.18538000000017</v>
          </cell>
          <cell r="BM14">
            <v>114.72605999999999</v>
          </cell>
          <cell r="BN14">
            <v>109.15937999999998</v>
          </cell>
          <cell r="BO14">
            <v>118.50318562499999</v>
          </cell>
          <cell r="BP14">
            <v>123.42452625000018</v>
          </cell>
          <cell r="BQ14">
            <v>132.10765874999998</v>
          </cell>
          <cell r="BY14">
            <v>50.602499999999999</v>
          </cell>
          <cell r="BZ14">
            <v>64.757499999999993</v>
          </cell>
          <cell r="CA14">
            <v>90.584999999999994</v>
          </cell>
          <cell r="CB14">
            <v>131.71799999999999</v>
          </cell>
          <cell r="CC14">
            <v>180.56799999999998</v>
          </cell>
          <cell r="CD14">
            <v>226.125</v>
          </cell>
          <cell r="CE14">
            <v>290.62500000000011</v>
          </cell>
          <cell r="CF14">
            <v>354.79500000000007</v>
          </cell>
          <cell r="CG14">
            <v>417.43050000000017</v>
          </cell>
          <cell r="CH14">
            <v>483.19475062500015</v>
          </cell>
        </row>
        <row r="15">
          <cell r="A15" t="str">
            <v>Gross Profit Professional Services</v>
          </cell>
          <cell r="AD15">
            <v>0.66799999999999993</v>
          </cell>
          <cell r="AE15">
            <v>0.33960000000000012</v>
          </cell>
          <cell r="AF15">
            <v>0.59540000000000015</v>
          </cell>
          <cell r="AG15">
            <v>0.25700000000000012</v>
          </cell>
          <cell r="AH15">
            <v>0.20599999999999996</v>
          </cell>
          <cell r="AI15">
            <v>-0.21949999999999958</v>
          </cell>
          <cell r="AJ15">
            <v>0.31799999999999962</v>
          </cell>
          <cell r="AK15">
            <v>2.4999999999999911E-2</v>
          </cell>
          <cell r="AL15">
            <v>8.8999999999999968E-2</v>
          </cell>
          <cell r="AM15">
            <v>0.17599999999999927</v>
          </cell>
          <cell r="AN15">
            <v>-0.22199999999999953</v>
          </cell>
          <cell r="AO15">
            <v>0.65799999999999947</v>
          </cell>
          <cell r="AP15">
            <v>0.81299999999999972</v>
          </cell>
          <cell r="AQ15">
            <v>0.96600000000000019</v>
          </cell>
          <cell r="AR15">
            <v>2.1120000000000001</v>
          </cell>
          <cell r="AS15">
            <v>3.0439999999999987</v>
          </cell>
          <cell r="AT15">
            <v>1.7789999999999999</v>
          </cell>
          <cell r="AU15">
            <v>3.3710000000000004</v>
          </cell>
          <cell r="AV15">
            <v>4.4920000000000009</v>
          </cell>
          <cell r="AW15">
            <v>2.3879999999999999</v>
          </cell>
          <cell r="AX15">
            <v>3.2999999999999989</v>
          </cell>
          <cell r="AY15">
            <v>3.4499999999999993</v>
          </cell>
          <cell r="AZ15">
            <v>3.5999999999999996</v>
          </cell>
          <cell r="BA15">
            <v>3.75</v>
          </cell>
          <cell r="BB15">
            <v>3.8999999999999986</v>
          </cell>
          <cell r="BC15">
            <v>4.0500000000000007</v>
          </cell>
          <cell r="BD15">
            <v>4.1999999999999993</v>
          </cell>
          <cell r="BE15">
            <v>4.3499999999999979</v>
          </cell>
          <cell r="BF15">
            <v>4.0950000000000024</v>
          </cell>
          <cell r="BG15">
            <v>4.2525000000000013</v>
          </cell>
          <cell r="BH15">
            <v>4.41</v>
          </cell>
          <cell r="BI15">
            <v>4.5675000000000026</v>
          </cell>
          <cell r="BJ15">
            <v>4.8803625000000004</v>
          </cell>
          <cell r="BK15">
            <v>5.0680687500000019</v>
          </cell>
          <cell r="BL15">
            <v>5.2557749999999999</v>
          </cell>
          <cell r="BM15">
            <v>5.4434812500000014</v>
          </cell>
          <cell r="BN15">
            <v>5.6914649999999973</v>
          </cell>
          <cell r="BO15">
            <v>5.9103674999999996</v>
          </cell>
          <cell r="BP15">
            <v>6.1292699999999982</v>
          </cell>
          <cell r="BQ15">
            <v>6.3481724999999969</v>
          </cell>
          <cell r="BY15">
            <v>1.8600000000000003</v>
          </cell>
          <cell r="BZ15">
            <v>0.3294999999999999</v>
          </cell>
          <cell r="CA15">
            <v>0.70099999999999918</v>
          </cell>
          <cell r="CB15">
            <v>6.9349999999999987</v>
          </cell>
          <cell r="CC15">
            <v>12.030000000000001</v>
          </cell>
          <cell r="CD15">
            <v>14.099999999999998</v>
          </cell>
          <cell r="CE15">
            <v>16.499999999999996</v>
          </cell>
          <cell r="CF15">
            <v>17.325000000000006</v>
          </cell>
          <cell r="CG15">
            <v>20.647687500000004</v>
          </cell>
          <cell r="CH15">
            <v>24.079274999999992</v>
          </cell>
        </row>
        <row r="16">
          <cell r="A16" t="str">
            <v>Total Gross Profit</v>
          </cell>
          <cell r="AD16">
            <v>11.565999999999999</v>
          </cell>
          <cell r="AE16">
            <v>12.604200000000002</v>
          </cell>
          <cell r="AF16">
            <v>14.011800000000001</v>
          </cell>
          <cell r="AG16">
            <v>14.2805</v>
          </cell>
          <cell r="AH16">
            <v>14.703000000000003</v>
          </cell>
          <cell r="AI16">
            <v>15.917</v>
          </cell>
          <cell r="AJ16">
            <v>16.895999999999997</v>
          </cell>
          <cell r="AK16">
            <v>17.571000000000002</v>
          </cell>
          <cell r="AL16">
            <v>19.564</v>
          </cell>
          <cell r="AM16">
            <v>22</v>
          </cell>
          <cell r="AN16">
            <v>23.357000000000003</v>
          </cell>
          <cell r="AO16">
            <v>26.364999999999998</v>
          </cell>
          <cell r="AP16">
            <v>29.664999999999996</v>
          </cell>
          <cell r="AQ16">
            <v>32.555999999999997</v>
          </cell>
          <cell r="AR16">
            <v>37.191999999999993</v>
          </cell>
          <cell r="AS16">
            <v>39.24</v>
          </cell>
          <cell r="AT16">
            <v>40.613</v>
          </cell>
          <cell r="AU16">
            <v>45.935999999999993</v>
          </cell>
          <cell r="AV16">
            <v>50.322000000000003</v>
          </cell>
          <cell r="AW16">
            <v>55.727000000000004</v>
          </cell>
          <cell r="AX16">
            <v>56.54999999999999</v>
          </cell>
          <cell r="AY16">
            <v>58.574999999999967</v>
          </cell>
          <cell r="AZ16">
            <v>60.60000000000003</v>
          </cell>
          <cell r="BA16">
            <v>64.5</v>
          </cell>
          <cell r="BB16">
            <v>69.899999999999991</v>
          </cell>
          <cell r="BC16">
            <v>74.174999999999983</v>
          </cell>
          <cell r="BD16">
            <v>78.825000000000117</v>
          </cell>
          <cell r="BE16">
            <v>84.224999999999994</v>
          </cell>
          <cell r="BF16">
            <v>84.667799999999986</v>
          </cell>
          <cell r="BG16">
            <v>89.861099999999979</v>
          </cell>
          <cell r="BH16">
            <v>95.512200000000121</v>
          </cell>
          <cell r="BI16">
            <v>102.0789</v>
          </cell>
          <cell r="BJ16">
            <v>99.677482499999996</v>
          </cell>
          <cell r="BK16">
            <v>105.79000875</v>
          </cell>
          <cell r="BL16">
            <v>112.44115500000015</v>
          </cell>
          <cell r="BM16">
            <v>120.16954124999998</v>
          </cell>
          <cell r="BN16">
            <v>114.85084499999998</v>
          </cell>
          <cell r="BO16">
            <v>124.41355312499996</v>
          </cell>
          <cell r="BP16">
            <v>129.5537962500002</v>
          </cell>
          <cell r="BQ16">
            <v>138.45583124999996</v>
          </cell>
          <cell r="BY16">
            <v>52.462500000000006</v>
          </cell>
          <cell r="BZ16">
            <v>65.087000000000003</v>
          </cell>
          <cell r="CA16">
            <v>91.286000000000001</v>
          </cell>
          <cell r="CB16">
            <v>138.65299999999999</v>
          </cell>
          <cell r="CC16">
            <v>192.59799999999998</v>
          </cell>
          <cell r="CD16">
            <v>240.22499999999999</v>
          </cell>
          <cell r="CE16">
            <v>307.12500000000011</v>
          </cell>
          <cell r="CF16">
            <v>372.12000000000012</v>
          </cell>
          <cell r="CG16">
            <v>438.07818750000013</v>
          </cell>
          <cell r="CH16">
            <v>507.27402562500015</v>
          </cell>
        </row>
        <row r="24">
          <cell r="A24" t="str">
            <v>Operating Income</v>
          </cell>
          <cell r="AD24">
            <v>1.6189999999999998</v>
          </cell>
          <cell r="AE24">
            <v>1.5652000000000026</v>
          </cell>
          <cell r="AF24">
            <v>2.0668000000000006</v>
          </cell>
          <cell r="AG24">
            <v>2.2444999999999986</v>
          </cell>
          <cell r="AH24">
            <v>1.1690000000000023</v>
          </cell>
          <cell r="AI24">
            <v>0.121000000000001</v>
          </cell>
          <cell r="AJ24">
            <v>0.12699999999999656</v>
          </cell>
          <cell r="AK24">
            <v>-0.73999999999999844</v>
          </cell>
          <cell r="AL24">
            <v>-1.0740000000000016</v>
          </cell>
          <cell r="AM24">
            <v>-0.81299999999999883</v>
          </cell>
          <cell r="AN24">
            <v>-4.0659999999999989</v>
          </cell>
          <cell r="AO24">
            <v>-6.9910000000000032</v>
          </cell>
          <cell r="AP24">
            <v>-3.360000000000003</v>
          </cell>
          <cell r="AQ24">
            <v>-3.6490000000000009</v>
          </cell>
          <cell r="AR24">
            <v>-5.284000000000006</v>
          </cell>
          <cell r="AS24">
            <v>-3.2419999999999973</v>
          </cell>
          <cell r="AT24">
            <v>-1.9309999999999974</v>
          </cell>
          <cell r="AU24">
            <v>0.57699999999999108</v>
          </cell>
          <cell r="AV24">
            <v>2.3190000000000026</v>
          </cell>
          <cell r="AW24">
            <v>-6.5649999999999977</v>
          </cell>
          <cell r="AX24">
            <v>-5.6999999999999957</v>
          </cell>
          <cell r="AY24">
            <v>-6.4250000000000327</v>
          </cell>
          <cell r="AZ24">
            <v>-6.1499999999999986</v>
          </cell>
          <cell r="BA24">
            <v>-3</v>
          </cell>
          <cell r="BB24">
            <v>-2.6000000000000085</v>
          </cell>
          <cell r="BC24">
            <v>-2.3250000000000171</v>
          </cell>
          <cell r="BD24">
            <v>-1.6749999999998977</v>
          </cell>
          <cell r="BE24">
            <v>-0.2750000000000199</v>
          </cell>
          <cell r="BF24">
            <v>0.63479999999998427</v>
          </cell>
          <cell r="BG24">
            <v>1.2005999999999943</v>
          </cell>
          <cell r="BH24">
            <v>2.2380000000001274</v>
          </cell>
          <cell r="BI24">
            <v>4.2185999999999808</v>
          </cell>
          <cell r="BJ24">
            <v>4.4249324999999686</v>
          </cell>
          <cell r="BK24">
            <v>5.3028337499999765</v>
          </cell>
          <cell r="BL24">
            <v>6.7517850000001545</v>
          </cell>
          <cell r="BM24">
            <v>9.3428362499999764</v>
          </cell>
          <cell r="BN24">
            <v>9.3195712499999814</v>
          </cell>
          <cell r="BO24">
            <v>11.106400141483476</v>
          </cell>
          <cell r="BP24">
            <v>12.505008000000203</v>
          </cell>
          <cell r="BQ24">
            <v>15.788140124999956</v>
          </cell>
          <cell r="BY24">
            <v>7.4955000000000016</v>
          </cell>
          <cell r="BZ24">
            <v>0.67700000000000138</v>
          </cell>
          <cell r="CA24">
            <v>-12.944000000000003</v>
          </cell>
          <cell r="CB24">
            <v>-15.535000000000007</v>
          </cell>
          <cell r="CC24">
            <v>-5.6000000000000014</v>
          </cell>
          <cell r="CD24">
            <v>-21.275000000000027</v>
          </cell>
          <cell r="CE24">
            <v>-6.8749999999999432</v>
          </cell>
          <cell r="CF24">
            <v>8.2920000000000869</v>
          </cell>
          <cell r="CG24">
            <v>25.822387500000076</v>
          </cell>
          <cell r="CH24">
            <v>48.719119516483616</v>
          </cell>
        </row>
        <row r="32">
          <cell r="A32" t="str">
            <v>Stock based comp exp</v>
          </cell>
          <cell r="AD32">
            <v>0.159</v>
          </cell>
          <cell r="AE32">
            <v>0.24199999999999999</v>
          </cell>
          <cell r="AF32">
            <v>0.24099999999999999</v>
          </cell>
          <cell r="AG32">
            <v>0.34099999999999997</v>
          </cell>
          <cell r="AH32">
            <v>0.498</v>
          </cell>
          <cell r="AI32">
            <v>1.609</v>
          </cell>
          <cell r="AJ32">
            <v>0.61699999999999999</v>
          </cell>
          <cell r="AK32">
            <v>0.622</v>
          </cell>
          <cell r="AL32">
            <v>0.81899999999999995</v>
          </cell>
          <cell r="AM32">
            <v>0.99299999999999988</v>
          </cell>
          <cell r="AN32">
            <v>1.1600000000000001</v>
          </cell>
          <cell r="AO32">
            <v>1.4529999999999998</v>
          </cell>
          <cell r="AP32">
            <v>1.3230000000000002</v>
          </cell>
          <cell r="AQ32">
            <v>1.6890000000000001</v>
          </cell>
          <cell r="AR32">
            <v>1.9300000000000002</v>
          </cell>
          <cell r="AS32">
            <v>2.012</v>
          </cell>
          <cell r="AT32">
            <v>2.1779999999999999</v>
          </cell>
          <cell r="AU32">
            <v>2.7749999999999999</v>
          </cell>
          <cell r="AV32">
            <v>2.7709999999999999</v>
          </cell>
          <cell r="AW32">
            <v>3.4580000000000002</v>
          </cell>
          <cell r="AX32">
            <v>4.25</v>
          </cell>
          <cell r="AY32">
            <v>4.3650000000000002</v>
          </cell>
          <cell r="AZ32">
            <v>4.4800000000000004</v>
          </cell>
          <cell r="BA32">
            <v>4.6000000000000005</v>
          </cell>
          <cell r="BB32">
            <v>4.7200000000000006</v>
          </cell>
          <cell r="BC32">
            <v>4.8400000000000007</v>
          </cell>
          <cell r="BD32">
            <v>4.9600000000000009</v>
          </cell>
          <cell r="BE32">
            <v>5.080000000000001</v>
          </cell>
          <cell r="BF32">
            <v>5.2000000000000011</v>
          </cell>
          <cell r="BG32">
            <v>5.3200000000000012</v>
          </cell>
          <cell r="BH32">
            <v>5.4400000000000013</v>
          </cell>
          <cell r="BI32">
            <v>5.5600000000000014</v>
          </cell>
          <cell r="BJ32">
            <v>5.6800000000000015</v>
          </cell>
          <cell r="BK32">
            <v>5.8000000000000016</v>
          </cell>
          <cell r="BL32">
            <v>5.9200000000000017</v>
          </cell>
          <cell r="BM32">
            <v>6.0400000000000018</v>
          </cell>
          <cell r="BN32">
            <v>6.1600000000000019</v>
          </cell>
          <cell r="BO32">
            <v>6.280000000000002</v>
          </cell>
          <cell r="BP32">
            <v>6.4000000000000021</v>
          </cell>
          <cell r="BQ32">
            <v>6.5200000000000022</v>
          </cell>
          <cell r="BY32">
            <v>0.98299999999999998</v>
          </cell>
          <cell r="BZ32">
            <v>3.3460000000000001</v>
          </cell>
          <cell r="CA32">
            <v>4.4249999999999998</v>
          </cell>
          <cell r="CB32">
            <v>6.9540000000000006</v>
          </cell>
          <cell r="CC32">
            <v>11.181999999999999</v>
          </cell>
          <cell r="CD32">
            <v>17.695</v>
          </cell>
          <cell r="CE32">
            <v>19.600000000000005</v>
          </cell>
          <cell r="CF32">
            <v>21.520000000000007</v>
          </cell>
          <cell r="CG32">
            <v>23.440000000000008</v>
          </cell>
          <cell r="CH32">
            <v>25.36000000000001</v>
          </cell>
        </row>
        <row r="41">
          <cell r="A41" t="str">
            <v>Other</v>
          </cell>
          <cell r="AH41">
            <v>0</v>
          </cell>
          <cell r="AI41">
            <v>0</v>
          </cell>
          <cell r="AJ41">
            <v>0</v>
          </cell>
          <cell r="AK41">
            <v>0</v>
          </cell>
          <cell r="AL41">
            <v>0</v>
          </cell>
          <cell r="AM41">
            <v>0</v>
          </cell>
          <cell r="AN41">
            <v>0</v>
          </cell>
          <cell r="AO41">
            <v>0</v>
          </cell>
          <cell r="AP41">
            <v>0</v>
          </cell>
          <cell r="AQ41">
            <v>0</v>
          </cell>
          <cell r="AR41">
            <v>0</v>
          </cell>
          <cell r="AS41">
            <v>0</v>
          </cell>
          <cell r="AT41">
            <v>0.32100000000000001</v>
          </cell>
          <cell r="AU41">
            <v>-7.4999999999999997E-2</v>
          </cell>
          <cell r="AV41">
            <v>0</v>
          </cell>
          <cell r="AW41">
            <v>0</v>
          </cell>
          <cell r="AX41">
            <v>0</v>
          </cell>
          <cell r="AY41">
            <v>0</v>
          </cell>
          <cell r="AZ41">
            <v>0</v>
          </cell>
          <cell r="BA41">
            <v>0</v>
          </cell>
          <cell r="CA41">
            <v>0</v>
          </cell>
          <cell r="CB41">
            <v>0</v>
          </cell>
          <cell r="CC41">
            <v>0.246</v>
          </cell>
          <cell r="CD41">
            <v>0</v>
          </cell>
        </row>
        <row r="87">
          <cell r="A87" t="str">
            <v>Key Metrics</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1</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row>
        <row r="94">
          <cell r="A94" t="str">
            <v>Mgmt Rev guidance #3</v>
          </cell>
          <cell r="CC94" t="str">
            <v>287-288</v>
          </cell>
        </row>
        <row r="106">
          <cell r="A106" t="str">
            <v xml:space="preserve">     Total Cash/Share</v>
          </cell>
          <cell r="AD106">
            <v>0.38953540232334199</v>
          </cell>
          <cell r="AE106">
            <v>0.49744184173707007</v>
          </cell>
          <cell r="AF106">
            <v>0.55744055963518946</v>
          </cell>
          <cell r="AG106">
            <v>0.56667990592748552</v>
          </cell>
          <cell r="AH106">
            <v>0.44656840412763804</v>
          </cell>
          <cell r="AI106">
            <v>2.4841294265879181</v>
          </cell>
          <cell r="AJ106">
            <v>2.7367856245809499</v>
          </cell>
          <cell r="AK106">
            <v>3.9172546959262693</v>
          </cell>
          <cell r="AL106">
            <v>3.135446307192979</v>
          </cell>
          <cell r="AM106">
            <v>2.7105504437509738</v>
          </cell>
          <cell r="AN106">
            <v>2.0130368316844329</v>
          </cell>
          <cell r="AO106">
            <v>2.6011611462903339</v>
          </cell>
          <cell r="AP106">
            <v>5.1941095403208495</v>
          </cell>
          <cell r="AQ106">
            <v>4.0300659734951676</v>
          </cell>
          <cell r="AR106">
            <v>3.3706504066338963</v>
          </cell>
          <cell r="AS106">
            <v>4.1203524369130635</v>
          </cell>
          <cell r="AT106">
            <v>14.357940083064079</v>
          </cell>
          <cell r="AU106">
            <v>3.207380728016525</v>
          </cell>
          <cell r="AV106">
            <v>3.1960686572209394</v>
          </cell>
          <cell r="AW106">
            <v>1.6062930972149476</v>
          </cell>
          <cell r="AX106">
            <v>1.5438213371676246</v>
          </cell>
          <cell r="AY106">
            <v>1.4532044673526132</v>
          </cell>
          <cell r="AZ106">
            <v>1.3574666766696146</v>
          </cell>
          <cell r="BA106">
            <v>1.3080650984824957</v>
          </cell>
          <cell r="BB106">
            <v>1.271988794846892</v>
          </cell>
          <cell r="BC106">
            <v>1.2224982142595791</v>
          </cell>
          <cell r="BD106">
            <v>1.1891993836486945</v>
          </cell>
          <cell r="BE106">
            <v>1.2112146450655468</v>
          </cell>
          <cell r="BF106">
            <v>1.0110198201185405</v>
          </cell>
          <cell r="BG106">
            <v>1.0622463201497134</v>
          </cell>
          <cell r="BH106">
            <v>1.3073078745392388</v>
          </cell>
          <cell r="BI106">
            <v>1.521924421605511</v>
          </cell>
          <cell r="BJ106">
            <v>1.2652043269593065</v>
          </cell>
          <cell r="BK106">
            <v>1.3537206714695338</v>
          </cell>
          <cell r="BL106">
            <v>1.6884884496775927</v>
          </cell>
          <cell r="BM106">
            <v>2.1819641649988037</v>
          </cell>
          <cell r="BN106">
            <v>1.9573175119320447</v>
          </cell>
          <cell r="BO106">
            <v>2.2015456195742038</v>
          </cell>
          <cell r="BP106">
            <v>2.7313830892947903</v>
          </cell>
          <cell r="BQ106">
            <v>3.2639040539556645</v>
          </cell>
          <cell r="BY106" t="e">
            <v>#NAME?</v>
          </cell>
          <cell r="BZ106">
            <v>3.9172546959262693</v>
          </cell>
          <cell r="CA106">
            <v>2.6011611462903339</v>
          </cell>
          <cell r="CB106">
            <v>5.9176003036541465</v>
          </cell>
          <cell r="CC106">
            <v>2.0341734502157407</v>
          </cell>
          <cell r="CD106">
            <v>1.3358962707906339</v>
          </cell>
          <cell r="CE106">
            <v>1.2187066944164677</v>
          </cell>
          <cell r="CF106">
            <v>1.5311856249824209</v>
          </cell>
          <cell r="CG106">
            <v>2.1950298186814314</v>
          </cell>
          <cell r="CH106">
            <v>3.2831412094799615</v>
          </cell>
        </row>
        <row r="116">
          <cell r="BQ116">
            <v>-10</v>
          </cell>
        </row>
        <row r="128">
          <cell r="A128" t="str">
            <v>EPS TTM</v>
          </cell>
          <cell r="AD128">
            <v>0.11052995749672569</v>
          </cell>
          <cell r="AE128">
            <v>0.2261016323529515</v>
          </cell>
          <cell r="AF128">
            <v>0.37744440594083151</v>
          </cell>
          <cell r="AG128">
            <v>0.51814482139202966</v>
          </cell>
          <cell r="AH128">
            <v>0.5118711911935574</v>
          </cell>
          <cell r="AI128">
            <v>0.49063210132163737</v>
          </cell>
          <cell r="AJ128">
            <v>0.36084780241578085</v>
          </cell>
          <cell r="AK128">
            <v>0.17440691951753745</v>
          </cell>
          <cell r="AL128">
            <v>2.2356936707283767E-2</v>
          </cell>
          <cell r="AM128">
            <v>-2.6121114826367857E-2</v>
          </cell>
          <cell r="AN128">
            <v>-0.33934636073556118</v>
          </cell>
          <cell r="AO128">
            <v>-0.78363344479102781</v>
          </cell>
          <cell r="AP128">
            <v>-0.9255315532801166</v>
          </cell>
          <cell r="AQ128">
            <v>-1.169062470984461</v>
          </cell>
          <cell r="AR128">
            <v>-3.172403692362165</v>
          </cell>
          <cell r="AS128">
            <v>-2.9415229262007956</v>
          </cell>
          <cell r="AT128">
            <v>-2.9001380574250595</v>
          </cell>
          <cell r="AU128">
            <v>-2.6951995646477234</v>
          </cell>
          <cell r="AV128">
            <v>-0.36523393515136637</v>
          </cell>
          <cell r="AW128">
            <v>-0.20568674738909015</v>
          </cell>
          <cell r="AX128">
            <v>-0.14301753332315775</v>
          </cell>
          <cell r="AY128">
            <v>-0.24490821327537543</v>
          </cell>
          <cell r="AZ128">
            <v>-0.36914754030770369</v>
          </cell>
          <cell r="BA128">
            <v>-0.31370072050661496</v>
          </cell>
          <cell r="BB128">
            <v>-0.26636179453391684</v>
          </cell>
          <cell r="BC128">
            <v>-0.20594809913840303</v>
          </cell>
          <cell r="BD128">
            <v>-0.14168698512924383</v>
          </cell>
          <cell r="BE128">
            <v>-0.10318994505638435</v>
          </cell>
          <cell r="BF128">
            <v>-5.8009557216601219E-2</v>
          </cell>
          <cell r="BG128">
            <v>-9.1388546252776249E-3</v>
          </cell>
          <cell r="BH128">
            <v>4.4613165501011839E-2</v>
          </cell>
          <cell r="BI128">
            <v>0.10563987094786538</v>
          </cell>
          <cell r="BJ128">
            <v>0.15680285007525913</v>
          </cell>
          <cell r="BK128">
            <v>0.21179814018366</v>
          </cell>
          <cell r="BL128">
            <v>0.27181550096993501</v>
          </cell>
          <cell r="BM128">
            <v>0.33924660002694129</v>
          </cell>
          <cell r="BN128">
            <v>0.4033439019487261</v>
          </cell>
          <cell r="BO128">
            <v>0.4789342569550713</v>
          </cell>
          <cell r="BP128">
            <v>0.5532705240696203</v>
          </cell>
          <cell r="BQ128">
            <v>0.63579580264828239</v>
          </cell>
          <cell r="BY128">
            <v>0</v>
          </cell>
          <cell r="BZ128" t="e">
            <v>#NAME?</v>
          </cell>
          <cell r="CA128">
            <v>0.17440691951753745</v>
          </cell>
          <cell r="CB128">
            <v>-0.78363344479102781</v>
          </cell>
          <cell r="CC128">
            <v>-2.6645529478639736</v>
          </cell>
          <cell r="CD128">
            <v>-0.11473356269851054</v>
          </cell>
          <cell r="CE128">
            <v>-0.31278014184397201</v>
          </cell>
          <cell r="CF128">
            <v>-0.10296907216494769</v>
          </cell>
          <cell r="CG128">
            <v>0.10596348884381461</v>
          </cell>
          <cell r="CH128">
            <v>0.33967248835662128</v>
          </cell>
        </row>
        <row r="203">
          <cell r="A203" t="str">
            <v>Number of Shares Repurchased</v>
          </cell>
          <cell r="AD203">
            <v>8</v>
          </cell>
          <cell r="AE203">
            <v>0</v>
          </cell>
          <cell r="AF203">
            <v>0</v>
          </cell>
          <cell r="AG203">
            <v>0</v>
          </cell>
          <cell r="CE203">
            <v>0</v>
          </cell>
          <cell r="CF203">
            <v>0</v>
          </cell>
          <cell r="CG203">
            <v>0</v>
          </cell>
          <cell r="CH203">
            <v>0</v>
          </cell>
        </row>
        <row r="205">
          <cell r="A205" t="str">
            <v>Number of Shares Repurchased</v>
          </cell>
          <cell r="AD205">
            <v>8</v>
          </cell>
          <cell r="AE205">
            <v>0</v>
          </cell>
          <cell r="AF205">
            <v>0</v>
          </cell>
          <cell r="AG205">
            <v>0</v>
          </cell>
        </row>
        <row r="357">
          <cell r="A357" t="str">
            <v>--Y/Y FX impact to Growth ($)</v>
          </cell>
          <cell r="AD357" t="e">
            <v>#DIV/0!</v>
          </cell>
          <cell r="AE357" t="e">
            <v>#DIV/0!</v>
          </cell>
          <cell r="AF357" t="e">
            <v>#DIV/0!</v>
          </cell>
          <cell r="AG357" t="e">
            <v>#DIV/0!</v>
          </cell>
          <cell r="AH357">
            <v>-0.1601439845369903</v>
          </cell>
          <cell r="AI357">
            <v>-0.62462602872669137</v>
          </cell>
          <cell r="AJ357">
            <v>-0.87413557334431147</v>
          </cell>
          <cell r="AK357">
            <v>-0.3114682816710399</v>
          </cell>
          <cell r="AL357">
            <v>0.7299060943118505</v>
          </cell>
          <cell r="AM357">
            <v>0.63117820105943423</v>
          </cell>
          <cell r="AN357">
            <v>-0.14613925730314037</v>
          </cell>
          <cell r="AO357">
            <v>-0.93397833787400941</v>
          </cell>
          <cell r="AP357">
            <v>-0.1527221350934056</v>
          </cell>
          <cell r="AQ357">
            <v>6.9545645442659065E-3</v>
          </cell>
          <cell r="AR357">
            <v>0.75306203269585836</v>
          </cell>
          <cell r="AS357">
            <v>0.86035189884548657</v>
          </cell>
          <cell r="AT357">
            <v>0.36473612227025853</v>
          </cell>
          <cell r="AU357">
            <v>-6.3084172646071579E-2</v>
          </cell>
          <cell r="AV357">
            <v>-0.89351347896099753</v>
          </cell>
          <cell r="AW357">
            <v>-1.4382311437997117</v>
          </cell>
          <cell r="AX357">
            <v>-0.80913995117425941</v>
          </cell>
          <cell r="AY357">
            <v>-0.68509579390105557</v>
          </cell>
          <cell r="AZ357">
            <v>-0.51109456758277361</v>
          </cell>
          <cell r="BA357">
            <v>6.8091294425645259</v>
          </cell>
          <cell r="BB357">
            <v>4.4472151199574768</v>
          </cell>
          <cell r="BC357">
            <v>-1.1120859531296219</v>
          </cell>
          <cell r="BD357">
            <v>-1.308524791091159</v>
          </cell>
          <cell r="BE357">
            <v>-27.717418275611891</v>
          </cell>
          <cell r="BF357">
            <v>-12.451518635437878</v>
          </cell>
          <cell r="BG357" t="e">
            <v>#DIV/0!</v>
          </cell>
          <cell r="BH357" t="e">
            <v>#DIV/0!</v>
          </cell>
          <cell r="BI357" t="e">
            <v>#DIV/0!</v>
          </cell>
          <cell r="BJ357" t="e">
            <v>#DIV/0!</v>
          </cell>
          <cell r="BK357" t="e">
            <v>#DIV/0!</v>
          </cell>
          <cell r="BL357" t="e">
            <v>#DIV/0!</v>
          </cell>
          <cell r="BM357" t="e">
            <v>#DIV/0!</v>
          </cell>
          <cell r="BN357" t="e">
            <v>#DIV/0!</v>
          </cell>
          <cell r="BO357">
            <v>6.5562851646637625</v>
          </cell>
          <cell r="BP357">
            <v>4.1490414218674516</v>
          </cell>
          <cell r="BQ357" t="e">
            <v>#DIV/0!</v>
          </cell>
        </row>
        <row r="358">
          <cell r="A358" t="str">
            <v>FX % contribution to the reported growth number (10%, 50% of the growth, etc)</v>
          </cell>
          <cell r="AD358" t="e">
            <v>#DIV/0!</v>
          </cell>
          <cell r="AE358" t="e">
            <v>#DIV/0!</v>
          </cell>
          <cell r="AF358" t="e">
            <v>#DIV/0!</v>
          </cell>
          <cell r="AG358" t="e">
            <v>#DIV/0!</v>
          </cell>
          <cell r="AH358">
            <v>-2.9705803104616992E-2</v>
          </cell>
          <cell r="AI358">
            <v>-0.10239770962732649</v>
          </cell>
          <cell r="AJ358">
            <v>-0.16139277968766147</v>
          </cell>
          <cell r="AK358">
            <v>-5.0285482995001581E-2</v>
          </cell>
          <cell r="AL358">
            <v>9.4205742683511923E-2</v>
          </cell>
          <cell r="AM358">
            <v>7.1513505671814429E-2</v>
          </cell>
          <cell r="AN358">
            <v>-1.4866658932160751E-2</v>
          </cell>
          <cell r="AO358">
            <v>-7.5205599313472066E-2</v>
          </cell>
          <cell r="AP358">
            <v>-1.0052799835005639E-2</v>
          </cell>
          <cell r="AQ358">
            <v>4.1344536854324401E-4</v>
          </cell>
          <cell r="AR358">
            <v>3.6385081543018734E-2</v>
          </cell>
          <cell r="AS358">
            <v>4.1933611095456763E-2</v>
          </cell>
          <cell r="AT358">
            <v>1.8208582810157178E-2</v>
          </cell>
          <cell r="AU358">
            <v>-3.0799810880808311E-3</v>
          </cell>
          <cell r="AV358">
            <v>-4.5746133471277768E-2</v>
          </cell>
          <cell r="AW358">
            <v>-5.4775151152062759E-2</v>
          </cell>
          <cell r="AX358">
            <v>-3.4515205015324832E-2</v>
          </cell>
          <cell r="AY358">
            <v>-3.1966022485118345E-2</v>
          </cell>
          <cell r="AZ358">
            <v>-2.6419982816374903E-2</v>
          </cell>
          <cell r="BA358">
            <v>0.48688805452731687</v>
          </cell>
          <cell r="BB358">
            <v>0.22236075599787383</v>
          </cell>
          <cell r="BC358">
            <v>-4.8351563179548751E-2</v>
          </cell>
          <cell r="BD358">
            <v>-4.9378294003439752E-2</v>
          </cell>
          <cell r="BE358">
            <v>-0.97254099212673306</v>
          </cell>
          <cell r="BF358">
            <v>-0.57914040164827385</v>
          </cell>
          <cell r="BG358" t="e">
            <v>#DIV/0!</v>
          </cell>
          <cell r="BH358" t="e">
            <v>#DIV/0!</v>
          </cell>
          <cell r="BI358" t="e">
            <v>#DIV/0!</v>
          </cell>
          <cell r="BJ358" t="e">
            <v>#DIV/0!</v>
          </cell>
          <cell r="BK358" t="e">
            <v>#DIV/0!</v>
          </cell>
          <cell r="BL358" t="e">
            <v>#DIV/0!</v>
          </cell>
          <cell r="BM358" t="e">
            <v>#DIV/0!</v>
          </cell>
          <cell r="BN358" t="e">
            <v>#DIV/0!</v>
          </cell>
          <cell r="BO358">
            <v>0.23968286775841802</v>
          </cell>
          <cell r="BP358">
            <v>0.16279848236239636</v>
          </cell>
          <cell r="BQ358" t="e">
            <v>#DIV/0!</v>
          </cell>
        </row>
        <row r="359">
          <cell r="A359" t="str">
            <v>Reported Y/Y Growth (%)</v>
          </cell>
          <cell r="AD359" t="e">
            <v>#DIV/0!</v>
          </cell>
          <cell r="AE359" t="e">
            <v>#DIV/0!</v>
          </cell>
          <cell r="AF359" t="e">
            <v>#DIV/0!</v>
          </cell>
          <cell r="AG359" t="e">
            <v>#DIV/0!</v>
          </cell>
          <cell r="AH359">
            <v>0.34348518636508468</v>
          </cell>
          <cell r="AI359">
            <v>0.35695476622388655</v>
          </cell>
          <cell r="AJ359">
            <v>0.28239084870540865</v>
          </cell>
          <cell r="AK359">
            <v>0.30395524585337141</v>
          </cell>
          <cell r="AL359">
            <v>0.36744759556103579</v>
          </cell>
          <cell r="AM359">
            <v>0.38061149683039375</v>
          </cell>
          <cell r="AN359">
            <v>0.39965848105383045</v>
          </cell>
          <cell r="AO359">
            <v>0.4673716694264638</v>
          </cell>
          <cell r="AP359">
            <v>0.52687799126031742</v>
          </cell>
          <cell r="AQ359">
            <v>0.52540996407933771</v>
          </cell>
          <cell r="AR359">
            <v>0.60120257944576727</v>
          </cell>
          <cell r="AS359">
            <v>0.5261983534661846</v>
          </cell>
          <cell r="AT359">
            <v>0.45498114750374796</v>
          </cell>
          <cell r="AU359">
            <v>0.4194037185682693</v>
          </cell>
          <cell r="AV359">
            <v>0.35433485115106222</v>
          </cell>
          <cell r="AW359">
            <v>0.44123479196074472</v>
          </cell>
          <cell r="AX359">
            <v>0.3659709321385638</v>
          </cell>
          <cell r="AY359">
            <v>0.30918376179347318</v>
          </cell>
          <cell r="AZ359">
            <v>0.25912530975822168</v>
          </cell>
          <cell r="BA359">
            <v>0.16306185506908411</v>
          </cell>
          <cell r="BB359">
            <v>0.22857142857142862</v>
          </cell>
          <cell r="BC359">
            <v>0.25344352617079913</v>
          </cell>
          <cell r="BD359">
            <v>0.28191489361702238</v>
          </cell>
          <cell r="BE359">
            <v>0.2857142857142857</v>
          </cell>
          <cell r="BF359">
            <v>0.1999999999999999</v>
          </cell>
          <cell r="BG359">
            <v>0.1999999999999999</v>
          </cell>
          <cell r="BH359">
            <v>0.19999999999999982</v>
          </cell>
          <cell r="BI359">
            <v>0.20000000000000004</v>
          </cell>
          <cell r="BJ359">
            <v>0.17500000000000018</v>
          </cell>
          <cell r="BK359">
            <v>0.17500000000000016</v>
          </cell>
          <cell r="BL359">
            <v>0.17500000000000004</v>
          </cell>
          <cell r="BM359">
            <v>0.17499999999999985</v>
          </cell>
          <cell r="BN359">
            <v>0.14999999999999991</v>
          </cell>
          <cell r="BO359">
            <v>0.17054945054945048</v>
          </cell>
          <cell r="BP359">
            <v>0.15000000000000013</v>
          </cell>
          <cell r="BQ359">
            <v>0.14999999999999988</v>
          </cell>
        </row>
        <row r="395">
          <cell r="A395" t="str">
            <v>Deferred Income Taxes, Long Term</v>
          </cell>
          <cell r="AD395">
            <v>2.323</v>
          </cell>
          <cell r="AE395">
            <v>2.2160000000000002</v>
          </cell>
          <cell r="AF395">
            <v>2.2160000000000002</v>
          </cell>
          <cell r="AG395">
            <v>2.351</v>
          </cell>
          <cell r="AH395">
            <v>2.1890000000000001</v>
          </cell>
          <cell r="AI395">
            <v>2.0150000000000001</v>
          </cell>
          <cell r="AJ395">
            <v>2.0150000000000001</v>
          </cell>
          <cell r="AK395">
            <v>3.15</v>
          </cell>
          <cell r="AL395">
            <v>3.996</v>
          </cell>
          <cell r="AM395">
            <v>5.1539999999999999</v>
          </cell>
          <cell r="AN395">
            <v>6.4640000000000004</v>
          </cell>
          <cell r="AO395">
            <v>9.5719999999999992</v>
          </cell>
          <cell r="AP395">
            <v>11.117000000000001</v>
          </cell>
          <cell r="AQ395">
            <v>14.164</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cell r="BM395">
            <v>0</v>
          </cell>
          <cell r="BN395">
            <v>0</v>
          </cell>
          <cell r="BO395">
            <v>0</v>
          </cell>
          <cell r="BP395">
            <v>0</v>
          </cell>
          <cell r="BQ395">
            <v>0</v>
          </cell>
          <cell r="BY395">
            <v>2.351</v>
          </cell>
          <cell r="BZ395">
            <v>3.15</v>
          </cell>
          <cell r="CA395">
            <v>9.5719999999999992</v>
          </cell>
          <cell r="CB395">
            <v>0</v>
          </cell>
          <cell r="CC395">
            <v>0</v>
          </cell>
          <cell r="CD395">
            <v>0</v>
          </cell>
          <cell r="CE395">
            <v>0</v>
          </cell>
          <cell r="CF395">
            <v>0</v>
          </cell>
          <cell r="CG395">
            <v>0</v>
          </cell>
          <cell r="CH395">
            <v>0</v>
          </cell>
        </row>
        <row r="398">
          <cell r="A398" t="str">
            <v>Other Non Current Assets</v>
          </cell>
          <cell r="AD398">
            <v>0.185</v>
          </cell>
          <cell r="AE398">
            <v>0.16700000000000001</v>
          </cell>
          <cell r="AF398">
            <v>0.14899999999999999</v>
          </cell>
          <cell r="AG398">
            <v>0.13100000000000001</v>
          </cell>
          <cell r="AH398">
            <v>0.113</v>
          </cell>
          <cell r="AI398">
            <v>9.5000000000000001E-2</v>
          </cell>
          <cell r="AJ398">
            <v>7.6999999999999999E-2</v>
          </cell>
          <cell r="AK398">
            <v>4.2000000000000003E-2</v>
          </cell>
          <cell r="AL398">
            <v>2.4E-2</v>
          </cell>
          <cell r="AM398">
            <v>6.0000000000000001E-3</v>
          </cell>
          <cell r="AN398">
            <v>0</v>
          </cell>
          <cell r="AO398">
            <v>0.79100000000000004</v>
          </cell>
          <cell r="AP398">
            <v>0.83699999999999997</v>
          </cell>
          <cell r="AQ398">
            <v>0.95</v>
          </cell>
          <cell r="AR398">
            <v>0.92700000000000005</v>
          </cell>
          <cell r="AS398">
            <v>1.6639999999999999</v>
          </cell>
          <cell r="AT398">
            <v>4.8499999999999996</v>
          </cell>
          <cell r="AU398">
            <v>4.7119999999999997</v>
          </cell>
          <cell r="AV398">
            <v>4.9169999999999998</v>
          </cell>
          <cell r="AW398">
            <v>3.6309999999999998</v>
          </cell>
          <cell r="AX398">
            <v>3.302</v>
          </cell>
          <cell r="AY398">
            <v>3.302</v>
          </cell>
          <cell r="AZ398">
            <v>3.302</v>
          </cell>
          <cell r="BA398">
            <v>3.302</v>
          </cell>
          <cell r="BB398">
            <v>3.302</v>
          </cell>
          <cell r="BC398">
            <v>3.302</v>
          </cell>
          <cell r="BD398">
            <v>3.302</v>
          </cell>
          <cell r="BE398">
            <v>3.302</v>
          </cell>
          <cell r="BF398">
            <v>3.302</v>
          </cell>
          <cell r="BG398">
            <v>3.302</v>
          </cell>
          <cell r="BH398">
            <v>3.302</v>
          </cell>
          <cell r="BI398">
            <v>3.302</v>
          </cell>
          <cell r="BJ398">
            <v>3.302</v>
          </cell>
          <cell r="BK398">
            <v>3.302</v>
          </cell>
          <cell r="BL398">
            <v>3.302</v>
          </cell>
          <cell r="BM398">
            <v>3.302</v>
          </cell>
          <cell r="BN398">
            <v>3.302</v>
          </cell>
          <cell r="BO398">
            <v>3.302</v>
          </cell>
          <cell r="BP398">
            <v>3.302</v>
          </cell>
          <cell r="BQ398">
            <v>3.302</v>
          </cell>
          <cell r="BY398">
            <v>0.13100000000000001</v>
          </cell>
          <cell r="BZ398">
            <v>4.2000000000000003E-2</v>
          </cell>
          <cell r="CA398">
            <v>0.79100000000000004</v>
          </cell>
          <cell r="CB398">
            <v>1.6639999999999999</v>
          </cell>
          <cell r="CC398">
            <v>3.6309999999999998</v>
          </cell>
          <cell r="CD398">
            <v>3.302</v>
          </cell>
          <cell r="CE398">
            <v>3.302</v>
          </cell>
          <cell r="CF398">
            <v>3.302</v>
          </cell>
          <cell r="CG398">
            <v>3.302</v>
          </cell>
          <cell r="CH398">
            <v>3.302</v>
          </cell>
        </row>
        <row r="402">
          <cell r="A402" t="str">
            <v>Accrued Liabilities</v>
          </cell>
          <cell r="AD402">
            <v>1.389</v>
          </cell>
          <cell r="AE402">
            <v>1.5509999999999999</v>
          </cell>
          <cell r="AF402">
            <v>2.181</v>
          </cell>
          <cell r="AG402">
            <v>1.7509999999999999</v>
          </cell>
          <cell r="AH402">
            <v>1.827</v>
          </cell>
          <cell r="AI402">
            <v>1.629</v>
          </cell>
          <cell r="AJ402">
            <v>3.0419999999999998</v>
          </cell>
          <cell r="AK402">
            <v>2.4980000000000002</v>
          </cell>
          <cell r="AL402">
            <v>5.992</v>
          </cell>
          <cell r="AM402">
            <v>5.5419999999999998</v>
          </cell>
          <cell r="AN402">
            <v>7.2889999999999997</v>
          </cell>
          <cell r="AO402">
            <v>8.1989999999999998</v>
          </cell>
          <cell r="AP402">
            <v>6.8470000000000004</v>
          </cell>
          <cell r="AQ402">
            <v>4.9290000000000003</v>
          </cell>
          <cell r="AR402">
            <v>12.066000000000001</v>
          </cell>
          <cell r="AS402">
            <v>10.725</v>
          </cell>
          <cell r="AT402">
            <v>9.6460000000000008</v>
          </cell>
          <cell r="AU402">
            <v>12.098000000000001</v>
          </cell>
          <cell r="AV402">
            <v>15.856</v>
          </cell>
          <cell r="AW402">
            <v>12.874000000000001</v>
          </cell>
          <cell r="AX402">
            <v>12.874000000000001</v>
          </cell>
          <cell r="AY402">
            <v>12.874000000000001</v>
          </cell>
          <cell r="AZ402">
            <v>12.874000000000001</v>
          </cell>
          <cell r="BA402">
            <v>12.874000000000001</v>
          </cell>
          <cell r="BB402">
            <v>12.874000000000001</v>
          </cell>
          <cell r="BC402">
            <v>12.874000000000001</v>
          </cell>
          <cell r="BD402">
            <v>12.874000000000001</v>
          </cell>
          <cell r="BE402">
            <v>12.874000000000001</v>
          </cell>
          <cell r="BF402">
            <v>12.874000000000001</v>
          </cell>
          <cell r="BG402">
            <v>12.874000000000001</v>
          </cell>
          <cell r="BH402">
            <v>12.874000000000001</v>
          </cell>
          <cell r="BI402">
            <v>12.874000000000001</v>
          </cell>
          <cell r="BJ402">
            <v>12.874000000000001</v>
          </cell>
          <cell r="BK402">
            <v>12.874000000000001</v>
          </cell>
          <cell r="BL402">
            <v>12.874000000000001</v>
          </cell>
          <cell r="BM402">
            <v>12.874000000000001</v>
          </cell>
          <cell r="BN402">
            <v>12.874000000000001</v>
          </cell>
          <cell r="BO402">
            <v>12.874000000000001</v>
          </cell>
          <cell r="BP402">
            <v>12.874000000000001</v>
          </cell>
          <cell r="BQ402">
            <v>12.874000000000001</v>
          </cell>
          <cell r="BY402">
            <v>1.7509999999999999</v>
          </cell>
          <cell r="BZ402">
            <v>2.4980000000000002</v>
          </cell>
          <cell r="CA402">
            <v>8.1989999999999998</v>
          </cell>
          <cell r="CB402">
            <v>10.725</v>
          </cell>
          <cell r="CC402">
            <v>12.874000000000001</v>
          </cell>
          <cell r="CD402">
            <v>12.874000000000001</v>
          </cell>
          <cell r="CE402">
            <v>12.874000000000001</v>
          </cell>
          <cell r="CF402">
            <v>12.874000000000001</v>
          </cell>
          <cell r="CG402">
            <v>12.874000000000001</v>
          </cell>
          <cell r="CH402">
            <v>12.874000000000001</v>
          </cell>
        </row>
        <row r="403">
          <cell r="A403" t="str">
            <v>Accrued Compensation and Related Expenses</v>
          </cell>
          <cell r="AD403">
            <v>3.0649999999999999</v>
          </cell>
          <cell r="AE403">
            <v>3.3109999999999999</v>
          </cell>
          <cell r="AF403">
            <v>4.093</v>
          </cell>
          <cell r="AG403">
            <v>4.8390000000000004</v>
          </cell>
          <cell r="AH403">
            <v>3.6549999999999998</v>
          </cell>
          <cell r="AI403">
            <v>4.2720000000000002</v>
          </cell>
          <cell r="AJ403">
            <v>5.6289999999999996</v>
          </cell>
          <cell r="AK403">
            <v>5.9589999999999996</v>
          </cell>
          <cell r="AL403">
            <v>4.1909999999999998</v>
          </cell>
          <cell r="AM403">
            <v>4.8559999999999999</v>
          </cell>
          <cell r="AN403">
            <v>6.1790000000000003</v>
          </cell>
          <cell r="AO403">
            <v>10.143000000000001</v>
          </cell>
          <cell r="AP403">
            <v>8.2680000000000007</v>
          </cell>
          <cell r="AQ403">
            <v>10.592000000000001</v>
          </cell>
          <cell r="AR403">
            <v>13.505000000000001</v>
          </cell>
          <cell r="AS403">
            <v>14.167</v>
          </cell>
          <cell r="AT403">
            <v>9.9350000000000005</v>
          </cell>
          <cell r="AU403">
            <v>12.224</v>
          </cell>
          <cell r="AV403">
            <v>13.282</v>
          </cell>
          <cell r="AW403">
            <v>18.503</v>
          </cell>
          <cell r="AX403">
            <v>14.294303035300876</v>
          </cell>
          <cell r="AY403">
            <v>19.129669827202207</v>
          </cell>
          <cell r="AZ403">
            <v>25.203177276498426</v>
          </cell>
          <cell r="BA403">
            <v>24.601395604395606</v>
          </cell>
          <cell r="BB403">
            <v>15.922274447641213</v>
          </cell>
          <cell r="BC403">
            <v>18.256623205928463</v>
          </cell>
          <cell r="BD403">
            <v>19.394772137139267</v>
          </cell>
          <cell r="BE403">
            <v>27.156846153846153</v>
          </cell>
          <cell r="BF403">
            <v>20.274572351823693</v>
          </cell>
          <cell r="BG403">
            <v>26.315691520933008</v>
          </cell>
          <cell r="BH403">
            <v>33.23196441408615</v>
          </cell>
          <cell r="BI403">
            <v>32.814802197802194</v>
          </cell>
          <cell r="BJ403">
            <v>21.427923892380896</v>
          </cell>
          <cell r="BK403">
            <v>24.748008895008141</v>
          </cell>
          <cell r="BL403">
            <v>26.725908446560325</v>
          </cell>
          <cell r="BM403">
            <v>35.139450549450572</v>
          </cell>
          <cell r="BN403">
            <v>25.554770407931564</v>
          </cell>
          <cell r="BO403">
            <v>32.714624732888922</v>
          </cell>
          <cell r="BP403">
            <v>40.353299653751677</v>
          </cell>
          <cell r="BQ403">
            <v>40.446522984920293</v>
          </cell>
          <cell r="BY403">
            <v>4.8390000000000004</v>
          </cell>
          <cell r="BZ403">
            <v>5.9589999999999996</v>
          </cell>
          <cell r="CA403">
            <v>10.143000000000001</v>
          </cell>
          <cell r="CB403">
            <v>14.167</v>
          </cell>
          <cell r="CC403">
            <v>18.503</v>
          </cell>
          <cell r="CD403">
            <v>24.601395604395606</v>
          </cell>
          <cell r="CE403">
            <v>27.156846153846153</v>
          </cell>
          <cell r="CF403">
            <v>32.814802197802194</v>
          </cell>
          <cell r="CG403">
            <v>35.139450549450572</v>
          </cell>
          <cell r="CH403">
            <v>40.446522984920293</v>
          </cell>
        </row>
        <row r="408">
          <cell r="A408" t="str">
            <v>Long-Term Obligations and Other, Less Current Portion</v>
          </cell>
          <cell r="AD408">
            <v>0.35</v>
          </cell>
          <cell r="AE408">
            <v>0.53900000000000003</v>
          </cell>
          <cell r="AF408">
            <v>0.498</v>
          </cell>
          <cell r="AG408">
            <v>0.48599999999999999</v>
          </cell>
          <cell r="AH408">
            <v>0.53600000000000003</v>
          </cell>
          <cell r="AI408">
            <v>0.55800000000000005</v>
          </cell>
          <cell r="AJ408">
            <v>0.84799999999999998</v>
          </cell>
          <cell r="AK408">
            <v>0.86599999999999999</v>
          </cell>
          <cell r="AL408">
            <v>0.91600000000000004</v>
          </cell>
          <cell r="AM408">
            <v>0.80500000000000005</v>
          </cell>
          <cell r="AN408">
            <v>0.99199999999999999</v>
          </cell>
          <cell r="AO408">
            <v>1.7030000000000001</v>
          </cell>
          <cell r="AP408">
            <v>1.7589999999999999</v>
          </cell>
          <cell r="AQ408">
            <v>1.554</v>
          </cell>
          <cell r="AR408">
            <v>2.4430000000000001</v>
          </cell>
          <cell r="AS408">
            <v>2.3069999999999999</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cell r="BM408">
            <v>0</v>
          </cell>
          <cell r="BN408">
            <v>0</v>
          </cell>
          <cell r="BO408">
            <v>0</v>
          </cell>
          <cell r="BP408">
            <v>0</v>
          </cell>
          <cell r="BQ408">
            <v>0</v>
          </cell>
          <cell r="BY408">
            <v>0.48599999999999999</v>
          </cell>
          <cell r="BZ408">
            <v>0.86599999999999999</v>
          </cell>
          <cell r="CA408">
            <v>1.7030000000000001</v>
          </cell>
          <cell r="CB408">
            <v>2.3069999999999999</v>
          </cell>
          <cell r="CC408">
            <v>0</v>
          </cell>
          <cell r="CD408">
            <v>0</v>
          </cell>
          <cell r="CE408">
            <v>0</v>
          </cell>
          <cell r="CF408">
            <v>0</v>
          </cell>
          <cell r="CG408">
            <v>0</v>
          </cell>
          <cell r="CH408">
            <v>0</v>
          </cell>
        </row>
        <row r="410">
          <cell r="A410" t="str">
            <v>Long-Term Debt</v>
          </cell>
          <cell r="AD410">
            <v>0</v>
          </cell>
          <cell r="AE410">
            <v>0</v>
          </cell>
          <cell r="AF410">
            <v>0</v>
          </cell>
          <cell r="AG410">
            <v>0</v>
          </cell>
          <cell r="AH410">
            <v>0</v>
          </cell>
          <cell r="AI410">
            <v>0</v>
          </cell>
          <cell r="AJ410">
            <v>0</v>
          </cell>
          <cell r="AK410">
            <v>0</v>
          </cell>
          <cell r="AL410">
            <v>0</v>
          </cell>
          <cell r="AM410">
            <v>0</v>
          </cell>
          <cell r="AN410">
            <v>0</v>
          </cell>
          <cell r="AO410">
            <v>6.6669999999999998</v>
          </cell>
          <cell r="AP410">
            <v>5.8330000000000002</v>
          </cell>
          <cell r="AQ410">
            <v>5</v>
          </cell>
          <cell r="AR410">
            <v>14.167</v>
          </cell>
          <cell r="AS410">
            <v>13.333</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cell r="BM410">
            <v>0</v>
          </cell>
          <cell r="BN410">
            <v>0</v>
          </cell>
          <cell r="BO410">
            <v>0</v>
          </cell>
          <cell r="BP410">
            <v>0</v>
          </cell>
          <cell r="BQ410">
            <v>0</v>
          </cell>
          <cell r="BY410">
            <v>0</v>
          </cell>
          <cell r="BZ410">
            <v>0</v>
          </cell>
          <cell r="CA410">
            <v>6.6669999999999998</v>
          </cell>
          <cell r="CB410">
            <v>13.333</v>
          </cell>
          <cell r="CC410">
            <v>0</v>
          </cell>
          <cell r="CD410">
            <v>0</v>
          </cell>
          <cell r="CE410">
            <v>0</v>
          </cell>
          <cell r="CF410">
            <v>0</v>
          </cell>
          <cell r="CG410">
            <v>0</v>
          </cell>
          <cell r="CH410">
            <v>0</v>
          </cell>
        </row>
        <row r="412">
          <cell r="A412" t="str">
            <v>Long-Term Debt</v>
          </cell>
          <cell r="AD412">
            <v>0</v>
          </cell>
          <cell r="AE412">
            <v>0</v>
          </cell>
          <cell r="AF412">
            <v>0</v>
          </cell>
          <cell r="AG412">
            <v>0</v>
          </cell>
          <cell r="AH412">
            <v>0</v>
          </cell>
          <cell r="AI412">
            <v>0</v>
          </cell>
          <cell r="AJ412">
            <v>0</v>
          </cell>
          <cell r="AK412">
            <v>0</v>
          </cell>
          <cell r="AL412">
            <v>0</v>
          </cell>
          <cell r="AM412">
            <v>0</v>
          </cell>
          <cell r="AN412">
            <v>0</v>
          </cell>
          <cell r="AO412">
            <v>6.6669999999999998</v>
          </cell>
          <cell r="AP412">
            <v>5.8330000000000002</v>
          </cell>
          <cell r="AQ412">
            <v>5</v>
          </cell>
          <cell r="AR412">
            <v>14.167</v>
          </cell>
          <cell r="AS412">
            <v>13.333</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cell r="BM412">
            <v>0</v>
          </cell>
          <cell r="BN412">
            <v>0</v>
          </cell>
          <cell r="BO412">
            <v>0</v>
          </cell>
          <cell r="BP412">
            <v>0</v>
          </cell>
          <cell r="BQ412">
            <v>0</v>
          </cell>
          <cell r="BY412">
            <v>0</v>
          </cell>
          <cell r="BZ412">
            <v>0</v>
          </cell>
          <cell r="CA412">
            <v>6.6669999999999998</v>
          </cell>
          <cell r="CB412">
            <v>13.333</v>
          </cell>
          <cell r="CC412">
            <v>0</v>
          </cell>
          <cell r="CD412">
            <v>0</v>
          </cell>
          <cell r="CE412">
            <v>0</v>
          </cell>
          <cell r="CF412">
            <v>0</v>
          </cell>
          <cell r="CG412">
            <v>0</v>
          </cell>
          <cell r="CH412">
            <v>0</v>
          </cell>
        </row>
        <row r="415">
          <cell r="A415" t="str">
            <v>Redeemable Preferred, Preferred and Common Stock</v>
          </cell>
          <cell r="AD415">
            <v>20.641999999999999</v>
          </cell>
          <cell r="AE415">
            <v>20.882000000000001</v>
          </cell>
          <cell r="AF415">
            <v>20.882000000000001</v>
          </cell>
          <cell r="AG415">
            <v>20.882000000000001</v>
          </cell>
          <cell r="AH415">
            <v>20.882000000000001</v>
          </cell>
          <cell r="AI415">
            <v>84.406000000000006</v>
          </cell>
          <cell r="AJ415">
            <v>88.625</v>
          </cell>
          <cell r="AK415">
            <v>153.76900000000001</v>
          </cell>
          <cell r="AL415">
            <v>157.96299999999999</v>
          </cell>
          <cell r="AM415">
            <v>157.96299999999999</v>
          </cell>
          <cell r="AN415">
            <v>157.964</v>
          </cell>
          <cell r="AO415">
            <v>157.96299999999999</v>
          </cell>
          <cell r="AP415">
            <v>187.96299999999999</v>
          </cell>
          <cell r="AQ415">
            <v>187.92599999999999</v>
          </cell>
          <cell r="AR415">
            <v>187.92599999999999</v>
          </cell>
          <cell r="AS415">
            <v>227.899</v>
          </cell>
          <cell r="AT415">
            <v>3.3000000000000002E-2</v>
          </cell>
          <cell r="AU415">
            <v>3.3000000000000002E-2</v>
          </cell>
          <cell r="AV415">
            <v>3.4000000000000002E-2</v>
          </cell>
          <cell r="AW415">
            <v>3.4000000000000002E-2</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cell r="BM415">
            <v>0</v>
          </cell>
          <cell r="BN415">
            <v>0</v>
          </cell>
          <cell r="BO415">
            <v>0</v>
          </cell>
          <cell r="BP415">
            <v>0</v>
          </cell>
          <cell r="BQ415">
            <v>0</v>
          </cell>
          <cell r="BY415">
            <v>20.882000000000001</v>
          </cell>
          <cell r="BZ415">
            <v>153.76900000000001</v>
          </cell>
          <cell r="CA415">
            <v>157.96299999999999</v>
          </cell>
          <cell r="CB415">
            <v>227.899</v>
          </cell>
          <cell r="CC415">
            <v>3.4000000000000002E-2</v>
          </cell>
          <cell r="CD415">
            <v>0</v>
          </cell>
          <cell r="CE415">
            <v>0</v>
          </cell>
          <cell r="CF415">
            <v>0</v>
          </cell>
          <cell r="CG415">
            <v>0</v>
          </cell>
          <cell r="CH415">
            <v>0</v>
          </cell>
        </row>
        <row r="417">
          <cell r="A417" t="str">
            <v>Accumulated Other Comprehensive Income</v>
          </cell>
          <cell r="AD417">
            <v>0</v>
          </cell>
          <cell r="AE417">
            <v>0</v>
          </cell>
          <cell r="AF417">
            <v>0</v>
          </cell>
          <cell r="AG417">
            <v>0</v>
          </cell>
          <cell r="AH417">
            <v>0</v>
          </cell>
          <cell r="AI417">
            <v>0</v>
          </cell>
          <cell r="AJ417">
            <v>-8.1000000000000003E-2</v>
          </cell>
          <cell r="AK417">
            <v>-8.5999999999999993E-2</v>
          </cell>
          <cell r="AL417">
            <v>-0.32400000000000001</v>
          </cell>
          <cell r="AM417">
            <v>-0.39500000000000002</v>
          </cell>
          <cell r="AN417">
            <v>-0.11799999999999999</v>
          </cell>
          <cell r="AO417">
            <v>-0.10299999999999999</v>
          </cell>
          <cell r="AP417">
            <v>-7.0000000000000001E-3</v>
          </cell>
          <cell r="AQ417">
            <v>0.16</v>
          </cell>
          <cell r="AR417">
            <v>-1.014</v>
          </cell>
          <cell r="AS417">
            <v>-1.0509999999999999</v>
          </cell>
          <cell r="AT417">
            <v>-0.79300000000000004</v>
          </cell>
          <cell r="AU417">
            <v>-1.413</v>
          </cell>
          <cell r="AV417">
            <v>-1.0549999999999999</v>
          </cell>
          <cell r="AW417">
            <v>-1.1220000000000001</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cell r="BM417">
            <v>0</v>
          </cell>
          <cell r="BN417">
            <v>0</v>
          </cell>
          <cell r="BO417">
            <v>0</v>
          </cell>
          <cell r="BP417">
            <v>0</v>
          </cell>
          <cell r="BQ417">
            <v>0</v>
          </cell>
          <cell r="BY417">
            <v>0</v>
          </cell>
          <cell r="BZ417">
            <v>-8.5999999999999993E-2</v>
          </cell>
          <cell r="CA417">
            <v>-0.10299999999999999</v>
          </cell>
          <cell r="CB417">
            <v>-1.0509999999999999</v>
          </cell>
          <cell r="CC417">
            <v>-1.1220000000000001</v>
          </cell>
          <cell r="CD417">
            <v>0</v>
          </cell>
          <cell r="CE417">
            <v>0</v>
          </cell>
          <cell r="CF417">
            <v>0</v>
          </cell>
          <cell r="CG417">
            <v>0</v>
          </cell>
          <cell r="CH417">
            <v>0</v>
          </cell>
        </row>
        <row r="418">
          <cell r="A418" t="str">
            <v>Accumulated Deficit</v>
          </cell>
          <cell r="AD418">
            <v>-9.6129999999999995</v>
          </cell>
          <cell r="AE418">
            <v>-8.7319999999999993</v>
          </cell>
          <cell r="AF418">
            <v>-7.64</v>
          </cell>
          <cell r="AG418">
            <v>-6.9740000000000002</v>
          </cell>
          <cell r="AH418">
            <v>-6.5570000000000004</v>
          </cell>
          <cell r="AI418">
            <v>-45.16</v>
          </cell>
          <cell r="AJ418">
            <v>-47.557000000000002</v>
          </cell>
          <cell r="AK418">
            <v>-98.613</v>
          </cell>
          <cell r="AL418">
            <v>-99.977000000000004</v>
          </cell>
          <cell r="AM418">
            <v>-100.741</v>
          </cell>
          <cell r="AN418">
            <v>-104.67700000000001</v>
          </cell>
          <cell r="AO418">
            <v>-110.702</v>
          </cell>
          <cell r="AP418">
            <v>-113.964</v>
          </cell>
          <cell r="AQ418">
            <v>-117.67</v>
          </cell>
          <cell r="AR418">
            <v>-139.99299999999999</v>
          </cell>
          <cell r="AS418">
            <v>-146.13800000000001</v>
          </cell>
          <cell r="AT418">
            <v>-150.821</v>
          </cell>
          <cell r="AU418">
            <v>-153.423</v>
          </cell>
          <cell r="AV418">
            <v>-154.14400000000001</v>
          </cell>
          <cell r="AW418">
            <v>-167.096</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cell r="BM418">
            <v>0</v>
          </cell>
          <cell r="BN418">
            <v>0</v>
          </cell>
          <cell r="BO418">
            <v>0</v>
          </cell>
          <cell r="BP418">
            <v>0</v>
          </cell>
          <cell r="BQ418">
            <v>0</v>
          </cell>
          <cell r="BY418">
            <v>-6.9740000000000002</v>
          </cell>
          <cell r="BZ418">
            <v>-98.613</v>
          </cell>
          <cell r="CA418">
            <v>-110.702</v>
          </cell>
          <cell r="CB418">
            <v>-146.13800000000001</v>
          </cell>
          <cell r="CC418">
            <v>-167.096</v>
          </cell>
          <cell r="CD418">
            <v>0</v>
          </cell>
          <cell r="CE418">
            <v>0</v>
          </cell>
          <cell r="CF418">
            <v>0</v>
          </cell>
          <cell r="CG418">
            <v>0</v>
          </cell>
          <cell r="CH418">
            <v>0</v>
          </cell>
        </row>
        <row r="430">
          <cell r="A430" t="str">
            <v>Payable Turnover</v>
          </cell>
          <cell r="AD430">
            <v>3.7434270172257484</v>
          </cell>
          <cell r="AE430">
            <v>1.3343647723891698</v>
          </cell>
          <cell r="AF430">
            <v>2.0738362760834672</v>
          </cell>
          <cell r="AG430">
            <v>4.6298405466970394</v>
          </cell>
          <cell r="AH430">
            <v>2.5717163577759869</v>
          </cell>
          <cell r="AI430">
            <v>2.750378214826021</v>
          </cell>
          <cell r="AJ430">
            <v>2.489492402198513</v>
          </cell>
          <cell r="AK430">
            <v>2.0991138059701493</v>
          </cell>
          <cell r="AL430">
            <v>2.2192961455590137</v>
          </cell>
          <cell r="AM430">
            <v>2.1344842284739984</v>
          </cell>
          <cell r="AN430">
            <v>3.5262822554953805</v>
          </cell>
          <cell r="AO430">
            <v>4.41777466759972</v>
          </cell>
          <cell r="AP430">
            <v>4.014816885658373</v>
          </cell>
          <cell r="AQ430">
            <v>2.2845916362615775</v>
          </cell>
          <cell r="AR430">
            <v>2.1389717284981513</v>
          </cell>
          <cell r="AS430">
            <v>2.4948301329394384</v>
          </cell>
          <cell r="AT430">
            <v>3.538716981132076</v>
          </cell>
          <cell r="AU430">
            <v>4.1057067603160666</v>
          </cell>
          <cell r="AV430">
            <v>3.1987642960431182</v>
          </cell>
          <cell r="AW430">
            <v>3.3117971334068357</v>
          </cell>
          <cell r="AX430">
            <v>3.3117971334068357</v>
          </cell>
          <cell r="AY430">
            <v>3.3117971334068357</v>
          </cell>
          <cell r="AZ430">
            <v>3.3117971334068357</v>
          </cell>
          <cell r="BA430">
            <v>3.3117971334068357</v>
          </cell>
          <cell r="BB430">
            <v>3.3117971334068357</v>
          </cell>
          <cell r="BC430">
            <v>3.3117971334068357</v>
          </cell>
          <cell r="BD430">
            <v>3.3117971334068357</v>
          </cell>
          <cell r="BE430">
            <v>3.3117971334068357</v>
          </cell>
          <cell r="BF430">
            <v>3.5442820334010303</v>
          </cell>
          <cell r="BG430">
            <v>3.2534731658478289</v>
          </cell>
          <cell r="BH430">
            <v>2.9903325728387355</v>
          </cell>
          <cell r="BI430">
            <v>3.1075553832899865</v>
          </cell>
          <cell r="BJ430">
            <v>3.5442820334010303</v>
          </cell>
          <cell r="BK430">
            <v>3.2534731658478289</v>
          </cell>
          <cell r="BL430">
            <v>2.9903325728387355</v>
          </cell>
          <cell r="BM430">
            <v>3.1075553832899865</v>
          </cell>
          <cell r="BN430">
            <v>3.5442820334010303</v>
          </cell>
          <cell r="BO430">
            <v>3.2534731658478289</v>
          </cell>
          <cell r="BP430">
            <v>2.9903325728387355</v>
          </cell>
          <cell r="BQ430">
            <v>3.1075553832899865</v>
          </cell>
        </row>
        <row r="431">
          <cell r="A431" t="str">
            <v>Difference ($)</v>
          </cell>
          <cell r="AD431" t="e">
            <v>#DIV/0!</v>
          </cell>
          <cell r="AE431" t="e">
            <v>#DIV/0!</v>
          </cell>
          <cell r="AF431" t="e">
            <v>#DIV/0!</v>
          </cell>
          <cell r="AG431" t="e">
            <v>#DIV/0!</v>
          </cell>
          <cell r="AH431">
            <v>-0.1601439845369903</v>
          </cell>
          <cell r="AI431">
            <v>-0.62462602872669137</v>
          </cell>
          <cell r="AJ431">
            <v>-0.87413557334431147</v>
          </cell>
          <cell r="AK431">
            <v>-0.3114682816710399</v>
          </cell>
          <cell r="AL431">
            <v>0.7299060943118505</v>
          </cell>
          <cell r="AM431">
            <v>0.63117820105943423</v>
          </cell>
          <cell r="AN431">
            <v>-0.14613925730314037</v>
          </cell>
          <cell r="AO431">
            <v>-0.93397833787400941</v>
          </cell>
          <cell r="AP431">
            <v>-0.57025494942269717</v>
          </cell>
          <cell r="AQ431">
            <v>6.9545645442659065E-3</v>
          </cell>
          <cell r="AR431">
            <v>0.64060063558142133</v>
          </cell>
          <cell r="AS431">
            <v>0.73186795947086125</v>
          </cell>
          <cell r="AT431">
            <v>0.36473612227025853</v>
          </cell>
          <cell r="AU431">
            <v>-6.3084172646071579E-2</v>
          </cell>
          <cell r="AV431">
            <v>-0.99121869277618657</v>
          </cell>
          <cell r="AW431">
            <v>-1.5155174060143821</v>
          </cell>
          <cell r="AX431">
            <v>-1.2050526823720844</v>
          </cell>
          <cell r="AY431">
            <v>-0.62023177526499751</v>
          </cell>
          <cell r="AZ431">
            <v>-0.26987059954032588</v>
          </cell>
          <cell r="BA431">
            <v>6.3147028344488376E-2</v>
          </cell>
          <cell r="BB431">
            <v>0.1201931196978876</v>
          </cell>
          <cell r="BC431" t="e">
            <v>#DIV/0!</v>
          </cell>
          <cell r="BD431" t="e">
            <v>#DIV/0!</v>
          </cell>
          <cell r="BE431" t="e">
            <v>#DIV/0!</v>
          </cell>
          <cell r="BF431" t="e">
            <v>#DIV/0!</v>
          </cell>
          <cell r="BG431" t="e">
            <v>#DIV/0!</v>
          </cell>
          <cell r="BH431" t="e">
            <v>#DIV/0!</v>
          </cell>
          <cell r="BI431" t="e">
            <v>#DIV/0!</v>
          </cell>
          <cell r="BJ431" t="e">
            <v>#DIV/0!</v>
          </cell>
          <cell r="BK431">
            <v>6.3237388853065966</v>
          </cell>
          <cell r="BL431">
            <v>4.0730750516503633</v>
          </cell>
          <cell r="BM431" t="e">
            <v>#DIV/0!</v>
          </cell>
          <cell r="BN431" t="e">
            <v>#DIV/0!</v>
          </cell>
          <cell r="BO431" t="e">
            <v>#DIV/0!</v>
          </cell>
          <cell r="BP431" t="e">
            <v>#DIV/0!</v>
          </cell>
          <cell r="BQ431" t="e">
            <v>#DIV/0!</v>
          </cell>
          <cell r="BY431">
            <v>44.966999999999999</v>
          </cell>
          <cell r="BZ431">
            <v>64.41</v>
          </cell>
          <cell r="CA431">
            <v>104.22999999999999</v>
          </cell>
          <cell r="CB431">
            <v>154.18799999999999</v>
          </cell>
          <cell r="CC431">
            <v>198.19800000000001</v>
          </cell>
          <cell r="CD431">
            <v>261.5</v>
          </cell>
          <cell r="CE431">
            <v>314</v>
          </cell>
          <cell r="CF431">
            <v>363.82799999999997</v>
          </cell>
          <cell r="CG431">
            <v>412.25580000000008</v>
          </cell>
          <cell r="CH431">
            <v>458.55490610851655</v>
          </cell>
        </row>
        <row r="445">
          <cell r="A445" t="str">
            <v>Q/A Change in LT Deferred Revenue</v>
          </cell>
          <cell r="AD445" t="str">
            <v>NA</v>
          </cell>
          <cell r="AE445" t="str">
            <v>NA</v>
          </cell>
          <cell r="AF445" t="str">
            <v>NA</v>
          </cell>
          <cell r="AG445" t="str">
            <v>NA</v>
          </cell>
          <cell r="AH445" t="str">
            <v>NA</v>
          </cell>
          <cell r="AI445" t="str">
            <v>NA</v>
          </cell>
          <cell r="AJ445" t="str">
            <v>NA</v>
          </cell>
          <cell r="AK445" t="str">
            <v>NA</v>
          </cell>
          <cell r="AL445" t="str">
            <v>NA</v>
          </cell>
          <cell r="AM445" t="str">
            <v>NA</v>
          </cell>
          <cell r="AN445" t="str">
            <v>NA</v>
          </cell>
          <cell r="AO445" t="str">
            <v>NA</v>
          </cell>
          <cell r="AP445" t="str">
            <v>NA</v>
          </cell>
          <cell r="AQ445" t="str">
            <v>NA</v>
          </cell>
          <cell r="AR445" t="str">
            <v>NA</v>
          </cell>
          <cell r="AS445" t="str">
            <v>NA</v>
          </cell>
          <cell r="AT445" t="str">
            <v>NA</v>
          </cell>
          <cell r="AU445" t="str">
            <v>NA</v>
          </cell>
          <cell r="AV445" t="str">
            <v>NA</v>
          </cell>
          <cell r="AW445" t="str">
            <v>NA</v>
          </cell>
          <cell r="AX445" t="str">
            <v>NA</v>
          </cell>
          <cell r="AY445" t="str">
            <v>NA</v>
          </cell>
          <cell r="AZ445" t="str">
            <v>NA</v>
          </cell>
          <cell r="BA445" t="str">
            <v>NA</v>
          </cell>
          <cell r="BB445" t="str">
            <v>NA</v>
          </cell>
          <cell r="BC445" t="str">
            <v>NA</v>
          </cell>
          <cell r="BD445" t="str">
            <v>NA</v>
          </cell>
          <cell r="BE445" t="str">
            <v>NA</v>
          </cell>
          <cell r="BF445" t="str">
            <v>NA</v>
          </cell>
          <cell r="BG445" t="str">
            <v>NA</v>
          </cell>
          <cell r="BH445" t="str">
            <v>NA</v>
          </cell>
          <cell r="BI445" t="str">
            <v>NA</v>
          </cell>
          <cell r="BJ445" t="str">
            <v>NA</v>
          </cell>
          <cell r="BK445" t="str">
            <v>NA</v>
          </cell>
          <cell r="BL445" t="str">
            <v>NA</v>
          </cell>
          <cell r="BM445" t="str">
            <v>NA</v>
          </cell>
          <cell r="BN445" t="str">
            <v>NA</v>
          </cell>
          <cell r="BO445" t="str">
            <v>NA</v>
          </cell>
          <cell r="BP445" t="str">
            <v>NA</v>
          </cell>
          <cell r="BQ445" t="str">
            <v>NA</v>
          </cell>
        </row>
        <row r="446">
          <cell r="A446" t="str">
            <v>Difference ($)</v>
          </cell>
          <cell r="AD446" t="e">
            <v>#DIV/0!</v>
          </cell>
          <cell r="AE446">
            <v>0</v>
          </cell>
          <cell r="AF446">
            <v>0</v>
          </cell>
          <cell r="AG446">
            <v>0</v>
          </cell>
          <cell r="AH446">
            <v>-0.54518247719417445</v>
          </cell>
          <cell r="AI446">
            <v>-0.13383331049185898</v>
          </cell>
          <cell r="AJ446">
            <v>8.9503392389836733E-2</v>
          </cell>
          <cell r="AK446">
            <v>0.38981536386364013</v>
          </cell>
          <cell r="AL446">
            <v>0.31745326866215251</v>
          </cell>
          <cell r="AM446">
            <v>-0.32950779488795234</v>
          </cell>
          <cell r="AN446">
            <v>-0.77818197167847813</v>
          </cell>
          <cell r="AO446">
            <v>-6.5913148070684713E-2</v>
          </cell>
          <cell r="AP446">
            <v>0.74702865565087961</v>
          </cell>
          <cell r="AQ446">
            <v>5.1204782329641318E-2</v>
          </cell>
          <cell r="AR446">
            <v>0.24823623392395433</v>
          </cell>
          <cell r="AS446">
            <v>6.5201472644353942E-2</v>
          </cell>
          <cell r="AT446">
            <v>-0.24528172945852589</v>
          </cell>
          <cell r="AU446">
            <v>-0.38117491624306865</v>
          </cell>
          <cell r="AV446">
            <v>-0.27849146556266646</v>
          </cell>
          <cell r="AW446">
            <v>-0.27322631781595419</v>
          </cell>
          <cell r="AX446">
            <v>-4.2109644366078669E-2</v>
          </cell>
          <cell r="AY446">
            <v>7.0171562772088691E-2</v>
          </cell>
          <cell r="AZ446">
            <v>3.2046135216205585E-2</v>
          </cell>
          <cell r="BA446">
            <v>0</v>
          </cell>
          <cell r="BB446">
            <v>0</v>
          </cell>
          <cell r="BC446" t="e">
            <v>#DIV/0!</v>
          </cell>
          <cell r="BD446" t="e">
            <v>#DIV/0!</v>
          </cell>
          <cell r="BE446" t="e">
            <v>#DIV/0!</v>
          </cell>
          <cell r="BF446" t="e">
            <v>#DIV/0!</v>
          </cell>
          <cell r="BG446" t="e">
            <v>#DIV/0!</v>
          </cell>
          <cell r="BH446">
            <v>3.9555690388910421</v>
          </cell>
          <cell r="BI446">
            <v>2.7745927929756249</v>
          </cell>
          <cell r="BJ446">
            <v>0.22831579239894495</v>
          </cell>
          <cell r="BK446">
            <v>-0.85886378091697679</v>
          </cell>
          <cell r="BL446">
            <v>1.8287094852531993</v>
          </cell>
          <cell r="BM446" t="e">
            <v>#DIV/0!</v>
          </cell>
          <cell r="BN446" t="e">
            <v>#DIV/0!</v>
          </cell>
          <cell r="BO446" t="e">
            <v>#DIV/0!</v>
          </cell>
          <cell r="BP446" t="e">
            <v>#DIV/0!</v>
          </cell>
          <cell r="BQ446" t="e">
            <v>#DIV/0!</v>
          </cell>
        </row>
        <row r="462">
          <cell r="A462" t="str">
            <v>Accounts Receivables Turnover</v>
          </cell>
          <cell r="AD462">
            <v>1.2047129260055265</v>
          </cell>
          <cell r="AE462">
            <v>2.4697905680277232</v>
          </cell>
          <cell r="AF462">
            <v>3.7554238635542387</v>
          </cell>
          <cell r="AG462">
            <v>5.2815799080090535</v>
          </cell>
          <cell r="AH462">
            <v>5.5573047363717603</v>
          </cell>
          <cell r="AI462">
            <v>5.5466984253010443</v>
          </cell>
          <cell r="AJ462">
            <v>5.6586989601826021</v>
          </cell>
          <cell r="AK462">
            <v>5.5710366565491496</v>
          </cell>
          <cell r="AL462">
            <v>6.0586542977923905</v>
          </cell>
          <cell r="AM462">
            <v>5.9855726842822401</v>
          </cell>
          <cell r="AN462">
            <v>5.9983262362468306</v>
          </cell>
          <cell r="AO462">
            <v>5.576293712102335</v>
          </cell>
          <cell r="AP462">
            <v>6.5449847824658978</v>
          </cell>
          <cell r="AQ462">
            <v>6.8788499327748474</v>
          </cell>
          <cell r="AR462">
            <v>6.307806490790095</v>
          </cell>
          <cell r="AS462">
            <v>5.8474263410784992</v>
          </cell>
          <cell r="AT462">
            <v>6.591745976561934</v>
          </cell>
          <cell r="AU462">
            <v>7.0856832661923939</v>
          </cell>
          <cell r="AV462">
            <v>6.0831050124486996</v>
          </cell>
          <cell r="AW462">
            <v>5.9178576104581486</v>
          </cell>
          <cell r="AX462">
            <v>6.6124848157802409</v>
          </cell>
          <cell r="AY462">
            <v>7.1626670802549217</v>
          </cell>
          <cell r="AZ462">
            <v>6.2664714067755556</v>
          </cell>
          <cell r="BA462">
            <v>5.8146502091919405</v>
          </cell>
          <cell r="BB462">
            <v>6.5790209790209806</v>
          </cell>
          <cell r="BC462">
            <v>7.0246379537333112</v>
          </cell>
          <cell r="BD462">
            <v>6.1748251748251723</v>
          </cell>
          <cell r="BE462">
            <v>5.7085020242914988</v>
          </cell>
          <cell r="BF462">
            <v>6.8014606957524526</v>
          </cell>
          <cell r="BG462">
            <v>7.1132713440405784</v>
          </cell>
          <cell r="BH462">
            <v>6.0922293474160645</v>
          </cell>
          <cell r="BI462">
            <v>5.5355171144644846</v>
          </cell>
          <cell r="BJ462">
            <v>6.8420208500400976</v>
          </cell>
          <cell r="BK462">
            <v>7.1176436295799714</v>
          </cell>
          <cell r="BL462">
            <v>6.0644584346830674</v>
          </cell>
          <cell r="BM462">
            <v>5.4824949198814918</v>
          </cell>
          <cell r="BN462">
            <v>6.8835242637297824</v>
          </cell>
          <cell r="BO462">
            <v>7.0874614449948616</v>
          </cell>
          <cell r="BP462">
            <v>6.0631091382804145</v>
          </cell>
          <cell r="BQ462">
            <v>5.4517151555095271</v>
          </cell>
        </row>
        <row r="483">
          <cell r="A483" t="str">
            <v>Net Cash &amp; Investments Per Diluted Share</v>
          </cell>
          <cell r="AD483" t="e">
            <v>#REF!</v>
          </cell>
          <cell r="AE483" t="e">
            <v>#REF!</v>
          </cell>
          <cell r="AF483" t="e">
            <v>#REF!</v>
          </cell>
          <cell r="AG483" t="e">
            <v>#REF!</v>
          </cell>
          <cell r="AH483" t="e">
            <v>#REF!</v>
          </cell>
          <cell r="AI483" t="e">
            <v>#REF!</v>
          </cell>
          <cell r="AJ483" t="e">
            <v>#REF!</v>
          </cell>
          <cell r="AK483" t="e">
            <v>#REF!</v>
          </cell>
          <cell r="AL483" t="e">
            <v>#REF!</v>
          </cell>
          <cell r="AM483" t="e">
            <v>#REF!</v>
          </cell>
          <cell r="AN483" t="e">
            <v>#REF!</v>
          </cell>
          <cell r="AO483" t="e">
            <v>#REF!</v>
          </cell>
          <cell r="AP483" t="e">
            <v>#REF!</v>
          </cell>
          <cell r="AQ483" t="e">
            <v>#REF!</v>
          </cell>
          <cell r="AR483" t="e">
            <v>#REF!</v>
          </cell>
          <cell r="AS483" t="e">
            <v>#REF!</v>
          </cell>
          <cell r="AT483">
            <v>9.9350000000000005</v>
          </cell>
          <cell r="AU483">
            <v>12.224</v>
          </cell>
          <cell r="AV483">
            <v>13.282</v>
          </cell>
          <cell r="AW483">
            <v>17.200340511064425</v>
          </cell>
          <cell r="AX483">
            <v>14.483520744598584</v>
          </cell>
          <cell r="AY483">
            <v>19.359823146875236</v>
          </cell>
          <cell r="AZ483">
            <v>25.333873555640206</v>
          </cell>
          <cell r="BA483">
            <v>24.586031236538268</v>
          </cell>
          <cell r="BB483">
            <v>16.072477376091705</v>
          </cell>
          <cell r="BC483">
            <v>18.372835168005828</v>
          </cell>
          <cell r="BD483">
            <v>19.680772986184945</v>
          </cell>
          <cell r="BE483">
            <v>24.683177673864122</v>
          </cell>
          <cell r="BF483">
            <v>19.967104132656694</v>
          </cell>
          <cell r="BG483">
            <v>26.002985250403341</v>
          </cell>
          <cell r="BH483">
            <v>32.701222996219471</v>
          </cell>
          <cell r="BI483">
            <v>32.395841663987902</v>
          </cell>
          <cell r="BJ483">
            <v>21.545919400411009</v>
          </cell>
          <cell r="BK483">
            <v>24.825614406132388</v>
          </cell>
          <cell r="BL483">
            <v>26.967079294332059</v>
          </cell>
          <cell r="BM483">
            <v>32.270269216297002</v>
          </cell>
          <cell r="BN483">
            <v>25.21327034895382</v>
          </cell>
          <cell r="BO483">
            <v>32.360084434472064</v>
          </cell>
          <cell r="BP483">
            <v>39.774980407924367</v>
          </cell>
          <cell r="BQ483">
            <v>39.645591774711612</v>
          </cell>
          <cell r="BY483">
            <v>4.8390000000000004</v>
          </cell>
          <cell r="BZ483">
            <v>5.9589999999999996</v>
          </cell>
          <cell r="CA483">
            <v>10.143000000000001</v>
          </cell>
          <cell r="CB483">
            <v>14.167</v>
          </cell>
          <cell r="CC483">
            <v>17.200340511064425</v>
          </cell>
          <cell r="CD483">
            <v>24.586031236538268</v>
          </cell>
          <cell r="CE483">
            <v>24.683177673864122</v>
          </cell>
          <cell r="CF483">
            <v>32.395841663987902</v>
          </cell>
          <cell r="CG483">
            <v>32.270269216297002</v>
          </cell>
          <cell r="CH483">
            <v>39.645591774711612</v>
          </cell>
        </row>
        <row r="484">
          <cell r="A484" t="str">
            <v>Shareholders' Equity Per Diluted Share</v>
          </cell>
          <cell r="AD484" t="e">
            <v>#REF!</v>
          </cell>
          <cell r="AE484" t="e">
            <v>#REF!</v>
          </cell>
          <cell r="AF484" t="e">
            <v>#REF!</v>
          </cell>
          <cell r="AG484" t="e">
            <v>#REF!</v>
          </cell>
          <cell r="AH484" t="e">
            <v>#REF!</v>
          </cell>
          <cell r="AI484" t="e">
            <v>#REF!</v>
          </cell>
          <cell r="AJ484" t="e">
            <v>#REF!</v>
          </cell>
          <cell r="AK484" t="e">
            <v>#REF!</v>
          </cell>
          <cell r="AL484" t="e">
            <v>#REF!</v>
          </cell>
          <cell r="AM484" t="e">
            <v>#REF!</v>
          </cell>
          <cell r="AN484" t="e">
            <v>#REF!</v>
          </cell>
          <cell r="AO484" t="e">
            <v>#REF!</v>
          </cell>
          <cell r="AP484" t="e">
            <v>#REF!</v>
          </cell>
          <cell r="AQ484" t="e">
            <v>#REF!</v>
          </cell>
          <cell r="AR484" t="e">
            <v>#REF!</v>
          </cell>
          <cell r="AS484" t="e">
            <v>#REF!</v>
          </cell>
          <cell r="AT484">
            <v>1.476</v>
          </cell>
          <cell r="AU484">
            <v>1.4550000000000001</v>
          </cell>
          <cell r="AV484">
            <v>1.446</v>
          </cell>
          <cell r="AW484">
            <v>1.446</v>
          </cell>
          <cell r="AX484">
            <v>1.446</v>
          </cell>
          <cell r="AY484">
            <v>1.446</v>
          </cell>
          <cell r="AZ484">
            <v>1.446</v>
          </cell>
          <cell r="BA484">
            <v>1.446</v>
          </cell>
          <cell r="BB484">
            <v>1.446</v>
          </cell>
          <cell r="BC484">
            <v>1.446</v>
          </cell>
          <cell r="BD484">
            <v>1.446</v>
          </cell>
          <cell r="BE484">
            <v>1.446</v>
          </cell>
          <cell r="BF484">
            <v>1.446</v>
          </cell>
          <cell r="BG484">
            <v>1.446</v>
          </cell>
          <cell r="BH484">
            <v>1.446</v>
          </cell>
          <cell r="BI484">
            <v>1.446</v>
          </cell>
          <cell r="BJ484">
            <v>1.446</v>
          </cell>
          <cell r="BK484">
            <v>1.446</v>
          </cell>
          <cell r="BL484">
            <v>1.446</v>
          </cell>
          <cell r="BM484">
            <v>1.446</v>
          </cell>
          <cell r="BN484">
            <v>1.446</v>
          </cell>
          <cell r="BO484">
            <v>1.446</v>
          </cell>
          <cell r="BP484">
            <v>1.446</v>
          </cell>
          <cell r="BQ484">
            <v>1.446</v>
          </cell>
          <cell r="BY484">
            <v>0.188</v>
          </cell>
          <cell r="BZ484">
            <v>0.4</v>
          </cell>
          <cell r="CA484">
            <v>3.86</v>
          </cell>
          <cell r="CB484">
            <v>4.7869999999999999</v>
          </cell>
          <cell r="CC484">
            <v>1.446</v>
          </cell>
          <cell r="CD484">
            <v>1.446</v>
          </cell>
          <cell r="CE484">
            <v>1.446</v>
          </cell>
          <cell r="CF484">
            <v>1.446</v>
          </cell>
          <cell r="CG484">
            <v>1.446</v>
          </cell>
          <cell r="CH484">
            <v>1.446</v>
          </cell>
        </row>
        <row r="485">
          <cell r="A485" t="str">
            <v>Tangible Book Value Per Diluted Share</v>
          </cell>
          <cell r="AD485" t="e">
            <v>#REF!</v>
          </cell>
          <cell r="AE485" t="e">
            <v>#REF!</v>
          </cell>
          <cell r="AF485" t="e">
            <v>#REF!</v>
          </cell>
          <cell r="AG485" t="e">
            <v>#REF!</v>
          </cell>
          <cell r="AH485" t="e">
            <v>#REF!</v>
          </cell>
          <cell r="AI485" t="e">
            <v>#REF!</v>
          </cell>
          <cell r="AJ485" t="e">
            <v>#REF!</v>
          </cell>
          <cell r="AK485" t="e">
            <v>#REF!</v>
          </cell>
          <cell r="AL485" t="e">
            <v>#REF!</v>
          </cell>
          <cell r="AM485" t="e">
            <v>#REF!</v>
          </cell>
          <cell r="AN485" t="e">
            <v>#REF!</v>
          </cell>
          <cell r="AO485" t="e">
            <v>#REF!</v>
          </cell>
          <cell r="AP485" t="e">
            <v>#REF!</v>
          </cell>
          <cell r="AQ485" t="e">
            <v>#REF!</v>
          </cell>
          <cell r="AR485" t="e">
            <v>#REF!</v>
          </cell>
          <cell r="AS485" t="e">
            <v>#REF!</v>
          </cell>
          <cell r="AT485">
            <v>43.847999999999999</v>
          </cell>
          <cell r="AU485">
            <v>44.286000000000001</v>
          </cell>
          <cell r="AV485">
            <v>48.829000000000001</v>
          </cell>
          <cell r="AW485">
            <v>54.688480000000006</v>
          </cell>
          <cell r="AX485">
            <v>55.782249600000007</v>
          </cell>
          <cell r="AY485">
            <v>54.108782112000007</v>
          </cell>
          <cell r="AZ485">
            <v>59.519660323200014</v>
          </cell>
          <cell r="BA485">
            <v>66.662019561984025</v>
          </cell>
          <cell r="BB485">
            <v>67.995259953223709</v>
          </cell>
          <cell r="BC485">
            <v>65.955402154626995</v>
          </cell>
          <cell r="BD485">
            <v>72.5509423700897</v>
          </cell>
          <cell r="BE485">
            <v>81.257055454500474</v>
          </cell>
          <cell r="BF485">
            <v>82.882196563590483</v>
          </cell>
          <cell r="BG485">
            <v>80.395730666682766</v>
          </cell>
          <cell r="BH485">
            <v>88.435303733351049</v>
          </cell>
          <cell r="BI485">
            <v>99.047540181353185</v>
          </cell>
          <cell r="BJ485">
            <v>101.02849098498025</v>
          </cell>
          <cell r="BK485">
            <v>97.997636255430848</v>
          </cell>
          <cell r="BL485">
            <v>107.79739988097394</v>
          </cell>
          <cell r="BM485">
            <v>120.73308786669082</v>
          </cell>
          <cell r="BN485">
            <v>123.14774962402464</v>
          </cell>
          <cell r="BO485">
            <v>119.45331713530391</v>
          </cell>
          <cell r="BP485">
            <v>131.39864884883431</v>
          </cell>
          <cell r="BQ485">
            <v>147.16648671069444</v>
          </cell>
          <cell r="BY485">
            <v>17.135999999999999</v>
          </cell>
          <cell r="BZ485">
            <v>23.835000000000001</v>
          </cell>
          <cell r="CA485">
            <v>31.6</v>
          </cell>
          <cell r="CB485">
            <v>39.273000000000003</v>
          </cell>
          <cell r="CC485">
            <v>54.688480000000006</v>
          </cell>
          <cell r="CD485">
            <v>66.662019561984025</v>
          </cell>
          <cell r="CE485">
            <v>81.257055454500474</v>
          </cell>
          <cell r="CF485">
            <v>99.047540181353185</v>
          </cell>
          <cell r="CG485">
            <v>120.73308786669082</v>
          </cell>
          <cell r="CH485">
            <v>147.16648671069444</v>
          </cell>
        </row>
        <row r="486">
          <cell r="A486" t="str">
            <v>Total Current Liabilities</v>
          </cell>
          <cell r="AD486">
            <v>21.877000000000002</v>
          </cell>
          <cell r="AE486">
            <v>25.157</v>
          </cell>
          <cell r="AF486">
            <v>25.288000000000004</v>
          </cell>
          <cell r="AG486">
            <v>25.231000000000002</v>
          </cell>
          <cell r="AH486">
            <v>26.836000000000002</v>
          </cell>
          <cell r="AI486">
            <v>27.878999999999998</v>
          </cell>
          <cell r="AJ486">
            <v>32.926000000000002</v>
          </cell>
          <cell r="AK486">
            <v>36.980000000000004</v>
          </cell>
          <cell r="AL486">
            <v>39.503</v>
          </cell>
          <cell r="AM486">
            <v>40.134</v>
          </cell>
          <cell r="AN486">
            <v>44.265999999999998</v>
          </cell>
          <cell r="AO486">
            <v>56.660000000000004</v>
          </cell>
          <cell r="AP486">
            <v>54.951000000000001</v>
          </cell>
          <cell r="AQ486">
            <v>57.872</v>
          </cell>
          <cell r="AR486">
            <v>74.25200000000001</v>
          </cell>
          <cell r="AS486">
            <v>77.075999999999993</v>
          </cell>
          <cell r="AT486">
            <v>71.53</v>
          </cell>
          <cell r="AU486">
            <v>75.75800000000001</v>
          </cell>
          <cell r="AV486">
            <v>87.02000000000001</v>
          </cell>
          <cell r="AW486">
            <v>98.155219680916076</v>
          </cell>
          <cell r="AX486">
            <v>96.896372654219277</v>
          </cell>
          <cell r="AY486">
            <v>100.70569176690961</v>
          </cell>
          <cell r="AZ486">
            <v>112.7221142429548</v>
          </cell>
          <cell r="BA486">
            <v>119.74812501871709</v>
          </cell>
          <cell r="BB486">
            <v>113.14128299980405</v>
          </cell>
          <cell r="BC486">
            <v>113.99357401765604</v>
          </cell>
          <cell r="BD486">
            <v>122.56136056693127</v>
          </cell>
          <cell r="BE486">
            <v>137.065318088336</v>
          </cell>
          <cell r="BF486">
            <v>132.8813763104524</v>
          </cell>
          <cell r="BG486">
            <v>138.27937496254123</v>
          </cell>
          <cell r="BH486">
            <v>155.17060331270497</v>
          </cell>
          <cell r="BI486">
            <v>165.97168180615878</v>
          </cell>
          <cell r="BJ486">
            <v>154.7788965446239</v>
          </cell>
          <cell r="BK486">
            <v>157.19165758382351</v>
          </cell>
          <cell r="BL486">
            <v>171.65363958637059</v>
          </cell>
          <cell r="BM486">
            <v>190.47099120221347</v>
          </cell>
          <cell r="BN486">
            <v>182.73722346551875</v>
          </cell>
          <cell r="BO486">
            <v>188.91072620189698</v>
          </cell>
          <cell r="BP486">
            <v>210.91687971924677</v>
          </cell>
          <cell r="BQ486">
            <v>227.21799913757013</v>
          </cell>
          <cell r="BY486">
            <v>25.231000000000002</v>
          </cell>
          <cell r="BZ486">
            <v>36.980000000000004</v>
          </cell>
          <cell r="CA486">
            <v>56.660000000000004</v>
          </cell>
          <cell r="CB486">
            <v>77.075999999999993</v>
          </cell>
          <cell r="CC486">
            <v>98.155219680916076</v>
          </cell>
          <cell r="CD486">
            <v>119.74812501871709</v>
          </cell>
          <cell r="CE486">
            <v>137.065318088336</v>
          </cell>
          <cell r="CF486">
            <v>165.97168180615878</v>
          </cell>
          <cell r="CG486">
            <v>190.47099120221347</v>
          </cell>
          <cell r="CH486">
            <v>227.21799913757013</v>
          </cell>
        </row>
        <row r="490">
          <cell r="A490" t="str">
            <v>Total Shares Outstanding</v>
          </cell>
          <cell r="AD490">
            <v>0</v>
          </cell>
          <cell r="AE490">
            <v>0</v>
          </cell>
          <cell r="AF490">
            <v>0</v>
          </cell>
          <cell r="AG490">
            <v>0</v>
          </cell>
          <cell r="AH490">
            <v>0</v>
          </cell>
          <cell r="AI490">
            <v>0</v>
          </cell>
          <cell r="AJ490">
            <v>0</v>
          </cell>
          <cell r="AK490">
            <v>0</v>
          </cell>
          <cell r="AL490">
            <v>0</v>
          </cell>
          <cell r="AM490">
            <v>0</v>
          </cell>
          <cell r="AN490">
            <v>0</v>
          </cell>
          <cell r="AO490">
            <v>6.6669999999999998</v>
          </cell>
          <cell r="AP490">
            <v>5.8330000000000002</v>
          </cell>
          <cell r="AQ490">
            <v>5</v>
          </cell>
          <cell r="AR490">
            <v>14.167</v>
          </cell>
          <cell r="AS490">
            <v>13.333</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0</v>
          </cell>
          <cell r="BQ490">
            <v>0</v>
          </cell>
          <cell r="BY490">
            <v>0</v>
          </cell>
          <cell r="BZ490">
            <v>0</v>
          </cell>
          <cell r="CA490">
            <v>6.6669999999999998</v>
          </cell>
          <cell r="CB490">
            <v>13.333</v>
          </cell>
          <cell r="CC490">
            <v>0</v>
          </cell>
          <cell r="CD490">
            <v>0</v>
          </cell>
          <cell r="CE490">
            <v>0</v>
          </cell>
          <cell r="CF490">
            <v>0</v>
          </cell>
          <cell r="CG490">
            <v>0</v>
          </cell>
          <cell r="CH490">
            <v>0</v>
          </cell>
        </row>
        <row r="491">
          <cell r="A491" t="str">
            <v>Period Ending Stock Price</v>
          </cell>
          <cell r="AD491">
            <v>0.47199999999999998</v>
          </cell>
          <cell r="AE491">
            <v>0.65500000000000003</v>
          </cell>
          <cell r="AF491">
            <v>0.63600000000000001</v>
          </cell>
          <cell r="AG491">
            <v>1.4279999999999999</v>
          </cell>
          <cell r="AH491">
            <v>1.4410000000000001</v>
          </cell>
          <cell r="AI491">
            <v>1.4260000000000002</v>
          </cell>
          <cell r="AJ491">
            <v>1.67</v>
          </cell>
          <cell r="AK491">
            <v>2.2759999999999998</v>
          </cell>
          <cell r="AL491">
            <v>2.266</v>
          </cell>
          <cell r="AM491">
            <v>2.0950000000000002</v>
          </cell>
          <cell r="AN491">
            <v>2.4089999999999998</v>
          </cell>
          <cell r="AO491">
            <v>9.8940000000000001</v>
          </cell>
          <cell r="AP491">
            <v>9.109</v>
          </cell>
          <cell r="AQ491">
            <v>8.7629999999999999</v>
          </cell>
          <cell r="AR491">
            <v>18.788</v>
          </cell>
          <cell r="AS491">
            <v>18.466999999999999</v>
          </cell>
          <cell r="AT491">
            <v>4.7489999999999997</v>
          </cell>
          <cell r="AU491">
            <v>5.4790000000000001</v>
          </cell>
          <cell r="AV491">
            <v>5.5540000000000003</v>
          </cell>
          <cell r="AW491">
            <v>5.5540000000000003</v>
          </cell>
          <cell r="AX491">
            <v>5.5540000000000003</v>
          </cell>
          <cell r="AY491">
            <v>5.5540000000000003</v>
          </cell>
          <cell r="AZ491">
            <v>5.5540000000000003</v>
          </cell>
          <cell r="BA491">
            <v>5.5540000000000003</v>
          </cell>
          <cell r="BB491">
            <v>5.5540000000000003</v>
          </cell>
          <cell r="BC491">
            <v>5.5540000000000003</v>
          </cell>
          <cell r="BD491">
            <v>5.5540000000000003</v>
          </cell>
          <cell r="BE491">
            <v>5.5540000000000003</v>
          </cell>
          <cell r="BF491">
            <v>5.5540000000000003</v>
          </cell>
          <cell r="BG491">
            <v>5.5540000000000003</v>
          </cell>
          <cell r="BH491">
            <v>5.5540000000000003</v>
          </cell>
          <cell r="BI491">
            <v>5.5540000000000003</v>
          </cell>
          <cell r="BJ491">
            <v>5.5540000000000003</v>
          </cell>
          <cell r="BK491">
            <v>5.5540000000000003</v>
          </cell>
          <cell r="BL491">
            <v>5.5540000000000003</v>
          </cell>
          <cell r="BM491">
            <v>5.5540000000000003</v>
          </cell>
          <cell r="BN491">
            <v>5.5540000000000003</v>
          </cell>
          <cell r="BO491">
            <v>5.5540000000000003</v>
          </cell>
          <cell r="BP491">
            <v>5.5540000000000003</v>
          </cell>
          <cell r="BQ491">
            <v>5.5540000000000003</v>
          </cell>
          <cell r="BY491">
            <v>1.4279999999999999</v>
          </cell>
          <cell r="BZ491">
            <v>2.2759999999999998</v>
          </cell>
          <cell r="CA491">
            <v>9.8940000000000001</v>
          </cell>
          <cell r="CB491">
            <v>18.466999999999999</v>
          </cell>
          <cell r="CC491">
            <v>5.5540000000000003</v>
          </cell>
          <cell r="CD491">
            <v>5.5540000000000003</v>
          </cell>
          <cell r="CE491">
            <v>5.5540000000000003</v>
          </cell>
          <cell r="CF491">
            <v>5.5540000000000003</v>
          </cell>
          <cell r="CG491">
            <v>5.5540000000000003</v>
          </cell>
          <cell r="CH491">
            <v>5.5540000000000003</v>
          </cell>
        </row>
        <row r="499">
          <cell r="A499" t="str">
            <v>Net Income (Loss)</v>
          </cell>
          <cell r="AD499">
            <v>0.80900000000000005</v>
          </cell>
          <cell r="AE499">
            <v>0.77100000000000002</v>
          </cell>
          <cell r="AF499">
            <v>1.0860000000000001</v>
          </cell>
          <cell r="AG499">
            <v>0.89300000000000002</v>
          </cell>
          <cell r="AH499">
            <v>0.41599999999999998</v>
          </cell>
          <cell r="AI499">
            <v>-0.78200000000000003</v>
          </cell>
          <cell r="AJ499">
            <v>-0.45500000000000002</v>
          </cell>
          <cell r="AK499">
            <v>-1.1739999999999999</v>
          </cell>
          <cell r="AL499">
            <v>-1.365</v>
          </cell>
          <cell r="AM499">
            <v>-0.76400000000000001</v>
          </cell>
          <cell r="AN499">
            <v>-3.8929999999999998</v>
          </cell>
          <cell r="AO499">
            <v>-6.0679999999999996</v>
          </cell>
          <cell r="AP499">
            <v>-3.262</v>
          </cell>
          <cell r="AQ499">
            <v>-3.706</v>
          </cell>
          <cell r="AR499">
            <v>-22.321999999999999</v>
          </cell>
          <cell r="AS499">
            <v>-6.1449999999999996</v>
          </cell>
          <cell r="AT499" t="str">
            <v>R</v>
          </cell>
          <cell r="AU499" t="str">
            <v>R</v>
          </cell>
          <cell r="AV499" t="str">
            <v>R</v>
          </cell>
          <cell r="AW499" t="str">
            <v>R</v>
          </cell>
          <cell r="AX499">
            <v>-10.425499999999996</v>
          </cell>
          <cell r="AY499">
            <v>-11.255500000000033</v>
          </cell>
          <cell r="AZ499">
            <v>-11.0855</v>
          </cell>
          <cell r="BA499">
            <v>-8.0455000000000005</v>
          </cell>
          <cell r="BB499">
            <v>-7.7590000000000092</v>
          </cell>
          <cell r="BC499">
            <v>-7.5940000000000181</v>
          </cell>
          <cell r="BD499">
            <v>-7.0539999999998981</v>
          </cell>
          <cell r="BE499">
            <v>-5.7640000000000216</v>
          </cell>
          <cell r="BF499">
            <v>-4.9642000000000159</v>
          </cell>
          <cell r="BG499">
            <v>-4.5084000000000071</v>
          </cell>
          <cell r="BH499">
            <v>-3.5809999999998734</v>
          </cell>
          <cell r="BI499">
            <v>-1.7104000000000212</v>
          </cell>
          <cell r="BJ499">
            <v>-1.614067500000032</v>
          </cell>
          <cell r="BK499">
            <v>-0.84616625000002532</v>
          </cell>
          <cell r="BL499">
            <v>0.49278500000015324</v>
          </cell>
          <cell r="BM499">
            <v>2.9738362499999749</v>
          </cell>
          <cell r="BN499">
            <v>2.8405712499999805</v>
          </cell>
          <cell r="BO499">
            <v>4.5174001414834741</v>
          </cell>
          <cell r="BP499">
            <v>5.806008000000201</v>
          </cell>
          <cell r="BQ499">
            <v>8.9791401249999527</v>
          </cell>
          <cell r="BY499">
            <v>3.5590000000000002</v>
          </cell>
          <cell r="BZ499">
            <v>-1.9950000000000001</v>
          </cell>
          <cell r="CA499">
            <v>-12.09</v>
          </cell>
          <cell r="CB499">
            <v>-35.435000000000002</v>
          </cell>
          <cell r="CC499">
            <v>-20.957999999999998</v>
          </cell>
          <cell r="CD499">
            <v>-40.812000000000026</v>
          </cell>
          <cell r="CE499">
            <v>-28.170999999999946</v>
          </cell>
          <cell r="CF499">
            <v>-14.763999999999918</v>
          </cell>
          <cell r="CG499">
            <v>1.0063875000000708</v>
          </cell>
          <cell r="CH499">
            <v>22.143119516483608</v>
          </cell>
        </row>
        <row r="500">
          <cell r="A500" t="str">
            <v>Depreciation and Amortization</v>
          </cell>
          <cell r="AD500">
            <v>0.88100000000000001</v>
          </cell>
          <cell r="AE500">
            <v>1.077</v>
          </cell>
          <cell r="AF500">
            <v>1.2689999999999999</v>
          </cell>
          <cell r="AG500">
            <v>1.5249999999999999</v>
          </cell>
          <cell r="AH500">
            <v>1.569</v>
          </cell>
          <cell r="AI500">
            <v>1.754</v>
          </cell>
          <cell r="AJ500">
            <v>1.8149999999999999</v>
          </cell>
          <cell r="AK500">
            <v>2.085</v>
          </cell>
          <cell r="AL500">
            <v>2.3029999999999999</v>
          </cell>
          <cell r="AM500">
            <v>2.5760000000000001</v>
          </cell>
          <cell r="AN500">
            <v>2.8220000000000001</v>
          </cell>
          <cell r="AO500">
            <v>3.2690000000000001</v>
          </cell>
          <cell r="AP500">
            <v>3.6669999999999998</v>
          </cell>
          <cell r="AQ500">
            <v>3.9340000000000002</v>
          </cell>
          <cell r="AR500">
            <v>4.6319999999999997</v>
          </cell>
          <cell r="AS500">
            <v>4.3899999999999997</v>
          </cell>
          <cell r="AT500">
            <v>5.2149999999999999</v>
          </cell>
          <cell r="AU500">
            <v>5.2840000000000007</v>
          </cell>
          <cell r="AV500">
            <v>5.6159999999999979</v>
          </cell>
          <cell r="AW500">
            <v>7.2410000000000014</v>
          </cell>
          <cell r="AX500">
            <v>4.8557747183458222</v>
          </cell>
          <cell r="AY500">
            <v>5.4710450115919995</v>
          </cell>
          <cell r="AZ500">
            <v>5.7087720877884065</v>
          </cell>
          <cell r="BA500">
            <v>6.2915452476427864</v>
          </cell>
          <cell r="BB500">
            <v>6.8266262390476102</v>
          </cell>
          <cell r="BC500">
            <v>7.361707230452434</v>
          </cell>
          <cell r="BD500">
            <v>7.8967882218572578</v>
          </cell>
          <cell r="BE500">
            <v>8.4318692132620825</v>
          </cell>
          <cell r="BF500">
            <v>8.9984255571024825</v>
          </cell>
          <cell r="BG500">
            <v>9.5649819009428843</v>
          </cell>
          <cell r="BH500">
            <v>10.131538244783286</v>
          </cell>
          <cell r="BI500">
            <v>10.698094588623688</v>
          </cell>
          <cell r="BJ500">
            <v>11.296126284899668</v>
          </cell>
          <cell r="BK500">
            <v>11.894157981175645</v>
          </cell>
          <cell r="BL500">
            <v>12.492189677451625</v>
          </cell>
          <cell r="BM500">
            <v>13.090221373727605</v>
          </cell>
          <cell r="BN500">
            <v>13.105959049945394</v>
          </cell>
          <cell r="BO500">
            <v>13.121696726163183</v>
          </cell>
          <cell r="BP500">
            <v>13.137434402380972</v>
          </cell>
          <cell r="BQ500">
            <v>13.153172078598761</v>
          </cell>
          <cell r="BY500">
            <v>4.7519999999999998</v>
          </cell>
          <cell r="BZ500">
            <v>7.2229999999999999</v>
          </cell>
          <cell r="CA500">
            <v>10.969999999999999</v>
          </cell>
          <cell r="CB500">
            <v>16.623000000000001</v>
          </cell>
          <cell r="CC500">
            <v>23.356000000000002</v>
          </cell>
          <cell r="CD500">
            <v>22.327137065369016</v>
          </cell>
          <cell r="CE500">
            <v>30.516990904619384</v>
          </cell>
          <cell r="CF500">
            <v>39.393040291452344</v>
          </cell>
          <cell r="CG500">
            <v>48.772695317254545</v>
          </cell>
          <cell r="CH500">
            <v>52.51826225708831</v>
          </cell>
        </row>
        <row r="501">
          <cell r="A501" t="str">
            <v>Leasehold improvements Received From Lessor</v>
          </cell>
          <cell r="AD501">
            <v>0</v>
          </cell>
          <cell r="AE501">
            <v>0</v>
          </cell>
          <cell r="AF501">
            <v>0</v>
          </cell>
          <cell r="AG501">
            <v>0.84199999999999997</v>
          </cell>
          <cell r="AH501">
            <v>0</v>
          </cell>
          <cell r="AI501">
            <v>0</v>
          </cell>
          <cell r="AJ501">
            <v>0.72799999999999998</v>
          </cell>
          <cell r="AK501">
            <v>0</v>
          </cell>
          <cell r="AL501">
            <v>0</v>
          </cell>
          <cell r="AM501">
            <v>0</v>
          </cell>
          <cell r="AN501">
            <v>0.14499999999999999</v>
          </cell>
          <cell r="AO501">
            <v>-4.0000000000000001E-3</v>
          </cell>
          <cell r="AP501">
            <v>0</v>
          </cell>
          <cell r="AQ501">
            <v>0.27300000000000002</v>
          </cell>
          <cell r="AR501">
            <v>0</v>
          </cell>
          <cell r="AS501">
            <v>0.36399999999999999</v>
          </cell>
          <cell r="AT501">
            <v>0</v>
          </cell>
          <cell r="AU501">
            <v>0.13400000000000001</v>
          </cell>
          <cell r="AV501">
            <v>0</v>
          </cell>
          <cell r="AW501">
            <v>0.20200000000000001</v>
          </cell>
          <cell r="AX501">
            <v>0.20200000000000001</v>
          </cell>
          <cell r="AY501">
            <v>0.20200000000000001</v>
          </cell>
          <cell r="AZ501">
            <v>0.20200000000000001</v>
          </cell>
          <cell r="BA501">
            <v>0.20200000000000001</v>
          </cell>
          <cell r="BB501">
            <v>0.20200000000000001</v>
          </cell>
          <cell r="BC501">
            <v>0.20200000000000001</v>
          </cell>
          <cell r="BD501">
            <v>0.20200000000000001</v>
          </cell>
          <cell r="BE501">
            <v>0.20200000000000001</v>
          </cell>
          <cell r="BF501">
            <v>0.20200000000000001</v>
          </cell>
          <cell r="BG501">
            <v>0.20200000000000001</v>
          </cell>
          <cell r="BH501">
            <v>0.20200000000000001</v>
          </cell>
          <cell r="BI501">
            <v>0.20200000000000001</v>
          </cell>
          <cell r="BJ501">
            <v>0.20200000000000001</v>
          </cell>
          <cell r="BK501">
            <v>0.20200000000000001</v>
          </cell>
          <cell r="BL501">
            <v>0.20200000000000001</v>
          </cell>
          <cell r="BM501">
            <v>0.20200000000000001</v>
          </cell>
          <cell r="BN501">
            <v>0.20200000000000001</v>
          </cell>
          <cell r="BO501">
            <v>0.20200000000000001</v>
          </cell>
          <cell r="BP501">
            <v>0.20200000000000001</v>
          </cell>
          <cell r="BQ501">
            <v>0.20200000000000001</v>
          </cell>
          <cell r="BY501">
            <v>0.84199999999999997</v>
          </cell>
          <cell r="BZ501">
            <v>0.72799999999999998</v>
          </cell>
          <cell r="CA501">
            <v>0.14099999999999999</v>
          </cell>
          <cell r="CB501">
            <v>0.63700000000000001</v>
          </cell>
          <cell r="CC501">
            <v>0.33600000000000002</v>
          </cell>
          <cell r="CD501">
            <v>0.80800000000000005</v>
          </cell>
          <cell r="CE501">
            <v>0.80800000000000005</v>
          </cell>
          <cell r="CF501">
            <v>0.80800000000000005</v>
          </cell>
          <cell r="CG501">
            <v>0.80800000000000005</v>
          </cell>
          <cell r="CH501">
            <v>0.80800000000000005</v>
          </cell>
          <cell r="CI501">
            <v>0</v>
          </cell>
        </row>
        <row r="510">
          <cell r="A510" t="str">
            <v>Change in Income Tax Receivable</v>
          </cell>
          <cell r="AD510">
            <v>0.623</v>
          </cell>
          <cell r="AE510">
            <v>-0.70799999999999996</v>
          </cell>
          <cell r="AF510">
            <v>0.70099999999999996</v>
          </cell>
          <cell r="AG510">
            <v>1.4359999999999999</v>
          </cell>
          <cell r="AH510">
            <v>-0.58599999999999997</v>
          </cell>
          <cell r="AI510">
            <v>-0.93</v>
          </cell>
          <cell r="AJ510">
            <v>0.56200000000000006</v>
          </cell>
          <cell r="AK510">
            <v>0.57299999999999995</v>
          </cell>
          <cell r="AL510">
            <v>-1.4E-2</v>
          </cell>
          <cell r="AM510">
            <v>-2E-3</v>
          </cell>
          <cell r="AN510">
            <v>0</v>
          </cell>
          <cell r="AO510">
            <v>2.625</v>
          </cell>
          <cell r="AP510">
            <v>1E-3</v>
          </cell>
          <cell r="AQ510">
            <v>0.318</v>
          </cell>
          <cell r="AR510">
            <v>-8.0000000000000002E-3</v>
          </cell>
          <cell r="AS510">
            <v>-2.3E-2</v>
          </cell>
          <cell r="AT510">
            <v>0</v>
          </cell>
          <cell r="AU510">
            <v>0</v>
          </cell>
          <cell r="AV510">
            <v>0</v>
          </cell>
          <cell r="AW510">
            <v>0</v>
          </cell>
          <cell r="AX510">
            <v>0</v>
          </cell>
          <cell r="AY510">
            <v>0</v>
          </cell>
          <cell r="AZ510">
            <v>0</v>
          </cell>
          <cell r="BA510">
            <v>0</v>
          </cell>
          <cell r="BB510">
            <v>0</v>
          </cell>
          <cell r="BC510">
            <v>0</v>
          </cell>
          <cell r="BD510">
            <v>0</v>
          </cell>
          <cell r="BE510">
            <v>0</v>
          </cell>
          <cell r="BF510">
            <v>4</v>
          </cell>
          <cell r="BG510">
            <v>-3</v>
          </cell>
          <cell r="BH510">
            <v>-22</v>
          </cell>
          <cell r="BI510">
            <v>-18</v>
          </cell>
          <cell r="BJ510">
            <v>4</v>
          </cell>
          <cell r="BK510">
            <v>-3</v>
          </cell>
          <cell r="BL510">
            <v>-22</v>
          </cell>
          <cell r="BM510">
            <v>-18</v>
          </cell>
          <cell r="BN510">
            <v>4</v>
          </cell>
          <cell r="BO510">
            <v>-3</v>
          </cell>
          <cell r="BP510">
            <v>-22</v>
          </cell>
          <cell r="BQ510">
            <v>-18</v>
          </cell>
          <cell r="BY510">
            <v>2.052</v>
          </cell>
          <cell r="BZ510">
            <v>-0.38100000000000001</v>
          </cell>
          <cell r="CA510">
            <v>2.609</v>
          </cell>
          <cell r="CB510">
            <v>0.28799999999999998</v>
          </cell>
          <cell r="CC510">
            <v>0</v>
          </cell>
          <cell r="CD510">
            <v>0</v>
          </cell>
          <cell r="CE510">
            <v>0</v>
          </cell>
          <cell r="CF510">
            <v>0</v>
          </cell>
          <cell r="CG510">
            <v>0</v>
          </cell>
          <cell r="CH510">
            <v>0</v>
          </cell>
        </row>
        <row r="512">
          <cell r="A512" t="str">
            <v>Change in Accounts Payable and Accruals</v>
          </cell>
          <cell r="AD512">
            <v>-9.1999999999999998E-2</v>
          </cell>
          <cell r="AE512">
            <v>0.255</v>
          </cell>
          <cell r="AF512">
            <v>1.268</v>
          </cell>
          <cell r="AG512">
            <v>-1.5029999999999999</v>
          </cell>
          <cell r="AH512">
            <v>0.85799999999999998</v>
          </cell>
          <cell r="AI512">
            <v>-0.33600000000000002</v>
          </cell>
          <cell r="AJ512">
            <v>0.66500000000000004</v>
          </cell>
          <cell r="AK512">
            <v>0.11600000000000001</v>
          </cell>
          <cell r="AL512">
            <v>0.68</v>
          </cell>
          <cell r="AM512">
            <v>0.47699999999999998</v>
          </cell>
          <cell r="AN512">
            <v>1.9550000000000001</v>
          </cell>
          <cell r="AO512">
            <v>-2.2200000000000002</v>
          </cell>
          <cell r="AP512">
            <v>0.59</v>
          </cell>
          <cell r="AQ512">
            <v>1.246</v>
          </cell>
          <cell r="AR512">
            <v>7.476</v>
          </cell>
          <cell r="AS512">
            <v>0.54900000000000004</v>
          </cell>
          <cell r="AT512">
            <v>-0.88900000000000001</v>
          </cell>
          <cell r="AU512">
            <v>-0.86399999999999988</v>
          </cell>
          <cell r="AV512">
            <v>6.1719999999999997</v>
          </cell>
          <cell r="AW512">
            <v>-2.2379999999999995</v>
          </cell>
          <cell r="AX512">
            <v>0.27537918636393677</v>
          </cell>
          <cell r="AY512">
            <v>0.36988980624542123</v>
          </cell>
          <cell r="AZ512">
            <v>0.36988980624543011</v>
          </cell>
          <cell r="BA512">
            <v>0.55860909514614399</v>
          </cell>
          <cell r="BB512">
            <v>0.70958452626672752</v>
          </cell>
          <cell r="BC512">
            <v>0.59635295292629564</v>
          </cell>
          <cell r="BD512">
            <v>0.63409681070644908</v>
          </cell>
          <cell r="BE512">
            <v>0.70958452626671864</v>
          </cell>
          <cell r="BF512">
            <v>-0.78529633185724812</v>
          </cell>
          <cell r="BG512">
            <v>1.8270209389049601</v>
          </cell>
          <cell r="BH512">
            <v>2.0803872282866713</v>
          </cell>
          <cell r="BI512">
            <v>0.26034262490965432</v>
          </cell>
          <cell r="BJ512">
            <v>-2.0332373903163656</v>
          </cell>
          <cell r="BK512">
            <v>2.1386906910315204</v>
          </cell>
          <cell r="BL512">
            <v>2.4352453619161913</v>
          </cell>
          <cell r="BM512">
            <v>0.30457926790679934</v>
          </cell>
          <cell r="BN512">
            <v>-2.7446875304224996</v>
          </cell>
          <cell r="BO512">
            <v>2.6882892514435355</v>
          </cell>
          <cell r="BP512">
            <v>2.5518783844185116</v>
          </cell>
          <cell r="BQ512">
            <v>0.34874434427646506</v>
          </cell>
          <cell r="BY512">
            <v>-7.1999999999999842E-2</v>
          </cell>
          <cell r="BZ512">
            <v>1.3030000000000002</v>
          </cell>
          <cell r="CA512">
            <v>0.8919999999999999</v>
          </cell>
          <cell r="CB512">
            <v>9.8609999999999989</v>
          </cell>
          <cell r="CC512">
            <v>2.181</v>
          </cell>
          <cell r="CD512">
            <v>1.5737678940009321</v>
          </cell>
          <cell r="CE512">
            <v>2.6496188161661909</v>
          </cell>
          <cell r="CF512">
            <v>3.3824544602440376</v>
          </cell>
          <cell r="CG512">
            <v>2.8452779305381455</v>
          </cell>
          <cell r="CH512">
            <v>2.8442244497160125</v>
          </cell>
        </row>
        <row r="529">
          <cell r="A529" t="str">
            <v>Net Proceeds From Revolving Line of Credit</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10.023</v>
          </cell>
          <cell r="AS529">
            <v>-0.219</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cell r="BM529">
            <v>0</v>
          </cell>
          <cell r="BN529">
            <v>0</v>
          </cell>
          <cell r="BO529">
            <v>0</v>
          </cell>
          <cell r="BP529">
            <v>0</v>
          </cell>
          <cell r="BQ529">
            <v>0</v>
          </cell>
          <cell r="BY529">
            <v>0</v>
          </cell>
          <cell r="BZ529">
            <v>0</v>
          </cell>
          <cell r="CA529">
            <v>0</v>
          </cell>
          <cell r="CB529">
            <v>9.8040000000000003</v>
          </cell>
          <cell r="CC529">
            <v>0</v>
          </cell>
          <cell r="CD529">
            <v>0</v>
          </cell>
          <cell r="CE529">
            <v>0</v>
          </cell>
          <cell r="CF529">
            <v>0</v>
          </cell>
          <cell r="CG529">
            <v>0</v>
          </cell>
          <cell r="CH529">
            <v>0</v>
          </cell>
        </row>
        <row r="530">
          <cell r="A530" t="str">
            <v>Proceeds from Stock and Option Exercises</v>
          </cell>
          <cell r="AD530">
            <v>0</v>
          </cell>
          <cell r="AE530">
            <v>0.06</v>
          </cell>
          <cell r="AF530">
            <v>0.19800000000000001</v>
          </cell>
          <cell r="AG530">
            <v>8.9999999999999993E-3</v>
          </cell>
          <cell r="AH530">
            <v>0.14399999999999999</v>
          </cell>
          <cell r="AI530">
            <v>0.504</v>
          </cell>
          <cell r="AJ530">
            <v>0.02</v>
          </cell>
          <cell r="AK530">
            <v>0.80900000000000005</v>
          </cell>
          <cell r="AL530">
            <v>5.0999999999999997E-2</v>
          </cell>
          <cell r="AM530">
            <v>0.318</v>
          </cell>
          <cell r="AN530">
            <v>0.185</v>
          </cell>
          <cell r="AO530">
            <v>0.23699999999999999</v>
          </cell>
          <cell r="AP530">
            <v>5.6000000000000001E-2</v>
          </cell>
          <cell r="AQ530">
            <v>1.4999999999999999E-2</v>
          </cell>
          <cell r="AR530">
            <v>0.11600000000000001</v>
          </cell>
          <cell r="AS530">
            <v>0.24199999999999999</v>
          </cell>
          <cell r="AT530">
            <v>0.46700000000000003</v>
          </cell>
          <cell r="AU530">
            <v>0.35299999999999992</v>
          </cell>
          <cell r="AV530">
            <v>3.9810000000000003</v>
          </cell>
          <cell r="AW530">
            <v>-5.6589999999999998</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cell r="BM530">
            <v>0</v>
          </cell>
          <cell r="BN530">
            <v>0</v>
          </cell>
          <cell r="BO530">
            <v>0</v>
          </cell>
          <cell r="BP530">
            <v>0</v>
          </cell>
          <cell r="BQ530">
            <v>0</v>
          </cell>
          <cell r="BY530">
            <v>0.26700000000000002</v>
          </cell>
          <cell r="BZ530">
            <v>1.4770000000000001</v>
          </cell>
          <cell r="CA530">
            <v>0.79100000000000004</v>
          </cell>
          <cell r="CB530">
            <v>0.42899999999999999</v>
          </cell>
          <cell r="CC530">
            <v>-0.85799999999999965</v>
          </cell>
          <cell r="CD530">
            <v>0</v>
          </cell>
          <cell r="CE530">
            <v>0</v>
          </cell>
          <cell r="CF530">
            <v>0</v>
          </cell>
          <cell r="CG530">
            <v>0</v>
          </cell>
          <cell r="CH530">
            <v>0</v>
          </cell>
        </row>
        <row r="532">
          <cell r="A532" t="str">
            <v>Proceeds From Issueance of Convertible Preferred Stock, Net of Issuance Costs</v>
          </cell>
          <cell r="AD532">
            <v>0</v>
          </cell>
          <cell r="AE532">
            <v>0</v>
          </cell>
          <cell r="AF532">
            <v>0</v>
          </cell>
          <cell r="AG532">
            <v>0</v>
          </cell>
          <cell r="AH532">
            <v>0</v>
          </cell>
          <cell r="AI532">
            <v>69.98</v>
          </cell>
          <cell r="AJ532">
            <v>5</v>
          </cell>
          <cell r="AK532">
            <v>70</v>
          </cell>
          <cell r="AL532">
            <v>0</v>
          </cell>
          <cell r="AM532">
            <v>0</v>
          </cell>
          <cell r="AN532">
            <v>0</v>
          </cell>
          <cell r="AO532">
            <v>0</v>
          </cell>
          <cell r="AP532">
            <v>30</v>
          </cell>
          <cell r="AQ532">
            <v>-3.7999999999999999E-2</v>
          </cell>
          <cell r="AR532">
            <v>0</v>
          </cell>
          <cell r="AS532">
            <v>39.972999999999999</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cell r="BM532">
            <v>0</v>
          </cell>
          <cell r="BN532">
            <v>0</v>
          </cell>
          <cell r="BO532">
            <v>0</v>
          </cell>
          <cell r="BP532">
            <v>0</v>
          </cell>
          <cell r="BQ532">
            <v>0</v>
          </cell>
          <cell r="BY532">
            <v>0</v>
          </cell>
          <cell r="BZ532">
            <v>144.98000000000002</v>
          </cell>
          <cell r="CA532">
            <v>0</v>
          </cell>
          <cell r="CB532">
            <v>69.935000000000002</v>
          </cell>
          <cell r="CC532">
            <v>0</v>
          </cell>
          <cell r="CD532">
            <v>0</v>
          </cell>
          <cell r="CE532">
            <v>0</v>
          </cell>
          <cell r="CF532">
            <v>0</v>
          </cell>
          <cell r="CG532">
            <v>0</v>
          </cell>
          <cell r="CH532">
            <v>0</v>
          </cell>
        </row>
        <row r="535">
          <cell r="A535" t="str">
            <v>Settlement of Notes Receivable</v>
          </cell>
          <cell r="AD535">
            <v>0</v>
          </cell>
          <cell r="AE535">
            <v>0.24</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cell r="BM535">
            <v>0</v>
          </cell>
          <cell r="BN535">
            <v>0</v>
          </cell>
          <cell r="BO535">
            <v>0</v>
          </cell>
          <cell r="BP535">
            <v>0</v>
          </cell>
          <cell r="BQ535">
            <v>0</v>
          </cell>
          <cell r="BY535">
            <v>0.24</v>
          </cell>
          <cell r="BZ535">
            <v>0</v>
          </cell>
          <cell r="CA535">
            <v>0</v>
          </cell>
          <cell r="CB535">
            <v>0</v>
          </cell>
          <cell r="CC535">
            <v>0</v>
          </cell>
          <cell r="CD535">
            <v>0</v>
          </cell>
          <cell r="CE535">
            <v>0</v>
          </cell>
          <cell r="CF535">
            <v>0</v>
          </cell>
          <cell r="CG535">
            <v>0</v>
          </cell>
          <cell r="CH535">
            <v>0</v>
          </cell>
        </row>
        <row r="554">
          <cell r="A554" t="str">
            <v>CapEx as a % of revenue</v>
          </cell>
          <cell r="AD554">
            <v>0</v>
          </cell>
          <cell r="AE554">
            <v>0</v>
          </cell>
          <cell r="AF554">
            <v>0</v>
          </cell>
          <cell r="AG554">
            <v>0</v>
          </cell>
          <cell r="AH554">
            <v>0</v>
          </cell>
          <cell r="AI554">
            <v>0</v>
          </cell>
          <cell r="AJ554">
            <v>3.9559277931370956E-2</v>
          </cell>
          <cell r="AK554">
            <v>0</v>
          </cell>
          <cell r="AL554">
            <v>0.18048137615315252</v>
          </cell>
          <cell r="AM554">
            <v>-1.436826487583945E-3</v>
          </cell>
          <cell r="AN554">
            <v>4.6737930633823269E-2</v>
          </cell>
          <cell r="AO554">
            <v>-2.4313303069939216E-2</v>
          </cell>
          <cell r="AP554">
            <v>0</v>
          </cell>
          <cell r="AQ554">
            <v>0</v>
          </cell>
          <cell r="AR554">
            <v>4.9162781416105798E-2</v>
          </cell>
          <cell r="AS554">
            <v>0</v>
          </cell>
          <cell r="AT554">
            <v>1.2582543672042088E-2</v>
          </cell>
          <cell r="AU554">
            <v>0</v>
          </cell>
          <cell r="AV554">
            <v>0</v>
          </cell>
          <cell r="AW554">
            <v>1.16562700402262</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cell r="BM554">
            <v>0</v>
          </cell>
          <cell r="BN554">
            <v>0</v>
          </cell>
          <cell r="BO554">
            <v>0</v>
          </cell>
          <cell r="BP554">
            <v>0</v>
          </cell>
          <cell r="BQ554">
            <v>0</v>
          </cell>
        </row>
        <row r="555">
          <cell r="A555" t="str">
            <v>Period Ending EV / Trailing 12-Month Total Revenue</v>
          </cell>
          <cell r="AD555" t="e">
            <v>#REF!</v>
          </cell>
          <cell r="AE555" t="e">
            <v>#REF!</v>
          </cell>
          <cell r="AF555" t="e">
            <v>#REF!</v>
          </cell>
          <cell r="AG555" t="e">
            <v>#REF!</v>
          </cell>
          <cell r="AH555" t="e">
            <v>#REF!</v>
          </cell>
          <cell r="AI555" t="e">
            <v>#REF!</v>
          </cell>
          <cell r="AJ555" t="e">
            <v>#REF!</v>
          </cell>
          <cell r="AK555" t="e">
            <v>#REF!</v>
          </cell>
          <cell r="AL555" t="e">
            <v>#REF!</v>
          </cell>
          <cell r="AM555" t="e">
            <v>#REF!</v>
          </cell>
          <cell r="AN555" t="e">
            <v>#REF!</v>
          </cell>
          <cell r="AO555" t="e">
            <v>#REF!</v>
          </cell>
          <cell r="AP555" t="e">
            <v>#REF!</v>
          </cell>
          <cell r="AQ555" t="e">
            <v>#REF!</v>
          </cell>
          <cell r="AR555" t="e">
            <v>#REF!</v>
          </cell>
          <cell r="AS555" t="e">
            <v>#REF!</v>
          </cell>
        </row>
        <row r="556">
          <cell r="A556" t="str">
            <v>Additions to PP&amp;E</v>
          </cell>
          <cell r="AD556">
            <v>0</v>
          </cell>
          <cell r="AE556">
            <v>0</v>
          </cell>
          <cell r="AF556">
            <v>0</v>
          </cell>
          <cell r="AG556">
            <v>0</v>
          </cell>
          <cell r="AH556">
            <v>0</v>
          </cell>
          <cell r="AI556">
            <v>-0.97299999999999998</v>
          </cell>
          <cell r="AJ556">
            <v>0</v>
          </cell>
          <cell r="AK556">
            <v>-5.2039999999999997</v>
          </cell>
          <cell r="AL556">
            <v>-5.2039999999999997</v>
          </cell>
          <cell r="AM556">
            <v>4.5999999999999999E-2</v>
          </cell>
          <cell r="AN556">
            <v>-1.609</v>
          </cell>
          <cell r="AO556">
            <v>0.94799999999999995</v>
          </cell>
          <cell r="AP556">
            <v>0</v>
          </cell>
          <cell r="AQ556">
            <v>0</v>
          </cell>
          <cell r="AR556">
            <v>-2.71</v>
          </cell>
          <cell r="AS556">
            <v>0</v>
          </cell>
          <cell r="AT556">
            <v>-0.80600000000000005</v>
          </cell>
          <cell r="AU556">
            <v>0</v>
          </cell>
          <cell r="AV556">
            <v>0</v>
          </cell>
          <cell r="AW556">
            <v>-99.97</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cell r="BM556">
            <v>0</v>
          </cell>
          <cell r="BN556">
            <v>0</v>
          </cell>
          <cell r="BO556">
            <v>0</v>
          </cell>
          <cell r="BP556">
            <v>0</v>
          </cell>
          <cell r="BQ556">
            <v>0</v>
          </cell>
        </row>
        <row r="557">
          <cell r="A557" t="str">
            <v>Period Ending EV / Trailing 12-Month P/E Ratio</v>
          </cell>
          <cell r="AD557" t="e">
            <v>#REF!</v>
          </cell>
          <cell r="AE557" t="e">
            <v>#REF!</v>
          </cell>
          <cell r="AF557" t="e">
            <v>#REF!</v>
          </cell>
          <cell r="AG557" t="e">
            <v>#REF!</v>
          </cell>
          <cell r="AH557" t="e">
            <v>#REF!</v>
          </cell>
          <cell r="AI557" t="e">
            <v>#REF!</v>
          </cell>
          <cell r="AJ557" t="e">
            <v>#REF!</v>
          </cell>
          <cell r="AK557" t="e">
            <v>#REF!</v>
          </cell>
          <cell r="AL557" t="e">
            <v>#REF!</v>
          </cell>
          <cell r="AM557" t="e">
            <v>#REF!</v>
          </cell>
          <cell r="AN557" t="e">
            <v>#REF!</v>
          </cell>
          <cell r="AO557" t="e">
            <v>#REF!</v>
          </cell>
          <cell r="AP557" t="e">
            <v>#REF!</v>
          </cell>
          <cell r="AQ557" t="e">
            <v>#REF!</v>
          </cell>
          <cell r="AR557" t="e">
            <v>#REF!</v>
          </cell>
          <cell r="AS557" t="e">
            <v>#REF!</v>
          </cell>
        </row>
        <row r="600">
          <cell r="A600" t="str">
            <v>Capital Expenditures</v>
          </cell>
          <cell r="AD600">
            <v>-3.1989999999999998</v>
          </cell>
          <cell r="AE600">
            <v>-2.024</v>
          </cell>
          <cell r="AF600">
            <v>-3.528</v>
          </cell>
          <cell r="AG600">
            <v>-4.5490000000000004</v>
          </cell>
          <cell r="AH600">
            <v>-2.6579999999999999</v>
          </cell>
          <cell r="AI600">
            <v>-4.1529999999999996</v>
          </cell>
          <cell r="AJ600">
            <v>-2.4729999999999999</v>
          </cell>
          <cell r="AK600">
            <v>-4.0309999999999997</v>
          </cell>
          <cell r="AL600">
            <v>-3.097</v>
          </cell>
          <cell r="AM600">
            <v>-4.2629999999999999</v>
          </cell>
          <cell r="AN600">
            <v>-5.774</v>
          </cell>
          <cell r="AO600">
            <v>-5.6150000000000002</v>
          </cell>
          <cell r="AP600">
            <v>-5.52</v>
          </cell>
          <cell r="AQ600">
            <v>-8.2240000000000002</v>
          </cell>
          <cell r="AR600">
            <v>-14.288</v>
          </cell>
          <cell r="AS600">
            <v>-4.8250000000000002</v>
          </cell>
          <cell r="AT600">
            <v>-4.8010000000000002</v>
          </cell>
          <cell r="AU600">
            <v>-4.3179999999999996</v>
          </cell>
          <cell r="AV600">
            <v>-10.425000000000001</v>
          </cell>
          <cell r="AW600">
            <v>-10.134</v>
          </cell>
          <cell r="AX600">
            <v>-8</v>
          </cell>
          <cell r="AY600">
            <v>-8</v>
          </cell>
          <cell r="AZ600">
            <v>-8</v>
          </cell>
          <cell r="BA600">
            <v>-8</v>
          </cell>
          <cell r="BB600">
            <v>-8.5</v>
          </cell>
          <cell r="BC600">
            <v>-8.5</v>
          </cell>
          <cell r="BD600">
            <v>-8.5</v>
          </cell>
          <cell r="BE600">
            <v>-8.5</v>
          </cell>
          <cell r="BF600">
            <v>-9</v>
          </cell>
          <cell r="BG600">
            <v>-9</v>
          </cell>
          <cell r="BH600">
            <v>-9</v>
          </cell>
          <cell r="BI600">
            <v>-9</v>
          </cell>
          <cell r="BJ600">
            <v>-9.5</v>
          </cell>
          <cell r="BK600">
            <v>-9.5</v>
          </cell>
          <cell r="BL600">
            <v>-9.5</v>
          </cell>
          <cell r="BM600">
            <v>-9.5</v>
          </cell>
          <cell r="BN600">
            <v>-10</v>
          </cell>
          <cell r="BO600">
            <v>-10</v>
          </cell>
          <cell r="BP600">
            <v>-10</v>
          </cell>
          <cell r="BQ600">
            <v>-10</v>
          </cell>
          <cell r="BY600">
            <v>-13.3</v>
          </cell>
          <cell r="BZ600">
            <v>-13.314999999999998</v>
          </cell>
          <cell r="CA600">
            <v>-18.749000000000002</v>
          </cell>
          <cell r="CB600">
            <v>-32.856999999999999</v>
          </cell>
          <cell r="CC600">
            <v>-29.678000000000001</v>
          </cell>
          <cell r="CD600">
            <v>-32</v>
          </cell>
          <cell r="CE600">
            <v>-34</v>
          </cell>
          <cell r="CF600">
            <v>-36</v>
          </cell>
          <cell r="CG600">
            <v>-38</v>
          </cell>
          <cell r="CH600">
            <v>-40</v>
          </cell>
        </row>
        <row r="602">
          <cell r="A602" t="str">
            <v>Other</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cell r="BM602">
            <v>0</v>
          </cell>
          <cell r="BN602">
            <v>0</v>
          </cell>
          <cell r="BO602">
            <v>0</v>
          </cell>
          <cell r="BP602">
            <v>0</v>
          </cell>
          <cell r="BQ602">
            <v>0</v>
          </cell>
          <cell r="BY602">
            <v>0</v>
          </cell>
          <cell r="BZ602">
            <v>0</v>
          </cell>
          <cell r="CA602">
            <v>0</v>
          </cell>
          <cell r="CB602">
            <v>0</v>
          </cell>
          <cell r="CC602">
            <v>0</v>
          </cell>
          <cell r="CD602">
            <v>0</v>
          </cell>
          <cell r="CE602">
            <v>0</v>
          </cell>
          <cell r="CF602">
            <v>0</v>
          </cell>
          <cell r="CG602">
            <v>0</v>
          </cell>
          <cell r="CH602">
            <v>0</v>
          </cell>
        </row>
        <row r="603">
          <cell r="A603" t="str">
            <v>Net Cash Used for Investing</v>
          </cell>
          <cell r="AD603">
            <v>-3.1989999999999998</v>
          </cell>
          <cell r="AE603">
            <v>-2.024</v>
          </cell>
          <cell r="AF603">
            <v>-3.528</v>
          </cell>
          <cell r="AG603">
            <v>-4.5490000000000004</v>
          </cell>
          <cell r="AH603">
            <v>-2.6579999999999999</v>
          </cell>
          <cell r="AI603">
            <v>-4.1529999999999996</v>
          </cell>
          <cell r="AJ603">
            <v>-3.9459999999999997</v>
          </cell>
          <cell r="AK603">
            <v>-3.5309999999999997</v>
          </cell>
          <cell r="AL603">
            <v>-8.3010000000000002</v>
          </cell>
          <cell r="AM603">
            <v>-6.2159999999999993</v>
          </cell>
          <cell r="AN603">
            <v>-7.3840000000000003</v>
          </cell>
          <cell r="AO603">
            <v>-2.6669999999999998</v>
          </cell>
          <cell r="AP603">
            <v>-5.52</v>
          </cell>
          <cell r="AQ603">
            <v>-8.2240000000000002</v>
          </cell>
          <cell r="AR603">
            <v>-16.998000000000001</v>
          </cell>
          <cell r="AS603">
            <v>-4.8250000000000002</v>
          </cell>
          <cell r="AT603">
            <v>-5.6070000000000002</v>
          </cell>
          <cell r="AU603">
            <v>-4.3179999999999996</v>
          </cell>
          <cell r="AV603">
            <v>-10.425000000000001</v>
          </cell>
          <cell r="AW603">
            <v>-10.134</v>
          </cell>
          <cell r="AX603">
            <v>-8</v>
          </cell>
          <cell r="AY603">
            <v>-8</v>
          </cell>
          <cell r="AZ603">
            <v>-8</v>
          </cell>
          <cell r="BA603">
            <v>-8</v>
          </cell>
          <cell r="BB603">
            <v>-8.5</v>
          </cell>
          <cell r="BC603">
            <v>-8.5</v>
          </cell>
          <cell r="BD603">
            <v>-8.5</v>
          </cell>
          <cell r="BE603">
            <v>-8.5</v>
          </cell>
          <cell r="BF603">
            <v>-9</v>
          </cell>
          <cell r="BG603">
            <v>-9</v>
          </cell>
          <cell r="BH603">
            <v>-9</v>
          </cell>
          <cell r="BI603">
            <v>-9</v>
          </cell>
          <cell r="BJ603">
            <v>-9.5</v>
          </cell>
          <cell r="BK603">
            <v>-9.5</v>
          </cell>
          <cell r="BL603">
            <v>-9.5</v>
          </cell>
          <cell r="BM603">
            <v>-9.5</v>
          </cell>
          <cell r="BN603">
            <v>-10</v>
          </cell>
          <cell r="BO603">
            <v>-10</v>
          </cell>
          <cell r="BP603">
            <v>-10</v>
          </cell>
          <cell r="BQ603">
            <v>-10</v>
          </cell>
          <cell r="BY603">
            <v>-13.3</v>
          </cell>
          <cell r="BZ603">
            <v>-14.287999999999998</v>
          </cell>
          <cell r="CA603">
            <v>-24.568000000000001</v>
          </cell>
          <cell r="CB603">
            <v>-35.567</v>
          </cell>
          <cell r="CC603">
            <v>-30.484000000000002</v>
          </cell>
          <cell r="CD603">
            <v>-32</v>
          </cell>
          <cell r="CE603">
            <v>-34</v>
          </cell>
          <cell r="CF603">
            <v>-36</v>
          </cell>
          <cell r="CG603">
            <v>-38</v>
          </cell>
          <cell r="CH603">
            <v>-40</v>
          </cell>
        </row>
        <row r="605">
          <cell r="A605" t="str">
            <v>Cash Flows From Financing</v>
          </cell>
        </row>
        <row r="606">
          <cell r="A606" t="str">
            <v>Payments on Capital Leases and Notes Payable</v>
          </cell>
          <cell r="AD606">
            <v>-0.17899999999999999</v>
          </cell>
          <cell r="AE606">
            <v>-0.44800000000000001</v>
          </cell>
          <cell r="AF606">
            <v>-3.3000000000000002E-2</v>
          </cell>
          <cell r="AG606">
            <v>-3.5999999999999997E-2</v>
          </cell>
          <cell r="AH606">
            <v>-4.7E-2</v>
          </cell>
          <cell r="AI606">
            <v>-6.3E-2</v>
          </cell>
          <cell r="AJ606">
            <v>-8.1000000000000003E-2</v>
          </cell>
          <cell r="AK606">
            <v>-9.5000000000000001E-2</v>
          </cell>
          <cell r="AL606">
            <v>-0.127</v>
          </cell>
          <cell r="AM606">
            <v>-9.5000000000000001E-2</v>
          </cell>
          <cell r="AN606">
            <v>-0.13700000000000001</v>
          </cell>
          <cell r="AO606">
            <v>-0.158</v>
          </cell>
          <cell r="AP606">
            <v>-0.16200000000000001</v>
          </cell>
          <cell r="AQ606">
            <v>-0.16300000000000001</v>
          </cell>
          <cell r="AR606">
            <v>-0.30099999999999999</v>
          </cell>
          <cell r="AS606">
            <v>-0.32600000000000001</v>
          </cell>
          <cell r="AT606">
            <v>-0.19400000000000001</v>
          </cell>
          <cell r="AU606">
            <v>-0.19400000000000001</v>
          </cell>
          <cell r="AV606">
            <v>-0.19900000000000001</v>
          </cell>
          <cell r="AW606">
            <v>-0.19900000000000001</v>
          </cell>
          <cell r="AX606">
            <v>-0.19900000000000001</v>
          </cell>
          <cell r="AY606">
            <v>-0.19900000000000001</v>
          </cell>
          <cell r="AZ606">
            <v>-0.19900000000000001</v>
          </cell>
          <cell r="BA606">
            <v>-0.19900000000000001</v>
          </cell>
          <cell r="BB606">
            <v>-0.19900000000000001</v>
          </cell>
          <cell r="BC606">
            <v>-0.19900000000000001</v>
          </cell>
          <cell r="BD606">
            <v>-0.19900000000000001</v>
          </cell>
          <cell r="BE606">
            <v>-0.19900000000000001</v>
          </cell>
          <cell r="BF606">
            <v>-0.19900000000000001</v>
          </cell>
          <cell r="BG606">
            <v>-0.19900000000000001</v>
          </cell>
          <cell r="BH606">
            <v>-0.19900000000000001</v>
          </cell>
          <cell r="BI606">
            <v>-0.19900000000000001</v>
          </cell>
          <cell r="BJ606">
            <v>-0.19900000000000001</v>
          </cell>
          <cell r="BK606">
            <v>-0.19900000000000001</v>
          </cell>
          <cell r="BL606">
            <v>-0.19900000000000001</v>
          </cell>
          <cell r="BM606">
            <v>-0.19900000000000001</v>
          </cell>
          <cell r="BN606">
            <v>-0.19900000000000001</v>
          </cell>
          <cell r="BO606">
            <v>-0.19900000000000001</v>
          </cell>
          <cell r="BP606">
            <v>-0.19900000000000001</v>
          </cell>
          <cell r="BQ606">
            <v>-0.19900000000000001</v>
          </cell>
          <cell r="BY606">
            <v>-0.69600000000000006</v>
          </cell>
          <cell r="BZ606">
            <v>-0.28600000000000003</v>
          </cell>
          <cell r="CA606">
            <v>-0.51700000000000002</v>
          </cell>
          <cell r="CB606">
            <v>-0.95199999999999996</v>
          </cell>
          <cell r="CC606">
            <v>-0.78600000000000003</v>
          </cell>
          <cell r="CD606">
            <v>-0.79600000000000004</v>
          </cell>
          <cell r="CE606">
            <v>-0.79600000000000004</v>
          </cell>
          <cell r="CF606">
            <v>-0.79600000000000004</v>
          </cell>
          <cell r="CG606">
            <v>-0.79600000000000004</v>
          </cell>
          <cell r="CH606">
            <v>-0.79600000000000004</v>
          </cell>
        </row>
        <row r="616">
          <cell r="A616" t="str">
            <v>Cash Flow From Financing</v>
          </cell>
          <cell r="AD616">
            <v>-0.114</v>
          </cell>
          <cell r="AE616">
            <v>-0.12700000000000006</v>
          </cell>
          <cell r="AF616">
            <v>1.421</v>
          </cell>
          <cell r="AG616">
            <v>-1.4999999999999996E-2</v>
          </cell>
          <cell r="AH616">
            <v>0.16099999999999998</v>
          </cell>
          <cell r="AI616">
            <v>22.347999999999999</v>
          </cell>
          <cell r="AJ616">
            <v>-4.6999999999999709E-2</v>
          </cell>
          <cell r="AK616">
            <v>14.544999999999995</v>
          </cell>
          <cell r="AL616">
            <v>-7.6000000000000012E-2</v>
          </cell>
          <cell r="AM616">
            <v>0.223</v>
          </cell>
          <cell r="AN616">
            <v>4.7999999999999987E-2</v>
          </cell>
          <cell r="AO616">
            <v>9.282</v>
          </cell>
          <cell r="AP616">
            <v>28.457999999999998</v>
          </cell>
          <cell r="AQ616">
            <v>-1.81</v>
          </cell>
          <cell r="AR616">
            <v>9.004999999999999</v>
          </cell>
          <cell r="AS616">
            <v>38.835999999999999</v>
          </cell>
          <cell r="AT616">
            <v>152.85900000000004</v>
          </cell>
          <cell r="AU616">
            <v>0.15899999999999992</v>
          </cell>
          <cell r="AV616">
            <v>3.782</v>
          </cell>
          <cell r="AW616">
            <v>-0.19900000000000001</v>
          </cell>
          <cell r="AX616">
            <v>-0.19900000000000001</v>
          </cell>
          <cell r="AY616">
            <v>-0.19900000000000001</v>
          </cell>
          <cell r="AZ616">
            <v>-0.19900000000000001</v>
          </cell>
          <cell r="BA616">
            <v>-0.19900000000000001</v>
          </cell>
          <cell r="BB616">
            <v>-0.19900000000000001</v>
          </cell>
          <cell r="BC616">
            <v>-0.19900000000000001</v>
          </cell>
          <cell r="BD616">
            <v>-0.19900000000000001</v>
          </cell>
          <cell r="BE616">
            <v>-0.19900000000000001</v>
          </cell>
          <cell r="BF616">
            <v>-0.19900000000000001</v>
          </cell>
          <cell r="BG616">
            <v>-0.19900000000000001</v>
          </cell>
          <cell r="BH616">
            <v>-0.19900000000000001</v>
          </cell>
          <cell r="BI616">
            <v>-0.19900000000000001</v>
          </cell>
          <cell r="BJ616">
            <v>-0.19900000000000001</v>
          </cell>
          <cell r="BK616">
            <v>-0.19900000000000001</v>
          </cell>
          <cell r="BL616">
            <v>-0.19900000000000001</v>
          </cell>
          <cell r="BM616">
            <v>-0.19900000000000001</v>
          </cell>
          <cell r="BN616">
            <v>-0.19900000000000001</v>
          </cell>
          <cell r="BO616">
            <v>-0.19900000000000001</v>
          </cell>
          <cell r="BP616">
            <v>-0.19900000000000001</v>
          </cell>
          <cell r="BQ616">
            <v>-0.19900000000000001</v>
          </cell>
          <cell r="BY616">
            <v>1.165</v>
          </cell>
          <cell r="BZ616">
            <v>37.007000000000033</v>
          </cell>
          <cell r="CA616">
            <v>9.4770000000000003</v>
          </cell>
          <cell r="CB616">
            <v>74.489000000000004</v>
          </cell>
          <cell r="CC616">
            <v>156.601</v>
          </cell>
          <cell r="CD616">
            <v>-0.79600000000000004</v>
          </cell>
          <cell r="CE616">
            <v>-0.79600000000000004</v>
          </cell>
          <cell r="CF616">
            <v>-0.79600000000000004</v>
          </cell>
          <cell r="CG616">
            <v>-0.79600000000000004</v>
          </cell>
          <cell r="CH616">
            <v>-0.79600000000000004</v>
          </cell>
        </row>
        <row r="618">
          <cell r="A618" t="str">
            <v>Impact of Exchange Rate</v>
          </cell>
          <cell r="AD618">
            <v>0</v>
          </cell>
          <cell r="AE618">
            <v>0</v>
          </cell>
          <cell r="AF618">
            <v>0</v>
          </cell>
          <cell r="AG618">
            <v>0</v>
          </cell>
          <cell r="AH618">
            <v>0</v>
          </cell>
          <cell r="AI618">
            <v>0</v>
          </cell>
          <cell r="AJ618">
            <v>-5.0000000000000001E-3</v>
          </cell>
          <cell r="AK618">
            <v>-8.9999999999999993E-3</v>
          </cell>
          <cell r="AL618">
            <v>-9.7000000000000003E-2</v>
          </cell>
          <cell r="AM618">
            <v>-0.151</v>
          </cell>
          <cell r="AN618">
            <v>-0.16500000000000001</v>
          </cell>
          <cell r="AO618">
            <v>0.33500000000000002</v>
          </cell>
          <cell r="AP618">
            <v>4.3999999999999997E-2</v>
          </cell>
          <cell r="AQ618">
            <v>0.157</v>
          </cell>
          <cell r="AR618">
            <v>-0.20399999999999999</v>
          </cell>
          <cell r="AS618">
            <v>4.5999999999999999E-2</v>
          </cell>
          <cell r="AT618">
            <v>-3.4000000000000002E-2</v>
          </cell>
          <cell r="AU618">
            <v>-0.16400000000000001</v>
          </cell>
          <cell r="AV618">
            <v>0.312</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Y618">
            <v>0</v>
          </cell>
          <cell r="BZ618">
            <v>-1.3999999999999999E-2</v>
          </cell>
          <cell r="CA618">
            <v>-7.8000000000000014E-2</v>
          </cell>
          <cell r="CB618">
            <v>4.3000000000000024E-2</v>
          </cell>
          <cell r="CC618">
            <v>0.11399999999999999</v>
          </cell>
          <cell r="CD618">
            <v>0</v>
          </cell>
          <cell r="CE618">
            <v>0</v>
          </cell>
          <cell r="CF618">
            <v>0</v>
          </cell>
          <cell r="CG618">
            <v>0</v>
          </cell>
          <cell r="CH618">
            <v>0</v>
          </cell>
        </row>
        <row r="619">
          <cell r="AQ619" t="str">
            <v xml:space="preserve"> </v>
          </cell>
        </row>
      </sheetData>
      <sheetData sheetId="2"/>
      <sheetData sheetId="3"/>
      <sheetData sheetId="4"/>
      <sheetData sheetId="5"/>
      <sheetData sheetId="6"/>
      <sheetData sheetId="7"/>
      <sheetData sheetId="8" refreshError="1">
        <row r="30">
          <cell r="C30" t="e">
            <v>#VALUE!</v>
          </cell>
        </row>
      </sheetData>
      <sheetData sheetId="9"/>
      <sheetData sheetId="10" refreshError="1">
        <row r="52">
          <cell r="D52" t="e">
            <v>#NAME?</v>
          </cell>
        </row>
      </sheetData>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heetName val="Madrid"/>
      <sheetName val="Doris"/>
      <sheetName val="Boston"/>
      <sheetName val="Prod"/>
      <sheetName val="Rsrce by area"/>
      <sheetName val="Exhibits"/>
      <sheetName val="IS-A"/>
      <sheetName val="BS"/>
      <sheetName val="CF"/>
      <sheetName val="IS-Q"/>
      <sheetName val="NAV"/>
      <sheetName val="Comps_Output"/>
      <sheetName val="Country_Exposure"/>
      <sheetName val="Sensitivity"/>
      <sheetName val="1pager"/>
      <sheetName val="Hope Bay"/>
      <sheetName val="val vs 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Upside_Downside"/>
      <sheetName val="Earnings Summary"/>
      <sheetName val="SOTP"/>
      <sheetName val="guidance range"/>
      <sheetName val="BMTemplate"/>
      <sheetName val="job postings"/>
      <sheetName val="SENSITIVITY"/>
      <sheetName val="MULTIPLES"/>
      <sheetName val="VRTS"/>
      <sheetName val="SYMC-VRTS Combined"/>
      <sheetName val="ATRS"/>
      <sheetName val="__FDSCACHE__"/>
      <sheetName val="LINKS"/>
    </sheetNames>
    <sheetDataSet>
      <sheetData sheetId="0" refreshError="1">
        <row r="9">
          <cell r="A9" t="str">
            <v>Total Revenue</v>
          </cell>
          <cell r="Z9">
            <v>1288.1489999999999</v>
          </cell>
          <cell r="AA9">
            <v>1273.3920000000001</v>
          </cell>
          <cell r="AB9">
            <v>1326.3410000000001</v>
          </cell>
          <cell r="AC9">
            <v>1364.7820000000002</v>
          </cell>
          <cell r="AD9">
            <v>1422.8440000000001</v>
          </cell>
          <cell r="AE9">
            <v>1437.3320000000001</v>
          </cell>
          <cell r="AF9">
            <v>1529.0260000000001</v>
          </cell>
          <cell r="AG9">
            <v>1547.9870000000001</v>
          </cell>
          <cell r="AH9">
            <v>1655.0930000000003</v>
          </cell>
          <cell r="AI9">
            <v>1522.979</v>
          </cell>
          <cell r="AJ9">
            <v>1538.6369999999999</v>
          </cell>
          <cell r="AK9">
            <v>1487.674</v>
          </cell>
          <cell r="AL9">
            <v>1444</v>
          </cell>
          <cell r="AM9">
            <v>1479</v>
          </cell>
          <cell r="AN9">
            <v>1551</v>
          </cell>
          <cell r="AO9">
            <v>1535</v>
          </cell>
          <cell r="AP9">
            <v>1433</v>
          </cell>
          <cell r="AQ9">
            <v>1480</v>
          </cell>
          <cell r="AR9">
            <v>1604</v>
          </cell>
          <cell r="AS9">
            <v>1673</v>
          </cell>
          <cell r="AT9">
            <v>1653</v>
          </cell>
          <cell r="AU9">
            <v>1681</v>
          </cell>
          <cell r="AV9">
            <v>1715</v>
          </cell>
          <cell r="AW9">
            <v>1681</v>
          </cell>
          <cell r="AX9">
            <v>1668</v>
          </cell>
          <cell r="AY9">
            <v>1699</v>
          </cell>
          <cell r="AZ9">
            <v>1791</v>
          </cell>
          <cell r="BA9">
            <v>1748</v>
          </cell>
          <cell r="BB9">
            <v>1709</v>
          </cell>
          <cell r="BC9">
            <v>1670</v>
          </cell>
          <cell r="BD9">
            <v>1750</v>
          </cell>
          <cell r="BE9">
            <v>1705</v>
          </cell>
          <cell r="BF9">
            <v>1720.0000000000005</v>
          </cell>
          <cell r="BG9">
            <v>1725.0000000000005</v>
          </cell>
          <cell r="BH9">
            <v>1790</v>
          </cell>
          <cell r="BI9">
            <v>1770</v>
          </cell>
          <cell r="BS9">
            <v>6190</v>
          </cell>
          <cell r="BT9">
            <v>6730</v>
          </cell>
          <cell r="BU9">
            <v>6906</v>
          </cell>
          <cell r="BV9">
            <v>6834</v>
          </cell>
          <cell r="BW9">
            <v>7005.0000000000009</v>
          </cell>
          <cell r="CG9">
            <v>6722</v>
          </cell>
          <cell r="CH9">
            <v>6839</v>
          </cell>
          <cell r="CI9">
            <v>6877</v>
          </cell>
          <cell r="CJ9">
            <v>6940.0000000000009</v>
          </cell>
        </row>
        <row r="11">
          <cell r="A11" t="str">
            <v>NEW (7/26/06) REV SPLIT</v>
          </cell>
        </row>
        <row r="33">
          <cell r="A33" t="str">
            <v>General and Administrative</v>
          </cell>
          <cell r="F33">
            <v>11.805</v>
          </cell>
          <cell r="G33">
            <v>11.009</v>
          </cell>
          <cell r="H33">
            <v>15.304</v>
          </cell>
          <cell r="I33">
            <v>18.817</v>
          </cell>
          <cell r="J33">
            <v>15.353999999999999</v>
          </cell>
          <cell r="K33">
            <v>17.254000000000001</v>
          </cell>
          <cell r="L33">
            <v>19.346</v>
          </cell>
          <cell r="M33">
            <v>22.488</v>
          </cell>
          <cell r="N33">
            <v>26.372</v>
          </cell>
          <cell r="O33">
            <v>21.173999999999999</v>
          </cell>
          <cell r="P33">
            <v>21.712</v>
          </cell>
          <cell r="Q33">
            <v>25.387</v>
          </cell>
          <cell r="R33">
            <v>24.285</v>
          </cell>
          <cell r="S33">
            <v>27.577999999999999</v>
          </cell>
          <cell r="T33">
            <v>29.91</v>
          </cell>
          <cell r="U33">
            <v>33.646000000000001</v>
          </cell>
          <cell r="V33">
            <v>88.234999999999999</v>
          </cell>
          <cell r="W33">
            <v>57.853999999999999</v>
          </cell>
          <cell r="X33">
            <v>60.981000000000002</v>
          </cell>
          <cell r="Y33">
            <v>66.415000000000006</v>
          </cell>
          <cell r="Z33">
            <v>73.593000000000004</v>
          </cell>
          <cell r="AA33">
            <v>73.293000000000006</v>
          </cell>
          <cell r="AB33">
            <v>72.843999999999994</v>
          </cell>
          <cell r="AC33">
            <v>72.036000000000001</v>
          </cell>
          <cell r="AD33">
            <v>76.905000000000001</v>
          </cell>
          <cell r="AE33">
            <v>78.02600000000001</v>
          </cell>
          <cell r="AF33">
            <v>75.272000000000006</v>
          </cell>
          <cell r="AG33">
            <v>84.370999999999995</v>
          </cell>
          <cell r="AH33">
            <v>84.183999999999997</v>
          </cell>
          <cell r="AI33">
            <v>77.97</v>
          </cell>
          <cell r="AJ33">
            <v>78.593000000000004</v>
          </cell>
          <cell r="AK33">
            <v>75.34</v>
          </cell>
          <cell r="AL33">
            <v>80</v>
          </cell>
          <cell r="AM33">
            <v>78</v>
          </cell>
          <cell r="AN33">
            <v>86</v>
          </cell>
          <cell r="AO33">
            <v>81</v>
          </cell>
          <cell r="AP33">
            <v>80</v>
          </cell>
          <cell r="AQ33">
            <v>85</v>
          </cell>
          <cell r="AR33">
            <v>92</v>
          </cell>
          <cell r="AS33">
            <v>93</v>
          </cell>
          <cell r="AT33">
            <v>97</v>
          </cell>
          <cell r="AU33">
            <v>98</v>
          </cell>
          <cell r="AV33">
            <v>101</v>
          </cell>
          <cell r="AW33">
            <v>98</v>
          </cell>
          <cell r="AX33">
            <v>100</v>
          </cell>
          <cell r="AY33">
            <v>95</v>
          </cell>
          <cell r="AZ33">
            <v>106</v>
          </cell>
          <cell r="BA33">
            <v>107</v>
          </cell>
          <cell r="BB33">
            <v>111</v>
          </cell>
          <cell r="BC33">
            <v>92.000000000000014</v>
          </cell>
          <cell r="BD33">
            <v>91.850828729281758</v>
          </cell>
          <cell r="BE33">
            <v>89.999999999999986</v>
          </cell>
          <cell r="BF33">
            <v>91.999999999999957</v>
          </cell>
          <cell r="BG33">
            <v>94</v>
          </cell>
          <cell r="BH33">
            <v>94.000000000000014</v>
          </cell>
          <cell r="BI33">
            <v>92</v>
          </cell>
          <cell r="BJ33">
            <v>56.935000000000002</v>
          </cell>
          <cell r="BK33">
            <v>74.442000000000007</v>
          </cell>
          <cell r="BL33">
            <v>94.644999999999996</v>
          </cell>
          <cell r="BM33">
            <v>115.419</v>
          </cell>
          <cell r="BN33">
            <v>273.48500000000001</v>
          </cell>
          <cell r="BO33">
            <v>291.76600000000002</v>
          </cell>
          <cell r="BP33">
            <v>314.57400000000001</v>
          </cell>
          <cell r="BQ33">
            <v>316.08699999999999</v>
          </cell>
          <cell r="BR33">
            <v>325</v>
          </cell>
          <cell r="BS33">
            <v>350</v>
          </cell>
          <cell r="BT33">
            <v>394</v>
          </cell>
          <cell r="BU33">
            <v>408</v>
          </cell>
          <cell r="BV33">
            <v>384.85082872928177</v>
          </cell>
          <cell r="BW33">
            <v>371.99999999999994</v>
          </cell>
          <cell r="BX33">
            <v>70.771000000000001</v>
          </cell>
          <cell r="BY33">
            <v>91.745999999999995</v>
          </cell>
          <cell r="BZ33">
            <v>107.16</v>
          </cell>
          <cell r="CA33">
            <v>240.71600000000001</v>
          </cell>
          <cell r="CB33">
            <v>286.14499999999998</v>
          </cell>
          <cell r="CC33">
            <v>302.23900000000003</v>
          </cell>
          <cell r="CD33">
            <v>325.11799999999999</v>
          </cell>
          <cell r="CE33">
            <v>319.34000000000003</v>
          </cell>
          <cell r="CF33">
            <v>338</v>
          </cell>
          <cell r="CG33">
            <v>389</v>
          </cell>
          <cell r="CH33">
            <v>399</v>
          </cell>
          <cell r="CI33">
            <v>401.85082872928177</v>
          </cell>
          <cell r="CJ33">
            <v>369.99999999999994</v>
          </cell>
        </row>
        <row r="262">
          <cell r="A262" t="str">
            <v>Services</v>
          </cell>
          <cell r="R262">
            <v>30.041</v>
          </cell>
          <cell r="S262">
            <v>31.088999999999999</v>
          </cell>
          <cell r="T262">
            <v>32.698</v>
          </cell>
          <cell r="U262">
            <v>41.281999999999996</v>
          </cell>
          <cell r="V262">
            <v>50.509</v>
          </cell>
          <cell r="W262">
            <v>59.320999999999998</v>
          </cell>
          <cell r="X262">
            <v>60.84</v>
          </cell>
          <cell r="Y262">
            <v>66.918000000000006</v>
          </cell>
          <cell r="Z262">
            <v>72.116</v>
          </cell>
          <cell r="AA262">
            <v>66.355999999999995</v>
          </cell>
          <cell r="AB262">
            <v>68.516999999999996</v>
          </cell>
          <cell r="AC262">
            <v>86.438999999999993</v>
          </cell>
          <cell r="AD262">
            <v>87</v>
          </cell>
          <cell r="AE262">
            <v>92</v>
          </cell>
          <cell r="AF262">
            <v>105</v>
          </cell>
          <cell r="AG262">
            <v>106</v>
          </cell>
          <cell r="AH262">
            <v>120</v>
          </cell>
          <cell r="AI262">
            <v>104</v>
          </cell>
          <cell r="AJ262">
            <v>107</v>
          </cell>
          <cell r="AK262">
            <v>102</v>
          </cell>
          <cell r="AL262">
            <v>96</v>
          </cell>
          <cell r="AM262">
            <v>103</v>
          </cell>
          <cell r="AN262">
            <v>107</v>
          </cell>
          <cell r="AO262">
            <v>110</v>
          </cell>
          <cell r="AP262">
            <v>79</v>
          </cell>
          <cell r="AQ262">
            <v>74</v>
          </cell>
          <cell r="AR262">
            <v>71</v>
          </cell>
          <cell r="AS262">
            <v>68</v>
          </cell>
          <cell r="AT262">
            <v>63</v>
          </cell>
          <cell r="AU262">
            <v>62</v>
          </cell>
          <cell r="AV262">
            <v>62</v>
          </cell>
          <cell r="AW262">
            <v>64</v>
          </cell>
          <cell r="AX262">
            <v>62</v>
          </cell>
          <cell r="AY262">
            <v>64</v>
          </cell>
          <cell r="AZ262">
            <v>68</v>
          </cell>
          <cell r="BA262">
            <v>71</v>
          </cell>
          <cell r="BB262">
            <v>60</v>
          </cell>
          <cell r="BC262">
            <v>64.999999999999986</v>
          </cell>
          <cell r="BD262">
            <v>70.000000000000014</v>
          </cell>
          <cell r="BE262">
            <v>75.000000000000014</v>
          </cell>
          <cell r="BF262">
            <v>60.6</v>
          </cell>
          <cell r="BG262">
            <v>67.599999999999994</v>
          </cell>
          <cell r="BH262">
            <v>70.700000000000017</v>
          </cell>
          <cell r="BI262">
            <v>75.750000000000014</v>
          </cell>
        </row>
        <row r="268">
          <cell r="A268" t="str">
            <v>Content, Subscriptions, and Maintenance</v>
          </cell>
          <cell r="S268">
            <v>445.53100000000001</v>
          </cell>
          <cell r="W268">
            <v>709.00599999999997</v>
          </cell>
        </row>
        <row r="270">
          <cell r="A270" t="str">
            <v>Total Content, Subscriptions, and Maintenance</v>
          </cell>
          <cell r="S270">
            <v>445.53100000000001</v>
          </cell>
          <cell r="W270">
            <v>845.28599999999994</v>
          </cell>
        </row>
        <row r="386">
          <cell r="A386" t="str">
            <v>Enterprise Revenue</v>
          </cell>
          <cell r="F386">
            <v>1</v>
          </cell>
          <cell r="G386">
            <v>1</v>
          </cell>
          <cell r="H386">
            <v>1</v>
          </cell>
          <cell r="I386">
            <v>1</v>
          </cell>
          <cell r="J386">
            <v>1</v>
          </cell>
          <cell r="K386">
            <v>1</v>
          </cell>
          <cell r="L386">
            <v>1</v>
          </cell>
          <cell r="M386">
            <v>1</v>
          </cell>
          <cell r="N386">
            <v>1</v>
          </cell>
          <cell r="O386">
            <v>1</v>
          </cell>
          <cell r="P386">
            <v>1</v>
          </cell>
          <cell r="Q386">
            <v>1</v>
          </cell>
          <cell r="R386">
            <v>1</v>
          </cell>
          <cell r="S386">
            <v>1</v>
          </cell>
          <cell r="T386">
            <v>1</v>
          </cell>
          <cell r="U386">
            <v>1</v>
          </cell>
          <cell r="V386">
            <v>1</v>
          </cell>
          <cell r="W386">
            <v>1</v>
          </cell>
          <cell r="X386">
            <v>1</v>
          </cell>
          <cell r="Y386">
            <v>1</v>
          </cell>
          <cell r="Z386">
            <v>1</v>
          </cell>
          <cell r="AA386">
            <v>1</v>
          </cell>
          <cell r="AB386">
            <v>1</v>
          </cell>
          <cell r="AC386">
            <v>1</v>
          </cell>
          <cell r="AD386">
            <v>1</v>
          </cell>
          <cell r="AE386">
            <v>1</v>
          </cell>
          <cell r="AF386">
            <v>1</v>
          </cell>
          <cell r="AG386">
            <v>1</v>
          </cell>
          <cell r="AH386">
            <v>1</v>
          </cell>
          <cell r="AI386">
            <v>1</v>
          </cell>
          <cell r="AJ386">
            <v>1</v>
          </cell>
          <cell r="AK386">
            <v>1</v>
          </cell>
          <cell r="AL386">
            <v>1</v>
          </cell>
          <cell r="AM386">
            <v>1</v>
          </cell>
          <cell r="AN386">
            <v>1</v>
          </cell>
          <cell r="AO386">
            <v>1</v>
          </cell>
          <cell r="AP386">
            <v>1</v>
          </cell>
          <cell r="AQ386">
            <v>1</v>
          </cell>
          <cell r="AR386">
            <v>1</v>
          </cell>
          <cell r="AS386">
            <v>1</v>
          </cell>
          <cell r="AT386">
            <v>1</v>
          </cell>
          <cell r="AU386">
            <v>1</v>
          </cell>
          <cell r="AV386">
            <v>1</v>
          </cell>
          <cell r="AW386">
            <v>1</v>
          </cell>
          <cell r="AX386">
            <v>1</v>
          </cell>
          <cell r="AY386">
            <v>1</v>
          </cell>
          <cell r="AZ386">
            <v>1</v>
          </cell>
          <cell r="BA386">
            <v>1</v>
          </cell>
          <cell r="BB386">
            <v>1</v>
          </cell>
          <cell r="BC386">
            <v>1</v>
          </cell>
          <cell r="BD386">
            <v>1</v>
          </cell>
          <cell r="BE386">
            <v>1</v>
          </cell>
          <cell r="BF386">
            <v>1</v>
          </cell>
          <cell r="BG386">
            <v>1</v>
          </cell>
          <cell r="BH386">
            <v>1</v>
          </cell>
          <cell r="BI386">
            <v>1</v>
          </cell>
          <cell r="BJ386">
            <v>1</v>
          </cell>
          <cell r="BK386">
            <v>1</v>
          </cell>
          <cell r="BL386">
            <v>1</v>
          </cell>
          <cell r="BM386">
            <v>1</v>
          </cell>
          <cell r="BN386">
            <v>1</v>
          </cell>
          <cell r="BO386">
            <v>1</v>
          </cell>
          <cell r="BP386">
            <v>1</v>
          </cell>
          <cell r="BQ386">
            <v>1</v>
          </cell>
          <cell r="BR386">
            <v>1</v>
          </cell>
          <cell r="BS386">
            <v>1</v>
          </cell>
          <cell r="BT386">
            <v>1</v>
          </cell>
          <cell r="BU386">
            <v>1</v>
          </cell>
          <cell r="BV386">
            <v>1</v>
          </cell>
          <cell r="BW386">
            <v>1</v>
          </cell>
          <cell r="BX386">
            <v>1</v>
          </cell>
          <cell r="BY386">
            <v>1</v>
          </cell>
          <cell r="BZ386">
            <v>1</v>
          </cell>
          <cell r="CA386">
            <v>1</v>
          </cell>
          <cell r="CB386">
            <v>1</v>
          </cell>
          <cell r="CC386">
            <v>1</v>
          </cell>
          <cell r="CD386">
            <v>1</v>
          </cell>
          <cell r="CE386">
            <v>1</v>
          </cell>
          <cell r="CF386">
            <v>1</v>
          </cell>
          <cell r="CG386">
            <v>1</v>
          </cell>
          <cell r="CH386">
            <v>1</v>
          </cell>
          <cell r="CI386">
            <v>1</v>
          </cell>
          <cell r="CJ386">
            <v>1</v>
          </cell>
        </row>
        <row r="483">
          <cell r="A483" t="str">
            <v>--Total number of MSS customers</v>
          </cell>
        </row>
        <row r="485">
          <cell r="A485" t="str">
            <v>--Number of devices managed</v>
          </cell>
        </row>
        <row r="490">
          <cell r="A490" t="str">
            <v>Norton Firewall</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pg1"/>
      <sheetName val="Quarterly"/>
      <sheetName val="NAV-Prod Tables"/>
      <sheetName val="Rand"/>
      <sheetName val="MarigoldMillenium"/>
      <sheetName val="San Martin"/>
      <sheetName val="ElSauzal"/>
      <sheetName val="Cerro San Pedro"/>
      <sheetName val="Dee"/>
      <sheetName val="Daisy"/>
      <sheetName val="Picacho"/>
      <sheetName val="Imperial"/>
      <sheetName val="Template"/>
      <sheetName val="Tables"/>
      <sheetName val="Tables2"/>
      <sheetName val="Pub Fin"/>
      <sheetName val="DS_Key_Information"/>
      <sheetName val="DS_Cash_Flow"/>
      <sheetName val="DS_Income_Statement"/>
      <sheetName val="DS_Valuation_Measures"/>
      <sheetName val="DS_Quarterly_Estimates_Data"/>
      <sheetName val="DS_Balance_Sheet"/>
      <sheetName val="DS_Industry_Specif"/>
      <sheetName val="RBCGold"/>
      <sheetName val="Sheet1"/>
      <sheetName val="NAV table"/>
      <sheetName val="Prod CF contribution chart"/>
      <sheetName val="production data for 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BCGold"/>
      <sheetName val="Model"/>
      <sheetName val="Pubfin"/>
      <sheetName val="Template"/>
      <sheetName val="NAV Summary"/>
      <sheetName val="Betze-Post"/>
      <sheetName val="Meikle-Rodeo"/>
      <sheetName val="Pascua"/>
      <sheetName val="Bulyanhulu"/>
      <sheetName val="Pierina"/>
      <sheetName val="Bousquet"/>
      <sheetName val="El Indio-Tambo"/>
      <sheetName val="Holt"/>
      <sheetName val="Doyon"/>
      <sheetName val="Bullfrog"/>
      <sheetName val="Pinson"/>
      <sheetName val="Mercur"/>
      <sheetName val="Hedge"/>
      <sheetName val="PubTables"/>
      <sheetName val="PubCashCosts"/>
      <sheetName val="CF Growth"/>
      <sheetName val="DS_Key_Information"/>
      <sheetName val="DS_Valuation_Measures"/>
      <sheetName val="DS_Quarterly_Estimates_Data"/>
      <sheetName val="DS_Income_Statement"/>
      <sheetName val="DS_Cash_Flow"/>
      <sheetName val="DS_Balance_Sheet"/>
      <sheetName val="DS_Industry_Spec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Early Yr Cash"/>
      <sheetName val="Summary Fins"/>
      <sheetName val="1pg"/>
      <sheetName val="Production"/>
      <sheetName val="Stratoni"/>
      <sheetName val="Olympias"/>
      <sheetName val="Certej"/>
      <sheetName val="Skouries"/>
      <sheetName val="Financing"/>
      <sheetName val="Sensitivities"/>
      <sheetName val="Reserves"/>
      <sheetName val="Timeline"/>
      <sheetName val="NAV"/>
      <sheetName val="RBCCM_Key_Information"/>
      <sheetName val="RBCCM_Valuation_Measures"/>
      <sheetName val="RBCCM_Quarterly_Estimates_Data"/>
      <sheetName val="RBCCM_Income_Statement"/>
      <sheetName val="RBCCM_Cash_Flow"/>
      <sheetName val="RBCCM_Balance_Sheet"/>
      <sheetName val="RBCCM_Industry_Specif"/>
      <sheetName val="TEMPLATE"/>
    </sheetNames>
    <sheetDataSet>
      <sheetData sheetId="0"/>
      <sheetData sheetId="1" refreshError="1"/>
      <sheetData sheetId="2"/>
      <sheetData sheetId="3" refreshError="1"/>
      <sheetData sheetId="4"/>
      <sheetData sheetId="5"/>
      <sheetData sheetId="6"/>
      <sheetData sheetId="7" refreshError="1"/>
      <sheetData sheetId="8"/>
      <sheetData sheetId="9" refreshError="1"/>
      <sheetData sheetId="10"/>
      <sheetData sheetId="11" refreshError="1"/>
      <sheetData sheetId="12" refreshError="1"/>
      <sheetData sheetId="13"/>
      <sheetData sheetId="14" refreshError="1"/>
      <sheetData sheetId="15"/>
      <sheetData sheetId="16" refreshError="1"/>
      <sheetData sheetId="17" refreshError="1"/>
      <sheetData sheetId="18" refreshError="1"/>
      <sheetData sheetId="19" refreshError="1"/>
      <sheetData sheetId="20"/>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Model"/>
      <sheetName val="PubFin"/>
      <sheetName val="Charts"/>
      <sheetName val="Valuation-NAV"/>
      <sheetName val="LaRonde"/>
      <sheetName val="Vezza"/>
      <sheetName val="Goldex"/>
      <sheetName val="DS_Key_Information"/>
      <sheetName val="DS_Quarterly_Estimates_Data"/>
      <sheetName val="DS_Valuation_Measures"/>
      <sheetName val="DS_Income_Statement"/>
      <sheetName val="DS_Cash_Flow"/>
      <sheetName val="DS_Balance_Sheet"/>
      <sheetName val="DS_Industry_Specif"/>
      <sheetName val="RB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MULTIPLES"/>
      <sheetName val="SENSITIVITY"/>
      <sheetName val="Sheet1"/>
      <sheetName val="CHARTS"/>
      <sheetName val="ESTIMATES_GUIDANCE"/>
      <sheetName val="LINKS"/>
      <sheetName val="Q&amp;A"/>
      <sheetName val="DCF"/>
      <sheetName val="STEL"/>
      <sheetName val="RBC STEL Model"/>
      <sheetName val="NA Tech Conference"/>
      <sheetName val="SENSITIVITY ANALYSIS"/>
      <sheetName val="Company at a Glance"/>
      <sheetName val="DCF (2)"/>
      <sheetName val="First Call Consensus Summary"/>
      <sheetName val="Short Interest"/>
      <sheetName val="P&amp;L"/>
      <sheetName val="Balance"/>
      <sheetName val="Metrics"/>
      <sheetName val="CF (By Qtr YTD)"/>
      <sheetName val="CF (Qtr)"/>
      <sheetName val="Estimates"/>
      <sheetName val="Comp Sheet"/>
      <sheetName val="Comp 2"/>
      <sheetName val="Comp 4"/>
      <sheetName val="Comp 5"/>
      <sheetName val="FX summary"/>
      <sheetName val="Qtr Preview"/>
      <sheetName val="FX"/>
      <sheetName val="Security Group Picture"/>
      <sheetName val="Infrastructure Group Picture"/>
      <sheetName val="Content Group Picture"/>
      <sheetName val="P-S-Gwth"/>
      <sheetName val="ECM Market"/>
      <sheetName val="Pricing-Broadband-ISPs"/>
      <sheetName val="AV Market"/>
      <sheetName val="URL Filtering"/>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Upside_Downside"/>
      <sheetName val="QUICK SUMMARY"/>
      <sheetName val="guidance"/>
      <sheetName val="Job Postings"/>
      <sheetName val="LINKS&amp;INPUTS"/>
      <sheetName val="BMTemplate"/>
      <sheetName val="SENSITIVITY"/>
      <sheetName val="WACC"/>
      <sheetName val="DCF"/>
      <sheetName val="RBC BCOV Model"/>
    </sheetNames>
    <sheetDataSet>
      <sheetData sheetId="0"/>
      <sheetData sheetId="1">
        <row r="450">
          <cell r="A450" t="str">
            <v>Difference ($)</v>
          </cell>
          <cell r="AD450" t="e">
            <v>#DIV/0!</v>
          </cell>
          <cell r="AE450">
            <v>0</v>
          </cell>
          <cell r="AF450">
            <v>0</v>
          </cell>
          <cell r="AG450">
            <v>0</v>
          </cell>
          <cell r="AH450">
            <v>-0.2175336886457</v>
          </cell>
          <cell r="AI450">
            <v>-5.1565102645058758E-2</v>
          </cell>
          <cell r="AJ450">
            <v>3.2453495700167423E-2</v>
          </cell>
          <cell r="AK450">
            <v>0.14554136948292395</v>
          </cell>
          <cell r="AL450">
            <v>0.11037952057031042</v>
          </cell>
          <cell r="AM450">
            <v>-0.10579367978881749</v>
          </cell>
          <cell r="AN450">
            <v>-0.24983257714486307</v>
          </cell>
          <cell r="AO450">
            <v>-2.0892458458828145E-2</v>
          </cell>
          <cell r="AP450">
            <v>1.1728282734250328</v>
          </cell>
          <cell r="AQ450">
            <v>1.2181900960431786</v>
          </cell>
          <cell r="AR450">
            <v>1.4943191584593194</v>
          </cell>
          <cell r="AS450">
            <v>5.4445847359023247E-2</v>
          </cell>
          <cell r="AT450">
            <v>1.2325772833383795</v>
          </cell>
          <cell r="AU450">
            <v>1.3746244655259048</v>
          </cell>
          <cell r="AV450">
            <v>1.6452179336320896</v>
          </cell>
          <cell r="AW450">
            <v>-0.17024485148929358</v>
          </cell>
          <cell r="AX450">
            <v>2.5403097357205411</v>
          </cell>
          <cell r="AY450">
            <v>-7.0637283174303178E-2</v>
          </cell>
          <cell r="AZ450">
            <v>-7.1477780924002587E-2</v>
          </cell>
          <cell r="BA450">
            <v>-0.14001477777007665</v>
          </cell>
          <cell r="BB450">
            <v>-8.5248677801015305E-2</v>
          </cell>
          <cell r="BC450">
            <v>-0.1375494893284035</v>
          </cell>
          <cell r="BD450">
            <v>-5.1040055001667639E-2</v>
          </cell>
          <cell r="BE450">
            <v>0</v>
          </cell>
          <cell r="BF450">
            <v>0</v>
          </cell>
          <cell r="BG450">
            <v>-0.61392066437678494</v>
          </cell>
          <cell r="BH450">
            <v>1.8266795109347811E-2</v>
          </cell>
          <cell r="BI450">
            <v>0</v>
          </cell>
          <cell r="BJ450">
            <v>0</v>
          </cell>
          <cell r="BK450">
            <v>-5.2577985292694152</v>
          </cell>
          <cell r="BL450">
            <v>2.1109208112082811</v>
          </cell>
          <cell r="BM450">
            <v>1.5069001017195376</v>
          </cell>
          <cell r="BN450">
            <v>0.10415341527285449</v>
          </cell>
          <cell r="BO450">
            <v>-0.61036385336586818</v>
          </cell>
          <cell r="BP450">
            <v>0.87332225857937118</v>
          </cell>
          <cell r="BQ450">
            <v>-6.0378245423818839</v>
          </cell>
        </row>
        <row r="467">
          <cell r="A467" t="str">
            <v>Cash and Cash Equivalents</v>
          </cell>
          <cell r="AK467">
            <v>22.553999999999998</v>
          </cell>
          <cell r="AO467">
            <v>20.341000000000001</v>
          </cell>
          <cell r="AP467">
            <v>15.974</v>
          </cell>
          <cell r="AQ467">
            <v>24.565000000000001</v>
          </cell>
          <cell r="AR467">
            <v>19.358000000000001</v>
          </cell>
          <cell r="AS467">
            <v>17.227</v>
          </cell>
          <cell r="AT467">
            <v>60.646999999999998</v>
          </cell>
          <cell r="AU467">
            <v>44.606999999999999</v>
          </cell>
          <cell r="AV467">
            <v>16.940000000000001</v>
          </cell>
          <cell r="AW467">
            <v>21.707999999999998</v>
          </cell>
          <cell r="AX467">
            <v>20.093</v>
          </cell>
          <cell r="AY467">
            <v>17.671045314894911</v>
          </cell>
          <cell r="AZ467">
            <v>18.560976029939866</v>
          </cell>
          <cell r="BA467">
            <v>22.366379005830222</v>
          </cell>
          <cell r="BB467">
            <v>21.003761655051537</v>
          </cell>
          <cell r="BC467">
            <v>22.347428994359635</v>
          </cell>
          <cell r="BD467">
            <v>23.727309513765583</v>
          </cell>
          <cell r="BE467">
            <v>30.171519384693962</v>
          </cell>
          <cell r="BF467">
            <v>32.66669241064055</v>
          </cell>
          <cell r="BG467">
            <v>41.07825281062965</v>
          </cell>
          <cell r="BH467">
            <v>43.915372980323752</v>
          </cell>
          <cell r="BI467">
            <v>51.563474652004075</v>
          </cell>
          <cell r="BJ467">
            <v>60.180311603374093</v>
          </cell>
          <cell r="BK467">
            <v>70.414421601269154</v>
          </cell>
          <cell r="BL467">
            <v>79.393237083734405</v>
          </cell>
          <cell r="BM467">
            <v>93.40308717131451</v>
          </cell>
          <cell r="BN467">
            <v>106.41373427778886</v>
          </cell>
          <cell r="BO467">
            <v>126.47396569398248</v>
          </cell>
          <cell r="BP467">
            <v>140.58790946820096</v>
          </cell>
          <cell r="BQ467">
            <v>161.48154590046602</v>
          </cell>
          <cell r="BZ467">
            <v>22.553999999999998</v>
          </cell>
          <cell r="CA467">
            <v>20.341000000000001</v>
          </cell>
          <cell r="CB467">
            <v>17.227</v>
          </cell>
          <cell r="CC467">
            <v>21.707999999999998</v>
          </cell>
          <cell r="CD467">
            <v>22.366379005830222</v>
          </cell>
          <cell r="CE467">
            <v>30.171519384693962</v>
          </cell>
          <cell r="CF467">
            <v>51.563474652004075</v>
          </cell>
          <cell r="CG467">
            <v>93.40308717131451</v>
          </cell>
          <cell r="CH467">
            <v>161.48154590046602</v>
          </cell>
        </row>
        <row r="468">
          <cell r="A468" t="str">
            <v>Short-Term Investments</v>
          </cell>
          <cell r="AK468">
            <v>0.621</v>
          </cell>
          <cell r="AO468">
            <v>0.55400000000000005</v>
          </cell>
          <cell r="AQ468">
            <v>0.27600000000000002</v>
          </cell>
          <cell r="AR468">
            <v>0.23300000000000001</v>
          </cell>
          <cell r="AS468">
            <v>0.23300000000000001</v>
          </cell>
          <cell r="AT468">
            <v>0.23300000000000001</v>
          </cell>
          <cell r="AU468">
            <v>8.9870000000000001</v>
          </cell>
          <cell r="AV468">
            <v>9.7780000000000005</v>
          </cell>
          <cell r="AW468">
            <v>8.3659999999999997</v>
          </cell>
          <cell r="AX468">
            <v>6.88</v>
          </cell>
          <cell r="AY468">
            <v>6.88</v>
          </cell>
          <cell r="AZ468">
            <v>6.88</v>
          </cell>
          <cell r="BA468">
            <v>6.88</v>
          </cell>
          <cell r="BB468">
            <v>0.23300000000000001</v>
          </cell>
          <cell r="BC468">
            <v>0.23300000000000001</v>
          </cell>
          <cell r="BD468">
            <v>0.23300000000000001</v>
          </cell>
          <cell r="BE468">
            <v>0.23300000000000001</v>
          </cell>
          <cell r="BF468">
            <v>0.23300000000000001</v>
          </cell>
          <cell r="BG468">
            <v>0.23300000000000001</v>
          </cell>
          <cell r="BH468">
            <v>0.23300000000000001</v>
          </cell>
          <cell r="BI468">
            <v>0.23300000000000001</v>
          </cell>
          <cell r="BJ468">
            <v>0.23300000000000001</v>
          </cell>
          <cell r="BK468">
            <v>0.23300000000000001</v>
          </cell>
          <cell r="BL468">
            <v>0.23300000000000001</v>
          </cell>
          <cell r="BM468">
            <v>0.23300000000000001</v>
          </cell>
          <cell r="BN468">
            <v>0.23300000000000001</v>
          </cell>
          <cell r="BO468">
            <v>0.23300000000000001</v>
          </cell>
          <cell r="BP468">
            <v>0.23300000000000001</v>
          </cell>
          <cell r="BQ468">
            <v>0.23300000000000001</v>
          </cell>
          <cell r="BZ468">
            <v>0.621</v>
          </cell>
          <cell r="CA468">
            <v>0.55400000000000005</v>
          </cell>
          <cell r="CB468">
            <v>0.23300000000000001</v>
          </cell>
          <cell r="CC468">
            <v>0.23300000000000001</v>
          </cell>
          <cell r="CD468">
            <v>0.23300000000000001</v>
          </cell>
          <cell r="CE468">
            <v>0.23300000000000001</v>
          </cell>
          <cell r="CF468">
            <v>0.23300000000000001</v>
          </cell>
          <cell r="CG468">
            <v>0.23300000000000001</v>
          </cell>
          <cell r="CH468">
            <v>0.23300000000000001</v>
          </cell>
        </row>
        <row r="482">
          <cell r="A482" t="str">
            <v>Accounts Payable</v>
          </cell>
          <cell r="AK482">
            <v>1.0529999999999999</v>
          </cell>
          <cell r="AO482">
            <v>1.0609999999999999</v>
          </cell>
          <cell r="AQ482">
            <v>2.8210000000000002</v>
          </cell>
          <cell r="AR482">
            <v>1.944</v>
          </cell>
          <cell r="AS482">
            <v>2.0259999999999998</v>
          </cell>
          <cell r="AT482">
            <v>1.226</v>
          </cell>
          <cell r="AU482">
            <v>1.411</v>
          </cell>
          <cell r="AV482">
            <v>0.88200000000000001</v>
          </cell>
          <cell r="AW482">
            <v>0.61899999999999999</v>
          </cell>
          <cell r="AX482">
            <v>1.9179999999999999</v>
          </cell>
          <cell r="AY482">
            <v>2.0095831882616246</v>
          </cell>
          <cell r="AZ482">
            <v>1.9580676448644616</v>
          </cell>
          <cell r="BA482">
            <v>2.1703307634916684</v>
          </cell>
          <cell r="BB482">
            <v>2.1321711017159908</v>
          </cell>
          <cell r="BC482">
            <v>2.1989505098234292</v>
          </cell>
          <cell r="BD482">
            <v>2.2657299179308632</v>
          </cell>
          <cell r="BE482">
            <v>2.2502275553344937</v>
          </cell>
          <cell r="BF482">
            <v>2.427084603625576</v>
          </cell>
          <cell r="BG482">
            <v>2.6559581930801013</v>
          </cell>
          <cell r="BH482">
            <v>2.134621628816995</v>
          </cell>
          <cell r="BI482">
            <v>1.8519412600724792</v>
          </cell>
          <cell r="BJ482">
            <v>2.85935219188692</v>
          </cell>
          <cell r="BK482">
            <v>3.1287408558329197</v>
          </cell>
          <cell r="BL482">
            <v>2.5144140319695025</v>
          </cell>
          <cell r="BM482">
            <v>2.1824179634012641</v>
          </cell>
          <cell r="BN482">
            <v>3.2882550206699581</v>
          </cell>
          <cell r="BO482">
            <v>3.5980519842078573</v>
          </cell>
          <cell r="BP482">
            <v>2.891576136764928</v>
          </cell>
          <cell r="BQ482">
            <v>2.5097806579114539</v>
          </cell>
          <cell r="BZ482">
            <v>1.0529999999999999</v>
          </cell>
          <cell r="CA482">
            <v>1.0609999999999999</v>
          </cell>
          <cell r="CB482">
            <v>2.0259999999999998</v>
          </cell>
          <cell r="CC482">
            <v>0.61899999999999999</v>
          </cell>
          <cell r="CD482">
            <v>2.1703307634916684</v>
          </cell>
          <cell r="CE482">
            <v>2.2502275553344937</v>
          </cell>
          <cell r="CF482">
            <v>1.8519412600724792</v>
          </cell>
          <cell r="CG482">
            <v>2.1824179634012641</v>
          </cell>
          <cell r="CH482">
            <v>2.5097806579114539</v>
          </cell>
        </row>
        <row r="566">
          <cell r="A566" t="str">
            <v>OTHER PRICE INFORMATION</v>
          </cell>
        </row>
        <row r="573">
          <cell r="A573" t="str">
            <v>Current Stock Price</v>
          </cell>
        </row>
        <row r="574">
          <cell r="A574" t="str">
            <v>Total Shares Outstanding</v>
          </cell>
        </row>
        <row r="575">
          <cell r="A575" t="str">
            <v>Current Market Capitalization</v>
          </cell>
          <cell r="AT575" t="str">
            <v>R</v>
          </cell>
        </row>
        <row r="576">
          <cell r="A576" t="str">
            <v>Cash Flows from Operations</v>
          </cell>
        </row>
        <row r="577">
          <cell r="A577" t="str">
            <v>Period Ending Stock Price</v>
          </cell>
          <cell r="AG577">
            <v>-10.234999999999999</v>
          </cell>
          <cell r="AK577">
            <v>-2.823</v>
          </cell>
          <cell r="AL577">
            <v>-4.2789999999999999</v>
          </cell>
          <cell r="AM577">
            <v>-4.2789999999999999</v>
          </cell>
          <cell r="AN577">
            <v>-4.5850000000000009</v>
          </cell>
          <cell r="AO577">
            <v>-4.6379999999999981</v>
          </cell>
          <cell r="AP577">
            <v>-4.3460000000000001</v>
          </cell>
          <cell r="AQ577">
            <v>-5.3819999999999997</v>
          </cell>
          <cell r="AR577">
            <v>-3.891</v>
          </cell>
          <cell r="AS577">
            <v>-3.6550000000000011</v>
          </cell>
          <cell r="AT577">
            <v>-3.5350000000000001</v>
          </cell>
          <cell r="AU577">
            <v>-4.1870000000000003</v>
          </cell>
          <cell r="AV577">
            <v>-4.5351155266309213</v>
          </cell>
          <cell r="AW577">
            <v>-4.0218189125757835</v>
          </cell>
          <cell r="AX577">
            <v>-4.0437070321636188</v>
          </cell>
          <cell r="AY577">
            <v>-3.5657826328905671</v>
          </cell>
          <cell r="AZ577">
            <v>-2.5607506356589185</v>
          </cell>
          <cell r="BA577">
            <v>-2.0199209809046268</v>
          </cell>
          <cell r="BB577">
            <v>-2.7187606760739231</v>
          </cell>
          <cell r="BC577">
            <v>-2.7106196940070131</v>
          </cell>
          <cell r="BD577">
            <v>-2.9677209247268519</v>
          </cell>
          <cell r="BE577">
            <v>-3.1777445447432582</v>
          </cell>
          <cell r="BF577">
            <v>-1.8505951434620775</v>
          </cell>
          <cell r="BG577">
            <v>-1.9653176128511021</v>
          </cell>
          <cell r="BH577">
            <v>-2.1976589237708617</v>
          </cell>
          <cell r="BI577">
            <v>-2.3464304566466909</v>
          </cell>
          <cell r="BJ577">
            <v>-0.1417969291428558</v>
          </cell>
          <cell r="BK577">
            <v>-0.13273640467626002</v>
          </cell>
          <cell r="BL577">
            <v>-0.30723554578640533</v>
          </cell>
          <cell r="BM577">
            <v>-0.3503950305052177</v>
          </cell>
          <cell r="BN577">
            <v>1.5410711122000031</v>
          </cell>
          <cell r="BO577">
            <v>1.717599974260299</v>
          </cell>
          <cell r="BP577">
            <v>1.6527000033710642</v>
          </cell>
          <cell r="BQ577">
            <v>1.7710804917286529</v>
          </cell>
          <cell r="BY577">
            <v>-10.234999999999999</v>
          </cell>
          <cell r="BZ577">
            <v>-2.823</v>
          </cell>
          <cell r="CA577">
            <v>-17.780999999999999</v>
          </cell>
          <cell r="CB577">
            <v>-17.274000000000001</v>
          </cell>
          <cell r="CC577">
            <v>-16.278934439206708</v>
          </cell>
          <cell r="CD577">
            <v>-12.19016128161773</v>
          </cell>
          <cell r="CE577">
            <v>-11.574845839551045</v>
          </cell>
          <cell r="CF577">
            <v>-8.3600021367307313</v>
          </cell>
          <cell r="CG577">
            <v>-0.93216391011073885</v>
          </cell>
          <cell r="CH577">
            <v>6.6824515815600192</v>
          </cell>
        </row>
      </sheetData>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Sheet1"/>
      <sheetName val="Profile"/>
      <sheetName val="Assumptions"/>
      <sheetName val="Income Stmt"/>
      <sheetName val="CF Stmt"/>
      <sheetName val="Debt Schedule"/>
      <sheetName val="CapEx"/>
      <sheetName val="Depreciation"/>
      <sheetName val="Gold production"/>
      <sheetName val="Cu Production"/>
      <sheetName val="Gold Hedging"/>
      <sheetName val="PDG"/>
      <sheetName val="10yrs"/>
      <sheetName val="Junk calcs"/>
    </sheetNames>
    <sheetDataSet>
      <sheetData sheetId="0"/>
      <sheetData sheetId="1"/>
      <sheetData sheetId="2"/>
      <sheetData sheetId="3"/>
      <sheetData sheetId="4" refreshError="1">
        <row r="15">
          <cell r="GY15">
            <v>1275.2671837219214</v>
          </cell>
          <cell r="GZ15">
            <v>1208.1755084421457</v>
          </cell>
        </row>
        <row r="17">
          <cell r="GY17">
            <v>630.57121468046194</v>
          </cell>
          <cell r="GZ17">
            <v>594.20390023806431</v>
          </cell>
        </row>
        <row r="18">
          <cell r="GY18">
            <v>253.27395606188642</v>
          </cell>
          <cell r="GZ18">
            <v>220.9706828807744</v>
          </cell>
        </row>
        <row r="19">
          <cell r="GY19">
            <v>78</v>
          </cell>
          <cell r="GZ19">
            <v>80</v>
          </cell>
        </row>
        <row r="20">
          <cell r="GY20">
            <v>42.580452060850654</v>
          </cell>
          <cell r="GZ20">
            <v>39.878623756195942</v>
          </cell>
        </row>
        <row r="21">
          <cell r="GY21">
            <v>-5</v>
          </cell>
          <cell r="GZ21">
            <v>0</v>
          </cell>
        </row>
        <row r="24">
          <cell r="GY24">
            <v>54.511058430206212</v>
          </cell>
          <cell r="GZ24">
            <v>50.014744573608283</v>
          </cell>
        </row>
        <row r="27">
          <cell r="GW27">
            <v>62</v>
          </cell>
          <cell r="GY27">
            <v>87.115336169602585</v>
          </cell>
          <cell r="GZ27">
            <v>104.86055178694639</v>
          </cell>
        </row>
        <row r="30">
          <cell r="GY30">
            <v>-4.0204018962917303</v>
          </cell>
          <cell r="GZ30">
            <v>-0.65762762226360494</v>
          </cell>
        </row>
        <row r="34">
          <cell r="GW34">
            <v>0</v>
          </cell>
          <cell r="GY34">
            <v>0</v>
          </cell>
          <cell r="GZ34">
            <v>0</v>
          </cell>
        </row>
        <row r="37">
          <cell r="GW37">
            <v>0</v>
          </cell>
          <cell r="GY37">
            <v>0</v>
          </cell>
          <cell r="GZ37">
            <v>0</v>
          </cell>
        </row>
        <row r="44">
          <cell r="GY44">
            <v>0.31194983034988349</v>
          </cell>
          <cell r="GZ44">
            <v>0.35894193401798835</v>
          </cell>
        </row>
        <row r="50">
          <cell r="GW50">
            <v>327.10000000000002</v>
          </cell>
          <cell r="GX50">
            <v>327.60000000000002</v>
          </cell>
          <cell r="GY50">
            <v>327.60000000000002</v>
          </cell>
          <cell r="GZ50">
            <v>327.60000000000002</v>
          </cell>
        </row>
      </sheetData>
      <sheetData sheetId="5"/>
      <sheetData sheetId="6"/>
      <sheetData sheetId="7"/>
      <sheetData sheetId="8"/>
      <sheetData sheetId="9" refreshError="1">
        <row r="104">
          <cell r="GX104">
            <v>2983.5549813603166</v>
          </cell>
          <cell r="GY104">
            <v>2865.5825548788234</v>
          </cell>
          <cell r="GZ104">
            <v>2658.5749170797294</v>
          </cell>
        </row>
        <row r="108">
          <cell r="GX108">
            <v>346</v>
          </cell>
          <cell r="GY108">
            <v>337.46304610036668</v>
          </cell>
        </row>
        <row r="109">
          <cell r="GX109">
            <v>159</v>
          </cell>
          <cell r="GY109">
            <v>156.67428944022603</v>
          </cell>
          <cell r="GZ109">
            <v>167.43233155674241</v>
          </cell>
        </row>
      </sheetData>
      <sheetData sheetId="10"/>
      <sheetData sheetId="11"/>
      <sheetData sheetId="12"/>
      <sheetData sheetId="13"/>
      <sheetData sheetId="1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Upside_Downside"/>
      <sheetName val="QUICK SUMMARY"/>
      <sheetName val="Guidance"/>
      <sheetName val="Exhibits"/>
      <sheetName val="SENSITIVITY"/>
      <sheetName val="COMP"/>
      <sheetName val="CF COMP "/>
      <sheetName val="LINKS&amp;INPUTS"/>
      <sheetName val="Base Upside Downside"/>
      <sheetName val="RBC IMPV Model"/>
    </sheetNames>
    <sheetDataSet>
      <sheetData sheetId="0"/>
      <sheetData sheetId="1" refreshError="1">
        <row r="23">
          <cell r="A23" t="str">
            <v>Operating Expenses</v>
          </cell>
        </row>
        <row r="421">
          <cell r="A421" t="str">
            <v>Property and Equipment, Net</v>
          </cell>
          <cell r="AK421">
            <v>2.3780000000000001</v>
          </cell>
          <cell r="AO421">
            <v>4.101</v>
          </cell>
          <cell r="AP421">
            <v>4.1340000000000003</v>
          </cell>
          <cell r="AQ421">
            <v>4.0890000000000004</v>
          </cell>
          <cell r="AR421">
            <v>4.0129999999999999</v>
          </cell>
          <cell r="AS421">
            <v>4.0259999999999998</v>
          </cell>
          <cell r="AT421">
            <v>3.859</v>
          </cell>
          <cell r="AU421">
            <v>4.0609999999999999</v>
          </cell>
          <cell r="AV421">
            <v>4.4569999999999999</v>
          </cell>
          <cell r="AW421">
            <v>5.5149999999999997</v>
          </cell>
          <cell r="AX421">
            <v>5.4</v>
          </cell>
          <cell r="AY421">
            <v>5.5</v>
          </cell>
          <cell r="AZ421">
            <v>5.6</v>
          </cell>
          <cell r="BA421">
            <v>5.6999999999999993</v>
          </cell>
          <cell r="BB421">
            <v>5.7999999999999989</v>
          </cell>
          <cell r="BC421">
            <v>5.8999999999999986</v>
          </cell>
          <cell r="BD421">
            <v>5.9999999999999982</v>
          </cell>
          <cell r="BE421">
            <v>6.0999999999999979</v>
          </cell>
          <cell r="BF421">
            <v>7.0999999999999979</v>
          </cell>
          <cell r="BG421">
            <v>8.0999999999999979</v>
          </cell>
          <cell r="BH421">
            <v>9.0999999999999979</v>
          </cell>
          <cell r="BI421">
            <v>10.099999999999998</v>
          </cell>
          <cell r="BJ421">
            <v>11.099999999999998</v>
          </cell>
          <cell r="BK421">
            <v>12.099999999999998</v>
          </cell>
          <cell r="BL421">
            <v>13.099999999999998</v>
          </cell>
          <cell r="BM421">
            <v>14.099999999999998</v>
          </cell>
          <cell r="BN421">
            <v>15.099999999999998</v>
          </cell>
          <cell r="BO421">
            <v>16.099999999999998</v>
          </cell>
          <cell r="BP421">
            <v>17.099999999999998</v>
          </cell>
          <cell r="BQ421">
            <v>18.099999999999998</v>
          </cell>
          <cell r="BR421">
            <v>0</v>
          </cell>
          <cell r="BS421">
            <v>0</v>
          </cell>
          <cell r="BT421">
            <v>0</v>
          </cell>
          <cell r="BU421">
            <v>0</v>
          </cell>
          <cell r="BV421">
            <v>0</v>
          </cell>
          <cell r="BW421">
            <v>0</v>
          </cell>
          <cell r="BX421">
            <v>0</v>
          </cell>
          <cell r="BY421">
            <v>0</v>
          </cell>
          <cell r="BZ421">
            <v>2.3780000000000001</v>
          </cell>
          <cell r="CA421">
            <v>4.101</v>
          </cell>
          <cell r="CB421">
            <v>4.0259999999999998</v>
          </cell>
          <cell r="CC421">
            <v>5.5149999999999997</v>
          </cell>
          <cell r="CD421">
            <v>5.6999999999999993</v>
          </cell>
          <cell r="CE421">
            <v>6.0999999999999979</v>
          </cell>
          <cell r="CF421">
            <v>10.099999999999998</v>
          </cell>
          <cell r="CG421">
            <v>14.099999999999998</v>
          </cell>
          <cell r="CH421">
            <v>18.099999999999998</v>
          </cell>
        </row>
      </sheetData>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BM"/>
      <sheetName val="MODELEx (2)"/>
      <sheetName val="MODELEx"/>
      <sheetName val="MODEL"/>
      <sheetName val="QUICK SUMMARY"/>
      <sheetName val="Upside_Downside"/>
      <sheetName val="Guidance"/>
      <sheetName val="EXHIBITS"/>
      <sheetName val="SENSITIVITY"/>
      <sheetName val="COMP"/>
      <sheetName val="CF COMP "/>
      <sheetName val="LINKS&amp;INPUTS"/>
      <sheetName val="Other Charts"/>
    </sheetNames>
    <sheetDataSet>
      <sheetData sheetId="0"/>
      <sheetData sheetId="1"/>
      <sheetData sheetId="2"/>
      <sheetData sheetId="3"/>
      <sheetData sheetId="4">
        <row r="2">
          <cell r="A2" t="str">
            <v>Period Ending</v>
          </cell>
          <cell r="B2" t="str">
            <v>Mar-01A</v>
          </cell>
          <cell r="C2" t="str">
            <v>Jun-01A</v>
          </cell>
          <cell r="D2" t="str">
            <v>Sep-01A</v>
          </cell>
          <cell r="E2" t="str">
            <v>Dec-01A</v>
          </cell>
          <cell r="F2" t="str">
            <v>Mar-02A</v>
          </cell>
          <cell r="G2" t="str">
            <v>Jun-02A</v>
          </cell>
          <cell r="H2" t="str">
            <v>Sep-02A</v>
          </cell>
          <cell r="I2" t="str">
            <v>Dec-02A</v>
          </cell>
          <cell r="J2" t="str">
            <v>Mar-03A</v>
          </cell>
          <cell r="K2" t="str">
            <v>Jun-03A</v>
          </cell>
          <cell r="L2" t="str">
            <v>Sep-03A</v>
          </cell>
          <cell r="M2" t="str">
            <v>Dec-03A</v>
          </cell>
          <cell r="N2" t="str">
            <v>Mar-04A</v>
          </cell>
          <cell r="O2" t="str">
            <v>Jun-04A</v>
          </cell>
          <cell r="P2" t="str">
            <v>Sep-04A</v>
          </cell>
          <cell r="Q2" t="str">
            <v>Dec-04A</v>
          </cell>
          <cell r="R2" t="str">
            <v>Mar-05A</v>
          </cell>
          <cell r="S2" t="str">
            <v>Jun-05A</v>
          </cell>
          <cell r="T2" t="str">
            <v>Sep-05A</v>
          </cell>
          <cell r="U2" t="str">
            <v>Dec-05A</v>
          </cell>
          <cell r="V2" t="str">
            <v>Mar-06A</v>
          </cell>
          <cell r="W2" t="str">
            <v>Jun-06A</v>
          </cell>
          <cell r="X2" t="str">
            <v>Sep-06A</v>
          </cell>
          <cell r="Y2" t="str">
            <v>Dec-06A</v>
          </cell>
          <cell r="Z2" t="str">
            <v>Mar-07A</v>
          </cell>
          <cell r="AA2" t="str">
            <v>Jun-07A</v>
          </cell>
          <cell r="AB2" t="str">
            <v>Sep-07A</v>
          </cell>
          <cell r="AC2" t="str">
            <v>Dec-07A</v>
          </cell>
          <cell r="AD2" t="str">
            <v>Mar-08A</v>
          </cell>
          <cell r="AE2" t="str">
            <v>Jun-08A</v>
          </cell>
          <cell r="AF2" t="str">
            <v>Sep-08A</v>
          </cell>
          <cell r="AG2" t="str">
            <v>Dec-08A</v>
          </cell>
          <cell r="AH2" t="str">
            <v>Mar-09A</v>
          </cell>
          <cell r="AI2" t="str">
            <v>Jun-09A</v>
          </cell>
          <cell r="AJ2" t="str">
            <v>Sep-09A</v>
          </cell>
          <cell r="AK2" t="str">
            <v>Dec-09A</v>
          </cell>
          <cell r="AL2" t="str">
            <v>Mar-10A</v>
          </cell>
          <cell r="AM2" t="str">
            <v>Jun-10A</v>
          </cell>
          <cell r="AN2" t="str">
            <v>Sep-10A</v>
          </cell>
          <cell r="AO2" t="str">
            <v>Dec-10A</v>
          </cell>
          <cell r="AP2" t="str">
            <v>Mar-11A</v>
          </cell>
          <cell r="AQ2" t="str">
            <v>Jun-11A</v>
          </cell>
          <cell r="AR2" t="str">
            <v>Sep-11A</v>
          </cell>
          <cell r="AS2" t="str">
            <v>Dec-11A</v>
          </cell>
          <cell r="AT2" t="str">
            <v>Mar-12A</v>
          </cell>
          <cell r="AU2" t="str">
            <v>Jun-12A</v>
          </cell>
          <cell r="AV2" t="str">
            <v>Sep-12A</v>
          </cell>
          <cell r="AW2" t="str">
            <v>Dec-12A</v>
          </cell>
          <cell r="AX2" t="str">
            <v>Mar-13A</v>
          </cell>
          <cell r="AY2" t="str">
            <v>Jun-13A</v>
          </cell>
          <cell r="AZ2" t="str">
            <v>Sep-13A</v>
          </cell>
          <cell r="BA2" t="str">
            <v>Dec-13A</v>
          </cell>
          <cell r="BB2" t="str">
            <v>Mar-14A</v>
          </cell>
          <cell r="BC2" t="str">
            <v>Jun-14A</v>
          </cell>
          <cell r="BD2" t="str">
            <v>Sep-14A</v>
          </cell>
          <cell r="BE2" t="str">
            <v>Dec-14A</v>
          </cell>
          <cell r="BF2" t="str">
            <v>Mar-15A</v>
          </cell>
          <cell r="BG2" t="str">
            <v>Jun-15A</v>
          </cell>
          <cell r="BH2" t="str">
            <v>Sep-15A</v>
          </cell>
          <cell r="BI2" t="str">
            <v>Dec-15E</v>
          </cell>
          <cell r="BJ2" t="str">
            <v>Mar-16E</v>
          </cell>
          <cell r="BK2" t="str">
            <v>Jun-16E</v>
          </cell>
          <cell r="BL2" t="str">
            <v>Sep-16E</v>
          </cell>
          <cell r="BM2" t="str">
            <v>Dec-16E</v>
          </cell>
          <cell r="BN2" t="str">
            <v>Mar-17E</v>
          </cell>
          <cell r="BO2" t="str">
            <v>Jun-17E</v>
          </cell>
          <cell r="BP2" t="str">
            <v>Sep-17E</v>
          </cell>
          <cell r="BQ2" t="str">
            <v>Dec-17E</v>
          </cell>
          <cell r="BR2" t="str">
            <v>FY01A</v>
          </cell>
          <cell r="BS2" t="str">
            <v>FY02A</v>
          </cell>
          <cell r="BT2" t="str">
            <v>FY03A</v>
          </cell>
          <cell r="BU2" t="str">
            <v>FY04A</v>
          </cell>
          <cell r="BV2" t="str">
            <v>FY05A</v>
          </cell>
          <cell r="BW2" t="str">
            <v>FY06A</v>
          </cell>
          <cell r="BX2" t="str">
            <v>FY07A</v>
          </cell>
          <cell r="BY2" t="str">
            <v>FY08A</v>
          </cell>
          <cell r="BZ2" t="str">
            <v>FY09A</v>
          </cell>
          <cell r="CA2" t="str">
            <v>FY10A</v>
          </cell>
          <cell r="CB2" t="str">
            <v>FY11A</v>
          </cell>
          <cell r="CC2" t="str">
            <v>FY12A</v>
          </cell>
          <cell r="CD2" t="str">
            <v>FY13A</v>
          </cell>
          <cell r="CE2" t="str">
            <v>FY14A</v>
          </cell>
          <cell r="CF2" t="str">
            <v>FY15E</v>
          </cell>
          <cell r="CG2" t="str">
            <v>FY16E</v>
          </cell>
          <cell r="CH2" t="str">
            <v>FY17E</v>
          </cell>
        </row>
        <row r="6">
          <cell r="A6" t="str">
            <v>Subscription</v>
          </cell>
          <cell r="AL6">
            <v>12.994</v>
          </cell>
          <cell r="AM6">
            <v>13.638999999999999</v>
          </cell>
          <cell r="AN6">
            <v>14.868</v>
          </cell>
          <cell r="AO6">
            <v>16.155999999999999</v>
          </cell>
          <cell r="AP6">
            <v>16.077000000000002</v>
          </cell>
          <cell r="AQ6">
            <v>17.663</v>
          </cell>
          <cell r="AR6">
            <v>18.792999999999999</v>
          </cell>
          <cell r="AS6">
            <v>21.363</v>
          </cell>
          <cell r="AT6">
            <v>23.268999999999998</v>
          </cell>
          <cell r="AU6">
            <v>24.75</v>
          </cell>
          <cell r="AV6">
            <v>25.991</v>
          </cell>
          <cell r="AW6">
            <v>27.46</v>
          </cell>
          <cell r="AX6">
            <v>28.452000000000002</v>
          </cell>
          <cell r="AY6">
            <v>30.815999999999999</v>
          </cell>
          <cell r="AZ6">
            <v>33.463999999999999</v>
          </cell>
          <cell r="BA6">
            <v>39.33</v>
          </cell>
          <cell r="BB6">
            <v>41.204000000000001</v>
          </cell>
          <cell r="BC6">
            <v>45.046999999999997</v>
          </cell>
          <cell r="BD6">
            <v>48.506</v>
          </cell>
          <cell r="BE6">
            <v>52.77</v>
          </cell>
          <cell r="BF6">
            <v>55.856000000000002</v>
          </cell>
          <cell r="BG6">
            <v>61.777999999999999</v>
          </cell>
          <cell r="BH6">
            <v>67.222999999999999</v>
          </cell>
          <cell r="BI6">
            <v>70.711800000000011</v>
          </cell>
          <cell r="BJ6">
            <v>74.700000000000017</v>
          </cell>
          <cell r="BK6">
            <v>78.900000000000006</v>
          </cell>
          <cell r="BL6">
            <v>86.062000000000026</v>
          </cell>
          <cell r="BM6">
            <v>92.632458000000014</v>
          </cell>
          <cell r="BN6">
            <v>94.008050847457653</v>
          </cell>
          <cell r="BO6">
            <v>96.990302774776723</v>
          </cell>
          <cell r="BP6">
            <v>104.49251030594114</v>
          </cell>
          <cell r="BQ6">
            <v>110.1464521205357</v>
          </cell>
          <cell r="BX6">
            <v>20.823</v>
          </cell>
          <cell r="BY6">
            <v>31.114999999999998</v>
          </cell>
          <cell r="BZ6">
            <v>42.134999999999998</v>
          </cell>
          <cell r="CA6">
            <v>57.656999999999996</v>
          </cell>
          <cell r="CB6">
            <v>73.896000000000001</v>
          </cell>
          <cell r="CC6">
            <v>101.47</v>
          </cell>
          <cell r="CD6">
            <v>132.06200000000001</v>
          </cell>
          <cell r="CE6">
            <v>187.52700000000002</v>
          </cell>
          <cell r="CF6">
            <v>255.56880000000001</v>
          </cell>
          <cell r="CG6">
            <v>332.29445800000008</v>
          </cell>
          <cell r="CH6">
            <v>405.63731604871123</v>
          </cell>
        </row>
        <row r="7">
          <cell r="A7" t="str">
            <v>Hardware and services</v>
          </cell>
          <cell r="AL7">
            <v>1.8480000000000001</v>
          </cell>
          <cell r="AM7">
            <v>1.7549999999999999</v>
          </cell>
          <cell r="AN7">
            <v>1.647</v>
          </cell>
          <cell r="AO7">
            <v>1.883</v>
          </cell>
          <cell r="AP7">
            <v>2.7040000000000002</v>
          </cell>
          <cell r="AQ7">
            <v>2.2170000000000001</v>
          </cell>
          <cell r="AR7">
            <v>1.6930000000000001</v>
          </cell>
          <cell r="AS7">
            <v>1.3280000000000001</v>
          </cell>
          <cell r="AT7">
            <v>1.35</v>
          </cell>
          <cell r="AU7">
            <v>1.1930000000000001</v>
          </cell>
          <cell r="AV7">
            <v>1.093</v>
          </cell>
          <cell r="AW7">
            <v>1.1890000000000001</v>
          </cell>
          <cell r="AX7">
            <v>2.3119999999999998</v>
          </cell>
          <cell r="AY7">
            <v>1.0109999999999999</v>
          </cell>
          <cell r="AZ7">
            <v>1.0389999999999999</v>
          </cell>
          <cell r="BA7">
            <v>1.5069999999999999</v>
          </cell>
          <cell r="BB7">
            <v>1.5</v>
          </cell>
          <cell r="BC7">
            <v>1.351</v>
          </cell>
          <cell r="BD7">
            <v>1.8049999999999999</v>
          </cell>
          <cell r="BE7">
            <v>3.4239999999999999</v>
          </cell>
          <cell r="BF7">
            <v>1.907</v>
          </cell>
          <cell r="BG7">
            <v>1.768</v>
          </cell>
          <cell r="BH7">
            <v>1.9259999999999999</v>
          </cell>
          <cell r="BI7">
            <v>2.3967999999999998</v>
          </cell>
          <cell r="BJ7">
            <v>1.8999999999999995</v>
          </cell>
          <cell r="BK7">
            <v>1.7999999999999998</v>
          </cell>
          <cell r="BL7">
            <v>1.9499999999999995</v>
          </cell>
          <cell r="BM7">
            <v>2.5499999999999998</v>
          </cell>
          <cell r="BN7">
            <v>1.7529218668065016</v>
          </cell>
          <cell r="BO7">
            <v>2.052047202797203</v>
          </cell>
          <cell r="BP7">
            <v>1.9499999999999995</v>
          </cell>
          <cell r="BQ7">
            <v>2.5499999999999998</v>
          </cell>
          <cell r="BX7">
            <v>5.1050000000000004</v>
          </cell>
          <cell r="BY7">
            <v>7.1280000000000001</v>
          </cell>
          <cell r="BZ7">
            <v>6.3929999999999998</v>
          </cell>
          <cell r="CA7">
            <v>7.133</v>
          </cell>
          <cell r="CB7">
            <v>7.9420000000000011</v>
          </cell>
          <cell r="CC7">
            <v>4.8250000000000002</v>
          </cell>
          <cell r="CD7">
            <v>5.8689999999999989</v>
          </cell>
          <cell r="CE7">
            <v>8.08</v>
          </cell>
          <cell r="CF7">
            <v>7.9977999999999998</v>
          </cell>
          <cell r="CG7">
            <v>8.1999999999999993</v>
          </cell>
          <cell r="CH7">
            <v>8.304969069603704</v>
          </cell>
        </row>
        <row r="8">
          <cell r="A8" t="str">
            <v>Total Revenue</v>
          </cell>
          <cell r="AH8">
            <v>0</v>
          </cell>
          <cell r="AI8">
            <v>0</v>
          </cell>
          <cell r="AJ8">
            <v>0</v>
          </cell>
          <cell r="AK8">
            <v>0</v>
          </cell>
          <cell r="AL8">
            <v>14.842000000000001</v>
          </cell>
          <cell r="AM8">
            <v>15.393999999999998</v>
          </cell>
          <cell r="AN8">
            <v>16.515000000000001</v>
          </cell>
          <cell r="AO8">
            <v>18.038999999999998</v>
          </cell>
          <cell r="AP8">
            <v>18.781000000000002</v>
          </cell>
          <cell r="AQ8">
            <v>19.88</v>
          </cell>
          <cell r="AR8">
            <v>20.486000000000001</v>
          </cell>
          <cell r="AS8">
            <v>22.690999999999999</v>
          </cell>
          <cell r="AT8">
            <v>24.619</v>
          </cell>
          <cell r="AU8">
            <v>25.943000000000001</v>
          </cell>
          <cell r="AV8">
            <v>27.084</v>
          </cell>
          <cell r="AW8">
            <v>28.649000000000001</v>
          </cell>
          <cell r="AX8">
            <v>30.764000000000003</v>
          </cell>
          <cell r="AY8">
            <v>31.826999999999998</v>
          </cell>
          <cell r="AZ8">
            <v>34.503</v>
          </cell>
          <cell r="BA8">
            <v>40.836999999999996</v>
          </cell>
          <cell r="BB8">
            <v>42.704000000000001</v>
          </cell>
          <cell r="BC8">
            <v>46.397999999999996</v>
          </cell>
          <cell r="BD8">
            <v>50.311</v>
          </cell>
          <cell r="BE8">
            <v>56.194000000000003</v>
          </cell>
          <cell r="BF8">
            <v>57.763000000000005</v>
          </cell>
          <cell r="BG8">
            <v>63.545999999999999</v>
          </cell>
          <cell r="BH8">
            <v>69.149000000000001</v>
          </cell>
          <cell r="BI8">
            <v>73.10860000000001</v>
          </cell>
          <cell r="BJ8">
            <v>76.600000000000023</v>
          </cell>
          <cell r="BK8">
            <v>80.7</v>
          </cell>
          <cell r="BL8">
            <v>88.012000000000029</v>
          </cell>
          <cell r="BM8">
            <v>95.182458000000011</v>
          </cell>
          <cell r="BN8">
            <v>95.760972714264156</v>
          </cell>
          <cell r="BO8">
            <v>99.04234997757392</v>
          </cell>
          <cell r="BP8">
            <v>106.44251030594114</v>
          </cell>
          <cell r="BQ8">
            <v>112.6964521205357</v>
          </cell>
          <cell r="BW8">
            <v>0</v>
          </cell>
          <cell r="BX8">
            <v>25.928000000000001</v>
          </cell>
          <cell r="BY8">
            <v>38.242999999999995</v>
          </cell>
          <cell r="BZ8">
            <v>48.527999999999999</v>
          </cell>
          <cell r="CA8">
            <v>64.789999999999992</v>
          </cell>
          <cell r="CB8">
            <v>81.838000000000008</v>
          </cell>
          <cell r="CC8">
            <v>106.295</v>
          </cell>
          <cell r="CD8">
            <v>137.93100000000001</v>
          </cell>
          <cell r="CE8">
            <v>195.60700000000003</v>
          </cell>
          <cell r="CF8">
            <v>263.56659999999999</v>
          </cell>
          <cell r="CG8">
            <v>340.49445800000007</v>
          </cell>
          <cell r="CH8">
            <v>413.94228511831489</v>
          </cell>
        </row>
        <row r="16">
          <cell r="A16" t="str">
            <v>Research and development</v>
          </cell>
          <cell r="AL16">
            <v>3.5049999999999999</v>
          </cell>
          <cell r="AM16">
            <v>3.8849999999999998</v>
          </cell>
          <cell r="AN16">
            <v>4.6020000000000003</v>
          </cell>
          <cell r="AO16">
            <v>4.5809999999999995</v>
          </cell>
          <cell r="AP16">
            <v>4.6630000000000003</v>
          </cell>
          <cell r="AQ16">
            <v>4.5979999999999999</v>
          </cell>
          <cell r="AR16">
            <v>4.2869999999999999</v>
          </cell>
          <cell r="AS16">
            <v>4.9829999999999997</v>
          </cell>
          <cell r="AT16">
            <v>5.4510000000000005</v>
          </cell>
          <cell r="AU16">
            <v>5.7320000000000002</v>
          </cell>
          <cell r="AV16">
            <v>5.7519999999999998</v>
          </cell>
          <cell r="AW16">
            <v>6.0200000000000005</v>
          </cell>
          <cell r="AX16">
            <v>7.0490000000000004</v>
          </cell>
          <cell r="AY16">
            <v>7.024</v>
          </cell>
          <cell r="AZ16">
            <v>7.7970000000000006</v>
          </cell>
          <cell r="BA16">
            <v>8.9250000000000007</v>
          </cell>
          <cell r="BB16">
            <v>9.8910000000000018</v>
          </cell>
          <cell r="BC16">
            <v>9.8239999999999998</v>
          </cell>
          <cell r="BD16">
            <v>10.432</v>
          </cell>
          <cell r="BE16">
            <v>11.459</v>
          </cell>
          <cell r="BF16">
            <v>11.747</v>
          </cell>
          <cell r="BG16">
            <v>12.873999999999999</v>
          </cell>
          <cell r="BH16">
            <v>14.115</v>
          </cell>
          <cell r="BI16">
            <v>15.035000000000002</v>
          </cell>
          <cell r="BJ16">
            <v>15.761577042727451</v>
          </cell>
          <cell r="BK16">
            <v>16.669000000000015</v>
          </cell>
          <cell r="BL16">
            <v>17.933999999999997</v>
          </cell>
          <cell r="BM16">
            <v>18.944076041551138</v>
          </cell>
          <cell r="BN16">
            <v>19.630999406424152</v>
          </cell>
          <cell r="BO16">
            <v>20.303681745402653</v>
          </cell>
          <cell r="BP16">
            <v>21.820714612717932</v>
          </cell>
          <cell r="BQ16">
            <v>22.701000000000001</v>
          </cell>
          <cell r="BX16">
            <v>6.0209999999999999</v>
          </cell>
          <cell r="BY16">
            <v>10.407</v>
          </cell>
          <cell r="BZ16">
            <v>10.982999999999999</v>
          </cell>
          <cell r="CA16">
            <v>16.573</v>
          </cell>
          <cell r="CB16">
            <v>18.530999999999999</v>
          </cell>
          <cell r="CC16">
            <v>22.954999999999998</v>
          </cell>
          <cell r="CD16">
            <v>30.795000000000002</v>
          </cell>
          <cell r="CE16">
            <v>41.606000000000009</v>
          </cell>
          <cell r="CF16">
            <v>53.771000000000001</v>
          </cell>
          <cell r="CG16">
            <v>69.308653084278603</v>
          </cell>
          <cell r="CH16">
            <v>84.456395764544737</v>
          </cell>
        </row>
        <row r="17">
          <cell r="A17" t="str">
            <v>Sales and marketing</v>
          </cell>
          <cell r="AL17">
            <v>6.2359999999999998</v>
          </cell>
          <cell r="AM17">
            <v>6.8529999999999998</v>
          </cell>
          <cell r="AN17">
            <v>7.8620000000000001</v>
          </cell>
          <cell r="AO17">
            <v>8.4600000000000009</v>
          </cell>
          <cell r="AP17">
            <v>8.673</v>
          </cell>
          <cell r="AQ17">
            <v>9.2270000000000003</v>
          </cell>
          <cell r="AR17">
            <v>10.126000000000001</v>
          </cell>
          <cell r="AS17">
            <v>11.904999999999999</v>
          </cell>
          <cell r="AT17">
            <v>11.406000000000001</v>
          </cell>
          <cell r="AU17">
            <v>12.483999999999998</v>
          </cell>
          <cell r="AV17">
            <v>13.224</v>
          </cell>
          <cell r="AW17">
            <v>14.578000000000001</v>
          </cell>
          <cell r="AX17">
            <v>15.283999999999999</v>
          </cell>
          <cell r="AY17">
            <v>15.164000000000001</v>
          </cell>
          <cell r="AZ17">
            <v>16.212999999999997</v>
          </cell>
          <cell r="BA17">
            <v>19.107000000000003</v>
          </cell>
          <cell r="BB17">
            <v>19.623999999999999</v>
          </cell>
          <cell r="BC17">
            <v>20.671999999999997</v>
          </cell>
          <cell r="BD17">
            <v>21.898999999999997</v>
          </cell>
          <cell r="BE17">
            <v>24.971</v>
          </cell>
          <cell r="BF17">
            <v>26.75</v>
          </cell>
          <cell r="BG17">
            <v>31.556000000000001</v>
          </cell>
          <cell r="BH17">
            <v>33.359000000000002</v>
          </cell>
          <cell r="BI17">
            <v>35.400000000000006</v>
          </cell>
          <cell r="BJ17">
            <v>35.351000000000006</v>
          </cell>
          <cell r="BK17">
            <v>37.046999999999997</v>
          </cell>
          <cell r="BL17">
            <v>39.202999999999989</v>
          </cell>
          <cell r="BM17">
            <v>42.45300000000001</v>
          </cell>
          <cell r="BN17">
            <v>43.677000000000014</v>
          </cell>
          <cell r="BO17">
            <v>44.2</v>
          </cell>
          <cell r="BP17">
            <v>46.789999999999992</v>
          </cell>
          <cell r="BQ17">
            <v>49.895999999999987</v>
          </cell>
          <cell r="BX17">
            <v>19.237000000000002</v>
          </cell>
          <cell r="BY17">
            <v>31.573</v>
          </cell>
          <cell r="BZ17">
            <v>26.444999999999997</v>
          </cell>
          <cell r="CA17">
            <v>29.411000000000001</v>
          </cell>
          <cell r="CB17">
            <v>39.930999999999997</v>
          </cell>
          <cell r="CC17">
            <v>51.692000000000007</v>
          </cell>
          <cell r="CD17">
            <v>65.768000000000001</v>
          </cell>
          <cell r="CE17">
            <v>87.165999999999997</v>
          </cell>
          <cell r="CF17">
            <v>127.065</v>
          </cell>
          <cell r="CG17">
            <v>154.054</v>
          </cell>
          <cell r="CH17">
            <v>184.56299999999999</v>
          </cell>
        </row>
        <row r="18">
          <cell r="A18" t="str">
            <v>General and administrative</v>
          </cell>
          <cell r="AL18">
            <v>1.4829999999999999</v>
          </cell>
          <cell r="AM18">
            <v>1.504</v>
          </cell>
          <cell r="AN18">
            <v>1.8790000000000002</v>
          </cell>
          <cell r="AO18">
            <v>1.7310000000000001</v>
          </cell>
          <cell r="AP18">
            <v>1.8029999999999999</v>
          </cell>
          <cell r="AQ18">
            <v>1.8530000000000002</v>
          </cell>
          <cell r="AR18">
            <v>1.8230000000000002</v>
          </cell>
          <cell r="AS18">
            <v>2.8279999999999998</v>
          </cell>
          <cell r="AT18">
            <v>2.4780000000000002</v>
          </cell>
          <cell r="AU18">
            <v>2.4580000000000002</v>
          </cell>
          <cell r="AV18">
            <v>2.7509999999999999</v>
          </cell>
          <cell r="AW18">
            <v>3.395</v>
          </cell>
          <cell r="AX18">
            <v>3.3780000000000001</v>
          </cell>
          <cell r="AY18">
            <v>3.2549999999999999</v>
          </cell>
          <cell r="AZ18">
            <v>3.3950000000000005</v>
          </cell>
          <cell r="BA18">
            <v>4.9530000000000003</v>
          </cell>
          <cell r="BB18">
            <v>4.0600000000000005</v>
          </cell>
          <cell r="BC18">
            <v>5.0200000000000005</v>
          </cell>
          <cell r="BD18">
            <v>4.9250000000000007</v>
          </cell>
          <cell r="BE18">
            <v>5.2670000000000003</v>
          </cell>
          <cell r="BF18">
            <v>5.0720000000000001</v>
          </cell>
          <cell r="BG18">
            <v>5.5759999999999987</v>
          </cell>
          <cell r="BH18">
            <v>6.7230000000000008</v>
          </cell>
          <cell r="BI18">
            <v>7.0349999999999993</v>
          </cell>
          <cell r="BJ18">
            <v>7.2770000000000019</v>
          </cell>
          <cell r="BK18">
            <v>7.5051000000000005</v>
          </cell>
          <cell r="BL18">
            <v>8.0971040000000016</v>
          </cell>
          <cell r="BM18">
            <v>8.5664212200000005</v>
          </cell>
          <cell r="BN18">
            <v>8.6184875442837736</v>
          </cell>
          <cell r="BO18">
            <v>8.9138114979816532</v>
          </cell>
          <cell r="BP18">
            <v>9.5798259275347029</v>
          </cell>
          <cell r="BQ18">
            <v>10.011000000000001</v>
          </cell>
          <cell r="BX18">
            <v>3.5949999999999998</v>
          </cell>
          <cell r="BY18">
            <v>4.5170000000000003</v>
          </cell>
          <cell r="BZ18">
            <v>4.9459999999999997</v>
          </cell>
          <cell r="CA18">
            <v>6.5970000000000004</v>
          </cell>
          <cell r="CB18">
            <v>8.3070000000000004</v>
          </cell>
          <cell r="CC18">
            <v>11.081999999999999</v>
          </cell>
          <cell r="CD18">
            <v>14.981000000000002</v>
          </cell>
          <cell r="CE18">
            <v>19.272000000000002</v>
          </cell>
          <cell r="CF18">
            <v>24.406000000000002</v>
          </cell>
          <cell r="CG18">
            <v>31.445625220000004</v>
          </cell>
          <cell r="CH18">
            <v>37.123124969800131</v>
          </cell>
        </row>
        <row r="21">
          <cell r="A21" t="str">
            <v>Operating Income</v>
          </cell>
          <cell r="AH21">
            <v>0</v>
          </cell>
          <cell r="AI21">
            <v>0</v>
          </cell>
          <cell r="AJ21">
            <v>0</v>
          </cell>
          <cell r="AK21">
            <v>0</v>
          </cell>
          <cell r="AL21">
            <v>-2.2809999999999988</v>
          </cell>
          <cell r="AM21">
            <v>-2.6880000000000006</v>
          </cell>
          <cell r="AN21">
            <v>-3.8949999999999996</v>
          </cell>
          <cell r="AO21">
            <v>-3.413000000000002</v>
          </cell>
          <cell r="AP21">
            <v>-2.7269999999999968</v>
          </cell>
          <cell r="AQ21">
            <v>-2.0810000000000013</v>
          </cell>
          <cell r="AR21">
            <v>-1.9670000000000005</v>
          </cell>
          <cell r="AS21">
            <v>-3.6219999999999963</v>
          </cell>
          <cell r="AT21">
            <v>-1.8030000000000008</v>
          </cell>
          <cell r="AU21">
            <v>-1.9579999999999984</v>
          </cell>
          <cell r="AV21">
            <v>-2.2149999999999999</v>
          </cell>
          <cell r="AW21">
            <v>-3.1009999999999991</v>
          </cell>
          <cell r="AX21">
            <v>-3.3819999999999943</v>
          </cell>
          <cell r="AY21">
            <v>-2.2860000000000014</v>
          </cell>
          <cell r="AZ21">
            <v>-2.4319999999999986</v>
          </cell>
          <cell r="BA21">
            <v>-3.4530000000000101</v>
          </cell>
          <cell r="BB21">
            <v>-3.2120000000000033</v>
          </cell>
          <cell r="BC21">
            <v>-2.7500000000000071</v>
          </cell>
          <cell r="BD21">
            <v>-2.2259999999999991</v>
          </cell>
          <cell r="BE21">
            <v>-2.7629999999999981</v>
          </cell>
          <cell r="BF21">
            <v>-1.5649999999999977</v>
          </cell>
          <cell r="BG21">
            <v>-2.5879999999999939</v>
          </cell>
          <cell r="BH21">
            <v>-0.93599999999999994</v>
          </cell>
          <cell r="BI21">
            <v>-3.3183999999999969</v>
          </cell>
          <cell r="BJ21">
            <v>-0.66857704272745622</v>
          </cell>
          <cell r="BK21">
            <v>0.34289999999998599</v>
          </cell>
          <cell r="BL21">
            <v>2.2288960000000344</v>
          </cell>
          <cell r="BM21">
            <v>3.2454607384488838</v>
          </cell>
          <cell r="BN21">
            <v>1.0795638967497041</v>
          </cell>
          <cell r="BO21">
            <v>1.5098095313924063</v>
          </cell>
          <cell r="BP21">
            <v>3.2239697656885227</v>
          </cell>
          <cell r="BQ21">
            <v>3.5304521205357275</v>
          </cell>
          <cell r="BW21">
            <v>0</v>
          </cell>
          <cell r="BX21">
            <v>-11.988</v>
          </cell>
          <cell r="BY21">
            <v>-22.344000000000012</v>
          </cell>
          <cell r="BZ21">
            <v>-12.647999999999996</v>
          </cell>
          <cell r="CA21">
            <v>-12.277000000000008</v>
          </cell>
          <cell r="CB21">
            <v>-10.396999999999998</v>
          </cell>
          <cell r="CC21">
            <v>-9.076999999999984</v>
          </cell>
          <cell r="CD21">
            <v>-11.553000000000011</v>
          </cell>
          <cell r="CE21">
            <v>-10.950999999999993</v>
          </cell>
          <cell r="CF21">
            <v>-8.4073999999999671</v>
          </cell>
          <cell r="CG21">
            <v>5.148679695721448</v>
          </cell>
          <cell r="CH21">
            <v>9.3437953143663321</v>
          </cell>
        </row>
        <row r="22">
          <cell r="A22" t="str">
            <v>Interest income (expense)</v>
          </cell>
          <cell r="AL22">
            <v>-0.01</v>
          </cell>
          <cell r="AM22">
            <v>-8.9999999999999993E-3</v>
          </cell>
          <cell r="AN22">
            <v>-0.29899999999999999</v>
          </cell>
          <cell r="AO22">
            <v>-2.1999999999999999E-2</v>
          </cell>
          <cell r="AP22">
            <v>-7.5999999999999998E-2</v>
          </cell>
          <cell r="AQ22">
            <v>-0.112</v>
          </cell>
          <cell r="AR22">
            <v>-7.0000000000000007E-2</v>
          </cell>
          <cell r="AS22">
            <v>-4.2000000000000003E-2</v>
          </cell>
          <cell r="AT22">
            <v>-0.06</v>
          </cell>
          <cell r="AU22">
            <v>-4.2999999999999997E-2</v>
          </cell>
          <cell r="AV22">
            <v>-7.0000000000000001E-3</v>
          </cell>
          <cell r="AW22">
            <v>2E-3</v>
          </cell>
          <cell r="AX22">
            <v>1.2E-2</v>
          </cell>
          <cell r="AY22">
            <v>-5.0000000000000001E-3</v>
          </cell>
          <cell r="AZ22">
            <v>-1.0999999999999999E-2</v>
          </cell>
          <cell r="BA22">
            <v>-0.63700000000000001</v>
          </cell>
          <cell r="BB22">
            <v>-0.63000000000000034</v>
          </cell>
          <cell r="BC22">
            <v>-0.625</v>
          </cell>
          <cell r="BD22">
            <v>-2.8140000000000001</v>
          </cell>
          <cell r="BE22">
            <v>-0.59399999999999986</v>
          </cell>
          <cell r="BF22">
            <v>-0.58700000000000019</v>
          </cell>
          <cell r="BG22">
            <v>-0.63599999999999968</v>
          </cell>
          <cell r="BH22">
            <v>-0.95399999999999974</v>
          </cell>
          <cell r="BI22">
            <v>-0.62890625</v>
          </cell>
          <cell r="BJ22">
            <v>-1.05</v>
          </cell>
          <cell r="BK22">
            <v>-1.05</v>
          </cell>
          <cell r="BL22">
            <v>-1.05</v>
          </cell>
          <cell r="BM22">
            <v>-1.05</v>
          </cell>
          <cell r="BN22">
            <v>-1.05</v>
          </cell>
          <cell r="BO22">
            <v>-1.05</v>
          </cell>
          <cell r="BP22">
            <v>-1.05</v>
          </cell>
          <cell r="BQ22">
            <v>-1.05</v>
          </cell>
          <cell r="BX22">
            <v>0.49099999999999999</v>
          </cell>
          <cell r="BY22">
            <v>0.53600000000000003</v>
          </cell>
          <cell r="BZ22">
            <v>8.6999999999999994E-2</v>
          </cell>
          <cell r="CA22">
            <v>-0.34</v>
          </cell>
          <cell r="CB22">
            <v>-0.3</v>
          </cell>
          <cell r="CC22">
            <v>-0.108</v>
          </cell>
          <cell r="CD22">
            <v>-0.64100000000000001</v>
          </cell>
          <cell r="CE22">
            <v>-4.6630000000000003</v>
          </cell>
          <cell r="CF22">
            <v>-2.8059062499999996</v>
          </cell>
          <cell r="CG22">
            <v>-4.2</v>
          </cell>
          <cell r="CH22">
            <v>-4.2</v>
          </cell>
        </row>
        <row r="23">
          <cell r="A23" t="str">
            <v>Other income (expense</v>
          </cell>
          <cell r="AL23">
            <v>-0.106</v>
          </cell>
          <cell r="AM23">
            <v>-5.0999999999999997E-2</v>
          </cell>
          <cell r="AN23">
            <v>3.4000000000000002E-2</v>
          </cell>
          <cell r="AO23">
            <v>-0.13500000000000001</v>
          </cell>
          <cell r="AP23">
            <v>0.14899999999999999</v>
          </cell>
          <cell r="AQ23">
            <v>9.4E-2</v>
          </cell>
          <cell r="AR23">
            <v>-3.1E-2</v>
          </cell>
          <cell r="AS23">
            <v>-9.9000000000000005E-2</v>
          </cell>
          <cell r="AT23">
            <v>-3.1E-2</v>
          </cell>
          <cell r="AU23">
            <v>-0.17799999999999999</v>
          </cell>
          <cell r="AV23">
            <v>0.109</v>
          </cell>
          <cell r="AW23">
            <v>-5.3999999999999999E-2</v>
          </cell>
          <cell r="AX23">
            <v>-0.36699999999999999</v>
          </cell>
          <cell r="AY23">
            <v>-0.14799999999999999</v>
          </cell>
          <cell r="AZ23">
            <v>0.111</v>
          </cell>
          <cell r="BA23">
            <v>-5.1999999999999998E-2</v>
          </cell>
          <cell r="BB23">
            <v>-0.19900000000000001</v>
          </cell>
          <cell r="BC23">
            <v>0.68300000000000005</v>
          </cell>
          <cell r="BD23">
            <v>1.0229999999999999</v>
          </cell>
          <cell r="BE23">
            <v>-0.11099999999999996</v>
          </cell>
          <cell r="BF23">
            <v>-1.18</v>
          </cell>
          <cell r="BG23">
            <v>-0.08</v>
          </cell>
          <cell r="BH23">
            <v>-0.375</v>
          </cell>
          <cell r="BI23">
            <v>-0.375</v>
          </cell>
          <cell r="BJ23">
            <v>-0.5</v>
          </cell>
          <cell r="BK23">
            <v>0</v>
          </cell>
          <cell r="BL23">
            <v>0</v>
          </cell>
          <cell r="BN23">
            <v>0</v>
          </cell>
          <cell r="BO23">
            <v>0</v>
          </cell>
          <cell r="BP23">
            <v>0</v>
          </cell>
          <cell r="BQ23">
            <v>0</v>
          </cell>
          <cell r="BX23">
            <v>7.2999999999999995E-2</v>
          </cell>
          <cell r="BY23">
            <v>-0.183</v>
          </cell>
          <cell r="BZ23">
            <v>-0.26900000000000002</v>
          </cell>
          <cell r="CA23">
            <v>-0.25800000000000001</v>
          </cell>
          <cell r="CB23">
            <v>0.11299999999999999</v>
          </cell>
          <cell r="CC23">
            <v>-0.154</v>
          </cell>
          <cell r="CD23">
            <v>-0.45600000000000002</v>
          </cell>
          <cell r="CE23">
            <v>1.3959999999999999</v>
          </cell>
          <cell r="CF23">
            <v>-2.0099999999999998</v>
          </cell>
          <cell r="CG23">
            <v>-0.5</v>
          </cell>
        </row>
        <row r="25">
          <cell r="A25" t="str">
            <v>Taxes, Net</v>
          </cell>
          <cell r="AL25">
            <v>-3.2000000000000001E-2</v>
          </cell>
          <cell r="AM25">
            <v>-5.3999999999999999E-2</v>
          </cell>
          <cell r="AN25">
            <v>-5.8000000000000003E-2</v>
          </cell>
          <cell r="AO25">
            <v>-9.9000000000000005E-2</v>
          </cell>
          <cell r="AP25">
            <v>-0.106</v>
          </cell>
          <cell r="AQ25">
            <v>-0.03</v>
          </cell>
          <cell r="AR25">
            <v>-3.3000000000000002E-2</v>
          </cell>
          <cell r="AS25">
            <v>-0.20100000000000001</v>
          </cell>
          <cell r="AT25">
            <v>-7.9000000000000001E-2</v>
          </cell>
          <cell r="AU25">
            <v>-0.23200000000000001</v>
          </cell>
          <cell r="AV25">
            <v>-0.20699999999999999</v>
          </cell>
          <cell r="AW25">
            <v>-9.0999999999999998E-2</v>
          </cell>
          <cell r="AX25">
            <v>-0.14199999999999999</v>
          </cell>
          <cell r="AY25">
            <v>-0.10199999999999987</v>
          </cell>
          <cell r="AZ25">
            <v>-2E-3</v>
          </cell>
          <cell r="BA25">
            <v>-0.19</v>
          </cell>
          <cell r="BB25">
            <v>-0.20099999999999998</v>
          </cell>
          <cell r="BC25">
            <v>-0.23499999999999999</v>
          </cell>
          <cell r="BD25">
            <v>-0.21299999999999999</v>
          </cell>
          <cell r="BE25">
            <v>-0.10399999999999998</v>
          </cell>
          <cell r="BF25">
            <v>-0.222</v>
          </cell>
          <cell r="BG25">
            <v>-0.13900000000000001</v>
          </cell>
          <cell r="BH25">
            <v>-0.24299999999999999</v>
          </cell>
          <cell r="BI25">
            <v>-0.24299999999999999</v>
          </cell>
          <cell r="BJ25">
            <v>0</v>
          </cell>
          <cell r="BK25">
            <v>0</v>
          </cell>
          <cell r="BL25">
            <v>0</v>
          </cell>
          <cell r="BW25">
            <v>0</v>
          </cell>
          <cell r="BX25">
            <v>-0.10199999999999999</v>
          </cell>
          <cell r="BY25">
            <v>-0.13800000000000001</v>
          </cell>
          <cell r="BZ25">
            <v>-0.23300000000000001</v>
          </cell>
          <cell r="CA25">
            <v>-0.24299999999999999</v>
          </cell>
          <cell r="CB25">
            <v>-0.37</v>
          </cell>
          <cell r="CC25">
            <v>-0.60899999999999999</v>
          </cell>
          <cell r="CD25">
            <v>-0.43599999999999983</v>
          </cell>
          <cell r="CE25">
            <v>-0.75299999999999989</v>
          </cell>
          <cell r="CF25">
            <v>-0.84699999999999998</v>
          </cell>
          <cell r="CG25">
            <v>0</v>
          </cell>
          <cell r="CH25">
            <v>0</v>
          </cell>
        </row>
        <row r="27">
          <cell r="A27" t="str">
            <v>Earnings per Share (U.S.$)</v>
          </cell>
          <cell r="AH27">
            <v>0</v>
          </cell>
          <cell r="AI27">
            <v>0</v>
          </cell>
          <cell r="AJ27">
            <v>0</v>
          </cell>
          <cell r="AK27">
            <v>0</v>
          </cell>
          <cell r="AL27">
            <v>-0.10694221862177053</v>
          </cell>
          <cell r="AM27">
            <v>-0.12201919559650928</v>
          </cell>
          <cell r="AN27">
            <v>-0.18151694459386766</v>
          </cell>
          <cell r="AO27">
            <v>-0.15729903536977502</v>
          </cell>
          <cell r="AP27">
            <v>-0.1180753714454392</v>
          </cell>
          <cell r="AQ27">
            <v>-9.0781557144623742E-2</v>
          </cell>
          <cell r="AR27">
            <v>-8.9020897242513122E-2</v>
          </cell>
          <cell r="AS27">
            <v>-0.16660642384606963</v>
          </cell>
          <cell r="AT27">
            <v>-7.8337171444453305E-2</v>
          </cell>
          <cell r="AU27">
            <v>-7.9599854732741213E-2</v>
          </cell>
          <cell r="AV27">
            <v>-7.2855168948624538E-2</v>
          </cell>
          <cell r="AW27">
            <v>-0.10016055329134246</v>
          </cell>
          <cell r="AX27">
            <v>-0.11592600340695121</v>
          </cell>
          <cell r="AY27">
            <v>-7.3386281588447691E-2</v>
          </cell>
          <cell r="AZ27">
            <v>-6.586522180833046E-2</v>
          </cell>
          <cell r="BA27">
            <v>-0.12040691533715077</v>
          </cell>
          <cell r="BB27">
            <v>-0.11601575319986882</v>
          </cell>
          <cell r="BC27">
            <v>-7.886299339889552E-2</v>
          </cell>
          <cell r="BD27">
            <v>-0.11263780156574531</v>
          </cell>
          <cell r="BE27">
            <v>-9.3349013458774277E-2</v>
          </cell>
          <cell r="BF27">
            <v>-9.1228790717971048E-2</v>
          </cell>
          <cell r="BG27">
            <v>-8.7016958576591433E-2</v>
          </cell>
          <cell r="BH27">
            <v>-6.2587342782990607E-2</v>
          </cell>
          <cell r="BI27">
            <v>-0.11238506843582288</v>
          </cell>
          <cell r="BJ27">
            <v>-5.3625085631041673E-2</v>
          </cell>
          <cell r="BK27">
            <v>-1.6786952186506197E-2</v>
          </cell>
          <cell r="BL27">
            <v>2.7498040679232002E-2</v>
          </cell>
          <cell r="BM27">
            <v>5.0329208620624545E-2</v>
          </cell>
          <cell r="BN27">
            <v>6.6627370300423815E-4</v>
          </cell>
          <cell r="BO27">
            <v>1.019036238181832E-2</v>
          </cell>
          <cell r="BP27">
            <v>4.7392085927984891E-2</v>
          </cell>
          <cell r="BQ27">
            <v>5.3203468760150308E-2</v>
          </cell>
          <cell r="BW27" t="e">
            <v>#DIV/0!</v>
          </cell>
          <cell r="BX27">
            <v>-0.50745821812866521</v>
          </cell>
          <cell r="BY27">
            <v>-0.97427927372629186</v>
          </cell>
          <cell r="BZ27">
            <v>-0.57512811933148988</v>
          </cell>
          <cell r="CA27">
            <v>-0.56777739418192241</v>
          </cell>
          <cell r="CB27">
            <v>-0.46448424967864566</v>
          </cell>
          <cell r="CC27">
            <v>-0.33095274841716149</v>
          </cell>
          <cell r="CD27">
            <v>-0.37558442214088011</v>
          </cell>
          <cell r="CE27">
            <v>-0.40086556162328391</v>
          </cell>
          <cell r="CF27">
            <v>-0.35348531573063258</v>
          </cell>
          <cell r="CG27">
            <v>7.415211482308677E-3</v>
          </cell>
          <cell r="CH27">
            <v>0.11305790083667784</v>
          </cell>
        </row>
        <row r="28">
          <cell r="A28" t="str">
            <v>Shares O/S</v>
          </cell>
          <cell r="AH28">
            <v>22.713200000000001</v>
          </cell>
          <cell r="AI28">
            <v>22.713200000000001</v>
          </cell>
          <cell r="AJ28">
            <v>22.713200000000001</v>
          </cell>
          <cell r="AK28">
            <v>22.713200000000001</v>
          </cell>
          <cell r="AL28">
            <v>22.713200000000001</v>
          </cell>
          <cell r="AM28">
            <v>22.9636</v>
          </cell>
          <cell r="AN28">
            <v>23.237500000000001</v>
          </cell>
          <cell r="AO28">
            <v>23.324999999999999</v>
          </cell>
          <cell r="AP28">
            <v>23.3749</v>
          </cell>
          <cell r="AQ28">
            <v>23.451899999999998</v>
          </cell>
          <cell r="AR28">
            <v>23.601199999999999</v>
          </cell>
          <cell r="AS28">
            <v>23.7926</v>
          </cell>
          <cell r="AT28">
            <v>25.186</v>
          </cell>
          <cell r="AU28">
            <v>30.289000000000001</v>
          </cell>
          <cell r="AV28">
            <v>31.844000000000001</v>
          </cell>
          <cell r="AW28">
            <v>32.387999999999998</v>
          </cell>
          <cell r="AX28">
            <v>33.460999999999999</v>
          </cell>
          <cell r="AY28">
            <v>34.625</v>
          </cell>
          <cell r="AZ28">
            <v>35.436</v>
          </cell>
          <cell r="BA28">
            <v>35.978000000000002</v>
          </cell>
          <cell r="BB28">
            <v>36.564</v>
          </cell>
          <cell r="BC28">
            <v>37.115000000000002</v>
          </cell>
          <cell r="BD28">
            <v>37.554000000000002</v>
          </cell>
          <cell r="BE28">
            <v>38.265000000000001</v>
          </cell>
          <cell r="BF28">
            <v>38.957000000000001</v>
          </cell>
          <cell r="BG28">
            <v>39.567</v>
          </cell>
          <cell r="BH28">
            <v>40.072000000000003</v>
          </cell>
          <cell r="BI28">
            <v>40.622</v>
          </cell>
          <cell r="BJ28">
            <v>41.372</v>
          </cell>
          <cell r="BK28">
            <v>42.122</v>
          </cell>
          <cell r="BL28">
            <v>42.872</v>
          </cell>
          <cell r="BM28">
            <v>43.622</v>
          </cell>
          <cell r="BN28">
            <v>44.372</v>
          </cell>
          <cell r="BO28">
            <v>45.122</v>
          </cell>
          <cell r="BP28">
            <v>45.872</v>
          </cell>
          <cell r="BQ28">
            <v>46.622</v>
          </cell>
          <cell r="BX28">
            <v>22.713200000000001</v>
          </cell>
          <cell r="BY28">
            <v>22.713200000000001</v>
          </cell>
          <cell r="BZ28">
            <v>22.713200000000001</v>
          </cell>
          <cell r="CA28">
            <v>23.059825</v>
          </cell>
          <cell r="CB28">
            <v>23.555149999999998</v>
          </cell>
          <cell r="CC28">
            <v>29.926749999999998</v>
          </cell>
          <cell r="CD28">
            <v>34.875</v>
          </cell>
          <cell r="CE28">
            <v>37.374499999999998</v>
          </cell>
          <cell r="CF28">
            <v>39.804500000000004</v>
          </cell>
          <cell r="CG28">
            <v>42.497</v>
          </cell>
          <cell r="CH28">
            <v>45.497</v>
          </cell>
        </row>
        <row r="96">
          <cell r="A96" t="str">
            <v>DSO (based on recognized rev.)</v>
          </cell>
          <cell r="AH96" t="e">
            <v>#DIV/0!</v>
          </cell>
          <cell r="AI96" t="e">
            <v>#DIV/0!</v>
          </cell>
          <cell r="AJ96" t="e">
            <v>#DIV/0!</v>
          </cell>
          <cell r="AK96" t="e">
            <v>#DIV/0!</v>
          </cell>
          <cell r="AL96">
            <v>67.915375286349544</v>
          </cell>
          <cell r="AM96">
            <v>68.403274002858268</v>
          </cell>
          <cell r="AN96">
            <v>64.850136239782017</v>
          </cell>
          <cell r="AO96">
            <v>64.285714285714292</v>
          </cell>
          <cell r="AP96">
            <v>57.504925190351948</v>
          </cell>
          <cell r="AQ96">
            <v>53.87323943661972</v>
          </cell>
          <cell r="AR96">
            <v>55.029776432685736</v>
          </cell>
          <cell r="AS96">
            <v>62.624388524084445</v>
          </cell>
          <cell r="AT96">
            <v>52.40099110443154</v>
          </cell>
          <cell r="AU96">
            <v>42.451913811047291</v>
          </cell>
          <cell r="AV96">
            <v>56.760079751883026</v>
          </cell>
          <cell r="AW96">
            <v>56.907745471046105</v>
          </cell>
          <cell r="AX96">
            <v>60.101417240930957</v>
          </cell>
          <cell r="AY96">
            <v>59.536242812706192</v>
          </cell>
          <cell r="AZ96">
            <v>57.075906442918004</v>
          </cell>
          <cell r="BA96">
            <v>57.78803536009012</v>
          </cell>
          <cell r="BB96">
            <v>47.09699325590109</v>
          </cell>
          <cell r="BC96">
            <v>50.962757015388597</v>
          </cell>
          <cell r="BD96">
            <v>58.621375047206378</v>
          </cell>
          <cell r="BE96">
            <v>65.524433213510335</v>
          </cell>
          <cell r="BF96">
            <v>50.086387479874652</v>
          </cell>
          <cell r="BG96">
            <v>62.73911811915778</v>
          </cell>
          <cell r="BH96">
            <v>49.975126176806604</v>
          </cell>
          <cell r="BI96">
            <v>58</v>
          </cell>
          <cell r="BJ96">
            <v>48</v>
          </cell>
          <cell r="BK96">
            <v>50</v>
          </cell>
          <cell r="BL96">
            <v>51</v>
          </cell>
          <cell r="BM96">
            <v>53</v>
          </cell>
          <cell r="BN96">
            <v>48</v>
          </cell>
          <cell r="BO96">
            <v>48</v>
          </cell>
          <cell r="BP96">
            <v>47</v>
          </cell>
          <cell r="BQ96">
            <v>46</v>
          </cell>
          <cell r="CC96">
            <v>52.130182534601985</v>
          </cell>
          <cell r="CD96">
            <v>58.625400464161316</v>
          </cell>
          <cell r="CE96">
            <v>55.551389633001605</v>
          </cell>
          <cell r="CF96">
            <v>55.200157943959759</v>
          </cell>
          <cell r="CG96">
            <v>50.5</v>
          </cell>
          <cell r="CH96">
            <v>47.25</v>
          </cell>
        </row>
        <row r="97">
          <cell r="A97" t="str">
            <v>Total Cash &amp; Equivalents ($Mil)</v>
          </cell>
          <cell r="AH97">
            <v>0</v>
          </cell>
          <cell r="AI97">
            <v>0</v>
          </cell>
          <cell r="AJ97">
            <v>0</v>
          </cell>
          <cell r="AK97">
            <v>11.317</v>
          </cell>
          <cell r="AL97">
            <v>10.4</v>
          </cell>
          <cell r="AM97">
            <v>11.6</v>
          </cell>
          <cell r="AN97">
            <v>13</v>
          </cell>
          <cell r="AO97">
            <v>12.747</v>
          </cell>
          <cell r="AP97">
            <v>16.021000000000001</v>
          </cell>
          <cell r="AQ97">
            <v>13.751999999999999</v>
          </cell>
          <cell r="AR97">
            <v>12.108000000000001</v>
          </cell>
          <cell r="AS97">
            <v>12.713999999999999</v>
          </cell>
          <cell r="AT97">
            <v>13.190999999999999</v>
          </cell>
          <cell r="AU97">
            <v>81.353999999999999</v>
          </cell>
          <cell r="AV97">
            <v>80.652999999999992</v>
          </cell>
          <cell r="AW97">
            <v>86.807999999999993</v>
          </cell>
          <cell r="AX97">
            <v>90.242000000000004</v>
          </cell>
          <cell r="AY97">
            <v>89.683999999999997</v>
          </cell>
          <cell r="AZ97">
            <v>71.588000000000008</v>
          </cell>
          <cell r="BA97">
            <v>251.80099999999999</v>
          </cell>
          <cell r="BB97">
            <v>257.24700000000001</v>
          </cell>
          <cell r="BC97">
            <v>226.845</v>
          </cell>
          <cell r="BD97">
            <v>232.79199999999997</v>
          </cell>
          <cell r="BE97">
            <v>214.98599999999999</v>
          </cell>
          <cell r="BF97">
            <v>193.535</v>
          </cell>
          <cell r="BG97">
            <v>410.654</v>
          </cell>
          <cell r="BH97">
            <v>416.37</v>
          </cell>
          <cell r="BI97">
            <v>412.42718037296294</v>
          </cell>
          <cell r="BJ97">
            <v>406.58995170951266</v>
          </cell>
          <cell r="BK97">
            <v>390.36492792163097</v>
          </cell>
          <cell r="BL97">
            <v>379.2753868830485</v>
          </cell>
          <cell r="BM97">
            <v>375.86608220802179</v>
          </cell>
          <cell r="BN97">
            <v>382.47824133628251</v>
          </cell>
          <cell r="BO97">
            <v>384.93705816460431</v>
          </cell>
          <cell r="BP97">
            <v>389.80942240390306</v>
          </cell>
          <cell r="BQ97">
            <v>398.22168084843037</v>
          </cell>
          <cell r="BV97">
            <v>0</v>
          </cell>
          <cell r="BW97">
            <v>0</v>
          </cell>
          <cell r="BX97">
            <v>0</v>
          </cell>
          <cell r="BY97">
            <v>0</v>
          </cell>
          <cell r="BZ97">
            <v>11.317</v>
          </cell>
          <cell r="CA97">
            <v>12.747</v>
          </cell>
          <cell r="CB97">
            <v>12.713999999999999</v>
          </cell>
          <cell r="CC97">
            <v>86.807999999999993</v>
          </cell>
          <cell r="CD97">
            <v>251.80099999999999</v>
          </cell>
          <cell r="CE97">
            <v>214.98599999999999</v>
          </cell>
          <cell r="CF97">
            <v>412.42718037296294</v>
          </cell>
          <cell r="CG97">
            <v>375.86608220802179</v>
          </cell>
          <cell r="CH97">
            <v>398.22168084843037</v>
          </cell>
        </row>
        <row r="100">
          <cell r="A100" t="str">
            <v xml:space="preserve">     Debt</v>
          </cell>
          <cell r="AH100">
            <v>0</v>
          </cell>
          <cell r="AI100">
            <v>0</v>
          </cell>
          <cell r="AJ100">
            <v>0</v>
          </cell>
          <cell r="AK100">
            <v>0.74099999999999999</v>
          </cell>
          <cell r="AL100">
            <v>0.60000000000000009</v>
          </cell>
          <cell r="AM100">
            <v>0.5</v>
          </cell>
          <cell r="AN100">
            <v>0.4</v>
          </cell>
          <cell r="AO100">
            <v>0.26400000000000001</v>
          </cell>
          <cell r="AP100">
            <v>0.2</v>
          </cell>
          <cell r="AQ100">
            <v>1.9</v>
          </cell>
          <cell r="AR100">
            <v>3.0169999999999999</v>
          </cell>
          <cell r="AS100">
            <v>4.9809999999999999</v>
          </cell>
          <cell r="AT100">
            <v>4.9530000000000003</v>
          </cell>
          <cell r="AU100">
            <v>4.7969999999999997</v>
          </cell>
          <cell r="AV100">
            <v>4.4249999999999998</v>
          </cell>
          <cell r="AW100">
            <v>4.0120000000000005</v>
          </cell>
          <cell r="AX100">
            <v>3.5979999999999999</v>
          </cell>
          <cell r="AY100">
            <v>3.2029999999999998</v>
          </cell>
          <cell r="AZ100">
            <v>2.7770000000000001</v>
          </cell>
          <cell r="BA100">
            <v>155.27799999999999</v>
          </cell>
          <cell r="BB100">
            <v>156.99699999999999</v>
          </cell>
          <cell r="BC100">
            <v>158.74299999999999</v>
          </cell>
          <cell r="BD100">
            <v>160.51900000000001</v>
          </cell>
          <cell r="BE100">
            <v>162.32499999999999</v>
          </cell>
          <cell r="BF100">
            <v>164.16200000000001</v>
          </cell>
          <cell r="BG100">
            <v>335.73</v>
          </cell>
          <cell r="BH100">
            <v>340.70500000000004</v>
          </cell>
          <cell r="BI100">
            <v>345.59716711273177</v>
          </cell>
          <cell r="BJ100">
            <v>345.65607298823267</v>
          </cell>
          <cell r="BK100">
            <v>345.15318792111418</v>
          </cell>
          <cell r="BL100">
            <v>343.87853052389738</v>
          </cell>
          <cell r="BM100">
            <v>340.93856002139398</v>
          </cell>
          <cell r="BN100">
            <v>339.96452436422322</v>
          </cell>
          <cell r="BO100">
            <v>339.13629761143153</v>
          </cell>
          <cell r="BP100">
            <v>338.52512351088751</v>
          </cell>
          <cell r="BQ100">
            <v>343.92459872261492</v>
          </cell>
          <cell r="BV100">
            <v>0</v>
          </cell>
          <cell r="BW100">
            <v>0</v>
          </cell>
          <cell r="BX100">
            <v>0</v>
          </cell>
          <cell r="BY100">
            <v>0</v>
          </cell>
          <cell r="BZ100">
            <v>0.74099999999999999</v>
          </cell>
          <cell r="CA100">
            <v>0.26400000000000001</v>
          </cell>
          <cell r="CB100">
            <v>4.9809999999999999</v>
          </cell>
          <cell r="CC100">
            <v>4.0120000000000005</v>
          </cell>
          <cell r="CD100">
            <v>155.27799999999999</v>
          </cell>
          <cell r="CE100">
            <v>162.32499999999999</v>
          </cell>
          <cell r="CF100">
            <v>345.59716711273177</v>
          </cell>
          <cell r="CG100">
            <v>340.93856002139398</v>
          </cell>
          <cell r="CH100">
            <v>343.92459872261492</v>
          </cell>
        </row>
        <row r="102">
          <cell r="A102" t="str">
            <v>Deferred Revenues</v>
          </cell>
          <cell r="AG102">
            <v>9</v>
          </cell>
          <cell r="AH102">
            <v>0</v>
          </cell>
          <cell r="AI102">
            <v>0</v>
          </cell>
          <cell r="AJ102">
            <v>0</v>
          </cell>
          <cell r="AK102">
            <v>57.345999999999997</v>
          </cell>
          <cell r="AL102">
            <v>59.400000000000006</v>
          </cell>
          <cell r="AM102">
            <v>62.3</v>
          </cell>
          <cell r="AN102">
            <v>65.7</v>
          </cell>
          <cell r="AO102">
            <v>69.100999999999999</v>
          </cell>
          <cell r="AP102">
            <v>69.5</v>
          </cell>
          <cell r="AQ102">
            <v>71.2</v>
          </cell>
          <cell r="AR102">
            <v>72.259</v>
          </cell>
          <cell r="AS102">
            <v>76.239999999999995</v>
          </cell>
          <cell r="AT102">
            <v>75.503</v>
          </cell>
          <cell r="AU102">
            <v>75.906000000000006</v>
          </cell>
          <cell r="AV102">
            <v>78.835999999999999</v>
          </cell>
          <cell r="AW102">
            <v>86.859000000000009</v>
          </cell>
          <cell r="AX102">
            <v>91.179999999999993</v>
          </cell>
          <cell r="AY102">
            <v>94.474000000000004</v>
          </cell>
          <cell r="AZ102">
            <v>101.328</v>
          </cell>
          <cell r="BA102">
            <v>123.983</v>
          </cell>
          <cell r="BB102">
            <v>127.893</v>
          </cell>
          <cell r="BC102">
            <v>131.56299999999999</v>
          </cell>
          <cell r="BD102">
            <v>143.38400000000001</v>
          </cell>
          <cell r="BE102">
            <v>162.67500000000001</v>
          </cell>
          <cell r="BF102">
            <v>171.96600000000001</v>
          </cell>
          <cell r="BG102">
            <v>183.94099999999997</v>
          </cell>
          <cell r="BH102">
            <v>199.756</v>
          </cell>
          <cell r="BI102">
            <v>218.17724000000001</v>
          </cell>
          <cell r="BJ102">
            <v>234.80760840000005</v>
          </cell>
          <cell r="BK102">
            <v>249.11437476600005</v>
          </cell>
          <cell r="BL102">
            <v>267.24988100871008</v>
          </cell>
          <cell r="BM102">
            <v>293.97486910958105</v>
          </cell>
          <cell r="BN102">
            <v>317.49285863834757</v>
          </cell>
          <cell r="BO102">
            <v>342.89228732941541</v>
          </cell>
          <cell r="BP102">
            <v>370.3236703157686</v>
          </cell>
          <cell r="BQ102">
            <v>399.94956394103014</v>
          </cell>
          <cell r="BV102">
            <v>0</v>
          </cell>
          <cell r="BW102">
            <v>0</v>
          </cell>
          <cell r="BX102">
            <v>34.292000000000002</v>
          </cell>
          <cell r="BY102">
            <v>47.69</v>
          </cell>
          <cell r="BZ102">
            <v>57.345999999999997</v>
          </cell>
          <cell r="CA102">
            <v>69.100999999999999</v>
          </cell>
          <cell r="CB102">
            <v>76.239999999999995</v>
          </cell>
          <cell r="CC102">
            <v>86.859000000000009</v>
          </cell>
          <cell r="CD102">
            <v>123.983</v>
          </cell>
          <cell r="CE102">
            <v>162.67500000000001</v>
          </cell>
          <cell r="CF102">
            <v>218.17724000000001</v>
          </cell>
          <cell r="CG102">
            <v>293.97486910958105</v>
          </cell>
          <cell r="CH102">
            <v>399.94956394103014</v>
          </cell>
        </row>
        <row r="103">
          <cell r="A103" t="str">
            <v>Billings</v>
          </cell>
          <cell r="AH103">
            <v>-9</v>
          </cell>
          <cell r="AI103">
            <v>0</v>
          </cell>
          <cell r="AJ103">
            <v>0</v>
          </cell>
          <cell r="AK103">
            <v>57.345999999999997</v>
          </cell>
          <cell r="AL103">
            <v>16.896000000000008</v>
          </cell>
          <cell r="AM103">
            <v>18.29399999999999</v>
          </cell>
          <cell r="AN103">
            <v>19.915000000000006</v>
          </cell>
          <cell r="AO103">
            <v>21.439999999999994</v>
          </cell>
          <cell r="AP103">
            <v>19.180000000000003</v>
          </cell>
          <cell r="AQ103">
            <v>21.580000000000002</v>
          </cell>
          <cell r="AR103">
            <v>21.544999999999998</v>
          </cell>
          <cell r="AS103">
            <v>26.671999999999993</v>
          </cell>
          <cell r="AT103">
            <v>23.882000000000005</v>
          </cell>
          <cell r="AU103">
            <v>26.346000000000007</v>
          </cell>
          <cell r="AV103">
            <v>30.013999999999992</v>
          </cell>
          <cell r="AW103">
            <v>36.672000000000011</v>
          </cell>
          <cell r="AX103">
            <v>35.084999999999987</v>
          </cell>
          <cell r="AY103">
            <v>35.121000000000009</v>
          </cell>
          <cell r="AZ103">
            <v>41.356999999999999</v>
          </cell>
          <cell r="BA103">
            <v>63.491999999999997</v>
          </cell>
          <cell r="BB103">
            <v>46.613999999999997</v>
          </cell>
          <cell r="BC103">
            <v>50.067999999999984</v>
          </cell>
          <cell r="BD103">
            <v>62.132000000000026</v>
          </cell>
          <cell r="BE103">
            <v>75.484999999999999</v>
          </cell>
          <cell r="BF103">
            <v>67.054000000000002</v>
          </cell>
          <cell r="BG103">
            <v>75.520999999999958</v>
          </cell>
          <cell r="BH103">
            <v>84.964000000000027</v>
          </cell>
          <cell r="BI103">
            <v>91.529840000000021</v>
          </cell>
          <cell r="BJ103">
            <v>93.23036840000006</v>
          </cell>
          <cell r="BK103">
            <v>95.006766366000008</v>
          </cell>
          <cell r="BL103">
            <v>106.14750624271005</v>
          </cell>
          <cell r="BM103">
            <v>121.90744610087098</v>
          </cell>
          <cell r="BN103">
            <v>119.27896224303068</v>
          </cell>
          <cell r="BO103">
            <v>124.44177866864176</v>
          </cell>
          <cell r="BP103">
            <v>133.87389329229433</v>
          </cell>
          <cell r="BQ103">
            <v>142.32234574579724</v>
          </cell>
          <cell r="BV103">
            <v>0</v>
          </cell>
          <cell r="BW103">
            <v>0</v>
          </cell>
          <cell r="BX103">
            <v>0</v>
          </cell>
          <cell r="BY103">
            <v>51.640999999999991</v>
          </cell>
          <cell r="BZ103">
            <v>58.183999999999997</v>
          </cell>
          <cell r="CA103">
            <v>76.544999999999987</v>
          </cell>
          <cell r="CB103">
            <v>88.977000000000004</v>
          </cell>
          <cell r="CC103">
            <v>116.91400000000002</v>
          </cell>
          <cell r="CD103">
            <v>175.05500000000001</v>
          </cell>
          <cell r="CE103">
            <v>234.29900000000004</v>
          </cell>
          <cell r="CF103">
            <v>319.06884000000002</v>
          </cell>
          <cell r="CG103">
            <v>416.29208710958108</v>
          </cell>
          <cell r="CH103">
            <v>519.91697994976403</v>
          </cell>
        </row>
        <row r="105">
          <cell r="A105" t="str">
            <v>Cash Flow From Operations</v>
          </cell>
          <cell r="AG105">
            <v>-7.5550000000000033</v>
          </cell>
          <cell r="AH105">
            <v>0</v>
          </cell>
          <cell r="AI105">
            <v>0</v>
          </cell>
          <cell r="AJ105">
            <v>0</v>
          </cell>
          <cell r="AK105">
            <v>-3.706999999999999</v>
          </cell>
          <cell r="AL105">
            <v>0.50566666666666693</v>
          </cell>
          <cell r="AM105">
            <v>0.50566666666666693</v>
          </cell>
          <cell r="AN105">
            <v>0.50566666666666515</v>
          </cell>
          <cell r="AO105">
            <v>1.8919999999999995</v>
          </cell>
          <cell r="AP105">
            <v>-0.4420000000000005</v>
          </cell>
          <cell r="AQ105">
            <v>1.0649999999999995</v>
          </cell>
          <cell r="AR105">
            <v>-0.95099999999999829</v>
          </cell>
          <cell r="AS105">
            <v>0.16099999999999959</v>
          </cell>
          <cell r="AT105">
            <v>0.23599999999999965</v>
          </cell>
          <cell r="AU105">
            <v>0.87399999999999922</v>
          </cell>
          <cell r="AV105">
            <v>0.8220000000000014</v>
          </cell>
          <cell r="AW105">
            <v>4.6749999999999972</v>
          </cell>
          <cell r="AX105">
            <v>1.1950000000000016</v>
          </cell>
          <cell r="AY105">
            <v>-0.73699999999999977</v>
          </cell>
          <cell r="AZ105">
            <v>7.0059999999999993</v>
          </cell>
          <cell r="BA105">
            <v>5.1269999999999989</v>
          </cell>
          <cell r="BB105">
            <v>4.1189999999999998</v>
          </cell>
          <cell r="BC105">
            <v>-6.9409999999999989</v>
          </cell>
          <cell r="BD105">
            <v>9.3649999999999984</v>
          </cell>
          <cell r="BE105">
            <v>15.451000000000002</v>
          </cell>
          <cell r="BF105">
            <v>11.887000000000002</v>
          </cell>
          <cell r="BG105">
            <v>1.665999999999995</v>
          </cell>
          <cell r="BH105">
            <v>23.936</v>
          </cell>
          <cell r="BI105">
            <v>7.258180372962947</v>
          </cell>
          <cell r="BJ105">
            <v>17.613771336549696</v>
          </cell>
          <cell r="BK105">
            <v>7.2259762121183124</v>
          </cell>
          <cell r="BL105">
            <v>12.361458961417512</v>
          </cell>
          <cell r="BM105">
            <v>20.041695324973315</v>
          </cell>
          <cell r="BN105">
            <v>26.313159128260722</v>
          </cell>
          <cell r="BO105">
            <v>22.159816828321816</v>
          </cell>
          <cell r="BP105">
            <v>24.573364239298762</v>
          </cell>
          <cell r="BQ105">
            <v>28.113258444527297</v>
          </cell>
          <cell r="BV105">
            <v>0</v>
          </cell>
          <cell r="BW105">
            <v>0</v>
          </cell>
          <cell r="BX105">
            <v>0</v>
          </cell>
          <cell r="BY105">
            <v>-7.5550000000000033</v>
          </cell>
          <cell r="BZ105">
            <v>-3.706999999999999</v>
          </cell>
          <cell r="CA105">
            <v>3.4089999999999985</v>
          </cell>
          <cell r="CB105">
            <v>-0.1669999999999997</v>
          </cell>
          <cell r="CC105">
            <v>6.6069999999999975</v>
          </cell>
          <cell r="CD105">
            <v>12.591000000000001</v>
          </cell>
          <cell r="CE105">
            <v>21.994</v>
          </cell>
          <cell r="CF105">
            <v>44.747180372962944</v>
          </cell>
          <cell r="CG105">
            <v>57.242901835058831</v>
          </cell>
          <cell r="CH105">
            <v>101.1595986404086</v>
          </cell>
        </row>
        <row r="106">
          <cell r="A106" t="str">
            <v xml:space="preserve">     Cash Flow From Ops/Share</v>
          </cell>
          <cell r="AH106">
            <v>0</v>
          </cell>
          <cell r="AI106">
            <v>0</v>
          </cell>
          <cell r="AJ106">
            <v>0</v>
          </cell>
          <cell r="AK106">
            <v>-0.16320905904936331</v>
          </cell>
          <cell r="AL106">
            <v>2.226311865640539E-2</v>
          </cell>
          <cell r="AM106">
            <v>2.2020356854616303E-2</v>
          </cell>
          <cell r="AN106">
            <v>2.1760803299264771E-2</v>
          </cell>
          <cell r="AO106">
            <v>8.1114683815648431E-2</v>
          </cell>
          <cell r="AP106">
            <v>-1.8909171803943567E-2</v>
          </cell>
          <cell r="AQ106">
            <v>4.5412098806493273E-2</v>
          </cell>
          <cell r="AR106">
            <v>-4.0294561293493479E-2</v>
          </cell>
          <cell r="AS106">
            <v>6.7668098484402542E-3</v>
          </cell>
          <cell r="AT106">
            <v>9.3702850790121361E-3</v>
          </cell>
          <cell r="AU106">
            <v>2.8855360031694647E-2</v>
          </cell>
          <cell r="AV106">
            <v>2.5813340032659258E-2</v>
          </cell>
          <cell r="AW106">
            <v>0.14434358404347281</v>
          </cell>
          <cell r="AX106">
            <v>3.5713218373629049E-2</v>
          </cell>
          <cell r="AY106">
            <v>-2.1285198555956671E-2</v>
          </cell>
          <cell r="AZ106">
            <v>0.19770854498250365</v>
          </cell>
          <cell r="BA106">
            <v>0.14250375229306794</v>
          </cell>
          <cell r="BB106">
            <v>0.11265178864456842</v>
          </cell>
          <cell r="BC106">
            <v>-0.18701333692577121</v>
          </cell>
          <cell r="BD106">
            <v>0.2493742344357458</v>
          </cell>
          <cell r="BE106">
            <v>0.40378936364824258</v>
          </cell>
          <cell r="BF106">
            <v>0.3051312986112894</v>
          </cell>
          <cell r="BG106">
            <v>4.2105795233401445E-2</v>
          </cell>
          <cell r="BH106">
            <v>0.59732481533240167</v>
          </cell>
          <cell r="BI106">
            <v>0.17867609603079482</v>
          </cell>
          <cell r="BJ106">
            <v>0.42574135493932364</v>
          </cell>
          <cell r="BK106">
            <v>0.17154874441190618</v>
          </cell>
          <cell r="BL106">
            <v>0.2883340866163816</v>
          </cell>
          <cell r="BM106">
            <v>0.45944008355814303</v>
          </cell>
          <cell r="BN106">
            <v>0.59301269107231414</v>
          </cell>
          <cell r="BO106">
            <v>0.49110892310451254</v>
          </cell>
          <cell r="BP106">
            <v>0.53569419775241456</v>
          </cell>
          <cell r="BQ106">
            <v>0.60300412776215728</v>
          </cell>
          <cell r="BV106">
            <v>0</v>
          </cell>
          <cell r="BW106">
            <v>0</v>
          </cell>
          <cell r="BX106">
            <v>0</v>
          </cell>
          <cell r="BY106">
            <v>0</v>
          </cell>
          <cell r="BZ106">
            <v>-0.16320905904936331</v>
          </cell>
          <cell r="CA106">
            <v>0.14715896262593489</v>
          </cell>
          <cell r="CB106">
            <v>-7.0248244425035189E-3</v>
          </cell>
          <cell r="CC106">
            <v>0.20838256918683884</v>
          </cell>
          <cell r="CD106">
            <v>0.35464031709324395</v>
          </cell>
          <cell r="CE106">
            <v>0.5788020498027856</v>
          </cell>
          <cell r="CF106">
            <v>1.1232380052078872</v>
          </cell>
          <cell r="CG106">
            <v>1.3450642695257544</v>
          </cell>
          <cell r="CH106">
            <v>2.2228199396913983</v>
          </cell>
        </row>
        <row r="108">
          <cell r="A108" t="str">
            <v>Free Cash Flow</v>
          </cell>
          <cell r="AG108">
            <v>-10.423000000000004</v>
          </cell>
          <cell r="AH108">
            <v>0</v>
          </cell>
          <cell r="AI108">
            <v>0</v>
          </cell>
          <cell r="AJ108">
            <v>0</v>
          </cell>
          <cell r="AK108">
            <v>-6.198999999999999</v>
          </cell>
          <cell r="AL108">
            <v>-0.16899999999999971</v>
          </cell>
          <cell r="AM108">
            <v>-0.16899999999999971</v>
          </cell>
          <cell r="AN108">
            <v>-0.1690000000000017</v>
          </cell>
          <cell r="AO108">
            <v>0.49099999999999944</v>
          </cell>
          <cell r="AP108">
            <v>-1.0950000000000006</v>
          </cell>
          <cell r="AQ108">
            <v>1.5579999999999994</v>
          </cell>
          <cell r="AR108">
            <v>-4.5549999999999979</v>
          </cell>
          <cell r="AS108">
            <v>-1.0050000000000003</v>
          </cell>
          <cell r="AT108">
            <v>-1.0510000000000002</v>
          </cell>
          <cell r="AU108">
            <v>-0.28200000000000092</v>
          </cell>
          <cell r="AV108">
            <v>-0.61899999999999844</v>
          </cell>
          <cell r="AW108">
            <v>2.6549999999999971</v>
          </cell>
          <cell r="AX108">
            <v>0.20700000000000163</v>
          </cell>
          <cell r="AY108">
            <v>-1.7389999999999999</v>
          </cell>
          <cell r="AZ108">
            <v>4.4939999999999998</v>
          </cell>
          <cell r="BA108">
            <v>1.9959999999999982</v>
          </cell>
          <cell r="BB108">
            <v>1.8279999999999998</v>
          </cell>
          <cell r="BC108">
            <v>-10.672999999999998</v>
          </cell>
          <cell r="BD108">
            <v>4.9929999999999986</v>
          </cell>
          <cell r="BE108">
            <v>10.858000000000002</v>
          </cell>
          <cell r="BF108">
            <v>7.3030000000000026</v>
          </cell>
          <cell r="BG108">
            <v>-4.1770000000000049</v>
          </cell>
          <cell r="BH108">
            <v>16.236000000000001</v>
          </cell>
          <cell r="BI108">
            <v>3.758180372962947</v>
          </cell>
          <cell r="BJ108">
            <v>10.363771336549696</v>
          </cell>
          <cell r="BK108">
            <v>-2.4023787881687575E-2</v>
          </cell>
          <cell r="BL108">
            <v>5.1114589614175117</v>
          </cell>
          <cell r="BM108">
            <v>12.791695324973315</v>
          </cell>
          <cell r="BN108">
            <v>22.813159128260722</v>
          </cell>
          <cell r="BO108">
            <v>18.659816828321816</v>
          </cell>
          <cell r="BP108">
            <v>21.073364239298762</v>
          </cell>
          <cell r="BQ108">
            <v>24.613258444527297</v>
          </cell>
          <cell r="BV108">
            <v>0</v>
          </cell>
          <cell r="BW108">
            <v>0</v>
          </cell>
          <cell r="BX108">
            <v>0</v>
          </cell>
          <cell r="BY108">
            <v>-10.423000000000004</v>
          </cell>
          <cell r="BZ108">
            <v>-6.198999999999999</v>
          </cell>
          <cell r="CA108">
            <v>-1.600000000000168E-2</v>
          </cell>
          <cell r="CB108">
            <v>-5.0969999999999995</v>
          </cell>
          <cell r="CC108">
            <v>0.70299999999999763</v>
          </cell>
          <cell r="CD108">
            <v>4.9580000000000002</v>
          </cell>
          <cell r="CE108">
            <v>7.006000000000002</v>
          </cell>
          <cell r="CF108">
            <v>23.120180372962945</v>
          </cell>
          <cell r="CG108">
            <v>28.242901835058834</v>
          </cell>
          <cell r="CH108">
            <v>87.159598640408603</v>
          </cell>
        </row>
        <row r="109">
          <cell r="A109" t="str">
            <v xml:space="preserve">     Free Cash Flow/Share</v>
          </cell>
          <cell r="AH109">
            <v>0</v>
          </cell>
          <cell r="AI109">
            <v>0</v>
          </cell>
          <cell r="AJ109">
            <v>0</v>
          </cell>
          <cell r="AK109">
            <v>-0.27292499515700114</v>
          </cell>
          <cell r="AL109">
            <v>-7.4406072239930838E-3</v>
          </cell>
          <cell r="AM109">
            <v>-7.3594732533226372E-3</v>
          </cell>
          <cell r="AN109">
            <v>-7.2727272727273456E-3</v>
          </cell>
          <cell r="AO109">
            <v>2.1050375133976396E-2</v>
          </cell>
          <cell r="AP109">
            <v>-4.6845120193027591E-2</v>
          </cell>
          <cell r="AQ109">
            <v>6.6433849709405191E-2</v>
          </cell>
          <cell r="AR109">
            <v>-0.1929986610850295</v>
          </cell>
          <cell r="AS109">
            <v>-4.2240024209207916E-2</v>
          </cell>
          <cell r="AT109">
            <v>-4.1729532279838014E-2</v>
          </cell>
          <cell r="AU109">
            <v>-9.3103106738420191E-3</v>
          </cell>
          <cell r="AV109">
            <v>-1.9438512749654517E-2</v>
          </cell>
          <cell r="AW109">
            <v>8.1974805483512325E-2</v>
          </cell>
          <cell r="AX109">
            <v>6.1863064463106793E-3</v>
          </cell>
          <cell r="AY109">
            <v>-5.0223826714801439E-2</v>
          </cell>
          <cell r="AZ109">
            <v>0.12682018286488317</v>
          </cell>
          <cell r="BA109">
            <v>5.5478347879259496E-2</v>
          </cell>
          <cell r="BB109">
            <v>4.9994530138934463E-2</v>
          </cell>
          <cell r="BC109">
            <v>-0.28756567425569168</v>
          </cell>
          <cell r="BD109">
            <v>0.13295521116259248</v>
          </cell>
          <cell r="BE109">
            <v>0.28375800339736057</v>
          </cell>
          <cell r="BF109">
            <v>0.18746310034140212</v>
          </cell>
          <cell r="BG109">
            <v>-0.10556777112240011</v>
          </cell>
          <cell r="BH109">
            <v>0.40517069275304451</v>
          </cell>
          <cell r="BI109">
            <v>9.2515887276917605E-2</v>
          </cell>
          <cell r="BJ109">
            <v>0.25050206266435504</v>
          </cell>
          <cell r="BK109">
            <v>-5.7033825273461794E-4</v>
          </cell>
          <cell r="BL109">
            <v>0.11922604407113062</v>
          </cell>
          <cell r="BM109">
            <v>0.29323954254672674</v>
          </cell>
          <cell r="BN109">
            <v>0.51413411899983597</v>
          </cell>
          <cell r="BO109">
            <v>0.41354143939368415</v>
          </cell>
          <cell r="BP109">
            <v>0.45939493022538286</v>
          </cell>
          <cell r="BQ109">
            <v>0.52793227327286041</v>
          </cell>
          <cell r="BV109">
            <v>0</v>
          </cell>
          <cell r="BW109">
            <v>0</v>
          </cell>
          <cell r="BX109">
            <v>0</v>
          </cell>
          <cell r="BY109">
            <v>0</v>
          </cell>
          <cell r="BZ109">
            <v>-0.27292499515700114</v>
          </cell>
          <cell r="CA109">
            <v>-1.0224326160666736E-3</v>
          </cell>
          <cell r="CB109">
            <v>-0.21564995577785981</v>
          </cell>
          <cell r="CC109">
            <v>1.1496449780177775E-2</v>
          </cell>
          <cell r="CD109">
            <v>0.13826101047565192</v>
          </cell>
          <cell r="CE109">
            <v>0.17914207044319583</v>
          </cell>
          <cell r="CF109">
            <v>0.57958190924896413</v>
          </cell>
          <cell r="CG109">
            <v>0.66239731102947785</v>
          </cell>
          <cell r="CH109">
            <v>1.9150027618917633</v>
          </cell>
        </row>
        <row r="129">
          <cell r="A129" t="str">
            <v>Gross Margin</v>
          </cell>
          <cell r="AH129" t="str">
            <v>NA</v>
          </cell>
          <cell r="AI129" t="str">
            <v>NA</v>
          </cell>
          <cell r="AJ129" t="str">
            <v>NA</v>
          </cell>
          <cell r="AK129" t="str">
            <v>NA</v>
          </cell>
          <cell r="AL129">
            <v>0.60254682657323821</v>
          </cell>
          <cell r="AM129">
            <v>0.62063141483694939</v>
          </cell>
          <cell r="AN129">
            <v>0.6326369966696942</v>
          </cell>
          <cell r="AO129">
            <v>0.6296912245689894</v>
          </cell>
          <cell r="AP129">
            <v>0.66088067728023003</v>
          </cell>
          <cell r="AQ129">
            <v>0.68395372233400398</v>
          </cell>
          <cell r="AR129">
            <v>0.69652445572586152</v>
          </cell>
          <cell r="AS129">
            <v>0.70499316909788023</v>
          </cell>
          <cell r="AT129">
            <v>0.71213290547950769</v>
          </cell>
          <cell r="AU129">
            <v>0.72142774544193033</v>
          </cell>
          <cell r="AV129">
            <v>0.72042534337616304</v>
          </cell>
          <cell r="AW129">
            <v>0.72924011309295267</v>
          </cell>
          <cell r="AX129">
            <v>0.7245481731894422</v>
          </cell>
          <cell r="AY129">
            <v>0.72253118421466056</v>
          </cell>
          <cell r="AZ129">
            <v>0.72379213401733178</v>
          </cell>
          <cell r="BA129">
            <v>0.72316771555207282</v>
          </cell>
          <cell r="BB129">
            <v>0.7110106781566129</v>
          </cell>
          <cell r="BC129">
            <v>0.70619423251002189</v>
          </cell>
          <cell r="BD129">
            <v>0.69626920554153171</v>
          </cell>
          <cell r="BE129">
            <v>0.69284977043812512</v>
          </cell>
          <cell r="BF129">
            <v>0.71367484375811507</v>
          </cell>
          <cell r="BG129">
            <v>0.73504233153935739</v>
          </cell>
          <cell r="BH129">
            <v>0.74718361798435262</v>
          </cell>
          <cell r="BI129">
            <v>0.74070082042331553</v>
          </cell>
          <cell r="BJ129">
            <v>0.75353785900783277</v>
          </cell>
          <cell r="BK129">
            <v>0.76287484510532821</v>
          </cell>
          <cell r="BL129">
            <v>0.76652047448075267</v>
          </cell>
          <cell r="BM129">
            <v>0.76914338564360263</v>
          </cell>
          <cell r="BN129">
            <v>0.7623779163699218</v>
          </cell>
          <cell r="BO129">
            <v>0.75651782082858943</v>
          </cell>
          <cell r="BP129">
            <v>0.76486837892056891</v>
          </cell>
          <cell r="BQ129">
            <v>0.76434040734845321</v>
          </cell>
          <cell r="BR129" t="e">
            <v>#REF!</v>
          </cell>
          <cell r="BS129" t="e">
            <v>#REF!</v>
          </cell>
          <cell r="BT129" t="e">
            <v>#REF!</v>
          </cell>
          <cell r="BU129" t="e">
            <v>#REF!</v>
          </cell>
          <cell r="BV129" t="e">
            <v>#REF!</v>
          </cell>
          <cell r="BW129" t="str">
            <v>NA</v>
          </cell>
          <cell r="BX129">
            <v>0.65045510644862703</v>
          </cell>
          <cell r="BY129">
            <v>0.63156656120074262</v>
          </cell>
          <cell r="BZ129">
            <v>0.61255357731618854</v>
          </cell>
          <cell r="CA129">
            <v>0.6220713073005093</v>
          </cell>
          <cell r="CB129">
            <v>0.68763899411031537</v>
          </cell>
          <cell r="CC129">
            <v>0.72112517051601688</v>
          </cell>
          <cell r="CD129">
            <v>0.72348493087123267</v>
          </cell>
          <cell r="CE129">
            <v>0.70085937619819316</v>
          </cell>
          <cell r="CF129">
            <v>0.73511438854543798</v>
          </cell>
          <cell r="CG129">
            <v>0.76346898427345322</v>
          </cell>
          <cell r="CH129">
            <v>0.76215049148346237</v>
          </cell>
        </row>
        <row r="130">
          <cell r="A130" t="str">
            <v>Research and Development</v>
          </cell>
          <cell r="AH130" t="str">
            <v>NA</v>
          </cell>
          <cell r="AI130" t="str">
            <v>NA</v>
          </cell>
          <cell r="AJ130" t="str">
            <v>NA</v>
          </cell>
          <cell r="AK130" t="str">
            <v>NA</v>
          </cell>
          <cell r="AL130">
            <v>0.2361541571216817</v>
          </cell>
          <cell r="AM130">
            <v>0.25237105365726908</v>
          </cell>
          <cell r="AN130">
            <v>0.27865576748410537</v>
          </cell>
          <cell r="AO130">
            <v>0.25394977548644604</v>
          </cell>
          <cell r="AP130">
            <v>0.24828283903945475</v>
          </cell>
          <cell r="AQ130">
            <v>0.2312877263581489</v>
          </cell>
          <cell r="AR130">
            <v>0.20926486380943082</v>
          </cell>
          <cell r="AS130">
            <v>0.21960248556696488</v>
          </cell>
          <cell r="AT130">
            <v>0.22141435476664367</v>
          </cell>
          <cell r="AU130">
            <v>0.22094591990132212</v>
          </cell>
          <cell r="AV130">
            <v>0.21237631073696647</v>
          </cell>
          <cell r="AW130">
            <v>0.21012949841181194</v>
          </cell>
          <cell r="AX130">
            <v>0.22913145234689897</v>
          </cell>
          <cell r="AY130">
            <v>0.22069312219184969</v>
          </cell>
          <cell r="AZ130">
            <v>0.22598034953482307</v>
          </cell>
          <cell r="BA130">
            <v>0.21855180351152145</v>
          </cell>
          <cell r="BB130">
            <v>0.23161764705882357</v>
          </cell>
          <cell r="BC130">
            <v>0.21173326436484333</v>
          </cell>
          <cell r="BD130">
            <v>0.20735028125062113</v>
          </cell>
          <cell r="BE130">
            <v>0.2039185678186283</v>
          </cell>
          <cell r="BF130">
            <v>0.2033654761698665</v>
          </cell>
          <cell r="BG130">
            <v>0.20259339690932551</v>
          </cell>
          <cell r="BH130">
            <v>0.20412442696206742</v>
          </cell>
          <cell r="BI130">
            <v>0.20565296011686723</v>
          </cell>
          <cell r="BJ130">
            <v>0.20576471335153323</v>
          </cell>
          <cell r="BK130">
            <v>0.20655514250309806</v>
          </cell>
          <cell r="BL130">
            <v>0.20376766804526647</v>
          </cell>
          <cell r="BM130">
            <v>0.1990290694273848</v>
          </cell>
          <cell r="BN130">
            <v>0.20499999999999999</v>
          </cell>
          <cell r="BO130">
            <v>0.20499999999999999</v>
          </cell>
          <cell r="BP130">
            <v>0.20499999999999999</v>
          </cell>
          <cell r="BQ130">
            <v>0.20143491274880512</v>
          </cell>
          <cell r="BR130" t="e">
            <v>#DIV/0!</v>
          </cell>
          <cell r="BS130" t="e">
            <v>#DIV/0!</v>
          </cell>
          <cell r="BT130" t="e">
            <v>#DIV/0!</v>
          </cell>
          <cell r="BU130" t="e">
            <v>#DIV/0!</v>
          </cell>
          <cell r="BV130" t="e">
            <v>#DIV/0!</v>
          </cell>
          <cell r="BW130" t="str">
            <v>NA</v>
          </cell>
          <cell r="BX130">
            <v>0.23221999382906508</v>
          </cell>
          <cell r="BY130">
            <v>0.272128232617734</v>
          </cell>
          <cell r="BZ130">
            <v>0.22632294757665675</v>
          </cell>
          <cell r="CA130">
            <v>0.25579564747646244</v>
          </cell>
          <cell r="CB130">
            <v>0.22643515237420267</v>
          </cell>
          <cell r="CC130">
            <v>0.2159555952772943</v>
          </cell>
          <cell r="CD130">
            <v>0.22326380581595145</v>
          </cell>
          <cell r="CE130">
            <v>0.21270199941719878</v>
          </cell>
          <cell r="CF130">
            <v>0.20401295156518315</v>
          </cell>
          <cell r="CG130">
            <v>0.20355295499193879</v>
          </cell>
          <cell r="CH130">
            <v>0.20402939926855992</v>
          </cell>
        </row>
        <row r="131">
          <cell r="A131" t="str">
            <v>Sales and Marketing</v>
          </cell>
          <cell r="AH131" t="str">
            <v>NA</v>
          </cell>
          <cell r="AI131" t="str">
            <v>NA</v>
          </cell>
          <cell r="AJ131" t="str">
            <v>NA</v>
          </cell>
          <cell r="AK131" t="str">
            <v>NA</v>
          </cell>
          <cell r="AL131">
            <v>0.42015900821991642</v>
          </cell>
          <cell r="AM131">
            <v>0.44517344419903859</v>
          </cell>
          <cell r="AN131">
            <v>0.47605207387223736</v>
          </cell>
          <cell r="AO131">
            <v>0.4689838682853818</v>
          </cell>
          <cell r="AP131">
            <v>0.46179649645918741</v>
          </cell>
          <cell r="AQ131">
            <v>0.46413480885311875</v>
          </cell>
          <cell r="AR131">
            <v>0.49428878258322761</v>
          </cell>
          <cell r="AS131">
            <v>0.52465735313560447</v>
          </cell>
          <cell r="AT131">
            <v>0.46330070270928958</v>
          </cell>
          <cell r="AU131">
            <v>0.48120880391627791</v>
          </cell>
          <cell r="AV131">
            <v>0.48825875055383255</v>
          </cell>
          <cell r="AW131">
            <v>0.50884847638661035</v>
          </cell>
          <cell r="AX131">
            <v>0.49681445845793776</v>
          </cell>
          <cell r="AY131">
            <v>0.47645081220347513</v>
          </cell>
          <cell r="AZ131">
            <v>0.46990116801437548</v>
          </cell>
          <cell r="BA131">
            <v>0.46788451649239671</v>
          </cell>
          <cell r="BB131">
            <v>0.45953540651929559</v>
          </cell>
          <cell r="BC131">
            <v>0.4455364455364455</v>
          </cell>
          <cell r="BD131">
            <v>0.43527260440062804</v>
          </cell>
          <cell r="BE131">
            <v>0.44437128519058972</v>
          </cell>
          <cell r="BF131">
            <v>0.4630992157609542</v>
          </cell>
          <cell r="BG131">
            <v>0.49658515091429833</v>
          </cell>
          <cell r="BH131">
            <v>0.4824220162258312</v>
          </cell>
          <cell r="BI131">
            <v>0.48421115983618895</v>
          </cell>
          <cell r="BJ131">
            <v>0.4615013054830287</v>
          </cell>
          <cell r="BK131">
            <v>0.45907063197026016</v>
          </cell>
          <cell r="BL131">
            <v>0.44542789619597301</v>
          </cell>
          <cell r="BM131">
            <v>0.44601705915180301</v>
          </cell>
          <cell r="BN131">
            <v>0.45610438952333315</v>
          </cell>
          <cell r="BO131">
            <v>0.44627374057671465</v>
          </cell>
          <cell r="BP131">
            <v>0.43958001239837713</v>
          </cell>
          <cell r="BQ131">
            <v>0.44274685725361779</v>
          </cell>
          <cell r="BR131" t="e">
            <v>#DIV/0!</v>
          </cell>
          <cell r="BS131" t="e">
            <v>#DIV/0!</v>
          </cell>
          <cell r="BT131" t="e">
            <v>#DIV/0!</v>
          </cell>
          <cell r="BU131" t="e">
            <v>#DIV/0!</v>
          </cell>
          <cell r="BV131" t="e">
            <v>#DIV/0!</v>
          </cell>
          <cell r="BW131" t="str">
            <v>NA</v>
          </cell>
          <cell r="BX131">
            <v>0.74193921629126813</v>
          </cell>
          <cell r="BY131">
            <v>0.82558899667913099</v>
          </cell>
          <cell r="BZ131">
            <v>0.5449431256181998</v>
          </cell>
          <cell r="CA131">
            <v>0.45394350980089526</v>
          </cell>
          <cell r="CB131">
            <v>0.48792736870402492</v>
          </cell>
          <cell r="CC131">
            <v>0.48630697586904376</v>
          </cell>
          <cell r="CD131">
            <v>0.47681811920452977</v>
          </cell>
          <cell r="CE131">
            <v>0.44561799935585117</v>
          </cell>
          <cell r="CF131">
            <v>0.48209826282996404</v>
          </cell>
          <cell r="CG131">
            <v>0.45244201889476854</v>
          </cell>
          <cell r="CH131">
            <v>0.44586650515118875</v>
          </cell>
        </row>
        <row r="132">
          <cell r="A132" t="str">
            <v>General and Administrative</v>
          </cell>
          <cell r="AH132" t="str">
            <v>NA</v>
          </cell>
          <cell r="AI132" t="str">
            <v>NA</v>
          </cell>
          <cell r="AJ132" t="str">
            <v>NA</v>
          </cell>
          <cell r="AK132" t="str">
            <v>NA</v>
          </cell>
          <cell r="AL132">
            <v>9.991914836275434E-2</v>
          </cell>
          <cell r="AM132">
            <v>9.7700402754319876E-2</v>
          </cell>
          <cell r="AN132">
            <v>0.11377535573720861</v>
          </cell>
          <cell r="AO132">
            <v>9.5958756028604708E-2</v>
          </cell>
          <cell r="AP132">
            <v>9.6001277887226441E-2</v>
          </cell>
          <cell r="AQ132">
            <v>9.3209255533199212E-2</v>
          </cell>
          <cell r="AR132">
            <v>8.8987601288684964E-2</v>
          </cell>
          <cell r="AS132">
            <v>0.12463091093385043</v>
          </cell>
          <cell r="AT132">
            <v>0.10065396644867786</v>
          </cell>
          <cell r="AU132">
            <v>9.474617430520757E-2</v>
          </cell>
          <cell r="AV132">
            <v>0.10157288435976961</v>
          </cell>
          <cell r="AW132">
            <v>0.11850326363921952</v>
          </cell>
          <cell r="AX132">
            <v>0.10980366662332595</v>
          </cell>
          <cell r="AY132">
            <v>0.10227165614101236</v>
          </cell>
          <cell r="AZ132">
            <v>9.8397240819638881E-2</v>
          </cell>
          <cell r="BA132">
            <v>0.12128706810000736</v>
          </cell>
          <cell r="BB132">
            <v>9.5073061071562395E-2</v>
          </cell>
          <cell r="BC132">
            <v>0.10819431872063454</v>
          </cell>
          <cell r="BD132">
            <v>9.7891117250700654E-2</v>
          </cell>
          <cell r="BE132">
            <v>9.3728867850660216E-2</v>
          </cell>
          <cell r="BF132">
            <v>8.7807073732319996E-2</v>
          </cell>
          <cell r="BG132">
            <v>8.7747458533975364E-2</v>
          </cell>
          <cell r="BH132">
            <v>9.7224833330923091E-2</v>
          </cell>
          <cell r="BI132">
            <v>9.6226709306429042E-2</v>
          </cell>
          <cell r="BJ132">
            <v>9.5000000000000001E-2</v>
          </cell>
          <cell r="BK132">
            <v>9.2999999999999999E-2</v>
          </cell>
          <cell r="BL132">
            <v>9.1999999999999998E-2</v>
          </cell>
          <cell r="BM132">
            <v>0.09</v>
          </cell>
          <cell r="BN132">
            <v>0.09</v>
          </cell>
          <cell r="BO132">
            <v>0.09</v>
          </cell>
          <cell r="BP132">
            <v>0.09</v>
          </cell>
          <cell r="BQ132">
            <v>8.8831545373696669E-2</v>
          </cell>
          <cell r="BR132" t="e">
            <v>#DIV/0!</v>
          </cell>
          <cell r="BS132" t="e">
            <v>#DIV/0!</v>
          </cell>
          <cell r="BT132" t="e">
            <v>#DIV/0!</v>
          </cell>
          <cell r="BU132" t="e">
            <v>#DIV/0!</v>
          </cell>
          <cell r="BV132" t="e">
            <v>#DIV/0!</v>
          </cell>
          <cell r="BW132" t="str">
            <v>NA</v>
          </cell>
          <cell r="BX132">
            <v>0.138653193458809</v>
          </cell>
          <cell r="BY132">
            <v>0.1181131187406846</v>
          </cell>
          <cell r="BZ132">
            <v>0.10192054071876031</v>
          </cell>
          <cell r="CA132">
            <v>0.10182126871430779</v>
          </cell>
          <cell r="CB132">
            <v>0.10150541313326326</v>
          </cell>
          <cell r="CC132">
            <v>0.10425702055599979</v>
          </cell>
          <cell r="CD132">
            <v>0.10861227715306929</v>
          </cell>
          <cell r="CE132">
            <v>9.8524081449027898E-2</v>
          </cell>
          <cell r="CF132">
            <v>9.2598986366254313E-2</v>
          </cell>
          <cell r="CG132">
            <v>9.2352825372564507E-2</v>
          </cell>
          <cell r="CH132">
            <v>8.9681886350869974E-2</v>
          </cell>
        </row>
        <row r="135">
          <cell r="A135" t="str">
            <v>Operating Margin</v>
          </cell>
          <cell r="AH135" t="e">
            <v>#DIV/0!</v>
          </cell>
          <cell r="AI135" t="e">
            <v>#DIV/0!</v>
          </cell>
          <cell r="AJ135" t="e">
            <v>#DIV/0!</v>
          </cell>
          <cell r="AK135" t="e">
            <v>#DIV/0!</v>
          </cell>
          <cell r="AL135">
            <v>-0.15368548713111432</v>
          </cell>
          <cell r="AM135">
            <v>-0.17461348577367811</v>
          </cell>
          <cell r="AN135">
            <v>-0.23584620042385707</v>
          </cell>
          <cell r="AO135">
            <v>-0.18920117523144311</v>
          </cell>
          <cell r="AP135">
            <v>-0.1451999361056385</v>
          </cell>
          <cell r="AQ135">
            <v>-0.10467806841046284</v>
          </cell>
          <cell r="AR135">
            <v>-9.6016791955481809E-2</v>
          </cell>
          <cell r="AS135">
            <v>-0.15962275792164279</v>
          </cell>
          <cell r="AT135">
            <v>-7.3236118445103415E-2</v>
          </cell>
          <cell r="AU135">
            <v>-7.5473152680877245E-2</v>
          </cell>
          <cell r="AV135">
            <v>-8.178260227440555E-2</v>
          </cell>
          <cell r="AW135">
            <v>-0.10824112534468913</v>
          </cell>
          <cell r="AX135">
            <v>-0.10993368872708341</v>
          </cell>
          <cell r="AY135">
            <v>-7.1825808275992123E-2</v>
          </cell>
          <cell r="AZ135">
            <v>-7.0486624351505628E-2</v>
          </cell>
          <cell r="BA135">
            <v>-8.4555672551852742E-2</v>
          </cell>
          <cell r="BB135">
            <v>-7.5215436493068638E-2</v>
          </cell>
          <cell r="BC135">
            <v>-5.9269796111901536E-2</v>
          </cell>
          <cell r="BD135">
            <v>-4.4244797360418184E-2</v>
          </cell>
          <cell r="BE135">
            <v>-4.9168950421753177E-2</v>
          </cell>
          <cell r="BF135">
            <v>-2.7093468137042703E-2</v>
          </cell>
          <cell r="BG135">
            <v>-4.0726402920718753E-2</v>
          </cell>
          <cell r="BH135">
            <v>-1.3535987505242302E-2</v>
          </cell>
          <cell r="BI135">
            <v>-4.5390008836169705E-2</v>
          </cell>
          <cell r="BJ135">
            <v>-8.7281598267291913E-3</v>
          </cell>
          <cell r="BK135">
            <v>4.2490706319700863E-3</v>
          </cell>
          <cell r="BL135">
            <v>2.5324910239513176E-2</v>
          </cell>
          <cell r="BM135">
            <v>3.4097257064414993E-2</v>
          </cell>
          <cell r="BN135">
            <v>1.1273526846588691E-2</v>
          </cell>
          <cell r="BO135">
            <v>1.524408025187479E-2</v>
          </cell>
          <cell r="BP135">
            <v>3.0288366522191794E-2</v>
          </cell>
          <cell r="BQ135">
            <v>3.1327091972333743E-2</v>
          </cell>
          <cell r="BR135" t="e">
            <v>#DIV/0!</v>
          </cell>
          <cell r="BS135" t="e">
            <v>#DIV/0!</v>
          </cell>
          <cell r="BT135" t="e">
            <v>#DIV/0!</v>
          </cell>
          <cell r="BU135" t="e">
            <v>#DIV/0!</v>
          </cell>
          <cell r="BV135" t="e">
            <v>#DIV/0!</v>
          </cell>
          <cell r="BW135" t="e">
            <v>#DIV/0!</v>
          </cell>
          <cell r="BX135">
            <v>-0.46235729713051527</v>
          </cell>
          <cell r="BY135">
            <v>-0.58426378683680713</v>
          </cell>
          <cell r="BZ135">
            <v>-0.2606330365974282</v>
          </cell>
          <cell r="CA135">
            <v>-0.1894891186911562</v>
          </cell>
          <cell r="CB135">
            <v>-0.12704367164397953</v>
          </cell>
          <cell r="CC135">
            <v>-8.5394421186320929E-2</v>
          </cell>
          <cell r="CD135">
            <v>-8.3759270939817818E-2</v>
          </cell>
          <cell r="CE135">
            <v>-5.5984704023884585E-2</v>
          </cell>
          <cell r="CF135">
            <v>-3.1898578954996447E-2</v>
          </cell>
          <cell r="CG135">
            <v>1.5121185014181485E-2</v>
          </cell>
          <cell r="CH135">
            <v>2.2572700712843688E-2</v>
          </cell>
        </row>
        <row r="138">
          <cell r="A138" t="str">
            <v>Tax Rate</v>
          </cell>
          <cell r="AH138" t="e">
            <v>#DIV/0!</v>
          </cell>
          <cell r="AI138" t="e">
            <v>#DIV/0!</v>
          </cell>
          <cell r="AJ138" t="e">
            <v>#DIV/0!</v>
          </cell>
          <cell r="AK138" t="e">
            <v>#DIV/0!</v>
          </cell>
          <cell r="AL138" t="str">
            <v xml:space="preserve">NA </v>
          </cell>
          <cell r="AM138" t="str">
            <v xml:space="preserve">NA </v>
          </cell>
          <cell r="AN138" t="str">
            <v xml:space="preserve">NA </v>
          </cell>
          <cell r="AO138" t="str">
            <v xml:space="preserve">NA </v>
          </cell>
          <cell r="AP138" t="str">
            <v xml:space="preserve">NA </v>
          </cell>
          <cell r="AQ138" t="str">
            <v xml:space="preserve">NA </v>
          </cell>
          <cell r="AR138" t="str">
            <v xml:space="preserve">NA </v>
          </cell>
          <cell r="AS138" t="str">
            <v xml:space="preserve">NA </v>
          </cell>
          <cell r="AT138" t="str">
            <v xml:space="preserve">NA </v>
          </cell>
          <cell r="AU138" t="str">
            <v xml:space="preserve">NA </v>
          </cell>
          <cell r="AV138" t="str">
            <v xml:space="preserve">NA </v>
          </cell>
          <cell r="AW138" t="str">
            <v xml:space="preserve">NA </v>
          </cell>
          <cell r="AX138" t="str">
            <v xml:space="preserve">NA </v>
          </cell>
          <cell r="AY138" t="str">
            <v xml:space="preserve">NA </v>
          </cell>
          <cell r="AZ138" t="str">
            <v xml:space="preserve">NA </v>
          </cell>
          <cell r="BA138" t="str">
            <v xml:space="preserve">NA </v>
          </cell>
          <cell r="BB138" t="str">
            <v xml:space="preserve">NA </v>
          </cell>
          <cell r="BC138" t="str">
            <v xml:space="preserve">NA </v>
          </cell>
          <cell r="BD138" t="str">
            <v xml:space="preserve">NA </v>
          </cell>
          <cell r="BE138" t="str">
            <v xml:space="preserve">NA </v>
          </cell>
          <cell r="BF138" t="str">
            <v xml:space="preserve">NA </v>
          </cell>
          <cell r="BG138" t="str">
            <v xml:space="preserve">NA </v>
          </cell>
          <cell r="BH138" t="str">
            <v xml:space="preserve">NA </v>
          </cell>
          <cell r="BI138">
            <v>8.8028169014084362E-2</v>
          </cell>
          <cell r="BJ138">
            <v>0.1</v>
          </cell>
          <cell r="BK138">
            <v>0.1</v>
          </cell>
          <cell r="BL138">
            <v>0.1</v>
          </cell>
          <cell r="BM138">
            <v>0.1</v>
          </cell>
          <cell r="BN138">
            <v>0.20550000000000002</v>
          </cell>
          <cell r="BO138">
            <v>0.12820512820512794</v>
          </cell>
          <cell r="BP138">
            <v>0.12106537530266351</v>
          </cell>
          <cell r="BQ138">
            <v>8.8028169014084362E-2</v>
          </cell>
          <cell r="BR138" t="e">
            <v>#DIV/0!</v>
          </cell>
          <cell r="BS138" t="e">
            <v>#DIV/0!</v>
          </cell>
          <cell r="BT138" t="e">
            <v>#DIV/0!</v>
          </cell>
          <cell r="BU138" t="e">
            <v>#DIV/0!</v>
          </cell>
          <cell r="BV138" t="e">
            <v>#DIV/0!</v>
          </cell>
          <cell r="BW138" t="e">
            <v>#DIV/0!</v>
          </cell>
          <cell r="BX138" t="str">
            <v xml:space="preserve">NA </v>
          </cell>
          <cell r="BY138" t="str">
            <v xml:space="preserve">NA </v>
          </cell>
          <cell r="BZ138" t="str">
            <v xml:space="preserve">NA </v>
          </cell>
          <cell r="CA138" t="str">
            <v xml:space="preserve">NA </v>
          </cell>
          <cell r="CB138" t="str">
            <v xml:space="preserve">NA </v>
          </cell>
          <cell r="CC138">
            <v>6.5210407966591721E-2</v>
          </cell>
          <cell r="CD138" t="str">
            <v xml:space="preserve">NA </v>
          </cell>
          <cell r="CE138" t="str">
            <v xml:space="preserve">NA </v>
          </cell>
          <cell r="CF138" t="str">
            <v xml:space="preserve">NA </v>
          </cell>
          <cell r="CG138">
            <v>0</v>
          </cell>
          <cell r="CH138">
            <v>0</v>
          </cell>
        </row>
        <row r="146">
          <cell r="A146" t="str">
            <v>Total Revenue</v>
          </cell>
          <cell r="AL146" t="str">
            <v>NA</v>
          </cell>
          <cell r="AM146" t="str">
            <v>NA</v>
          </cell>
          <cell r="AN146" t="str">
            <v>NA</v>
          </cell>
          <cell r="AO146" t="str">
            <v>NA</v>
          </cell>
          <cell r="AP146">
            <v>0.26539549925886008</v>
          </cell>
          <cell r="AQ146">
            <v>0.29141223853449394</v>
          </cell>
          <cell r="AR146">
            <v>0.24044807750529817</v>
          </cell>
          <cell r="AS146">
            <v>0.25788569211153622</v>
          </cell>
          <cell r="AT146">
            <v>0.31084606783451352</v>
          </cell>
          <cell r="AU146">
            <v>0.30497987927565395</v>
          </cell>
          <cell r="AV146">
            <v>0.32207361124670508</v>
          </cell>
          <cell r="AW146">
            <v>0.26257106341721403</v>
          </cell>
          <cell r="AX146">
            <v>0.24960396441772636</v>
          </cell>
          <cell r="AY146">
            <v>0.22680491847511841</v>
          </cell>
          <cell r="AZ146">
            <v>0.27392556490917142</v>
          </cell>
          <cell r="BA146">
            <v>0.42542497120318323</v>
          </cell>
          <cell r="BB146">
            <v>0.38811597971655165</v>
          </cell>
          <cell r="BC146">
            <v>0.45781883306626447</v>
          </cell>
          <cell r="BD146">
            <v>0.45816305828478687</v>
          </cell>
          <cell r="BE146">
            <v>0.37605602762200974</v>
          </cell>
          <cell r="BF146">
            <v>0.35263675533907834</v>
          </cell>
          <cell r="BG146">
            <v>0.36958489590068555</v>
          </cell>
          <cell r="BH146">
            <v>0.37443103893780694</v>
          </cell>
          <cell r="BI146">
            <v>0.30100366587180138</v>
          </cell>
          <cell r="BJ146">
            <v>0.3261084084967889</v>
          </cell>
          <cell r="BK146">
            <v>0.26994618071947896</v>
          </cell>
          <cell r="BL146">
            <v>0.27278774819592511</v>
          </cell>
          <cell r="BM146">
            <v>0.30193244023274968</v>
          </cell>
          <cell r="BN146">
            <v>0.25014324692250822</v>
          </cell>
          <cell r="BO146">
            <v>0.22729058212607089</v>
          </cell>
          <cell r="BP146">
            <v>0.20940906133187642</v>
          </cell>
          <cell r="BQ146">
            <v>0.18400443199875838</v>
          </cell>
          <cell r="BR146">
            <v>-1</v>
          </cell>
          <cell r="BS146" t="str">
            <v>NA</v>
          </cell>
          <cell r="BT146" t="str">
            <v>NA</v>
          </cell>
          <cell r="BU146" t="str">
            <v>NA</v>
          </cell>
          <cell r="BV146" t="str">
            <v>NA</v>
          </cell>
          <cell r="BW146" t="str">
            <v>NA</v>
          </cell>
          <cell r="BX146" t="str">
            <v>NA</v>
          </cell>
          <cell r="BY146">
            <v>0.47496914532551648</v>
          </cell>
          <cell r="BZ146">
            <v>0.26893810632011106</v>
          </cell>
          <cell r="CA146">
            <v>0.33510550609957135</v>
          </cell>
          <cell r="CB146">
            <v>0.26312702577558289</v>
          </cell>
          <cell r="CC146">
            <v>0.2988465016251618</v>
          </cell>
          <cell r="CD146">
            <v>0.29762453549085111</v>
          </cell>
          <cell r="CE146">
            <v>0.41815110453777615</v>
          </cell>
          <cell r="CF146">
            <v>0.34742928422806929</v>
          </cell>
          <cell r="CG146">
            <v>0.29187255896612108</v>
          </cell>
          <cell r="CH146">
            <v>0.21570931741366195</v>
          </cell>
        </row>
        <row r="274">
          <cell r="A274" t="str">
            <v>Americas</v>
          </cell>
          <cell r="C274" t="e">
            <v>#DIV/0!</v>
          </cell>
          <cell r="D274" t="e">
            <v>#DIV/0!</v>
          </cell>
          <cell r="E274" t="e">
            <v>#DIV/0!</v>
          </cell>
          <cell r="F274" t="e">
            <v>#DIV/0!</v>
          </cell>
          <cell r="G274" t="e">
            <v>#DIV/0!</v>
          </cell>
          <cell r="H274" t="e">
            <v>#DIV/0!</v>
          </cell>
          <cell r="I274" t="e">
            <v>#DIV/0!</v>
          </cell>
          <cell r="J274" t="e">
            <v>#DIV/0!</v>
          </cell>
          <cell r="K274" t="e">
            <v>#DIV/0!</v>
          </cell>
          <cell r="L274" t="e">
            <v>#DIV/0!</v>
          </cell>
          <cell r="M274" t="e">
            <v>#DIV/0!</v>
          </cell>
          <cell r="N274" t="e">
            <v>#DIV/0!</v>
          </cell>
          <cell r="O274" t="e">
            <v>#DIV/0!</v>
          </cell>
          <cell r="P274" t="e">
            <v>#DIV/0!</v>
          </cell>
          <cell r="Q274" t="e">
            <v>#DIV/0!</v>
          </cell>
          <cell r="R274" t="e">
            <v>#DIV/0!</v>
          </cell>
          <cell r="S274" t="e">
            <v>#DIV/0!</v>
          </cell>
          <cell r="T274" t="e">
            <v>#DIV/0!</v>
          </cell>
          <cell r="U274" t="e">
            <v>#DIV/0!</v>
          </cell>
          <cell r="V274" t="e">
            <v>#DIV/0!</v>
          </cell>
          <cell r="W274" t="e">
            <v>#DIV/0!</v>
          </cell>
          <cell r="X274" t="e">
            <v>#DIV/0!</v>
          </cell>
          <cell r="Y274" t="e">
            <v>#DIV/0!</v>
          </cell>
          <cell r="Z274" t="e">
            <v>#DIV/0!</v>
          </cell>
          <cell r="AA274" t="e">
            <v>#DIV/0!</v>
          </cell>
          <cell r="AB274" t="e">
            <v>#DIV/0!</v>
          </cell>
          <cell r="AC274" t="e">
            <v>#DIV/0!</v>
          </cell>
          <cell r="AD274" t="e">
            <v>#DIV/0!</v>
          </cell>
          <cell r="AE274" t="e">
            <v>#DIV/0!</v>
          </cell>
          <cell r="AF274" t="e">
            <v>#DIV/0!</v>
          </cell>
          <cell r="AG274" t="e">
            <v>#DIV/0!</v>
          </cell>
          <cell r="AH274">
            <v>0.77</v>
          </cell>
          <cell r="AI274">
            <v>0.77</v>
          </cell>
          <cell r="AJ274">
            <v>0.77</v>
          </cell>
          <cell r="AK274">
            <v>0.77</v>
          </cell>
          <cell r="AL274">
            <v>0.8</v>
          </cell>
          <cell r="AM274">
            <v>0.8</v>
          </cell>
          <cell r="AN274">
            <v>0.8</v>
          </cell>
          <cell r="AO274">
            <v>0.8</v>
          </cell>
          <cell r="AP274">
            <v>0.78483573824609965</v>
          </cell>
          <cell r="AQ274">
            <v>0.79190140845070434</v>
          </cell>
          <cell r="AR274">
            <v>0.7918090403202187</v>
          </cell>
          <cell r="AS274">
            <v>0.80824996694724738</v>
          </cell>
          <cell r="AT274">
            <v>0.8150209188025509</v>
          </cell>
          <cell r="AU274">
            <v>0.8187565046447981</v>
          </cell>
          <cell r="AV274">
            <v>0.81103234381922906</v>
          </cell>
          <cell r="AW274">
            <v>0.81639847813187172</v>
          </cell>
          <cell r="AX274">
            <v>0.82918346118840192</v>
          </cell>
          <cell r="AY274">
            <v>0.82918346118840192</v>
          </cell>
          <cell r="AZ274">
            <v>0.82918346118840192</v>
          </cell>
          <cell r="BA274">
            <v>0.82918346118840192</v>
          </cell>
          <cell r="BB274">
            <v>0.82918346118840192</v>
          </cell>
          <cell r="BC274">
            <v>0.82918346118840192</v>
          </cell>
          <cell r="BD274">
            <v>0.82918346118840192</v>
          </cell>
          <cell r="BE274">
            <v>0.82918346118840192</v>
          </cell>
          <cell r="BF274">
            <v>0.82</v>
          </cell>
          <cell r="BG274">
            <v>0.82</v>
          </cell>
          <cell r="BH274">
            <v>0.82</v>
          </cell>
          <cell r="BI274">
            <v>0.82</v>
          </cell>
          <cell r="BJ274">
            <v>0.82</v>
          </cell>
          <cell r="BK274">
            <v>0.82</v>
          </cell>
          <cell r="BL274">
            <v>0.82</v>
          </cell>
          <cell r="BM274">
            <v>0.82</v>
          </cell>
          <cell r="BN274">
            <v>0.82</v>
          </cell>
          <cell r="BO274">
            <v>0.82</v>
          </cell>
          <cell r="BP274">
            <v>0.82</v>
          </cell>
          <cell r="BQ274">
            <v>0.82</v>
          </cell>
          <cell r="BR274" t="e">
            <v>#DIV/0!</v>
          </cell>
          <cell r="BS274" t="e">
            <v>#DIV/0!</v>
          </cell>
          <cell r="BT274" t="e">
            <v>#DIV/0!</v>
          </cell>
          <cell r="BU274" t="e">
            <v>#DIV/0!</v>
          </cell>
          <cell r="BV274" t="e">
            <v>#DIV/0!</v>
          </cell>
          <cell r="BW274" t="e">
            <v>#DIV/0!</v>
          </cell>
          <cell r="BX274" t="e">
            <v>#DIV/0!</v>
          </cell>
          <cell r="BY274" t="e">
            <v>#DIV/0!</v>
          </cell>
          <cell r="BZ274" t="e">
            <v>#DIV/0!</v>
          </cell>
          <cell r="CA274">
            <v>0.79677419354838719</v>
          </cell>
          <cell r="CB274">
            <v>0.79478970649331593</v>
          </cell>
          <cell r="CC274">
            <v>0.81528764288066213</v>
          </cell>
          <cell r="CD274">
            <v>0.82918346118840203</v>
          </cell>
          <cell r="CE274">
            <v>0.8291834611884018</v>
          </cell>
          <cell r="CF274">
            <v>0.82</v>
          </cell>
          <cell r="CG274">
            <v>0.82000000000000006</v>
          </cell>
          <cell r="CH274">
            <v>0.82000000000000006</v>
          </cell>
        </row>
        <row r="554">
          <cell r="A554" t="str">
            <v>Net Cash from Operating Activities</v>
          </cell>
          <cell r="AG554">
            <v>-7.5550000000000033</v>
          </cell>
          <cell r="AH554">
            <v>0</v>
          </cell>
          <cell r="AI554">
            <v>0</v>
          </cell>
          <cell r="AJ554">
            <v>0</v>
          </cell>
          <cell r="AK554">
            <v>-3.706999999999999</v>
          </cell>
          <cell r="AL554">
            <v>0.50566666666666693</v>
          </cell>
          <cell r="AM554">
            <v>0.50566666666666693</v>
          </cell>
          <cell r="AN554">
            <v>0.50566666666666515</v>
          </cell>
          <cell r="AO554">
            <v>1.8919999999999995</v>
          </cell>
          <cell r="AP554">
            <v>-0.4420000000000005</v>
          </cell>
          <cell r="AQ554">
            <v>1.0649999999999995</v>
          </cell>
          <cell r="AR554">
            <v>-0.95099999999999829</v>
          </cell>
          <cell r="AS554">
            <v>0.16099999999999959</v>
          </cell>
          <cell r="AT554">
            <v>0.23599999999999965</v>
          </cell>
          <cell r="AU554">
            <v>0.87399999999999922</v>
          </cell>
          <cell r="AV554">
            <v>0.8220000000000014</v>
          </cell>
          <cell r="AW554">
            <v>4.6749999999999972</v>
          </cell>
          <cell r="AX554">
            <v>1.1950000000000016</v>
          </cell>
          <cell r="AY554">
            <v>-0.73699999999999977</v>
          </cell>
          <cell r="AZ554">
            <v>7.0059999999999993</v>
          </cell>
          <cell r="BA554">
            <v>5.1269999999999989</v>
          </cell>
          <cell r="BB554">
            <v>4.1189999999999998</v>
          </cell>
          <cell r="BC554">
            <v>-6.9409999999999989</v>
          </cell>
          <cell r="BD554">
            <v>9.3649999999999984</v>
          </cell>
          <cell r="BE554">
            <v>15.451000000000002</v>
          </cell>
          <cell r="BF554">
            <v>11.887000000000002</v>
          </cell>
          <cell r="BG554">
            <v>1.665999999999995</v>
          </cell>
          <cell r="BH554">
            <v>23.936</v>
          </cell>
          <cell r="BI554">
            <v>7.258180372962947</v>
          </cell>
          <cell r="BJ554">
            <v>17.613771336549696</v>
          </cell>
          <cell r="BK554">
            <v>7.2259762121183124</v>
          </cell>
          <cell r="BL554">
            <v>12.361458961417512</v>
          </cell>
          <cell r="BM554">
            <v>20.041695324973315</v>
          </cell>
          <cell r="BN554">
            <v>26.313159128260722</v>
          </cell>
          <cell r="BO554">
            <v>22.159816828321816</v>
          </cell>
          <cell r="BP554">
            <v>24.573364239298762</v>
          </cell>
          <cell r="BQ554">
            <v>28.113258444527297</v>
          </cell>
          <cell r="BR554">
            <v>0</v>
          </cell>
          <cell r="BS554">
            <v>0</v>
          </cell>
          <cell r="BT554">
            <v>0</v>
          </cell>
          <cell r="BU554">
            <v>0</v>
          </cell>
          <cell r="BV554">
            <v>0</v>
          </cell>
          <cell r="BW554">
            <v>0</v>
          </cell>
          <cell r="BX554">
            <v>0</v>
          </cell>
          <cell r="BY554">
            <v>-7.5550000000000033</v>
          </cell>
          <cell r="BZ554">
            <v>-3.706999999999999</v>
          </cell>
          <cell r="CA554">
            <v>3.4090000000000042</v>
          </cell>
          <cell r="CB554">
            <v>-0.16699999999999893</v>
          </cell>
          <cell r="CC554">
            <v>6.6069999999999993</v>
          </cell>
          <cell r="CD554">
            <v>12.590999999999994</v>
          </cell>
          <cell r="CE554">
            <v>21.993999999999996</v>
          </cell>
          <cell r="CF554">
            <v>43.677180372962944</v>
          </cell>
          <cell r="CG554">
            <v>57.242901835058831</v>
          </cell>
          <cell r="CH554">
            <v>-4.5350961910404664</v>
          </cell>
        </row>
        <row r="559">
          <cell r="A559" t="str">
            <v>Purchase of property and equipment</v>
          </cell>
          <cell r="AG559">
            <v>-2.8679999999999999</v>
          </cell>
          <cell r="AK559">
            <v>-2.492</v>
          </cell>
          <cell r="AL559">
            <v>-0.67466666666666664</v>
          </cell>
          <cell r="AM559">
            <v>-0.67466666666666664</v>
          </cell>
          <cell r="AN559">
            <v>-0.67466666666666686</v>
          </cell>
          <cell r="AO559">
            <v>-1.401</v>
          </cell>
          <cell r="AP559">
            <v>-0.65300000000000002</v>
          </cell>
          <cell r="AQ559">
            <v>0.49299999999999999</v>
          </cell>
          <cell r="AR559">
            <v>-3.6039999999999996</v>
          </cell>
          <cell r="AS559">
            <v>-1.1659999999999999</v>
          </cell>
          <cell r="AT559">
            <v>-1.2869999999999999</v>
          </cell>
          <cell r="AU559">
            <v>-1.1560000000000001</v>
          </cell>
          <cell r="AV559">
            <v>-1.4409999999999998</v>
          </cell>
          <cell r="AW559">
            <v>-2.02</v>
          </cell>
          <cell r="AX559">
            <v>-0.98799999999999999</v>
          </cell>
          <cell r="AY559">
            <v>-1.002</v>
          </cell>
          <cell r="AZ559">
            <v>-2.512</v>
          </cell>
          <cell r="BA559">
            <v>-3.1310000000000007</v>
          </cell>
          <cell r="BB559">
            <v>-2.2909999999999999</v>
          </cell>
          <cell r="BC559">
            <v>-3.7319999999999998</v>
          </cell>
          <cell r="BD559">
            <v>-4.3719999999999999</v>
          </cell>
          <cell r="BE559">
            <v>-4.593</v>
          </cell>
          <cell r="BF559">
            <v>-4.5839999999999996</v>
          </cell>
          <cell r="BG559">
            <v>-5.843</v>
          </cell>
          <cell r="BH559">
            <v>-7.7</v>
          </cell>
          <cell r="BI559">
            <v>-3.5</v>
          </cell>
          <cell r="BJ559">
            <v>-7.25</v>
          </cell>
          <cell r="BK559">
            <v>-7.25</v>
          </cell>
          <cell r="BL559">
            <v>-7.25</v>
          </cell>
          <cell r="BM559">
            <v>-7.25</v>
          </cell>
          <cell r="BN559">
            <v>-3.5</v>
          </cell>
          <cell r="BO559">
            <v>-3.5</v>
          </cell>
          <cell r="BP559">
            <v>-3.5</v>
          </cell>
          <cell r="BQ559">
            <v>-3.5</v>
          </cell>
          <cell r="BR559">
            <v>0</v>
          </cell>
          <cell r="BS559">
            <v>0</v>
          </cell>
          <cell r="BT559">
            <v>0</v>
          </cell>
          <cell r="BU559">
            <v>0</v>
          </cell>
          <cell r="BV559">
            <v>0</v>
          </cell>
          <cell r="BW559">
            <v>0</v>
          </cell>
          <cell r="BX559">
            <v>0</v>
          </cell>
          <cell r="BY559">
            <v>-2.8679999999999999</v>
          </cell>
          <cell r="BZ559">
            <v>-2.492</v>
          </cell>
          <cell r="CA559">
            <v>-3.4249999999999998</v>
          </cell>
          <cell r="CB559">
            <v>-4.93</v>
          </cell>
          <cell r="CC559">
            <v>-5.9039999999999999</v>
          </cell>
          <cell r="CD559">
            <v>-7.6330000000000009</v>
          </cell>
          <cell r="CE559">
            <v>-14.988</v>
          </cell>
          <cell r="CF559">
            <v>-21.626999999999999</v>
          </cell>
          <cell r="CG559">
            <v>-29</v>
          </cell>
          <cell r="CH559">
            <v>-14</v>
          </cell>
        </row>
      </sheetData>
      <sheetData sheetId="5"/>
      <sheetData sheetId="6"/>
      <sheetData sheetId="7"/>
      <sheetData sheetId="8"/>
      <sheetData sheetId="9"/>
      <sheetData sheetId="10"/>
      <sheetData sheetId="11"/>
      <sheetData sheetId="12">
        <row r="3">
          <cell r="E3">
            <v>51</v>
          </cell>
        </row>
        <row r="4">
          <cell r="E4">
            <v>74</v>
          </cell>
        </row>
        <row r="5">
          <cell r="E5">
            <v>81</v>
          </cell>
        </row>
        <row r="48">
          <cell r="D48" t="e">
            <v>#NUM!</v>
          </cell>
        </row>
      </sheetData>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Earnings Cheat Sheet"/>
      <sheetName val="Upside_Downside"/>
      <sheetName val="QUICK SUMMARY"/>
      <sheetName val="guidance"/>
      <sheetName val="SOTP"/>
      <sheetName val="SENSITIVITY"/>
      <sheetName val="Job posting"/>
      <sheetName val="peak and trough"/>
      <sheetName val="Recent Acquisition"/>
      <sheetName val="COMP"/>
      <sheetName val="CF COMP"/>
      <sheetName val="LINKS&amp;INPUTS"/>
      <sheetName val="Exhibits"/>
      <sheetName val="Exhibit list"/>
      <sheetName val="initiation charts"/>
      <sheetName val="Disclosure"/>
      <sheetName val="RBC TIBX Model"/>
    </sheetNames>
    <sheetDataSet>
      <sheetData sheetId="0"/>
      <sheetData sheetId="1" refreshError="1">
        <row r="12">
          <cell r="A12" t="str">
            <v>Gross Profit</v>
          </cell>
          <cell r="Z12">
            <v>107.94</v>
          </cell>
          <cell r="AA12">
            <v>109.17399999999998</v>
          </cell>
          <cell r="AB12">
            <v>121.69499999999999</v>
          </cell>
          <cell r="AC12">
            <v>146.12100000000001</v>
          </cell>
          <cell r="AD12">
            <v>99.013999999999982</v>
          </cell>
          <cell r="AE12">
            <v>106.97699999999998</v>
          </cell>
          <cell r="AF12">
            <v>115.48000000000002</v>
          </cell>
          <cell r="AG12">
            <v>156.85399999999998</v>
          </cell>
          <cell r="AH12">
            <v>116.70000000000002</v>
          </cell>
          <cell r="AI12">
            <v>130.54400000000001</v>
          </cell>
          <cell r="AJ12">
            <v>139.124</v>
          </cell>
          <cell r="AK12">
            <v>188.83499999999998</v>
          </cell>
          <cell r="AL12">
            <v>138.06300000000002</v>
          </cell>
          <cell r="AM12">
            <v>160.59899999999999</v>
          </cell>
          <cell r="AN12">
            <v>169.828</v>
          </cell>
          <cell r="AO12">
            <v>224.60799999999998</v>
          </cell>
          <cell r="AP12">
            <v>164.15899999999999</v>
          </cell>
          <cell r="AQ12">
            <v>183.49099999999999</v>
          </cell>
          <cell r="AR12">
            <v>188.79900000000004</v>
          </cell>
          <cell r="AS12">
            <v>226.39</v>
          </cell>
          <cell r="AT12">
            <v>169.85299999999998</v>
          </cell>
          <cell r="AU12">
            <v>177.99</v>
          </cell>
          <cell r="AV12">
            <v>182.74</v>
          </cell>
          <cell r="AW12">
            <v>222.79829359999999</v>
          </cell>
          <cell r="AX12">
            <v>179.30205800000002</v>
          </cell>
          <cell r="AY12">
            <v>190.02185800000001</v>
          </cell>
          <cell r="AZ12">
            <v>205.23959999999997</v>
          </cell>
          <cell r="BA12">
            <v>258.89183823999997</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X12">
            <v>484.93</v>
          </cell>
          <cell r="BY12">
            <v>478.32500000000005</v>
          </cell>
          <cell r="BZ12">
            <v>575.20300000000009</v>
          </cell>
          <cell r="CA12">
            <v>693.09799999999984</v>
          </cell>
          <cell r="CB12">
            <v>762.83900000000006</v>
          </cell>
          <cell r="CC12">
            <v>753.38129360000005</v>
          </cell>
          <cell r="CD12">
            <v>833.45535424000013</v>
          </cell>
          <cell r="CE12">
            <v>0</v>
          </cell>
          <cell r="CF12">
            <v>0</v>
          </cell>
          <cell r="CG12">
            <v>0</v>
          </cell>
          <cell r="CH12">
            <v>0</v>
          </cell>
        </row>
        <row r="18">
          <cell r="A18" t="str">
            <v>Interest income</v>
          </cell>
          <cell r="Z18">
            <v>3.258</v>
          </cell>
          <cell r="AA18">
            <v>2.2440000000000002</v>
          </cell>
          <cell r="AB18">
            <v>1.925</v>
          </cell>
          <cell r="AC18">
            <v>1.6879999999999999</v>
          </cell>
          <cell r="AD18">
            <v>1.077</v>
          </cell>
          <cell r="AE18">
            <v>0.75700000000000001</v>
          </cell>
          <cell r="AF18">
            <v>0.219</v>
          </cell>
          <cell r="AG18">
            <v>0.21199999999999999</v>
          </cell>
          <cell r="AH18">
            <v>0.20399999999999999</v>
          </cell>
          <cell r="AI18">
            <v>0.224</v>
          </cell>
          <cell r="AJ18">
            <v>0.39800000000000002</v>
          </cell>
          <cell r="AK18">
            <v>0.52300000000000002</v>
          </cell>
          <cell r="AL18">
            <v>0.48199999999999998</v>
          </cell>
          <cell r="AM18">
            <v>0.44800000000000001</v>
          </cell>
          <cell r="AN18">
            <v>0.246</v>
          </cell>
          <cell r="AO18">
            <v>0.19800000000000001</v>
          </cell>
          <cell r="AP18">
            <v>0.255</v>
          </cell>
          <cell r="AQ18">
            <v>0.221</v>
          </cell>
          <cell r="AR18">
            <v>0.36599999999999999</v>
          </cell>
          <cell r="AS18">
            <v>0.26700000000000002</v>
          </cell>
          <cell r="AT18">
            <v>0.19800000000000001</v>
          </cell>
          <cell r="AU18">
            <v>0.22500000000000001</v>
          </cell>
          <cell r="AV18">
            <v>0.22500000000000001</v>
          </cell>
          <cell r="AW18">
            <v>0.22500000000000001</v>
          </cell>
          <cell r="AX18">
            <v>0.22500000000000001</v>
          </cell>
          <cell r="AY18">
            <v>0.22500000000000001</v>
          </cell>
          <cell r="AZ18">
            <v>0.22500000000000001</v>
          </cell>
          <cell r="BA18">
            <v>0.22500000000000001</v>
          </cell>
          <cell r="BX18">
            <v>9.1150000000000002</v>
          </cell>
          <cell r="BY18">
            <v>2.2650000000000001</v>
          </cell>
          <cell r="BZ18">
            <v>1.3490000000000002</v>
          </cell>
          <cell r="CA18">
            <v>1.3739999999999999</v>
          </cell>
          <cell r="CB18">
            <v>1.109</v>
          </cell>
          <cell r="CC18">
            <v>0.873</v>
          </cell>
          <cell r="CD18">
            <v>0.9</v>
          </cell>
        </row>
        <row r="19">
          <cell r="A19" t="str">
            <v>Interest expense</v>
          </cell>
          <cell r="Z19">
            <v>-0.84199999999999997</v>
          </cell>
          <cell r="AA19">
            <v>-0.876</v>
          </cell>
          <cell r="AB19">
            <v>-0.81</v>
          </cell>
          <cell r="AC19">
            <v>-0.71</v>
          </cell>
          <cell r="AD19">
            <v>-0.746</v>
          </cell>
          <cell r="AE19">
            <v>-0.79300000000000004</v>
          </cell>
          <cell r="AF19">
            <v>-0.67300000000000004</v>
          </cell>
          <cell r="AG19">
            <v>-0.75600000000000001</v>
          </cell>
          <cell r="AH19">
            <v>-0.98499999999999999</v>
          </cell>
          <cell r="AI19">
            <v>-0.98</v>
          </cell>
          <cell r="AJ19">
            <v>-1.1379999999999999</v>
          </cell>
          <cell r="AK19">
            <v>-1.02</v>
          </cell>
          <cell r="AL19">
            <v>-1.046</v>
          </cell>
          <cell r="AM19">
            <v>-0.95099999999999996</v>
          </cell>
          <cell r="AN19">
            <v>-0.94</v>
          </cell>
          <cell r="AO19">
            <v>-1.083</v>
          </cell>
          <cell r="AP19">
            <v>-1.4650000000000001</v>
          </cell>
          <cell r="AQ19">
            <v>-2.8309999999999995</v>
          </cell>
          <cell r="AR19">
            <v>-4.9959999999999987</v>
          </cell>
          <cell r="AS19">
            <v>-4.9720000000000004</v>
          </cell>
          <cell r="AT19">
            <v>-4.9630000000000001</v>
          </cell>
          <cell r="AU19">
            <v>-4.8090000000000002</v>
          </cell>
          <cell r="AV19">
            <v>-4.8090000000000002</v>
          </cell>
          <cell r="AW19">
            <v>-4.8090000000000002</v>
          </cell>
          <cell r="AX19">
            <v>-4.8090000000000002</v>
          </cell>
          <cell r="AY19">
            <v>-4.8090000000000002</v>
          </cell>
          <cell r="AZ19">
            <v>-4.8090000000000002</v>
          </cell>
          <cell r="BA19">
            <v>-4.8090000000000002</v>
          </cell>
          <cell r="BX19">
            <v>-3.238</v>
          </cell>
          <cell r="BY19">
            <v>-2.968</v>
          </cell>
          <cell r="BZ19">
            <v>-4.1229999999999993</v>
          </cell>
          <cell r="CA19">
            <v>-4.0199999999999996</v>
          </cell>
          <cell r="CB19">
            <v>-14.263999999999999</v>
          </cell>
          <cell r="CC19">
            <v>-19.39</v>
          </cell>
          <cell r="CD19">
            <v>-19.236000000000001</v>
          </cell>
        </row>
        <row r="77">
          <cell r="A77" t="str">
            <v>Cash Margin</v>
          </cell>
          <cell r="B77">
            <v>0.25473088409823019</v>
          </cell>
          <cell r="C77">
            <v>-0.14160393108010202</v>
          </cell>
          <cell r="D77">
            <v>-0.41589485607675908</v>
          </cell>
          <cell r="E77">
            <v>0.16235715482034038</v>
          </cell>
          <cell r="F77">
            <v>0.1776976863923998</v>
          </cell>
          <cell r="G77">
            <v>-8.7163383766295552E-2</v>
          </cell>
          <cell r="H77">
            <v>-0.37148002330467322</v>
          </cell>
          <cell r="I77">
            <v>4.2737135052954317E-2</v>
          </cell>
          <cell r="J77">
            <v>0.25142144125138283</v>
          </cell>
          <cell r="K77">
            <v>0.15944397082504502</v>
          </cell>
          <cell r="L77">
            <v>0.22932840418977199</v>
          </cell>
          <cell r="M77">
            <v>0.14015009230916772</v>
          </cell>
          <cell r="N77">
            <v>0.21164660745256739</v>
          </cell>
          <cell r="O77">
            <v>0.27526496929876015</v>
          </cell>
          <cell r="P77">
            <v>0.18094497642971724</v>
          </cell>
          <cell r="Q77">
            <v>8.2678265849451579E-2</v>
          </cell>
          <cell r="R77">
            <v>0.2712386925157006</v>
          </cell>
          <cell r="S77">
            <v>0.11574439136014347</v>
          </cell>
          <cell r="T77">
            <v>0.38928979274485515</v>
          </cell>
          <cell r="U77">
            <v>6.9231472382824122E-2</v>
          </cell>
          <cell r="V77">
            <v>0.33399678359314044</v>
          </cell>
          <cell r="W77">
            <v>8.0771507947351689E-2</v>
          </cell>
          <cell r="X77">
            <v>0.14342463820845433</v>
          </cell>
          <cell r="Y77">
            <v>0.14985814028075892</v>
          </cell>
          <cell r="Z77">
            <v>0.39012862736962212</v>
          </cell>
          <cell r="AA77">
            <v>0.20830548616293032</v>
          </cell>
          <cell r="AB77">
            <v>0.15054797539620529</v>
          </cell>
          <cell r="AC77">
            <v>0.19382987919076336</v>
          </cell>
          <cell r="AD77">
            <v>0.21157593867740676</v>
          </cell>
          <cell r="AE77">
            <v>0.30517516440838249</v>
          </cell>
          <cell r="AF77">
            <v>9.5151106820123482E-2</v>
          </cell>
          <cell r="AG77">
            <v>0.14157952151670178</v>
          </cell>
          <cell r="AH77">
            <v>0.2439321119261855</v>
          </cell>
          <cell r="AI77">
            <v>0.23446765440852713</v>
          </cell>
          <cell r="AJ77">
            <v>0.17798307420238438</v>
          </cell>
          <cell r="AK77">
            <v>0.14414752407012452</v>
          </cell>
          <cell r="AL77">
            <v>0.19143693532422129</v>
          </cell>
          <cell r="AM77">
            <v>0.19914877021034869</v>
          </cell>
          <cell r="AN77">
            <v>0.26072338345155288</v>
          </cell>
          <cell r="AO77">
            <v>0.2268125379256993</v>
          </cell>
          <cell r="AP77">
            <v>0.16674302720192022</v>
          </cell>
          <cell r="AQ77">
            <v>0.29616666210921477</v>
          </cell>
          <cell r="AR77">
            <v>0.17292300432897348</v>
          </cell>
          <cell r="AS77">
            <v>0.23805747479653844</v>
          </cell>
          <cell r="AT77">
            <v>0.27970518231447816</v>
          </cell>
          <cell r="AU77">
            <v>0.10213944619329812</v>
          </cell>
          <cell r="AV77">
            <v>0.17483049646189119</v>
          </cell>
          <cell r="AW77">
            <v>0.21192519659619571</v>
          </cell>
          <cell r="AX77">
            <v>0.18446933625723544</v>
          </cell>
          <cell r="AY77">
            <v>0.32793360114141873</v>
          </cell>
          <cell r="AZ77">
            <v>0.13498602619325881</v>
          </cell>
          <cell r="BA77">
            <v>0.25226191230757061</v>
          </cell>
          <cell r="BB77" t="e">
            <v>#REF!</v>
          </cell>
          <cell r="BC77" t="e">
            <v>#REF!</v>
          </cell>
          <cell r="BD77" t="e">
            <v>#REF!</v>
          </cell>
          <cell r="BE77" t="e">
            <v>#REF!</v>
          </cell>
          <cell r="BF77" t="e">
            <v>#REF!</v>
          </cell>
          <cell r="BG77" t="e">
            <v>#REF!</v>
          </cell>
          <cell r="BH77" t="e">
            <v>#REF!</v>
          </cell>
          <cell r="BI77" t="e">
            <v>#REF!</v>
          </cell>
          <cell r="BJ77" t="e">
            <v>#REF!</v>
          </cell>
          <cell r="BK77" t="e">
            <v>#REF!</v>
          </cell>
          <cell r="BL77" t="e">
            <v>#REF!</v>
          </cell>
          <cell r="BM77" t="e">
            <v>#REF!</v>
          </cell>
          <cell r="BN77" t="e">
            <v>#REF!</v>
          </cell>
          <cell r="BO77" t="e">
            <v>#REF!</v>
          </cell>
          <cell r="BP77" t="e">
            <v>#REF!</v>
          </cell>
          <cell r="BQ77" t="e">
            <v>#REF!</v>
          </cell>
          <cell r="BR77">
            <v>-6.5653547955165465E-3</v>
          </cell>
          <cell r="BS77">
            <v>-4.8621843909940295E-2</v>
          </cell>
          <cell r="BT77">
            <v>0.19026913638076229</v>
          </cell>
          <cell r="BU77">
            <v>0.17822975258539442</v>
          </cell>
          <cell r="BV77">
            <v>0.19569923456571209</v>
          </cell>
          <cell r="BW77">
            <v>0.17198876725689016</v>
          </cell>
          <cell r="BX77">
            <v>0.23372284074746186</v>
          </cell>
          <cell r="BY77">
            <v>0.18209576529549512</v>
          </cell>
          <cell r="BZ77">
            <v>0.19435476600787313</v>
          </cell>
          <cell r="CA77">
            <v>0.22113946614031121</v>
          </cell>
          <cell r="CB77">
            <v>0.21876336395676346</v>
          </cell>
          <cell r="CC77">
            <v>0.19178214108880517</v>
          </cell>
          <cell r="CD77">
            <v>0.22632707160513743</v>
          </cell>
          <cell r="CE77" t="e">
            <v>#REF!</v>
          </cell>
          <cell r="CF77" t="e">
            <v>#REF!</v>
          </cell>
          <cell r="CG77" t="e">
            <v>#REF!</v>
          </cell>
          <cell r="CH77" t="e">
            <v>#REF!</v>
          </cell>
        </row>
        <row r="80">
          <cell r="A80" t="str">
            <v>Free Cash Margin</v>
          </cell>
          <cell r="B80">
            <v>0.25473088409823019</v>
          </cell>
          <cell r="C80">
            <v>-0.14160393108010202</v>
          </cell>
          <cell r="D80">
            <v>-0.41589485607675908</v>
          </cell>
          <cell r="E80">
            <v>0.16235715482034038</v>
          </cell>
          <cell r="F80">
            <v>0.1776976863923998</v>
          </cell>
          <cell r="G80">
            <v>-8.7163383766295552E-2</v>
          </cell>
          <cell r="H80">
            <v>-0.37148002330467322</v>
          </cell>
          <cell r="I80">
            <v>4.2737135052954317E-2</v>
          </cell>
          <cell r="J80">
            <v>0.25142144125138283</v>
          </cell>
          <cell r="K80">
            <v>0.15944397082504502</v>
          </cell>
          <cell r="L80">
            <v>0.22932840418977199</v>
          </cell>
          <cell r="M80">
            <v>0.14015009230916772</v>
          </cell>
          <cell r="N80">
            <v>0.21164660745256739</v>
          </cell>
          <cell r="O80">
            <v>0.27526496929876015</v>
          </cell>
          <cell r="P80">
            <v>0.18094497642971724</v>
          </cell>
          <cell r="Q80">
            <v>8.2678265849451579E-2</v>
          </cell>
          <cell r="R80">
            <v>0.2712386925157006</v>
          </cell>
          <cell r="S80">
            <v>0.11574439136014347</v>
          </cell>
          <cell r="T80">
            <v>0.38928979274485515</v>
          </cell>
          <cell r="U80">
            <v>6.9231472382824122E-2</v>
          </cell>
          <cell r="V80">
            <v>0.33399678359314044</v>
          </cell>
          <cell r="W80">
            <v>8.0771507947351689E-2</v>
          </cell>
          <cell r="X80">
            <v>0.14342463820845433</v>
          </cell>
          <cell r="Y80">
            <v>0.14985814028075892</v>
          </cell>
          <cell r="Z80">
            <v>0.37550245066258653</v>
          </cell>
          <cell r="AA80">
            <v>0.19192810563540216</v>
          </cell>
          <cell r="AB80">
            <v>0.13930128962887275</v>
          </cell>
          <cell r="AC80">
            <v>0.18110580584082819</v>
          </cell>
          <cell r="AD80">
            <v>0.20206285277092081</v>
          </cell>
          <cell r="AE80">
            <v>0.29119233073696826</v>
          </cell>
          <cell r="AF80">
            <v>8.9226302519257339E-2</v>
          </cell>
          <cell r="AG80">
            <v>0.13556086367739995</v>
          </cell>
          <cell r="AH80">
            <v>0.23756007660896894</v>
          </cell>
          <cell r="AI80">
            <v>0.22646202759653927</v>
          </cell>
          <cell r="AJ80">
            <v>0.16760110012105797</v>
          </cell>
          <cell r="AK80">
            <v>0.1356653793924664</v>
          </cell>
          <cell r="AL80">
            <v>0.18312343364993786</v>
          </cell>
          <cell r="AM80">
            <v>0.18957667426895128</v>
          </cell>
          <cell r="AN80">
            <v>0.24519474058889626</v>
          </cell>
          <cell r="AO80">
            <v>0.20370048367464982</v>
          </cell>
          <cell r="AP80">
            <v>0.13956543422114281</v>
          </cell>
          <cell r="AQ80">
            <v>0.27850588497251855</v>
          </cell>
          <cell r="AR80">
            <v>0.15454184733845003</v>
          </cell>
          <cell r="AS80">
            <v>0.21374782329986089</v>
          </cell>
          <cell r="AT80">
            <v>0.26826462807138629</v>
          </cell>
          <cell r="AU80">
            <v>8.9062769691041974E-2</v>
          </cell>
          <cell r="AV80">
            <v>0.15780715015838925</v>
          </cell>
          <cell r="AW80">
            <v>0.20110777515335965</v>
          </cell>
          <cell r="AX80">
            <v>0.17072226302458551</v>
          </cell>
          <cell r="AY80">
            <v>0.31404942484987802</v>
          </cell>
          <cell r="AZ80">
            <v>0.12227122938419017</v>
          </cell>
          <cell r="BA80">
            <v>0.24189076738620624</v>
          </cell>
          <cell r="BB80" t="e">
            <v>#REF!</v>
          </cell>
          <cell r="BC80" t="e">
            <v>#REF!</v>
          </cell>
          <cell r="BD80" t="e">
            <v>#REF!</v>
          </cell>
          <cell r="BE80" t="e">
            <v>#REF!</v>
          </cell>
          <cell r="BF80" t="e">
            <v>#REF!</v>
          </cell>
          <cell r="BG80" t="e">
            <v>#REF!</v>
          </cell>
          <cell r="BH80" t="e">
            <v>#REF!</v>
          </cell>
          <cell r="BI80" t="e">
            <v>#REF!</v>
          </cell>
          <cell r="BJ80" t="e">
            <v>#REF!</v>
          </cell>
          <cell r="BK80" t="e">
            <v>#REF!</v>
          </cell>
          <cell r="BL80" t="e">
            <v>#REF!</v>
          </cell>
          <cell r="BM80" t="e">
            <v>#REF!</v>
          </cell>
          <cell r="BN80" t="e">
            <v>#REF!</v>
          </cell>
          <cell r="BO80" t="e">
            <v>#REF!</v>
          </cell>
          <cell r="BP80" t="e">
            <v>#REF!</v>
          </cell>
          <cell r="BQ80" t="e">
            <v>#REF!</v>
          </cell>
          <cell r="BR80">
            <v>-0.15408786921122156</v>
          </cell>
          <cell r="BS80">
            <v>-5.7588207426277009E-2</v>
          </cell>
          <cell r="BT80">
            <v>0.1721917864016374</v>
          </cell>
          <cell r="BU80">
            <v>0.14606886638578431</v>
          </cell>
          <cell r="BV80">
            <v>0.17173508289741996</v>
          </cell>
          <cell r="BW80">
            <v>0.15080293934655031</v>
          </cell>
          <cell r="BX80">
            <v>0.22002519741036836</v>
          </cell>
          <cell r="BY80">
            <v>0.17359353401208111</v>
          </cell>
          <cell r="BZ80">
            <v>0.18599431138937195</v>
          </cell>
          <cell r="CA80">
            <v>0.20628948064910094</v>
          </cell>
          <cell r="CB80">
            <v>0.19689900903956467</v>
          </cell>
          <cell r="CC80">
            <v>0.17876481925319493</v>
          </cell>
          <cell r="CD80">
            <v>0.21381505579972704</v>
          </cell>
          <cell r="CE80" t="e">
            <v>#REF!</v>
          </cell>
          <cell r="CF80" t="e">
            <v>#REF!</v>
          </cell>
          <cell r="CG80" t="e">
            <v>#REF!</v>
          </cell>
          <cell r="CH80" t="e">
            <v>#REF!</v>
          </cell>
        </row>
        <row r="83">
          <cell r="A83" t="str">
            <v>Revenue TTM</v>
          </cell>
          <cell r="B83">
            <v>74.682000000000002</v>
          </cell>
          <cell r="C83">
            <v>138.815</v>
          </cell>
          <cell r="D83">
            <v>202.10300000000001</v>
          </cell>
          <cell r="E83">
            <v>273.39300000000003</v>
          </cell>
          <cell r="F83">
            <v>262.36400000000003</v>
          </cell>
          <cell r="G83">
            <v>259.69900000000001</v>
          </cell>
          <cell r="H83">
            <v>262.52499999999998</v>
          </cell>
          <cell r="I83">
            <v>264.20999999999998</v>
          </cell>
          <cell r="J83">
            <v>274.95799999999997</v>
          </cell>
          <cell r="K83">
            <v>294.73899999999998</v>
          </cell>
          <cell r="L83">
            <v>334.53599999999994</v>
          </cell>
          <cell r="M83">
            <v>387.22</v>
          </cell>
          <cell r="N83">
            <v>416.96500000000003</v>
          </cell>
          <cell r="O83">
            <v>437.10400000000004</v>
          </cell>
          <cell r="P83">
            <v>437.13799999999998</v>
          </cell>
          <cell r="Q83">
            <v>445.90999999999997</v>
          </cell>
          <cell r="R83">
            <v>456.34399999999999</v>
          </cell>
          <cell r="S83">
            <v>476.20299999999997</v>
          </cell>
          <cell r="T83">
            <v>490.66099999999994</v>
          </cell>
          <cell r="U83">
            <v>517.279</v>
          </cell>
          <cell r="V83">
            <v>528.35300000000007</v>
          </cell>
          <cell r="W83">
            <v>537.62300000000005</v>
          </cell>
          <cell r="X83">
            <v>552.33400000000006</v>
          </cell>
          <cell r="Y83">
            <v>577.38599999999997</v>
          </cell>
          <cell r="Z83">
            <v>598.30999999999995</v>
          </cell>
          <cell r="AA83">
            <v>617.82499999999982</v>
          </cell>
          <cell r="AB83">
            <v>645.048</v>
          </cell>
          <cell r="AC83">
            <v>644.471</v>
          </cell>
          <cell r="AD83">
            <v>630.78899999999999</v>
          </cell>
          <cell r="AE83">
            <v>623.42699999999991</v>
          </cell>
          <cell r="AF83">
            <v>611.34199999999987</v>
          </cell>
          <cell r="AG83">
            <v>621.38799999999992</v>
          </cell>
          <cell r="AH83">
            <v>643.53600000000006</v>
          </cell>
          <cell r="AI83">
            <v>674.13599999999997</v>
          </cell>
          <cell r="AJ83">
            <v>708.36</v>
          </cell>
          <cell r="AK83">
            <v>754.00699999999995</v>
          </cell>
          <cell r="AL83">
            <v>784.30399999999997</v>
          </cell>
          <cell r="AM83">
            <v>827.45499999999993</v>
          </cell>
          <cell r="AN83">
            <v>871.952</v>
          </cell>
          <cell r="AO83">
            <v>920.24599999999998</v>
          </cell>
          <cell r="AP83">
            <v>960.60699999999997</v>
          </cell>
          <cell r="AQ83">
            <v>991.54899999999998</v>
          </cell>
          <cell r="AR83">
            <v>1017.597</v>
          </cell>
          <cell r="AS83">
            <v>1024.6130000000001</v>
          </cell>
          <cell r="AT83">
            <v>1036.701</v>
          </cell>
          <cell r="AU83">
            <v>1035.184</v>
          </cell>
          <cell r="AV83">
            <v>1037.163</v>
          </cell>
          <cell r="AW83">
            <v>1040.76458</v>
          </cell>
          <cell r="AX83">
            <v>1055.1507300000001</v>
          </cell>
          <cell r="AY83">
            <v>1074.8279300000002</v>
          </cell>
          <cell r="AZ83">
            <v>1101.6879300000001</v>
          </cell>
          <cell r="BA83">
            <v>1142.7936460000001</v>
          </cell>
          <cell r="BB83">
            <v>1142.7936460000001</v>
          </cell>
          <cell r="BC83">
            <v>1142.7936460000001</v>
          </cell>
          <cell r="BD83">
            <v>1142.7936459999999</v>
          </cell>
          <cell r="BE83">
            <v>1142.7936460000001</v>
          </cell>
          <cell r="BF83">
            <v>1142.7936460000001</v>
          </cell>
          <cell r="BG83">
            <v>1142.7936460000001</v>
          </cell>
          <cell r="BH83">
            <v>1142.7936459999999</v>
          </cell>
          <cell r="BI83">
            <v>1142.7936460000001</v>
          </cell>
          <cell r="BJ83">
            <v>1142.7936460000001</v>
          </cell>
          <cell r="BK83">
            <v>1142.7936460000001</v>
          </cell>
          <cell r="BL83">
            <v>1142.7936459999999</v>
          </cell>
          <cell r="BM83">
            <v>1142.7936460000001</v>
          </cell>
          <cell r="BN83">
            <v>1142.7936460000001</v>
          </cell>
          <cell r="BO83">
            <v>1142.7936460000001</v>
          </cell>
          <cell r="BP83">
            <v>1142.7936459999999</v>
          </cell>
          <cell r="BQ83">
            <v>1142.7936460000001</v>
          </cell>
          <cell r="BR83">
            <v>273.39300000000003</v>
          </cell>
          <cell r="BS83">
            <v>264.20999999999998</v>
          </cell>
          <cell r="BT83">
            <v>387.22</v>
          </cell>
          <cell r="BU83">
            <v>445.90999999999997</v>
          </cell>
          <cell r="BV83">
            <v>517.279</v>
          </cell>
          <cell r="BW83">
            <v>577.38599999999997</v>
          </cell>
          <cell r="BX83">
            <v>644.471</v>
          </cell>
          <cell r="BY83">
            <v>621.38799999999992</v>
          </cell>
          <cell r="BZ83">
            <v>754.00699999999995</v>
          </cell>
          <cell r="CA83">
            <v>920.24599999999998</v>
          </cell>
          <cell r="CB83">
            <v>1024.6130000000001</v>
          </cell>
          <cell r="CC83">
            <v>1040.76458</v>
          </cell>
          <cell r="CD83">
            <v>1142.7936460000001</v>
          </cell>
          <cell r="CE83">
            <v>1142.7936460000001</v>
          </cell>
          <cell r="CF83">
            <v>1142.7936460000001</v>
          </cell>
          <cell r="CG83">
            <v>1142.7936460000001</v>
          </cell>
          <cell r="CH83">
            <v>1142.7936460000001</v>
          </cell>
        </row>
        <row r="445">
          <cell r="A445" t="str">
            <v>Total Current Assets</v>
          </cell>
          <cell r="Z445">
            <v>449.08299999999997</v>
          </cell>
          <cell r="AA445">
            <v>437.05900000000003</v>
          </cell>
          <cell r="AB445">
            <v>436.49700000000001</v>
          </cell>
          <cell r="AC445">
            <v>447.15899999999999</v>
          </cell>
          <cell r="AD445">
            <v>447.78299999999996</v>
          </cell>
          <cell r="AE445">
            <v>472.20699999999999</v>
          </cell>
          <cell r="AF445">
            <v>433.73099999999999</v>
          </cell>
          <cell r="AG445">
            <v>500.23700000000002</v>
          </cell>
          <cell r="AH445">
            <v>439.05199999999996</v>
          </cell>
          <cell r="AI445">
            <v>442.40200000000004</v>
          </cell>
          <cell r="AJ445">
            <v>464.37400000000002</v>
          </cell>
          <cell r="AK445">
            <v>489.12200000000001</v>
          </cell>
          <cell r="AL445">
            <v>472.41500000000008</v>
          </cell>
          <cell r="AM445">
            <v>513.19800000000009</v>
          </cell>
          <cell r="AN445">
            <v>508.67399999999998</v>
          </cell>
          <cell r="AO445">
            <v>566.65600000000006</v>
          </cell>
          <cell r="AP445">
            <v>597.59400000000005</v>
          </cell>
          <cell r="AQ445">
            <v>887.60700000000008</v>
          </cell>
          <cell r="AR445">
            <v>955.15899999999999</v>
          </cell>
          <cell r="AS445">
            <v>1056.9940000000001</v>
          </cell>
          <cell r="AT445">
            <v>1047.7070000000001</v>
          </cell>
          <cell r="AU445">
            <v>978.66499999999996</v>
          </cell>
          <cell r="AV445">
            <v>1034.2587027445786</v>
          </cell>
          <cell r="AW445">
            <v>1106.3858689690076</v>
          </cell>
          <cell r="AX445">
            <v>1144.7098482122242</v>
          </cell>
          <cell r="AY445">
            <v>1202.4850034586859</v>
          </cell>
          <cell r="AZ445">
            <v>1280.9442901011107</v>
          </cell>
          <cell r="BA445">
            <v>1386.4189795904904</v>
          </cell>
          <cell r="BB445" t="e">
            <v>#REF!</v>
          </cell>
          <cell r="BC445" t="e">
            <v>#REF!</v>
          </cell>
          <cell r="BD445" t="e">
            <v>#REF!</v>
          </cell>
          <cell r="BE445" t="e">
            <v>#REF!</v>
          </cell>
          <cell r="BF445" t="e">
            <v>#REF!</v>
          </cell>
          <cell r="BG445" t="e">
            <v>#REF!</v>
          </cell>
          <cell r="BH445" t="e">
            <v>#REF!</v>
          </cell>
          <cell r="BI445" t="e">
            <v>#REF!</v>
          </cell>
          <cell r="BJ445" t="e">
            <v>#REF!</v>
          </cell>
          <cell r="BK445" t="e">
            <v>#REF!</v>
          </cell>
          <cell r="BL445" t="e">
            <v>#REF!</v>
          </cell>
          <cell r="BM445" t="e">
            <v>#REF!</v>
          </cell>
          <cell r="BN445" t="e">
            <v>#REF!</v>
          </cell>
          <cell r="BO445" t="e">
            <v>#REF!</v>
          </cell>
          <cell r="BP445" t="e">
            <v>#REF!</v>
          </cell>
          <cell r="BQ445" t="e">
            <v>#REF!</v>
          </cell>
          <cell r="BR445">
            <v>713.59300000000007</v>
          </cell>
          <cell r="BS445">
            <v>678.33100000000002</v>
          </cell>
          <cell r="BT445">
            <v>602.40699999999993</v>
          </cell>
          <cell r="BU445">
            <v>618.15100000000007</v>
          </cell>
          <cell r="BV445">
            <v>724.41</v>
          </cell>
          <cell r="BW445">
            <v>481.041</v>
          </cell>
          <cell r="BX445">
            <v>447.15899999999999</v>
          </cell>
          <cell r="BY445">
            <v>500.23700000000002</v>
          </cell>
          <cell r="BZ445">
            <v>489.12200000000001</v>
          </cell>
          <cell r="CA445">
            <v>566.65600000000006</v>
          </cell>
          <cell r="CB445">
            <v>1056.9940000000001</v>
          </cell>
          <cell r="CC445">
            <v>1106.3858689690076</v>
          </cell>
          <cell r="CD445">
            <v>1386.4189795904904</v>
          </cell>
          <cell r="CE445" t="e">
            <v>#REF!</v>
          </cell>
          <cell r="CF445" t="e">
            <v>#REF!</v>
          </cell>
          <cell r="CG445" t="e">
            <v>#REF!</v>
          </cell>
          <cell r="CH445" t="e">
            <v>#REF!</v>
          </cell>
        </row>
        <row r="446">
          <cell r="A446" t="str">
            <v>Current Deferred Revenue</v>
          </cell>
          <cell r="Z446">
            <v>138.018</v>
          </cell>
          <cell r="AA446">
            <v>142.85300000000001</v>
          </cell>
          <cell r="AB446">
            <v>131.14599999999999</v>
          </cell>
          <cell r="AC446">
            <v>140.221</v>
          </cell>
          <cell r="AD446">
            <v>147.047</v>
          </cell>
          <cell r="AE446">
            <v>145.62799999999999</v>
          </cell>
          <cell r="AF446">
            <v>141.83600000000001</v>
          </cell>
          <cell r="AG446">
            <v>159.24100000000001</v>
          </cell>
          <cell r="AH446">
            <v>173.02600000000001</v>
          </cell>
          <cell r="AI446">
            <v>178.84399999999999</v>
          </cell>
          <cell r="AJ446">
            <v>175.97</v>
          </cell>
          <cell r="AK446">
            <v>182.89500000000001</v>
          </cell>
          <cell r="AL446">
            <v>192.70099999999999</v>
          </cell>
          <cell r="AM446">
            <v>213.501</v>
          </cell>
          <cell r="AN446">
            <v>218.34</v>
          </cell>
          <cell r="AO446">
            <v>210.23400000000001</v>
          </cell>
          <cell r="AP446">
            <v>222.64400000000001</v>
          </cell>
          <cell r="AQ446">
            <v>231.63399999999999</v>
          </cell>
          <cell r="AR446">
            <v>257.30200000000002</v>
          </cell>
          <cell r="AS446">
            <v>263.476</v>
          </cell>
          <cell r="AT446">
            <v>274.01504</v>
          </cell>
          <cell r="AU446">
            <v>282.23549120000001</v>
          </cell>
          <cell r="AV446">
            <v>282.23549120000001</v>
          </cell>
          <cell r="AW446">
            <v>296.34726576000003</v>
          </cell>
          <cell r="AX446">
            <v>311.16462904800005</v>
          </cell>
          <cell r="AY446">
            <v>320.49956791944004</v>
          </cell>
          <cell r="AZ446">
            <v>320.49956791944004</v>
          </cell>
          <cell r="BA446">
            <v>336.52454631541207</v>
          </cell>
          <cell r="BR446">
            <v>49.780999999999999</v>
          </cell>
          <cell r="BS446">
            <v>42.914000000000001</v>
          </cell>
          <cell r="BT446">
            <v>60.633000000000003</v>
          </cell>
          <cell r="BU446">
            <v>82.3</v>
          </cell>
          <cell r="BV446">
            <v>102.26900000000001</v>
          </cell>
          <cell r="BW446">
            <v>127.2</v>
          </cell>
          <cell r="BX446">
            <v>140.221</v>
          </cell>
          <cell r="BY446">
            <v>159.24100000000001</v>
          </cell>
          <cell r="BZ446">
            <v>182.89500000000001</v>
          </cell>
          <cell r="CA446">
            <v>210.23400000000001</v>
          </cell>
          <cell r="CB446">
            <v>263.476</v>
          </cell>
          <cell r="CC446">
            <v>296.34726576000003</v>
          </cell>
          <cell r="CD446">
            <v>336.52454631541207</v>
          </cell>
        </row>
        <row r="447">
          <cell r="A447" t="str">
            <v>Property, Plant, and Equipment</v>
          </cell>
          <cell r="Z447">
            <v>109.629</v>
          </cell>
          <cell r="AA447">
            <v>108.084</v>
          </cell>
          <cell r="AB447">
            <v>105.551</v>
          </cell>
          <cell r="AC447">
            <v>103.53100000000001</v>
          </cell>
          <cell r="AD447">
            <v>100.79600000000001</v>
          </cell>
          <cell r="AE447">
            <v>99.584000000000003</v>
          </cell>
          <cell r="AF447">
            <v>97.168000000000006</v>
          </cell>
          <cell r="AG447">
            <v>94.631</v>
          </cell>
          <cell r="AH447">
            <v>92.024000000000001</v>
          </cell>
          <cell r="AI447">
            <v>90.644999999999996</v>
          </cell>
          <cell r="AJ447">
            <v>89.245000000000005</v>
          </cell>
          <cell r="AK447">
            <v>88.522999999999996</v>
          </cell>
          <cell r="AL447">
            <v>87.835999999999999</v>
          </cell>
          <cell r="AM447">
            <v>86.975999999999999</v>
          </cell>
          <cell r="AN447">
            <v>87.096000000000004</v>
          </cell>
          <cell r="AO447">
            <v>89.870999999999995</v>
          </cell>
          <cell r="AP447">
            <v>93.426000000000002</v>
          </cell>
          <cell r="AQ447">
            <v>93.525999999999996</v>
          </cell>
          <cell r="AR447">
            <v>94.861999999999995</v>
          </cell>
          <cell r="AS447">
            <v>98.474000000000004</v>
          </cell>
          <cell r="AT447">
            <v>97.073999999999998</v>
          </cell>
          <cell r="AU447">
            <v>95.959000000000003</v>
          </cell>
          <cell r="AV447">
            <v>96.592250000000007</v>
          </cell>
          <cell r="AW447">
            <v>97.024812499999996</v>
          </cell>
          <cell r="AX447">
            <v>96.662515625000012</v>
          </cell>
          <cell r="AY447">
            <v>96.559644531250015</v>
          </cell>
          <cell r="AZ447">
            <v>96.7098056640625</v>
          </cell>
          <cell r="BA447">
            <v>96.739194580078134</v>
          </cell>
          <cell r="BB447">
            <v>96.739194580078134</v>
          </cell>
          <cell r="BC447">
            <v>96.739194580078134</v>
          </cell>
          <cell r="BD447">
            <v>96.739194580078134</v>
          </cell>
          <cell r="BE447">
            <v>96.739194580078134</v>
          </cell>
          <cell r="BF447">
            <v>96.739194580078134</v>
          </cell>
          <cell r="BG447">
            <v>96.739194580078134</v>
          </cell>
          <cell r="BH447">
            <v>96.739194580078134</v>
          </cell>
          <cell r="BI447">
            <v>96.739194580078134</v>
          </cell>
          <cell r="BJ447">
            <v>96.739194580078134</v>
          </cell>
          <cell r="BK447">
            <v>96.739194580078134</v>
          </cell>
          <cell r="BL447">
            <v>96.739194580078134</v>
          </cell>
          <cell r="BM447">
            <v>96.739194580078134</v>
          </cell>
          <cell r="BN447">
            <v>96.739194580078134</v>
          </cell>
          <cell r="BO447">
            <v>96.739194580078134</v>
          </cell>
          <cell r="BP447">
            <v>96.739194580078134</v>
          </cell>
          <cell r="BQ447">
            <v>96.739194580078134</v>
          </cell>
          <cell r="BR447">
            <v>54.826999999999998</v>
          </cell>
          <cell r="BS447">
            <v>119.124</v>
          </cell>
          <cell r="BT447">
            <v>118.05800000000001</v>
          </cell>
          <cell r="BU447">
            <v>116.45699999999999</v>
          </cell>
          <cell r="BV447">
            <v>113.78700000000001</v>
          </cell>
          <cell r="BW447">
            <v>111.39</v>
          </cell>
          <cell r="BX447">
            <v>103.53100000000001</v>
          </cell>
          <cell r="BY447">
            <v>94.631</v>
          </cell>
          <cell r="BZ447">
            <v>88.522999999999996</v>
          </cell>
          <cell r="CA447">
            <v>89.870999999999995</v>
          </cell>
          <cell r="CB447">
            <v>98.474000000000004</v>
          </cell>
          <cell r="CC447">
            <v>97.024812499999996</v>
          </cell>
          <cell r="CD447">
            <v>96.739194580078134</v>
          </cell>
          <cell r="CE447">
            <v>96.739194580078134</v>
          </cell>
          <cell r="CF447">
            <v>96.739194580078134</v>
          </cell>
          <cell r="CG447">
            <v>96.739194580078134</v>
          </cell>
          <cell r="CH447">
            <v>96.739194580078134</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Upside_Downside"/>
      <sheetName val="QUICK SUMMARY"/>
      <sheetName val="guidance"/>
      <sheetName val="EHS"/>
      <sheetName val="MA Multiples"/>
      <sheetName val="SENSITIVITY"/>
      <sheetName val="Job Postings"/>
      <sheetName val="WACC"/>
      <sheetName val="DCF"/>
      <sheetName val="LINKS&amp;INPUTS"/>
      <sheetName val="RBC FLTX Model"/>
    </sheetNames>
    <sheetDataSet>
      <sheetData sheetId="0"/>
      <sheetData sheetId="1" refreshError="1">
        <row r="410">
          <cell r="A410" t="str">
            <v>Prepaid Expenses and Other Current Assets</v>
          </cell>
        </row>
        <row r="476">
          <cell r="A476" t="str">
            <v>Balance Sheet Ratios</v>
          </cell>
          <cell r="AD476" t="e">
            <v>#DIV/0!</v>
          </cell>
          <cell r="AE476" t="e">
            <v>#DIV/0!</v>
          </cell>
          <cell r="AF476" t="e">
            <v>#DIV/0!</v>
          </cell>
          <cell r="AG476" t="e">
            <v>#DIV/0!</v>
          </cell>
          <cell r="AH476" t="e">
            <v>#DIV/0!</v>
          </cell>
          <cell r="AI476">
            <v>1.8528881181784085E-2</v>
          </cell>
          <cell r="AJ476">
            <v>-4.2241978027510507E-2</v>
          </cell>
          <cell r="AK476">
            <v>-5.4036882922382845E-2</v>
          </cell>
          <cell r="AL476">
            <v>-6.4232756396914947E-2</v>
          </cell>
          <cell r="AM476">
            <v>-4.4607170004078545E-2</v>
          </cell>
          <cell r="AN476">
            <v>-1.3238346141066559E-2</v>
          </cell>
          <cell r="AO476">
            <v>-5.9317945875450695E-2</v>
          </cell>
          <cell r="AP476">
            <v>-5.4280069547434251E-2</v>
          </cell>
          <cell r="AQ476">
            <v>-0.11289963237938672</v>
          </cell>
          <cell r="AR476">
            <v>-0.11649349056523417</v>
          </cell>
          <cell r="AS476">
            <v>-8.2089170412107282E-2</v>
          </cell>
          <cell r="AT476">
            <v>-1.2112637286394112E-2</v>
          </cell>
          <cell r="AU476">
            <v>-3.2452107279693387E-2</v>
          </cell>
          <cell r="AV476">
            <v>-1.8492852334376031E-2</v>
          </cell>
          <cell r="AW476">
            <v>4.9705478899378708E-2</v>
          </cell>
          <cell r="AX476">
            <v>0.11442078560996216</v>
          </cell>
          <cell r="AY476">
            <v>1.8692878082428033E-2</v>
          </cell>
          <cell r="AZ476">
            <v>-3.817110742458607E-2</v>
          </cell>
          <cell r="BA476">
            <v>1.0196954966535943E-2</v>
          </cell>
          <cell r="BB476">
            <v>-1.453737707841285E-2</v>
          </cell>
          <cell r="BC476">
            <v>-2.0555823375109306E-2</v>
          </cell>
          <cell r="BD476">
            <v>-3.0802825892838559E-2</v>
          </cell>
          <cell r="BE476">
            <v>4.1655975603208661E-2</v>
          </cell>
          <cell r="BF476">
            <v>-1.4241456435265532E-3</v>
          </cell>
          <cell r="BG476">
            <v>-1.5839897827451543E-2</v>
          </cell>
          <cell r="BH476">
            <v>2.1657303360172131E-2</v>
          </cell>
          <cell r="BI476">
            <v>3.0282092863104904E-2</v>
          </cell>
          <cell r="BJ476">
            <v>6.736906824496236E-3</v>
          </cell>
          <cell r="BK476">
            <v>-1.0238491677027839E-2</v>
          </cell>
          <cell r="BL476">
            <v>3.344690225272684E-2</v>
          </cell>
          <cell r="BM476">
            <v>4.2721025025437509E-2</v>
          </cell>
          <cell r="BN476">
            <v>7.6478666361283754E-3</v>
          </cell>
          <cell r="BO476">
            <v>-1.1612425670427085E-2</v>
          </cell>
          <cell r="BP476">
            <v>3.7987975543415375E-2</v>
          </cell>
          <cell r="BQ476">
            <v>4.8308967828896598E-2</v>
          </cell>
        </row>
        <row r="482">
          <cell r="A482" t="str">
            <v>Net Working Capital</v>
          </cell>
          <cell r="AD482">
            <v>0</v>
          </cell>
          <cell r="AE482">
            <v>0</v>
          </cell>
          <cell r="AF482">
            <v>0</v>
          </cell>
          <cell r="AG482">
            <v>0</v>
          </cell>
          <cell r="AH482">
            <v>-4.8418796426884718</v>
          </cell>
          <cell r="AI482">
            <v>-6.7514754299877389</v>
          </cell>
          <cell r="AJ482">
            <v>-6.8397197334777502</v>
          </cell>
          <cell r="AK482">
            <v>-7.1916362785276959</v>
          </cell>
          <cell r="AL482">
            <v>-8.2529613202810133</v>
          </cell>
          <cell r="AM482">
            <v>-8.5267380769146754</v>
          </cell>
          <cell r="AN482">
            <v>-10.591146718102387</v>
          </cell>
          <cell r="AO482">
            <v>-0.38805230649735023</v>
          </cell>
          <cell r="AP482">
            <v>0.11010526305007318</v>
          </cell>
          <cell r="AQ482">
            <v>-2.8085891218535153</v>
          </cell>
          <cell r="AR482">
            <v>-6.1147732455639314</v>
          </cell>
          <cell r="AS482">
            <v>-8.8360963782327993</v>
          </cell>
          <cell r="AT482">
            <v>-8.5600000000000023</v>
          </cell>
          <cell r="AU482">
            <v>-7.1050000000000004</v>
          </cell>
          <cell r="AV482">
            <v>-12.857000000000006</v>
          </cell>
          <cell r="AW482">
            <v>89.135999999999981</v>
          </cell>
          <cell r="AX482">
            <v>104.38134159110921</v>
          </cell>
          <cell r="AY482">
            <v>119.36363363144454</v>
          </cell>
          <cell r="AZ482">
            <v>135.6365869566516</v>
          </cell>
          <cell r="BA482">
            <v>153.31745242872753</v>
          </cell>
          <cell r="BB482">
            <v>166.893938594952</v>
          </cell>
          <cell r="BC482">
            <v>183.17039532425954</v>
          </cell>
          <cell r="BD482">
            <v>201.1448038663369</v>
          </cell>
          <cell r="BE482">
            <v>220.06493259387597</v>
          </cell>
          <cell r="BF482">
            <v>236.70287787498447</v>
          </cell>
          <cell r="BG482">
            <v>254.03917016697</v>
          </cell>
          <cell r="BH482">
            <v>271.9884624589555</v>
          </cell>
          <cell r="BI482">
            <v>290.86738120933808</v>
          </cell>
          <cell r="BJ482">
            <v>300.91409529285005</v>
          </cell>
          <cell r="BK482">
            <v>313.26701404323273</v>
          </cell>
          <cell r="BL482">
            <v>327.23293279361525</v>
          </cell>
          <cell r="BM482">
            <v>343.20380329407442</v>
          </cell>
          <cell r="BN482">
            <v>358.92765496892901</v>
          </cell>
          <cell r="BO482">
            <v>377.75013753186909</v>
          </cell>
          <cell r="BP482">
            <v>397.68262009480907</v>
          </cell>
          <cell r="BQ482">
            <v>419.20344717033714</v>
          </cell>
        </row>
        <row r="483">
          <cell r="A483" t="str">
            <v>As a Percentage of TTM Revenue</v>
          </cell>
          <cell r="AD483" t="e">
            <v>#DIV/0!</v>
          </cell>
          <cell r="AE483" t="e">
            <v>#DIV/0!</v>
          </cell>
          <cell r="AF483" t="e">
            <v>#DIV/0!</v>
          </cell>
          <cell r="AG483" t="e">
            <v>#DIV/0!</v>
          </cell>
          <cell r="AH483">
            <v>-0.47898796967885227</v>
          </cell>
          <cell r="AI483">
            <v>-0.31847633424308153</v>
          </cell>
          <cell r="AJ483">
            <v>-0.20609708935405388</v>
          </cell>
          <cell r="AK483">
            <v>-0.15614600304339432</v>
          </cell>
          <cell r="AL483">
            <v>-0.16856625358460503</v>
          </cell>
          <cell r="AM483">
            <v>-0.1654065191521995</v>
          </cell>
          <cell r="AN483">
            <v>-0.18614060993466755</v>
          </cell>
          <cell r="AO483">
            <v>-5.998541979451882E-3</v>
          </cell>
          <cell r="AP483">
            <v>1.5324394635156328E-3</v>
          </cell>
          <cell r="AQ483">
            <v>-3.4852224404417188E-2</v>
          </cell>
          <cell r="AR483">
            <v>-7.0192145275668777E-2</v>
          </cell>
          <cell r="AS483">
            <v>-9.5715065697408827E-2</v>
          </cell>
          <cell r="AT483">
            <v>-8.5612047193628638E-2</v>
          </cell>
          <cell r="AU483">
            <v>-6.5705658591014848E-2</v>
          </cell>
          <cell r="AV483">
            <v>-0.10942722994065709</v>
          </cell>
          <cell r="AW483">
            <v>0.69938014907806978</v>
          </cell>
          <cell r="AX483">
            <v>0.76184643270328078</v>
          </cell>
          <cell r="AY483">
            <v>0.81786163122966404</v>
          </cell>
          <cell r="AZ483">
            <v>0.8766527294720925</v>
          </cell>
          <cell r="BA483">
            <v>0.93543290072439023</v>
          </cell>
          <cell r="BB483">
            <v>0.96192471812652469</v>
          </cell>
          <cell r="BC483">
            <v>0.998203789233022</v>
          </cell>
          <cell r="BD483">
            <v>1.0395080303169864</v>
          </cell>
          <cell r="BE483">
            <v>1.0814001601664665</v>
          </cell>
          <cell r="BF483">
            <v>1.099664937862878</v>
          </cell>
          <cell r="BG483">
            <v>1.1160424828861943</v>
          </cell>
          <cell r="BH483">
            <v>1.1303416621670879</v>
          </cell>
          <cell r="BI483">
            <v>1.1434589924691423</v>
          </cell>
          <cell r="BJ483">
            <v>1.1307246417767969</v>
          </cell>
          <cell r="BK483">
            <v>1.1248366752001175</v>
          </cell>
          <cell r="BL483">
            <v>1.1225829598408756</v>
          </cell>
          <cell r="BM483">
            <v>1.1243367839281717</v>
          </cell>
          <cell r="BN483">
            <v>1.1364763871413885</v>
          </cell>
          <cell r="BO483">
            <v>1.1553316895113939</v>
          </cell>
          <cell r="BP483">
            <v>1.1742741522749316</v>
          </cell>
          <cell r="BQ483">
            <v>1.1941842315146876</v>
          </cell>
        </row>
        <row r="484">
          <cell r="A484" t="str">
            <v>Current Ratio</v>
          </cell>
          <cell r="AD484" t="e">
            <v>#DIV/0!</v>
          </cell>
          <cell r="AE484" t="e">
            <v>#DIV/0!</v>
          </cell>
          <cell r="AF484" t="e">
            <v>#DIV/0!</v>
          </cell>
          <cell r="AG484" t="e">
            <v>#DIV/0!</v>
          </cell>
          <cell r="AH484">
            <v>0.83157901462997608</v>
          </cell>
          <cell r="AI484">
            <v>0.78177327084708492</v>
          </cell>
          <cell r="AJ484">
            <v>0.76894405351051309</v>
          </cell>
          <cell r="AK484">
            <v>0.7575366469857413</v>
          </cell>
          <cell r="AL484">
            <v>0.73209803068978252</v>
          </cell>
          <cell r="AM484">
            <v>0.72592158888063307</v>
          </cell>
          <cell r="AN484">
            <v>0.69224678737973544</v>
          </cell>
          <cell r="AO484">
            <v>0.98989696967148266</v>
          </cell>
          <cell r="AP484">
            <v>1.0030557993651181</v>
          </cell>
          <cell r="AQ484">
            <v>0.92339523609063956</v>
          </cell>
          <cell r="AR484">
            <v>0.83124465236973377</v>
          </cell>
          <cell r="AS484">
            <v>0.76238376098484895</v>
          </cell>
          <cell r="AT484">
            <v>0.77733846634065129</v>
          </cell>
          <cell r="AU484">
            <v>0.81694749317256654</v>
          </cell>
          <cell r="AV484">
            <v>0.71870213976283193</v>
          </cell>
          <cell r="AW484">
            <v>3.2587464300285598</v>
          </cell>
          <cell r="AX484">
            <v>3.0675580411692831</v>
          </cell>
          <cell r="AY484">
            <v>3.1043764878227429</v>
          </cell>
          <cell r="AZ484">
            <v>3.2125757471664631</v>
          </cell>
          <cell r="BA484">
            <v>3.1957792519703818</v>
          </cell>
          <cell r="BB484">
            <v>3.1929344602555907</v>
          </cell>
          <cell r="BC484">
            <v>3.2032096377885759</v>
          </cell>
          <cell r="BD484">
            <v>3.2942099566155014</v>
          </cell>
          <cell r="BE484">
            <v>3.4299465523507098</v>
          </cell>
          <cell r="BF484">
            <v>3.6833857611640988</v>
          </cell>
          <cell r="BG484">
            <v>4.0091305018863324</v>
          </cell>
          <cell r="BH484">
            <v>4.4232556451231995</v>
          </cell>
          <cell r="BI484">
            <v>4.6687437241680207</v>
          </cell>
          <cell r="BJ484">
            <v>4.8786434851380323</v>
          </cell>
          <cell r="BK484">
            <v>5.0483917609316578</v>
          </cell>
          <cell r="BL484">
            <v>5.3649945546636246</v>
          </cell>
          <cell r="BM484">
            <v>5.4553545961325813</v>
          </cell>
          <cell r="BN484">
            <v>5.8359107380653228</v>
          </cell>
          <cell r="BO484">
            <v>6.0866388249630159</v>
          </cell>
          <cell r="BP484">
            <v>6.515722128837881</v>
          </cell>
          <cell r="BQ484">
            <v>6.609117887044766</v>
          </cell>
        </row>
        <row r="486">
          <cell r="A486" t="str">
            <v>Total Asset Turnover</v>
          </cell>
          <cell r="AD486" t="e">
            <v>#DIV/0!</v>
          </cell>
          <cell r="AE486" t="e">
            <v>#DIV/0!</v>
          </cell>
          <cell r="AF486" t="e">
            <v>#DIV/0!</v>
          </cell>
          <cell r="AG486" t="e">
            <v>#DIV/0!</v>
          </cell>
          <cell r="AH486">
            <v>0.38963638970448666</v>
          </cell>
          <cell r="AI486">
            <v>0.80107576701866878</v>
          </cell>
          <cell r="AJ486">
            <v>1.2766695882040604</v>
          </cell>
          <cell r="AK486">
            <v>1.7892149173729999</v>
          </cell>
          <cell r="AL486">
            <v>0.9515273348278912</v>
          </cell>
          <cell r="AM486">
            <v>0.98972131292120435</v>
          </cell>
          <cell r="AN486">
            <v>0.80287511841898318</v>
          </cell>
          <cell r="AO486">
            <v>0.83025234379734814</v>
          </cell>
          <cell r="AP486">
            <v>0.92142783425346442</v>
          </cell>
          <cell r="AQ486">
            <v>1.0364155191879858</v>
          </cell>
          <cell r="AR486">
            <v>0.91056237534947537</v>
          </cell>
          <cell r="AS486">
            <v>0.9053876015090111</v>
          </cell>
          <cell r="AT486">
            <v>0.95427665175085952</v>
          </cell>
          <cell r="AU486">
            <v>1.0010006576251393</v>
          </cell>
          <cell r="AV486">
            <v>1.0684278226931796</v>
          </cell>
          <cell r="AW486">
            <v>0.82258534258025662</v>
          </cell>
          <cell r="AX486">
            <v>0.72652688669639731</v>
          </cell>
          <cell r="AY486">
            <v>0.72286244329844485</v>
          </cell>
          <cell r="AZ486">
            <v>0.71726509990052989</v>
          </cell>
          <cell r="BA486">
            <v>0.59767214878781649</v>
          </cell>
          <cell r="BB486">
            <v>0.54935355948823406</v>
          </cell>
          <cell r="BC486">
            <v>0.5451566291017973</v>
          </cell>
          <cell r="BD486">
            <v>0.53872520652362288</v>
          </cell>
          <cell r="BE486">
            <v>0.52876540344900691</v>
          </cell>
          <cell r="BF486">
            <v>0.53261773935813461</v>
          </cell>
          <cell r="BG486">
            <v>0.53698953160747365</v>
          </cell>
          <cell r="BH486">
            <v>0.54206473141090306</v>
          </cell>
          <cell r="BI486">
            <v>0.54469921837474622</v>
          </cell>
          <cell r="BJ486">
            <v>0.54791488801905297</v>
          </cell>
          <cell r="BK486">
            <v>0.55030350315954901</v>
          </cell>
          <cell r="BL486">
            <v>0.55496983017230439</v>
          </cell>
          <cell r="BM486">
            <v>0.5557506877515177</v>
          </cell>
          <cell r="BN486">
            <v>0.55700803753006323</v>
          </cell>
          <cell r="BO486">
            <v>0.55494545868420875</v>
          </cell>
          <cell r="BP486">
            <v>0.55519132831760687</v>
          </cell>
          <cell r="BQ486">
            <v>0.55146920647171094</v>
          </cell>
        </row>
        <row r="487">
          <cell r="A487" t="str">
            <v>Net Fixed Asset Turnover</v>
          </cell>
          <cell r="AD487" t="e">
            <v>#DIV/0!</v>
          </cell>
          <cell r="AE487" t="e">
            <v>#DIV/0!</v>
          </cell>
          <cell r="AF487" t="e">
            <v>#DIV/0!</v>
          </cell>
          <cell r="AG487" t="e">
            <v>#DIV/0!</v>
          </cell>
          <cell r="AH487">
            <v>48.287823664628135</v>
          </cell>
          <cell r="AI487">
            <v>93.129105781071104</v>
          </cell>
          <cell r="AJ487">
            <v>113.75448341987513</v>
          </cell>
          <cell r="AK487">
            <v>110.11498290463784</v>
          </cell>
          <cell r="AL487">
            <v>75.698687406154093</v>
          </cell>
          <cell r="AM487">
            <v>77.435345830189632</v>
          </cell>
          <cell r="AN487">
            <v>50.241148111976635</v>
          </cell>
          <cell r="AO487">
            <v>54.050518511570672</v>
          </cell>
          <cell r="AP487">
            <v>52.865156900763274</v>
          </cell>
          <cell r="AQ487">
            <v>53.470000488366843</v>
          </cell>
          <cell r="AR487">
            <v>37.91155031564945</v>
          </cell>
          <cell r="AS487">
            <v>38.534470049561357</v>
          </cell>
          <cell r="AT487">
            <v>31.604308682792297</v>
          </cell>
          <cell r="AU487">
            <v>29.130601816342409</v>
          </cell>
          <cell r="AV487">
            <v>5.8368652612446992</v>
          </cell>
          <cell r="AW487">
            <v>5.7453670583002792</v>
          </cell>
          <cell r="AX487">
            <v>6.0071466152227284</v>
          </cell>
          <cell r="AY487">
            <v>6.1557214559871776</v>
          </cell>
          <cell r="AZ487">
            <v>3.845098599599885</v>
          </cell>
          <cell r="BA487">
            <v>3.8445299305685867</v>
          </cell>
          <cell r="BB487">
            <v>4.0697128917245253</v>
          </cell>
          <cell r="BC487">
            <v>4.2056288962229562</v>
          </cell>
          <cell r="BD487">
            <v>4.3354543825058265</v>
          </cell>
          <cell r="BE487">
            <v>4.459589761570828</v>
          </cell>
          <cell r="BF487">
            <v>4.7693432597713379</v>
          </cell>
          <cell r="BG487">
            <v>5.0435389524062755</v>
          </cell>
          <cell r="BH487">
            <v>5.3315829123460077</v>
          </cell>
          <cell r="BI487">
            <v>5.6362447930514934</v>
          </cell>
          <cell r="BJ487">
            <v>5.3891093920861852</v>
          </cell>
          <cell r="BK487">
            <v>5.1927953460620531</v>
          </cell>
          <cell r="BL487">
            <v>5.0361079437476244</v>
          </cell>
          <cell r="BM487">
            <v>4.9129273160368241</v>
          </cell>
          <cell r="BN487">
            <v>4.7133135344068524</v>
          </cell>
          <cell r="BO487">
            <v>4.5486004841267631</v>
          </cell>
          <cell r="BP487">
            <v>4.4121383066039579</v>
          </cell>
          <cell r="BQ487">
            <v>4.3002437769502153</v>
          </cell>
        </row>
        <row r="488">
          <cell r="A488" t="str">
            <v>Net Working Capital Turnover</v>
          </cell>
          <cell r="AD488" t="e">
            <v>#DIV/0!</v>
          </cell>
          <cell r="AE488" t="e">
            <v>#DIV/0!</v>
          </cell>
          <cell r="AF488" t="e">
            <v>#DIV/0!</v>
          </cell>
          <cell r="AG488" t="e">
            <v>#DIV/0!</v>
          </cell>
          <cell r="AH488">
            <v>-4.1754702134605655</v>
          </cell>
          <cell r="AI488">
            <v>-6.2799014713396941</v>
          </cell>
          <cell r="AJ488">
            <v>-9.7041642182738599</v>
          </cell>
          <cell r="AK488">
            <v>-12.808525104828863</v>
          </cell>
          <cell r="AL488">
            <v>-7.4777155793968824</v>
          </cell>
          <cell r="AM488">
            <v>-6.7481965123528589</v>
          </cell>
          <cell r="AN488">
            <v>-6.5284919332140872</v>
          </cell>
          <cell r="AO488">
            <v>-17.069594311299802</v>
          </cell>
          <cell r="AP488">
            <v>-17.647288647589502</v>
          </cell>
          <cell r="AQ488">
            <v>-14.218495427955945</v>
          </cell>
          <cell r="AR488">
            <v>-10.429210663969265</v>
          </cell>
          <cell r="AS488">
            <v>-20.016301928072966</v>
          </cell>
          <cell r="AT488">
            <v>-23.665603245657703</v>
          </cell>
          <cell r="AU488">
            <v>-21.815259829370785</v>
          </cell>
          <cell r="AV488">
            <v>-12.386149247985236</v>
          </cell>
          <cell r="AW488">
            <v>3.1743500116842394</v>
          </cell>
          <cell r="AX488">
            <v>2.8597178399913488</v>
          </cell>
          <cell r="AY488">
            <v>2.6001741742047955</v>
          </cell>
          <cell r="AZ488">
            <v>2.52030494376277</v>
          </cell>
          <cell r="BA488">
            <v>1.3520120943477232</v>
          </cell>
          <cell r="BB488">
            <v>1.2791434581212153</v>
          </cell>
          <cell r="BC488">
            <v>1.2130866774452496</v>
          </cell>
          <cell r="BD488">
            <v>1.1491133730824408</v>
          </cell>
          <cell r="BE488">
            <v>1.0900353533693385</v>
          </cell>
          <cell r="BF488">
            <v>1.0666585622884057</v>
          </cell>
          <cell r="BG488">
            <v>1.0412626711140252</v>
          </cell>
          <cell r="BH488">
            <v>1.0171552800287078</v>
          </cell>
          <cell r="BI488">
            <v>0.99572876143423072</v>
          </cell>
          <cell r="BJ488">
            <v>0.9900171061635008</v>
          </cell>
          <cell r="BK488">
            <v>0.98183311852214195</v>
          </cell>
          <cell r="BL488">
            <v>0.97292921217251682</v>
          </cell>
          <cell r="BM488">
            <v>0.96282564942314353</v>
          </cell>
          <cell r="BN488">
            <v>0.9572749825990936</v>
          </cell>
          <cell r="BO488">
            <v>0.94632238651304945</v>
          </cell>
          <cell r="BP488">
            <v>0.93435021127798967</v>
          </cell>
          <cell r="BQ488">
            <v>0.92086611134972696</v>
          </cell>
        </row>
        <row r="495">
          <cell r="A495" t="str">
            <v>Accounts Payable Days Outstanding</v>
          </cell>
          <cell r="AD495" t="e">
            <v>#DIV/0!</v>
          </cell>
          <cell r="AE495" t="e">
            <v>#DIV/0!</v>
          </cell>
          <cell r="AF495" t="e">
            <v>#DIV/0!</v>
          </cell>
          <cell r="AG495" t="e">
            <v>#DIV/0!</v>
          </cell>
          <cell r="AH495">
            <v>-107.881451851675</v>
          </cell>
          <cell r="AI495">
            <v>-64.067232427671584</v>
          </cell>
          <cell r="AJ495">
            <v>-37.415753985893026</v>
          </cell>
          <cell r="AK495">
            <v>-33.465978581372376</v>
          </cell>
          <cell r="AL495">
            <v>-58.406646687306058</v>
          </cell>
          <cell r="AM495">
            <v>-55.332279770091162</v>
          </cell>
          <cell r="AN495">
            <v>-57.610586490856541</v>
          </cell>
          <cell r="AO495">
            <v>-59.899220221886331</v>
          </cell>
          <cell r="AP495">
            <v>-54.135224904129835</v>
          </cell>
          <cell r="AQ495">
            <v>-55.827512308211666</v>
          </cell>
          <cell r="AR495">
            <v>-57.471202779121285</v>
          </cell>
          <cell r="AS495">
            <v>-63.503711650296964</v>
          </cell>
          <cell r="AT495">
            <v>-77.743274777235044</v>
          </cell>
          <cell r="AU495">
            <v>-78.352873324596587</v>
          </cell>
          <cell r="AV495">
            <v>-62.136140682421605</v>
          </cell>
          <cell r="AW495">
            <v>-75.078105399301279</v>
          </cell>
          <cell r="AX495">
            <v>-93.320964669069767</v>
          </cell>
          <cell r="AY495">
            <v>-86.774397982042558</v>
          </cell>
          <cell r="AZ495">
            <v>-74.439886610927957</v>
          </cell>
          <cell r="BA495">
            <v>-80.089833848545439</v>
          </cell>
          <cell r="BB495">
            <v>-75.816240690412272</v>
          </cell>
          <cell r="BC495">
            <v>-74.273148339375439</v>
          </cell>
          <cell r="BD495">
            <v>-73.891391074333171</v>
          </cell>
          <cell r="BE495">
            <v>-74.436238385151995</v>
          </cell>
          <cell r="BF495">
            <v>-73.103183087685736</v>
          </cell>
          <cell r="BG495">
            <v>-72.937799677983108</v>
          </cell>
          <cell r="BH495">
            <v>-67.161395690410345</v>
          </cell>
          <cell r="BI495">
            <v>-69.877690938670767</v>
          </cell>
          <cell r="BJ495">
            <v>-72.391016186885096</v>
          </cell>
          <cell r="BK495">
            <v>-75.302558949696163</v>
          </cell>
          <cell r="BL495">
            <v>-67.753291185402233</v>
          </cell>
          <cell r="BM495">
            <v>-74.585823616786513</v>
          </cell>
          <cell r="BN495">
            <v>-71.535376598743227</v>
          </cell>
          <cell r="BO495">
            <v>-75.220118629291221</v>
          </cell>
          <cell r="BP495">
            <v>-68.39098687256417</v>
          </cell>
          <cell r="BQ495">
            <v>-76.059851751505619</v>
          </cell>
        </row>
        <row r="501">
          <cell r="A501" t="str">
            <v>Cash Conversion Cycle</v>
          </cell>
          <cell r="AD501" t="e">
            <v>#DIV/0!</v>
          </cell>
          <cell r="AE501" t="e">
            <v>#DIV/0!</v>
          </cell>
          <cell r="AF501" t="e">
            <v>#DIV/0!</v>
          </cell>
          <cell r="AG501" t="e">
            <v>#DIV/0!</v>
          </cell>
          <cell r="AH501">
            <v>-95.42169111604656</v>
          </cell>
          <cell r="AI501">
            <v>-57.058832230588578</v>
          </cell>
          <cell r="AJ501">
            <v>-33.044437047658064</v>
          </cell>
          <cell r="AK501">
            <v>-27.617506584187236</v>
          </cell>
          <cell r="AL501">
            <v>-50.077554249778707</v>
          </cell>
          <cell r="AM501">
            <v>-46.337329124441389</v>
          </cell>
          <cell r="AN501">
            <v>-44.481815328714454</v>
          </cell>
          <cell r="AO501">
            <v>-47.525762653435613</v>
          </cell>
          <cell r="AP501">
            <v>-40.895344279506169</v>
          </cell>
          <cell r="AQ501">
            <v>-42.458667613648423</v>
          </cell>
          <cell r="AR501">
            <v>-39.770558097502544</v>
          </cell>
          <cell r="AS501">
            <v>-47.12310678543129</v>
          </cell>
          <cell r="AT501">
            <v>-57.628634344639202</v>
          </cell>
          <cell r="AU501">
            <v>-58.973507117109286</v>
          </cell>
          <cell r="AV501">
            <v>-41.900133635479264</v>
          </cell>
          <cell r="AW501">
            <v>-54.677386568585831</v>
          </cell>
          <cell r="AX501">
            <v>-65.277881541884</v>
          </cell>
          <cell r="AY501">
            <v>-57.882144473508497</v>
          </cell>
          <cell r="AZ501">
            <v>-56.694439039298679</v>
          </cell>
          <cell r="BA501">
            <v>-61.154141774185781</v>
          </cell>
          <cell r="BB501">
            <v>-52.956392246410587</v>
          </cell>
          <cell r="BC501">
            <v>-48.185961893832634</v>
          </cell>
          <cell r="BD501">
            <v>-56.577563613010128</v>
          </cell>
          <cell r="BE501">
            <v>-56.422816717466858</v>
          </cell>
          <cell r="BF501">
            <v>-57.408607062060042</v>
          </cell>
          <cell r="BG501">
            <v>-55.822696322773794</v>
          </cell>
          <cell r="BH501">
            <v>-51.331130481213819</v>
          </cell>
          <cell r="BI501">
            <v>-53.807468700670924</v>
          </cell>
          <cell r="BJ501">
            <v>-55.914481808933488</v>
          </cell>
          <cell r="BK501">
            <v>-56.972968675359212</v>
          </cell>
          <cell r="BL501">
            <v>-52.188200548046495</v>
          </cell>
          <cell r="BM501">
            <v>-58.747424704565745</v>
          </cell>
          <cell r="BN501">
            <v>-55.255427902634636</v>
          </cell>
          <cell r="BO501">
            <v>-56.912962840336554</v>
          </cell>
          <cell r="BP501">
            <v>-52.680985497583514</v>
          </cell>
          <cell r="BQ501">
            <v>-59.908441003074969</v>
          </cell>
        </row>
        <row r="503">
          <cell r="A503" t="str">
            <v>Period Ending EV / Trailing 12-Month Total Revenue</v>
          </cell>
          <cell r="AD503" t="e">
            <v>#REF!</v>
          </cell>
          <cell r="AE503" t="e">
            <v>#REF!</v>
          </cell>
          <cell r="AF503" t="e">
            <v>#REF!</v>
          </cell>
          <cell r="AG503" t="e">
            <v>#REF!</v>
          </cell>
          <cell r="AH503" t="e">
            <v>#REF!</v>
          </cell>
          <cell r="AI503" t="e">
            <v>#REF!</v>
          </cell>
          <cell r="AJ503" t="e">
            <v>#REF!</v>
          </cell>
          <cell r="AK503" t="e">
            <v>#REF!</v>
          </cell>
          <cell r="AL503" t="e">
            <v>#REF!</v>
          </cell>
          <cell r="AM503" t="e">
            <v>#REF!</v>
          </cell>
          <cell r="AN503" t="e">
            <v>#REF!</v>
          </cell>
          <cell r="AO503" t="e">
            <v>#REF!</v>
          </cell>
          <cell r="AP503" t="e">
            <v>#REF!</v>
          </cell>
          <cell r="AQ503" t="e">
            <v>#REF!</v>
          </cell>
          <cell r="AR503" t="e">
            <v>#REF!</v>
          </cell>
          <cell r="AS503" t="e">
            <v>#REF!</v>
          </cell>
        </row>
        <row r="504">
          <cell r="A504" t="str">
            <v>Period Ending EV / Leading 12-Month Total Revenue</v>
          </cell>
          <cell r="AD504" t="e">
            <v>#REF!</v>
          </cell>
          <cell r="AE504" t="e">
            <v>#REF!</v>
          </cell>
          <cell r="AF504" t="e">
            <v>#REF!</v>
          </cell>
          <cell r="AG504" t="e">
            <v>#REF!</v>
          </cell>
          <cell r="AH504" t="e">
            <v>#REF!</v>
          </cell>
          <cell r="AI504" t="e">
            <v>#REF!</v>
          </cell>
          <cell r="AJ504" t="e">
            <v>#REF!</v>
          </cell>
          <cell r="AK504" t="e">
            <v>#REF!</v>
          </cell>
          <cell r="AL504" t="e">
            <v>#REF!</v>
          </cell>
          <cell r="AM504" t="e">
            <v>#REF!</v>
          </cell>
          <cell r="AN504" t="e">
            <v>#REF!</v>
          </cell>
          <cell r="AO504" t="e">
            <v>#REF!</v>
          </cell>
          <cell r="AP504" t="e">
            <v>#REF!</v>
          </cell>
          <cell r="AQ504" t="e">
            <v>#REF!</v>
          </cell>
          <cell r="AR504" t="e">
            <v>#REF!</v>
          </cell>
          <cell r="AS504" t="e">
            <v>#REF!</v>
          </cell>
          <cell r="AT504">
            <v>9.7323027618060082E-2</v>
          </cell>
          <cell r="AU504">
            <v>0.11226885823304963</v>
          </cell>
          <cell r="AV504">
            <v>0.83787266183854003</v>
          </cell>
          <cell r="AW504">
            <v>0.15348449042322881</v>
          </cell>
          <cell r="AX504">
            <v>0.15169484734353714</v>
          </cell>
          <cell r="AY504">
            <v>0.14294722473627203</v>
          </cell>
          <cell r="AZ504">
            <v>0.12197964607064495</v>
          </cell>
          <cell r="BA504">
            <v>0.11792966017790889</v>
          </cell>
          <cell r="BB504">
            <v>0.11896883005722032</v>
          </cell>
          <cell r="BC504">
            <v>0.11698314575712117</v>
          </cell>
          <cell r="BD504">
            <v>0.11276507149559034</v>
          </cell>
          <cell r="BE504">
            <v>0.10610585384448634</v>
          </cell>
          <cell r="BF504">
            <v>0.10061852989831865</v>
          </cell>
          <cell r="BG504">
            <v>9.2413223726391158E-2</v>
          </cell>
          <cell r="BH504">
            <v>8.560455110550097E-2</v>
          </cell>
          <cell r="BI504">
            <v>7.9508402466680408E-2</v>
          </cell>
          <cell r="BJ504">
            <v>7.3425969597302659E-2</v>
          </cell>
          <cell r="BK504">
            <v>6.7579840074187575E-2</v>
          </cell>
          <cell r="BL504">
            <v>6.2524150228006253E-2</v>
          </cell>
          <cell r="BM504">
            <v>5.787618802154687E-2</v>
          </cell>
          <cell r="BN504">
            <v>5.5083018496558292E-2</v>
          </cell>
          <cell r="BO504">
            <v>5.2044099066987697E-2</v>
          </cell>
          <cell r="BP504">
            <v>4.9376764145254728E-2</v>
          </cell>
          <cell r="BQ504">
            <v>4.683135092016566E-2</v>
          </cell>
        </row>
        <row r="509">
          <cell r="A509" t="str">
            <v>Enterprise Value - Book Value</v>
          </cell>
          <cell r="AD509" t="e">
            <v>#REF!</v>
          </cell>
          <cell r="AE509" t="e">
            <v>#REF!</v>
          </cell>
          <cell r="AF509" t="e">
            <v>#REF!</v>
          </cell>
          <cell r="AG509" t="e">
            <v>#REF!</v>
          </cell>
          <cell r="AH509" t="e">
            <v>#REF!</v>
          </cell>
          <cell r="AI509" t="e">
            <v>#REF!</v>
          </cell>
          <cell r="AJ509" t="e">
            <v>#REF!</v>
          </cell>
          <cell r="AK509" t="e">
            <v>#REF!</v>
          </cell>
          <cell r="AL509" t="e">
            <v>#REF!</v>
          </cell>
          <cell r="AM509" t="e">
            <v>#REF!</v>
          </cell>
          <cell r="AN509" t="e">
            <v>#REF!</v>
          </cell>
          <cell r="AO509" t="e">
            <v>#REF!</v>
          </cell>
          <cell r="AP509" t="e">
            <v>#REF!</v>
          </cell>
          <cell r="AQ509" t="e">
            <v>#REF!</v>
          </cell>
          <cell r="AR509" t="e">
            <v>#REF!</v>
          </cell>
          <cell r="AS509" t="e">
            <v>#REF!</v>
          </cell>
        </row>
        <row r="511">
          <cell r="A511" t="str">
            <v>Net Cash &amp; Investments Per Diluted Share</v>
          </cell>
          <cell r="AD511" t="e">
            <v>#REF!</v>
          </cell>
          <cell r="AE511" t="e">
            <v>#REF!</v>
          </cell>
          <cell r="AF511" t="e">
            <v>#REF!</v>
          </cell>
          <cell r="AG511" t="e">
            <v>#REF!</v>
          </cell>
          <cell r="AH511" t="e">
            <v>#REF!</v>
          </cell>
          <cell r="AI511" t="e">
            <v>#REF!</v>
          </cell>
          <cell r="AJ511" t="e">
            <v>#REF!</v>
          </cell>
          <cell r="AK511" t="e">
            <v>#REF!</v>
          </cell>
          <cell r="AL511" t="e">
            <v>#REF!</v>
          </cell>
          <cell r="AM511" t="e">
            <v>#REF!</v>
          </cell>
          <cell r="AN511" t="e">
            <v>#REF!</v>
          </cell>
          <cell r="AO511" t="e">
            <v>#REF!</v>
          </cell>
          <cell r="AP511" t="e">
            <v>#REF!</v>
          </cell>
          <cell r="AQ511" t="e">
            <v>#REF!</v>
          </cell>
          <cell r="AR511" t="e">
            <v>#REF!</v>
          </cell>
          <cell r="AS511" t="e">
            <v>#REF!</v>
          </cell>
        </row>
        <row r="513">
          <cell r="A513" t="str">
            <v>Tangible Book Value Per Diluted Share</v>
          </cell>
          <cell r="AD513" t="e">
            <v>#REF!</v>
          </cell>
          <cell r="AE513" t="e">
            <v>#REF!</v>
          </cell>
          <cell r="AF513" t="e">
            <v>#REF!</v>
          </cell>
          <cell r="AG513" t="e">
            <v>#REF!</v>
          </cell>
          <cell r="AH513" t="e">
            <v>#REF!</v>
          </cell>
          <cell r="AI513" t="e">
            <v>#REF!</v>
          </cell>
          <cell r="AJ513" t="e">
            <v>#REF!</v>
          </cell>
          <cell r="AK513" t="e">
            <v>#REF!</v>
          </cell>
          <cell r="AL513" t="e">
            <v>#REF!</v>
          </cell>
          <cell r="AM513" t="e">
            <v>#REF!</v>
          </cell>
          <cell r="AN513" t="e">
            <v>#REF!</v>
          </cell>
          <cell r="AO513" t="e">
            <v>#REF!</v>
          </cell>
          <cell r="AP513" t="e">
            <v>#REF!</v>
          </cell>
          <cell r="AQ513" t="e">
            <v>#REF!</v>
          </cell>
          <cell r="AR513" t="e">
            <v>#REF!</v>
          </cell>
          <cell r="AS513" t="e">
            <v>#REF!</v>
          </cell>
        </row>
        <row r="514">
          <cell r="A514" t="str">
            <v>Enterprise Value - Book Value</v>
          </cell>
          <cell r="AD514" t="e">
            <v>#REF!</v>
          </cell>
          <cell r="AE514" t="e">
            <v>#REF!</v>
          </cell>
          <cell r="AF514" t="e">
            <v>#REF!</v>
          </cell>
          <cell r="AG514" t="e">
            <v>#REF!</v>
          </cell>
          <cell r="AH514" t="e">
            <v>#REF!</v>
          </cell>
          <cell r="AI514" t="e">
            <v>#REF!</v>
          </cell>
          <cell r="AJ514" t="e">
            <v>#REF!</v>
          </cell>
          <cell r="AK514" t="e">
            <v>#REF!</v>
          </cell>
          <cell r="AL514" t="e">
            <v>#REF!</v>
          </cell>
          <cell r="AM514" t="e">
            <v>#REF!</v>
          </cell>
          <cell r="AN514" t="e">
            <v>#REF!</v>
          </cell>
          <cell r="AO514" t="e">
            <v>#REF!</v>
          </cell>
          <cell r="AP514" t="e">
            <v>#REF!</v>
          </cell>
          <cell r="AQ514" t="e">
            <v>#REF!</v>
          </cell>
          <cell r="AR514" t="e">
            <v>#REF!</v>
          </cell>
          <cell r="AS514" t="e">
            <v>#REF!</v>
          </cell>
        </row>
      </sheetData>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
    </sheetNames>
    <sheetDataSet>
      <sheetData sheetId="0" refreshError="1">
        <row r="7">
          <cell r="G7">
            <v>225043</v>
          </cell>
        </row>
        <row r="8">
          <cell r="G8">
            <v>0.2271</v>
          </cell>
        </row>
        <row r="9">
          <cell r="G9">
            <v>3.6</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Table"/>
      <sheetName val="first glance table"/>
      <sheetName val="2007 NAV"/>
      <sheetName val="2008 NAV"/>
      <sheetName val="Chart1"/>
      <sheetName val="1pg"/>
      <sheetName val="Target Breakdown"/>
      <sheetName val="Prod"/>
      <sheetName val="Reserve Deplete"/>
      <sheetName val="Model"/>
      <sheetName val="NAV Summary"/>
      <sheetName val="Country Expo"/>
      <sheetName val="2006 NAV"/>
      <sheetName val="MODEL CLEAN"/>
      <sheetName val="Turquoise Ridge"/>
      <sheetName val="South Deep"/>
      <sheetName val="Porgera"/>
      <sheetName val="Golden Sunlight"/>
      <sheetName val="Pueblo Viejo"/>
      <sheetName val="Bald Mtn"/>
      <sheetName val="Henty"/>
      <sheetName val="Kanowna"/>
      <sheetName val="Osbourne"/>
      <sheetName val="Zaldivar"/>
      <sheetName val="Granny Smith"/>
      <sheetName val="Cortez-Pipeline"/>
      <sheetName val="North Mara"/>
      <sheetName val="Goldstrike - Open Pit"/>
      <sheetName val="Goldstrike - Underground"/>
      <sheetName val="Veladero"/>
      <sheetName val="Pascua"/>
      <sheetName val="Bulyanhulu"/>
      <sheetName val="Lagunas Norte"/>
      <sheetName val="Pierina"/>
      <sheetName val="Round Mountain"/>
      <sheetName val="Marigold"/>
      <sheetName val="East Archimedes"/>
      <sheetName val="Eskay Creek"/>
      <sheetName val="Hemlo (Williams)"/>
      <sheetName val="Hemlo (David Bell)"/>
      <sheetName val="Cowal"/>
      <sheetName val="Kalgoorlie"/>
      <sheetName val="Plutonic"/>
      <sheetName val="Darlot"/>
      <sheetName val="Lawlers"/>
      <sheetName val="Tulawaka"/>
      <sheetName val="RBCCM_Key_Information"/>
      <sheetName val="RBCCM_Income_Statement"/>
      <sheetName val="RBCCM_Valuation_Measures"/>
      <sheetName val="RBCCM_Cash_Flow"/>
      <sheetName val="RBCCM_Quarterly_Estimates_Data"/>
      <sheetName val="RBCCM_Balance_Sheet"/>
      <sheetName val="RBCCM_Industry_Specif"/>
      <sheetName val="Comps_Output"/>
      <sheetName val="Sensitivity"/>
      <sheetName val="RBCGold"/>
      <sheetName val="Reserves-Resources (old)"/>
      <sheetName val="PubFinancials(old)"/>
      <sheetName val="SumPage (old)"/>
      <sheetName val="KalWest"/>
      <sheetName val="Williams"/>
      <sheetName val="David Bell"/>
      <sheetName val="FG"/>
      <sheetName val="Target Metrics"/>
      <sheetName val="Sheet1"/>
      <sheetName val="Buzwagi"/>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comeStatement"/>
      <sheetName val="Wireline"/>
      <sheetName val="Local Voice"/>
      <sheetName val="Long Distance"/>
      <sheetName val="Network Access"/>
      <sheetName val="Wireless"/>
      <sheetName val="Directory Revenue"/>
      <sheetName val="Cashflow"/>
      <sheetName val="Other Revenue"/>
      <sheetName val="Costs"/>
      <sheetName val="Balance Sheet"/>
      <sheetName val="IncomeStatement-save"/>
      <sheetName val="Debt"/>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Forecast"/>
      <sheetName val="APS_Composite"/>
      <sheetName val="SPAs"/>
      <sheetName val="Definitions"/>
      <sheetName val="Notes"/>
      <sheetName val="Glossary"/>
    </sheetNames>
    <sheetDataSet>
      <sheetData sheetId="0"/>
      <sheetData sheetId="1"/>
      <sheetData sheetId="2"/>
      <sheetData sheetId="3"/>
      <sheetData sheetId="4"/>
      <sheetData sheetId="5"/>
      <sheetData sheetId="6" refreshError="1">
        <row r="6">
          <cell r="A6" t="str">
            <v>6-1</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Main"/>
      <sheetName val="Output"/>
      <sheetName val="NAV"/>
      <sheetName val="Prod Sched"/>
      <sheetName val="Prod for SD"/>
      <sheetName val="Ezul Ext"/>
      <sheetName val="FIU Summary"/>
      <sheetName val="CF for NAV"/>
      <sheetName val="ResRes"/>
      <sheetName val="WarrOpt"/>
      <sheetName val="Expansion"/>
      <sheetName val="Acid Consump"/>
      <sheetName val="GoldCompSheet"/>
      <sheetName val="OLDGoldCompSheet"/>
      <sheetName val="Output for T&amp;V"/>
      <sheetName val="Output for Cheat Sheet"/>
      <sheetName val="RBCCM_Key_Information"/>
      <sheetName val="RBCCM_Valuation_Measures"/>
      <sheetName val="RBCCM_Quarterly_Estimates_Data"/>
      <sheetName val="RBCCM_Income_Statement"/>
      <sheetName val="RBCCM_Cash_Flow"/>
      <sheetName val="RBCCM_Balance_Sheet"/>
      <sheetName val="RBCCM_Industry_Specif"/>
      <sheetName val="Ex1-AuU"/>
      <sheetName val="Ex2-Summary"/>
      <sheetName val="CompCos"/>
      <sheetName val="NEWGoldCompSheet"/>
    </sheetNames>
    <sheetDataSet>
      <sheetData sheetId="0"/>
      <sheetData sheetId="1"/>
      <sheetData sheetId="2" refreshError="1">
        <row r="15">
          <cell r="Q15">
            <v>0.98000001907348633</v>
          </cell>
        </row>
        <row r="19">
          <cell r="Q19">
            <v>180.84700000000001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Debt"/>
      <sheetName val="Summ Fins"/>
      <sheetName val="1pg"/>
      <sheetName val="Sensitivity"/>
      <sheetName val="NAV-Valuation"/>
      <sheetName val="xPeers"/>
      <sheetName val="exhibits"/>
      <sheetName val="Summ Ops"/>
      <sheetName val="Donlin"/>
      <sheetName val="DonlinFeas"/>
      <sheetName val="Rock Creek"/>
      <sheetName val="Ambler"/>
      <sheetName val="RBCCM_Key_Information"/>
      <sheetName val="RBCCM_Valuation_Measures"/>
      <sheetName val="RBCCM_Quarterly_Estimates_Data"/>
      <sheetName val="RBCCM_Income_Statement"/>
      <sheetName val="RBCCM_Cash_Flow"/>
      <sheetName val="RBCCM_Balance_Sheet"/>
      <sheetName val="RBCCM_Industry_Specif"/>
      <sheetName val="Catalysts"/>
      <sheetName val="Galore 2"/>
      <sheetName val="Comps_Output"/>
      <sheetName val="Galore Old"/>
      <sheetName val="Galore"/>
    </sheetNames>
    <sheetDataSet>
      <sheetData sheetId="0" refreshError="1">
        <row r="3">
          <cell r="D3">
            <v>1</v>
          </cell>
        </row>
      </sheetData>
      <sheetData sheetId="1"/>
      <sheetData sheetId="2"/>
      <sheetData sheetId="3"/>
      <sheetData sheetId="4"/>
      <sheetData sheetId="5" refreshError="1">
        <row r="33">
          <cell r="I33">
            <v>10.339562846331571</v>
          </cell>
          <cell r="J33">
            <v>10.534056310528909</v>
          </cell>
          <cell r="M33">
            <v>-6.1158830936618773E-2</v>
          </cell>
          <cell r="N33">
            <v>-5.7612177025500054E-2</v>
          </cell>
        </row>
        <row r="36">
          <cell r="I36">
            <v>9.4545188493590011</v>
          </cell>
          <cell r="J36">
            <v>9.5740883205316525</v>
          </cell>
        </row>
        <row r="37">
          <cell r="I37">
            <v>9.6757798486021436</v>
          </cell>
          <cell r="J37">
            <v>9.8140803180309657</v>
          </cell>
        </row>
        <row r="38">
          <cell r="I38">
            <v>9.897040847845286</v>
          </cell>
          <cell r="J38">
            <v>10.054072315530281</v>
          </cell>
        </row>
        <row r="39">
          <cell r="I39">
            <v>10.118301847088429</v>
          </cell>
          <cell r="J39">
            <v>10.294064313029596</v>
          </cell>
        </row>
        <row r="40">
          <cell r="I40">
            <v>10.339562846331571</v>
          </cell>
          <cell r="J40">
            <v>10.534056310528909</v>
          </cell>
        </row>
        <row r="41">
          <cell r="I41">
            <v>11.003345844060998</v>
          </cell>
          <cell r="J41">
            <v>11.254032303026854</v>
          </cell>
        </row>
      </sheetData>
      <sheetData sheetId="6"/>
      <sheetData sheetId="7"/>
      <sheetData sheetId="8"/>
      <sheetData sheetId="9" refreshError="1">
        <row r="40">
          <cell r="I40">
            <v>1600</v>
          </cell>
          <cell r="J40">
            <v>1800</v>
          </cell>
          <cell r="K40">
            <v>1800</v>
          </cell>
          <cell r="L40">
            <v>1600</v>
          </cell>
          <cell r="M40">
            <v>1400</v>
          </cell>
          <cell r="N40">
            <v>1200</v>
          </cell>
          <cell r="O40">
            <v>1200</v>
          </cell>
          <cell r="P40">
            <v>1200</v>
          </cell>
          <cell r="Q40">
            <v>1200</v>
          </cell>
          <cell r="R40">
            <v>1200</v>
          </cell>
          <cell r="S40">
            <v>1200</v>
          </cell>
          <cell r="T40">
            <v>1200</v>
          </cell>
          <cell r="U40">
            <v>1200</v>
          </cell>
          <cell r="V40">
            <v>1200</v>
          </cell>
          <cell r="W40">
            <v>1200</v>
          </cell>
          <cell r="X40">
            <v>1200</v>
          </cell>
          <cell r="Y40">
            <v>1200</v>
          </cell>
          <cell r="Z40">
            <v>1200</v>
          </cell>
          <cell r="AA40">
            <v>1200</v>
          </cell>
          <cell r="AB40">
            <v>1200</v>
          </cell>
          <cell r="AC40">
            <v>1200</v>
          </cell>
          <cell r="AD40">
            <v>1200</v>
          </cell>
          <cell r="AE40">
            <v>1200</v>
          </cell>
          <cell r="AF40">
            <v>1200</v>
          </cell>
          <cell r="AG40">
            <v>1200</v>
          </cell>
          <cell r="AH40">
            <v>1200</v>
          </cell>
          <cell r="AI40">
            <v>1200</v>
          </cell>
          <cell r="AJ40">
            <v>1200</v>
          </cell>
        </row>
      </sheetData>
      <sheetData sheetId="10"/>
      <sheetData sheetId="11"/>
      <sheetData sheetId="12"/>
      <sheetData sheetId="13"/>
      <sheetData sheetId="14" refreshError="1"/>
      <sheetData sheetId="15"/>
      <sheetData sheetId="16"/>
      <sheetData sheetId="17"/>
      <sheetData sheetId="18"/>
      <sheetData sheetId="19" refreshError="1"/>
      <sheetData sheetId="20"/>
      <sheetData sheetId="21"/>
      <sheetData sheetId="22"/>
      <sheetData sheetId="23"/>
      <sheetData sheetId="2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row r="2">
          <cell r="AF2" t="str">
            <v>P/S Multiple</v>
          </cell>
        </row>
        <row r="3">
          <cell r="B3" t="str">
            <v>Ticker</v>
          </cell>
          <cell r="C3" t="str">
            <v>Industry Leaders</v>
          </cell>
          <cell r="D3" t="str">
            <v>Price</v>
          </cell>
          <cell r="E3" t="str">
            <v># shares</v>
          </cell>
          <cell r="F3" t="str">
            <v>Ent. Value</v>
          </cell>
          <cell r="G3" t="str">
            <v>Mkt Cap</v>
          </cell>
          <cell r="H3" t="str">
            <v>Cash</v>
          </cell>
          <cell r="J3" t="str">
            <v>Net Cash Per share</v>
          </cell>
          <cell r="L3">
            <v>2002</v>
          </cell>
          <cell r="N3">
            <v>2004</v>
          </cell>
          <cell r="P3" t="str">
            <v>'02-'03 Growth</v>
          </cell>
          <cell r="R3" t="str">
            <v>'04-'05 Growth</v>
          </cell>
          <cell r="T3">
            <v>2002</v>
          </cell>
          <cell r="V3">
            <v>2004</v>
          </cell>
          <cell r="X3" t="str">
            <v>'02-'03 Growth</v>
          </cell>
          <cell r="Z3" t="str">
            <v>'04-'05 Growth</v>
          </cell>
          <cell r="AB3">
            <v>2002</v>
          </cell>
          <cell r="AD3">
            <v>2004</v>
          </cell>
          <cell r="AF3">
            <v>2001</v>
          </cell>
        </row>
        <row r="4">
          <cell r="C4" t="str">
            <v>BEA Systems</v>
          </cell>
          <cell r="D4">
            <v>12.64</v>
          </cell>
          <cell r="E4">
            <v>433.56</v>
          </cell>
          <cell r="F4">
            <v>4564.3664000000008</v>
          </cell>
          <cell r="G4">
            <v>5480.1984000000002</v>
          </cell>
          <cell r="H4">
            <v>1472.48</v>
          </cell>
          <cell r="J4">
            <v>2.112353538149276</v>
          </cell>
          <cell r="L4">
            <v>0.28225864460160283</v>
          </cell>
          <cell r="N4">
            <v>0.36586276089168368</v>
          </cell>
          <cell r="P4">
            <v>0.1418263926939487</v>
          </cell>
          <cell r="R4">
            <v>0.11226116701709032</v>
          </cell>
          <cell r="T4">
            <v>934.05799999999999</v>
          </cell>
          <cell r="V4">
            <v>1122.9963750000002</v>
          </cell>
          <cell r="X4">
            <v>8.39712309085731E-2</v>
          </cell>
          <cell r="Z4">
            <v>9.896086365372285E-2</v>
          </cell>
          <cell r="AB4">
            <v>44.781622252317099</v>
          </cell>
          <cell r="AD4">
            <v>34.548473775231159</v>
          </cell>
          <cell r="AF4">
            <v>5.6155730187633282</v>
          </cell>
        </row>
        <row r="5">
          <cell r="C5" t="str">
            <v>Microsoft</v>
          </cell>
          <cell r="D5">
            <v>25.03</v>
          </cell>
          <cell r="E5">
            <v>10812.468999999999</v>
          </cell>
          <cell r="F5">
            <v>217859.09907</v>
          </cell>
          <cell r="G5">
            <v>270636.09907</v>
          </cell>
          <cell r="H5">
            <v>52777</v>
          </cell>
          <cell r="J5">
            <v>4.8811238210255219</v>
          </cell>
          <cell r="L5">
            <v>1</v>
          </cell>
          <cell r="N5">
            <v>1.22</v>
          </cell>
          <cell r="P5">
            <v>0.14000000000000001</v>
          </cell>
          <cell r="R5">
            <v>0.1</v>
          </cell>
          <cell r="T5">
            <v>30785</v>
          </cell>
          <cell r="V5">
            <v>37111</v>
          </cell>
          <cell r="X5">
            <v>0.113139515998051</v>
          </cell>
          <cell r="Z5">
            <v>0.1</v>
          </cell>
          <cell r="AB5">
            <v>25.03</v>
          </cell>
          <cell r="AD5">
            <v>20.516393442622952</v>
          </cell>
          <cell r="AF5">
            <v>10.023559224814814</v>
          </cell>
        </row>
        <row r="6">
          <cell r="C6" t="str">
            <v>Netscreen</v>
          </cell>
          <cell r="D6">
            <v>35.450000000000003</v>
          </cell>
          <cell r="E6">
            <v>100.375</v>
          </cell>
          <cell r="F6">
            <v>3178.8977500000001</v>
          </cell>
          <cell r="G6">
            <v>3558.2937500000003</v>
          </cell>
          <cell r="H6">
            <v>379.39600000000002</v>
          </cell>
          <cell r="J6">
            <v>3.7797858032378584</v>
          </cell>
          <cell r="L6">
            <v>0.28292117923044946</v>
          </cell>
          <cell r="N6">
            <v>0.64676018339472874</v>
          </cell>
          <cell r="P6">
            <v>1.1712095384119792</v>
          </cell>
          <cell r="R6">
            <v>0.33931325460714018</v>
          </cell>
          <cell r="T6">
            <v>160.57900000000001</v>
          </cell>
          <cell r="V6">
            <v>409.13400946001298</v>
          </cell>
          <cell r="X6">
            <v>0.71435243711817842</v>
          </cell>
          <cell r="Z6">
            <v>0.23067003974910633</v>
          </cell>
          <cell r="AB6" t="str">
            <v>--</v>
          </cell>
          <cell r="AD6">
            <v>54.811661122874447</v>
          </cell>
          <cell r="AF6">
            <v>36.540293181351409</v>
          </cell>
        </row>
        <row r="7">
          <cell r="C7" t="str">
            <v>Oracle</v>
          </cell>
          <cell r="D7">
            <v>11.92</v>
          </cell>
          <cell r="E7">
            <v>5355.75</v>
          </cell>
          <cell r="F7">
            <v>56087.54</v>
          </cell>
          <cell r="G7">
            <v>63840.54</v>
          </cell>
          <cell r="H7">
            <v>8074</v>
          </cell>
          <cell r="J7">
            <v>1.4476030434579656</v>
          </cell>
          <cell r="L7">
            <v>0.40638090707461194</v>
          </cell>
          <cell r="N7">
            <v>0.50994487201454231</v>
          </cell>
          <cell r="P7">
            <v>0.13462217584207092</v>
          </cell>
          <cell r="R7">
            <v>0.13261957707561003</v>
          </cell>
          <cell r="T7">
            <v>9363.1569999999992</v>
          </cell>
          <cell r="V7">
            <v>10475.466204</v>
          </cell>
          <cell r="X7">
            <v>3.6926006901304827E-2</v>
          </cell>
          <cell r="Z7">
            <v>7.2384392854082547E-2</v>
          </cell>
          <cell r="AB7">
            <v>29.33208670113893</v>
          </cell>
          <cell r="AD7">
            <v>23.375075727126976</v>
          </cell>
          <cell r="AF7">
            <v>6.0580330746449826</v>
          </cell>
        </row>
        <row r="8">
          <cell r="C8" t="str">
            <v>PeopleSoft</v>
          </cell>
          <cell r="D8">
            <v>18.36</v>
          </cell>
          <cell r="E8">
            <v>374.93799999999999</v>
          </cell>
          <cell r="F8">
            <v>5482.5706799999998</v>
          </cell>
          <cell r="G8">
            <v>6883.86168</v>
          </cell>
          <cell r="H8">
            <v>1401.2909999999999</v>
          </cell>
          <cell r="J8">
            <v>3.7373939157940779</v>
          </cell>
          <cell r="L8">
            <v>0.6</v>
          </cell>
          <cell r="N8">
            <v>0.91</v>
          </cell>
          <cell r="P8">
            <v>0.05</v>
          </cell>
          <cell r="R8">
            <v>0.17582417582417587</v>
          </cell>
          <cell r="T8">
            <v>1948.9480000000001</v>
          </cell>
          <cell r="V8">
            <v>2857.47</v>
          </cell>
          <cell r="X8">
            <v>0.16320040349973416</v>
          </cell>
          <cell r="Z8">
            <v>9.8051738075990338E-2</v>
          </cell>
          <cell r="AB8">
            <v>30.6</v>
          </cell>
          <cell r="AD8">
            <v>20.175824175824175</v>
          </cell>
          <cell r="AF8">
            <v>3.2780293714285715</v>
          </cell>
        </row>
        <row r="9">
          <cell r="B9" t="str">
            <v>SAP</v>
          </cell>
          <cell r="C9" t="str">
            <v>SAP</v>
          </cell>
          <cell r="D9">
            <v>37.9</v>
          </cell>
          <cell r="E9">
            <v>1244.4760000000001</v>
          </cell>
          <cell r="F9">
            <v>44525.640400000004</v>
          </cell>
          <cell r="G9">
            <v>47165.640400000004</v>
          </cell>
          <cell r="H9">
            <v>2640</v>
          </cell>
          <cell r="I9">
            <v>0</v>
          </cell>
          <cell r="J9">
            <v>2.1213747794252358</v>
          </cell>
          <cell r="K9">
            <v>0.56999999999999995</v>
          </cell>
          <cell r="L9">
            <v>0.83</v>
          </cell>
          <cell r="M9">
            <v>1.1200000000000001</v>
          </cell>
          <cell r="N9">
            <v>1.33</v>
          </cell>
          <cell r="O9">
            <v>1.51</v>
          </cell>
          <cell r="P9">
            <v>0.34939759036144596</v>
          </cell>
          <cell r="Q9">
            <v>0.1875</v>
          </cell>
          <cell r="R9">
            <v>0.13533834586466159</v>
          </cell>
          <cell r="S9">
            <v>6500</v>
          </cell>
          <cell r="T9">
            <v>7279.4620000000004</v>
          </cell>
          <cell r="U9">
            <v>8234.7528999999995</v>
          </cell>
          <cell r="V9">
            <v>9291.2402000000002</v>
          </cell>
          <cell r="W9">
            <v>10185.6504</v>
          </cell>
          <cell r="X9">
            <v>0.13123097558583299</v>
          </cell>
          <cell r="Y9">
            <v>0.1282961751044164</v>
          </cell>
          <cell r="Z9">
            <v>9.6263812015106476E-2</v>
          </cell>
          <cell r="AA9">
            <v>66.491228070175438</v>
          </cell>
          <cell r="AB9">
            <v>45.662650602409641</v>
          </cell>
          <cell r="AC9">
            <v>33.839285714285708</v>
          </cell>
          <cell r="AD9">
            <v>28.496240601503757</v>
          </cell>
          <cell r="AE9">
            <v>25.099337748344368</v>
          </cell>
          <cell r="AF9">
            <v>7.2562523692307694</v>
          </cell>
          <cell r="AG9">
            <v>6.4792755838274863</v>
          </cell>
          <cell r="AH9">
            <v>5.7276327502188931</v>
          </cell>
          <cell r="AI9">
            <v>5.0763557269781918</v>
          </cell>
          <cell r="AJ9">
            <v>4.6305968247251057</v>
          </cell>
          <cell r="AK9">
            <v>0.96850369458128016</v>
          </cell>
          <cell r="AL9">
            <v>2.5786050559498257</v>
          </cell>
          <cell r="AM9">
            <v>31.945201089798896</v>
          </cell>
          <cell r="AN9">
            <v>5.4070402525375121</v>
          </cell>
          <cell r="AO9">
            <v>1.5197994987468675</v>
          </cell>
          <cell r="AP9">
            <v>2.2211293967502557</v>
          </cell>
          <cell r="AQ9">
            <v>26.901221970356968</v>
          </cell>
          <cell r="AR9">
            <v>4.7922171251153323</v>
          </cell>
          <cell r="AS9">
            <v>6.1645513698148638E-6</v>
          </cell>
          <cell r="AT9">
            <v>2.0099608331902714E-3</v>
          </cell>
          <cell r="AU9">
            <v>23.694453788460109</v>
          </cell>
          <cell r="AV9">
            <v>4.3714086633093165</v>
          </cell>
        </row>
        <row r="10">
          <cell r="C10" t="str">
            <v>Siebel</v>
          </cell>
          <cell r="D10">
            <v>11.6</v>
          </cell>
          <cell r="E10">
            <v>495.87900000000002</v>
          </cell>
          <cell r="F10">
            <v>3737.0313999999994</v>
          </cell>
          <cell r="G10">
            <v>5752.1963999999998</v>
          </cell>
          <cell r="H10">
            <v>2023.3240000000001</v>
          </cell>
          <cell r="J10">
            <v>4.063824037718879</v>
          </cell>
          <cell r="L10">
            <v>0.25</v>
          </cell>
          <cell r="N10">
            <v>0.3</v>
          </cell>
          <cell r="P10">
            <v>-0.44</v>
          </cell>
          <cell r="R10">
            <v>0.33333333333333348</v>
          </cell>
          <cell r="T10">
            <v>1635</v>
          </cell>
          <cell r="V10">
            <v>1436.3199</v>
          </cell>
          <cell r="X10">
            <v>-0.1717510703363915</v>
          </cell>
          <cell r="Z10">
            <v>9.9727226504346261E-2</v>
          </cell>
          <cell r="AB10">
            <v>46.4</v>
          </cell>
          <cell r="AD10">
            <v>38.666666666666664</v>
          </cell>
          <cell r="AF10">
            <v>2.8760981999999999</v>
          </cell>
        </row>
        <row r="11">
          <cell r="C11" t="str">
            <v>Symantec</v>
          </cell>
          <cell r="D11">
            <v>46.26</v>
          </cell>
          <cell r="E11">
            <v>354.19714999999997</v>
          </cell>
          <cell r="F11">
            <v>14964.486159</v>
          </cell>
          <cell r="G11">
            <v>16385.160158999999</v>
          </cell>
          <cell r="H11">
            <v>2026.57</v>
          </cell>
          <cell r="J11">
            <v>4.0109695970168033</v>
          </cell>
          <cell r="L11">
            <v>0.83181585750349019</v>
          </cell>
          <cell r="N11">
            <v>1.2866009879147799</v>
          </cell>
          <cell r="P11">
            <v>0.27797455237414587</v>
          </cell>
          <cell r="R11">
            <v>0.16396841891265257</v>
          </cell>
          <cell r="T11">
            <v>1327.69</v>
          </cell>
          <cell r="V11">
            <v>2135.4042390000004</v>
          </cell>
          <cell r="X11">
            <v>0.28323102531464411</v>
          </cell>
          <cell r="Z11">
            <v>0.15131257299147829</v>
          </cell>
          <cell r="AB11">
            <v>55.613270151928901</v>
          </cell>
          <cell r="AD11">
            <v>35.955203232802198</v>
          </cell>
          <cell r="AF11">
            <v>16.20688443026706</v>
          </cell>
        </row>
        <row r="12">
          <cell r="C12" t="str">
            <v>Veritas</v>
          </cell>
          <cell r="D12">
            <v>26.91</v>
          </cell>
          <cell r="E12">
            <v>427.57600000000002</v>
          </cell>
          <cell r="F12">
            <v>10117.64716</v>
          </cell>
          <cell r="G12">
            <v>11506.070160000001</v>
          </cell>
          <cell r="H12">
            <v>2289.0529999999999</v>
          </cell>
          <cell r="I12">
            <v>900.63</v>
          </cell>
          <cell r="J12">
            <v>3.2471958201582871</v>
          </cell>
          <cell r="M12">
            <v>0.82</v>
          </cell>
          <cell r="N12">
            <v>0.94</v>
          </cell>
          <cell r="O12">
            <v>1.0900000000000001</v>
          </cell>
          <cell r="Q12">
            <v>0.14634146341463414</v>
          </cell>
          <cell r="R12">
            <v>0.15957446808510653</v>
          </cell>
          <cell r="U12">
            <v>1771.2271000000001</v>
          </cell>
          <cell r="V12">
            <v>2021</v>
          </cell>
          <cell r="W12">
            <v>2247.5500000000002</v>
          </cell>
          <cell r="Y12">
            <v>0.14101686903954888</v>
          </cell>
          <cell r="Z12">
            <v>0.11209797130133606</v>
          </cell>
          <cell r="AC12">
            <v>32.81707317073171</v>
          </cell>
          <cell r="AD12">
            <v>28.627659574468087</v>
          </cell>
          <cell r="AE12">
            <v>24.688073394495412</v>
          </cell>
          <cell r="AH12">
            <v>6.4961010138112725</v>
          </cell>
          <cell r="AI12">
            <v>5.6932558931222177</v>
          </cell>
          <cell r="AJ12">
            <v>5.1193833997018974</v>
          </cell>
          <cell r="AK12" t="str">
            <v>-</v>
          </cell>
          <cell r="AL12" t="str">
            <v>-</v>
          </cell>
          <cell r="AM12">
            <v>28.857078268099649</v>
          </cell>
          <cell r="AN12">
            <v>5.7122246831024661</v>
          </cell>
          <cell r="AO12">
            <v>1.9562234042553195</v>
          </cell>
          <cell r="AP12">
            <v>2.0300875894811785</v>
          </cell>
          <cell r="AQ12">
            <v>25.173195936001822</v>
          </cell>
          <cell r="AR12">
            <v>5.0062578723404254</v>
          </cell>
          <cell r="AS12">
            <v>3.2143003531970669E-5</v>
          </cell>
          <cell r="AT12">
            <v>2.2691694362625774E-3</v>
          </cell>
          <cell r="AU12">
            <v>21.708994660405239</v>
          </cell>
          <cell r="AV12">
            <v>4.501633850192432</v>
          </cell>
        </row>
        <row r="13">
          <cell r="V13" t="str">
            <v>Group Mean</v>
          </cell>
          <cell r="X13">
            <v>8.9621183138926613E-2</v>
          </cell>
          <cell r="Z13">
            <v>9.6722086302067078E-2</v>
          </cell>
          <cell r="AB13">
            <v>41.848263404839187</v>
          </cell>
          <cell r="AD13">
            <v>35.220199718396664</v>
          </cell>
          <cell r="AF13">
            <v>11.233460553372039</v>
          </cell>
        </row>
        <row r="14">
          <cell r="V14" t="str">
            <v>Group Mean</v>
          </cell>
          <cell r="X14">
            <v>0.10088124964278269</v>
          </cell>
          <cell r="Z14">
            <v>9.7407558839995578E-2</v>
          </cell>
          <cell r="AB14">
            <v>39.631375672542084</v>
          </cell>
          <cell r="AD14">
            <v>32.068192343081542</v>
          </cell>
          <cell r="AF14">
            <v>10.981840358812615</v>
          </cell>
        </row>
        <row r="15">
          <cell r="V15" t="str">
            <v>Group Median</v>
          </cell>
          <cell r="AA15">
            <v>27.720930232558139</v>
          </cell>
          <cell r="AB15">
            <v>44.781622252317099</v>
          </cell>
          <cell r="AC15">
            <v>36.529288657439317</v>
          </cell>
          <cell r="AD15">
            <v>31.522357188367458</v>
          </cell>
          <cell r="AE15">
            <v>27.049668874172184</v>
          </cell>
          <cell r="AF15">
            <v>6.657142721937876</v>
          </cell>
          <cell r="AG15">
            <v>6.6487731935736747</v>
          </cell>
          <cell r="AH15">
            <v>6.1515489413391364</v>
          </cell>
          <cell r="AI15">
            <v>5.5853233917531666</v>
          </cell>
          <cell r="AJ15">
            <v>5.15676603215352</v>
          </cell>
          <cell r="AK15">
            <v>1.5682957393483721</v>
          </cell>
          <cell r="AL15">
            <v>1.9406252675904521</v>
          </cell>
          <cell r="AM15">
            <v>32.305149455313767</v>
          </cell>
          <cell r="AN15">
            <v>5.5919799014791529</v>
          </cell>
          <cell r="AO15">
            <v>1.9578727930017572</v>
          </cell>
          <cell r="AP15">
            <v>2.3470328139076697</v>
          </cell>
          <cell r="AQ15">
            <v>26.010904255647016</v>
          </cell>
          <cell r="AR15">
            <v>5.0731989615789175</v>
          </cell>
          <cell r="AS15">
            <v>2.0100105792555794E-5</v>
          </cell>
          <cell r="AT15">
            <v>2.1840786262629012E-3</v>
          </cell>
          <cell r="AU15">
            <v>21.267446847081452</v>
          </cell>
          <cell r="AV15">
            <v>4.6820950072932206</v>
          </cell>
        </row>
        <row r="16">
          <cell r="AF16" t="str">
            <v>P/S Multiple</v>
          </cell>
        </row>
        <row r="17">
          <cell r="C17" t="str">
            <v>Security Software</v>
          </cell>
          <cell r="D17" t="str">
            <v>Price</v>
          </cell>
          <cell r="E17" t="str">
            <v># shares</v>
          </cell>
          <cell r="F17" t="str">
            <v>Ent. Value</v>
          </cell>
          <cell r="G17" t="str">
            <v>Mkt Cap</v>
          </cell>
          <cell r="H17" t="str">
            <v>Cash</v>
          </cell>
          <cell r="J17" t="str">
            <v>Net Cash Per share</v>
          </cell>
          <cell r="K17" t="str">
            <v>EPS</v>
          </cell>
          <cell r="L17">
            <v>2002</v>
          </cell>
          <cell r="N17">
            <v>2004</v>
          </cell>
          <cell r="Q17" t="str">
            <v>'03-'04 Growth</v>
          </cell>
          <cell r="S17" t="str">
            <v>Revenue</v>
          </cell>
          <cell r="U17">
            <v>2003</v>
          </cell>
          <cell r="X17" t="str">
            <v>'02-'03 Growth</v>
          </cell>
          <cell r="Z17" t="str">
            <v>'04-'05 Growth</v>
          </cell>
          <cell r="AA17" t="str">
            <v>P/E Multiple</v>
          </cell>
          <cell r="AB17">
            <v>2002</v>
          </cell>
          <cell r="AE17">
            <v>2005</v>
          </cell>
          <cell r="AF17" t="str">
            <v>P/S Multiple</v>
          </cell>
          <cell r="AG17">
            <v>2002</v>
          </cell>
          <cell r="AJ17">
            <v>2005</v>
          </cell>
          <cell r="AK17">
            <v>2003</v>
          </cell>
          <cell r="AL17" t="str">
            <v>'03 Rev</v>
          </cell>
          <cell r="AM17" t="str">
            <v xml:space="preserve">'03 EPS </v>
          </cell>
          <cell r="AN17" t="str">
            <v>'03 Rev</v>
          </cell>
          <cell r="AO17">
            <v>2004</v>
          </cell>
          <cell r="AP17" t="str">
            <v>'04 Rev</v>
          </cell>
          <cell r="AQ17" t="str">
            <v xml:space="preserve">'04 EPS </v>
          </cell>
          <cell r="AR17" t="str">
            <v>'04 Rev</v>
          </cell>
          <cell r="AS17">
            <v>2005</v>
          </cell>
          <cell r="AT17" t="str">
            <v>'04 Rev</v>
          </cell>
          <cell r="AU17" t="str">
            <v xml:space="preserve">'04 EPS </v>
          </cell>
          <cell r="AV17" t="str">
            <v>'04 Rev</v>
          </cell>
        </row>
        <row r="18">
          <cell r="C18" t="str">
            <v>Security Software</v>
          </cell>
          <cell r="D18" t="str">
            <v>Price</v>
          </cell>
          <cell r="E18" t="str">
            <v># shares</v>
          </cell>
          <cell r="F18" t="str">
            <v>Ent. Value</v>
          </cell>
          <cell r="G18" t="str">
            <v>Mkt Cap</v>
          </cell>
          <cell r="H18" t="str">
            <v>Cash</v>
          </cell>
          <cell r="J18" t="str">
            <v>Net Cash Per share</v>
          </cell>
          <cell r="L18">
            <v>2002</v>
          </cell>
          <cell r="N18">
            <v>2004</v>
          </cell>
          <cell r="P18" t="str">
            <v>'02-'03 Growth</v>
          </cell>
          <cell r="R18" t="str">
            <v>'04-'05 Growth</v>
          </cell>
          <cell r="T18">
            <v>2002</v>
          </cell>
          <cell r="V18">
            <v>2004</v>
          </cell>
          <cell r="X18" t="str">
            <v>'02-'03 Growth</v>
          </cell>
          <cell r="Z18" t="str">
            <v>'04-'05 Growth</v>
          </cell>
          <cell r="AB18">
            <v>2002</v>
          </cell>
          <cell r="AD18">
            <v>2004</v>
          </cell>
          <cell r="AF18">
            <v>2001</v>
          </cell>
        </row>
        <row r="19">
          <cell r="C19" t="str">
            <v>Checkpoint Software</v>
          </cell>
          <cell r="D19">
            <v>22.21</v>
          </cell>
          <cell r="E19">
            <v>264.59500000000003</v>
          </cell>
          <cell r="F19">
            <v>4273.9309500000008</v>
          </cell>
          <cell r="G19">
            <v>5876.654950000001</v>
          </cell>
          <cell r="H19">
            <v>1602.7239999999999</v>
          </cell>
          <cell r="J19">
            <v>6.0572724352312015</v>
          </cell>
          <cell r="L19">
            <v>1.0087795618128608</v>
          </cell>
          <cell r="N19">
            <v>1.0141717897403224</v>
          </cell>
          <cell r="P19">
            <v>-5.2259622942191192E-2</v>
          </cell>
          <cell r="R19">
            <v>8.4486260661897419E-2</v>
          </cell>
          <cell r="T19">
            <v>426.98900000000003</v>
          </cell>
          <cell r="V19">
            <v>515.50670306862753</v>
          </cell>
          <cell r="X19">
            <v>1.307527828585741E-2</v>
          </cell>
          <cell r="Z19">
            <v>0.1033860161411297</v>
          </cell>
          <cell r="AB19">
            <v>22.016702995138782</v>
          </cell>
          <cell r="AD19">
            <v>21.899642865916086</v>
          </cell>
          <cell r="AF19">
            <v>11.137622147676447</v>
          </cell>
        </row>
        <row r="20">
          <cell r="C20" t="str">
            <v>Entrust</v>
          </cell>
          <cell r="D20">
            <v>4.24</v>
          </cell>
          <cell r="E20">
            <v>63.55</v>
          </cell>
          <cell r="F20">
            <v>176.08199999999999</v>
          </cell>
          <cell r="G20">
            <v>269.452</v>
          </cell>
          <cell r="H20">
            <v>93.37</v>
          </cell>
          <cell r="J20">
            <v>1.4692368214004723</v>
          </cell>
          <cell r="L20">
            <v>-0.24</v>
          </cell>
          <cell r="N20">
            <v>0.02</v>
          </cell>
          <cell r="P20">
            <v>1.3333333333333337</v>
          </cell>
          <cell r="R20">
            <v>5</v>
          </cell>
          <cell r="T20">
            <v>102.741</v>
          </cell>
          <cell r="V20">
            <v>96.47</v>
          </cell>
          <cell r="X20">
            <v>-0.14491780301924251</v>
          </cell>
          <cell r="Z20">
            <v>0.13672644345392349</v>
          </cell>
          <cell r="AB20" t="str">
            <v>-</v>
          </cell>
          <cell r="AD20" t="str">
            <v>--</v>
          </cell>
          <cell r="AF20">
            <v>2.2841690331878097</v>
          </cell>
        </row>
        <row r="21">
          <cell r="C21" t="str">
            <v>Internet Security Systems</v>
          </cell>
          <cell r="D21">
            <v>17.079999999999998</v>
          </cell>
          <cell r="E21">
            <v>50.087249999999997</v>
          </cell>
          <cell r="F21">
            <v>614.23222999999984</v>
          </cell>
          <cell r="G21">
            <v>855.49022999999988</v>
          </cell>
          <cell r="H21">
            <v>241.25800000000001</v>
          </cell>
          <cell r="J21">
            <v>4.8167547629386727</v>
          </cell>
          <cell r="L21">
            <v>0.47570200815154118</v>
          </cell>
          <cell r="N21">
            <v>0.62505339871485732</v>
          </cell>
          <cell r="P21">
            <v>0.10334407989427788</v>
          </cell>
          <cell r="R21">
            <v>0.16129101506864518</v>
          </cell>
          <cell r="T21">
            <v>243.285</v>
          </cell>
          <cell r="V21">
            <v>279.99560150000002</v>
          </cell>
          <cell r="X21">
            <v>1.0259572106788257E-2</v>
          </cell>
          <cell r="Z21">
            <v>9.6957374578614641E-2</v>
          </cell>
          <cell r="AB21">
            <v>35.904830560561642</v>
          </cell>
          <cell r="AD21">
            <v>27.325665351340184</v>
          </cell>
          <cell r="AF21">
            <v>3.8266866017471894</v>
          </cell>
        </row>
        <row r="22">
          <cell r="C22" t="str">
            <v>Macrovision</v>
          </cell>
          <cell r="D22">
            <v>18.25</v>
          </cell>
          <cell r="E22">
            <v>49.451250000000002</v>
          </cell>
          <cell r="F22">
            <v>648.68031250000013</v>
          </cell>
          <cell r="G22">
            <v>902.48531250000008</v>
          </cell>
          <cell r="H22">
            <v>253.80500000000001</v>
          </cell>
          <cell r="J22">
            <v>5.1324284017087534</v>
          </cell>
          <cell r="L22">
            <v>0.69983923890903665</v>
          </cell>
          <cell r="N22">
            <v>0.8511722646556128</v>
          </cell>
          <cell r="P22">
            <v>7.9040696818660008E-2</v>
          </cell>
          <cell r="R22">
            <v>8.9474281203121786E-2</v>
          </cell>
          <cell r="T22">
            <v>102.265</v>
          </cell>
          <cell r="V22">
            <v>139.20870159999998</v>
          </cell>
          <cell r="X22">
            <v>0.20729907593018135</v>
          </cell>
          <cell r="Z22">
            <v>0.12776226212571795</v>
          </cell>
          <cell r="AB22">
            <v>26.077417477261644</v>
          </cell>
          <cell r="AD22">
            <v>21.441018179068621</v>
          </cell>
          <cell r="AF22">
            <v>9.1332649803163548</v>
          </cell>
        </row>
        <row r="23">
          <cell r="C23" t="str">
            <v>Netegrity</v>
          </cell>
          <cell r="D23">
            <v>8.16</v>
          </cell>
          <cell r="E23">
            <v>36.332749999999997</v>
          </cell>
          <cell r="F23">
            <v>203.40123999999997</v>
          </cell>
          <cell r="G23">
            <v>296.47523999999999</v>
          </cell>
          <cell r="H23">
            <v>93.073999999999998</v>
          </cell>
          <cell r="J23">
            <v>2.5617108531558994</v>
          </cell>
          <cell r="L23">
            <v>-0.65354517829389258</v>
          </cell>
          <cell r="N23">
            <v>0.159792175001716</v>
          </cell>
          <cell r="P23">
            <v>-1.0088673853110379</v>
          </cell>
          <cell r="R23">
            <v>0.76749025982166519</v>
          </cell>
          <cell r="T23">
            <v>69.262</v>
          </cell>
          <cell r="V23">
            <v>97.661722806330005</v>
          </cell>
          <cell r="X23">
            <v>0.13251133377609653</v>
          </cell>
          <cell r="Z23">
            <v>0.14358810941512465</v>
          </cell>
          <cell r="AB23">
            <v>17.342596686806814</v>
          </cell>
          <cell r="AD23" t="str">
            <v>-</v>
          </cell>
          <cell r="AF23">
            <v>3.4242528961319456</v>
          </cell>
        </row>
        <row r="24">
          <cell r="C24" t="str">
            <v>Netscreen</v>
          </cell>
          <cell r="D24">
            <v>35.450000000000003</v>
          </cell>
          <cell r="E24">
            <v>100.375</v>
          </cell>
          <cell r="F24">
            <v>3178.8977500000001</v>
          </cell>
          <cell r="G24">
            <v>3558.2937500000003</v>
          </cell>
          <cell r="H24">
            <v>379.39600000000002</v>
          </cell>
          <cell r="J24">
            <v>3.7797858032378584</v>
          </cell>
          <cell r="L24">
            <v>0.28292117923044946</v>
          </cell>
          <cell r="N24">
            <v>0.64676018339472874</v>
          </cell>
          <cell r="P24">
            <v>1.1712095384119792</v>
          </cell>
          <cell r="R24">
            <v>0.33931325460714018</v>
          </cell>
          <cell r="T24">
            <v>160.57900000000001</v>
          </cell>
          <cell r="V24">
            <v>409.13400946001298</v>
          </cell>
          <cell r="X24">
            <v>0.71435243711817842</v>
          </cell>
          <cell r="Z24">
            <v>0.23067003974910633</v>
          </cell>
          <cell r="AB24" t="str">
            <v>--</v>
          </cell>
          <cell r="AD24">
            <v>54.811661122874447</v>
          </cell>
          <cell r="AF24" t="str">
            <v>--</v>
          </cell>
        </row>
        <row r="25">
          <cell r="C25" t="str">
            <v>Network Associates</v>
          </cell>
          <cell r="D25">
            <v>17.71</v>
          </cell>
          <cell r="E25">
            <v>186.39400000000003</v>
          </cell>
          <cell r="F25">
            <v>2514.2327400000004</v>
          </cell>
          <cell r="G25">
            <v>3301.0377400000007</v>
          </cell>
          <cell r="H25">
            <v>786.80499999999995</v>
          </cell>
          <cell r="J25">
            <v>4.2211927422556519</v>
          </cell>
          <cell r="L25">
            <v>1.1885659835791151</v>
          </cell>
          <cell r="N25">
            <v>0.70123397788579478</v>
          </cell>
          <cell r="P25">
            <v>-0.4565802194067084</v>
          </cell>
          <cell r="R25">
            <v>0.12751894763914659</v>
          </cell>
          <cell r="T25">
            <v>1043.0440000000001</v>
          </cell>
          <cell r="V25">
            <v>941.33915460000003</v>
          </cell>
          <cell r="X25">
            <v>-0.1059638903056824</v>
          </cell>
          <cell r="Z25">
            <v>9.9841961609401911E-2</v>
          </cell>
          <cell r="AB25">
            <v>14.900308644767101</v>
          </cell>
          <cell r="AD25">
            <v>25.255478996319127</v>
          </cell>
          <cell r="AF25">
            <v>4.2734424833064502</v>
          </cell>
        </row>
        <row r="26">
          <cell r="C26" t="str">
            <v>RSA Security</v>
          </cell>
          <cell r="D26">
            <v>16.75</v>
          </cell>
          <cell r="E26">
            <v>60.183999999999997</v>
          </cell>
          <cell r="F26">
            <v>800.75900000000001</v>
          </cell>
          <cell r="G26">
            <v>1008.082</v>
          </cell>
          <cell r="H26">
            <v>207.32300000000001</v>
          </cell>
          <cell r="J26">
            <v>3.4448192210554303</v>
          </cell>
          <cell r="L26">
            <v>-0.13</v>
          </cell>
          <cell r="N26">
            <v>0.43</v>
          </cell>
          <cell r="P26">
            <v>-2.8461538461538458</v>
          </cell>
          <cell r="R26">
            <v>0.37209302325581389</v>
          </cell>
          <cell r="T26">
            <v>232</v>
          </cell>
          <cell r="V26">
            <v>293.86</v>
          </cell>
          <cell r="X26">
            <v>0.12011206896551718</v>
          </cell>
          <cell r="Z26">
            <v>0.12029537875178645</v>
          </cell>
          <cell r="AB26" t="str">
            <v>-</v>
          </cell>
          <cell r="AD26" t="str">
            <v>--</v>
          </cell>
          <cell r="AF26">
            <v>3.566512885102529</v>
          </cell>
        </row>
        <row r="27">
          <cell r="C27" t="str">
            <v>Secure Computing</v>
          </cell>
          <cell r="D27">
            <v>15.45</v>
          </cell>
          <cell r="E27">
            <v>33.552999999999997</v>
          </cell>
          <cell r="F27">
            <v>494.11684999999994</v>
          </cell>
          <cell r="G27">
            <v>518.39384999999993</v>
          </cell>
          <cell r="H27">
            <v>24.277000000000001</v>
          </cell>
          <cell r="J27">
            <v>0.72354185914821334</v>
          </cell>
          <cell r="L27">
            <v>4.3802432646792802E-2</v>
          </cell>
          <cell r="N27">
            <v>0.41001814251073898</v>
          </cell>
          <cell r="P27">
            <v>4.554868610822413</v>
          </cell>
          <cell r="R27">
            <v>0.28646495947489092</v>
          </cell>
          <cell r="T27">
            <v>65.837000000000003</v>
          </cell>
          <cell r="V27">
            <v>99.422889999999995</v>
          </cell>
          <cell r="X27">
            <v>0.18825280617282061</v>
          </cell>
          <cell r="Z27">
            <v>0.2193939584737479</v>
          </cell>
          <cell r="AB27" t="str">
            <v>--</v>
          </cell>
          <cell r="AD27">
            <v>37.681259432551428</v>
          </cell>
          <cell r="AF27">
            <v>9.8803790954314135</v>
          </cell>
        </row>
        <row r="28">
          <cell r="C28" t="str">
            <v>SonicWall</v>
          </cell>
          <cell r="D28">
            <v>8.6</v>
          </cell>
          <cell r="E28">
            <v>73.415000000000006</v>
          </cell>
          <cell r="F28">
            <v>631.12552300000004</v>
          </cell>
          <cell r="G28">
            <v>631.36900000000003</v>
          </cell>
          <cell r="H28">
            <v>0.243477</v>
          </cell>
          <cell r="J28">
            <v>3.3164475924538578E-3</v>
          </cell>
          <cell r="L28">
            <v>6.2001626573124378E-2</v>
          </cell>
          <cell r="N28">
            <v>0.11962465681010354</v>
          </cell>
          <cell r="P28">
            <v>-2.4385565678055814</v>
          </cell>
          <cell r="R28">
            <v>0.21075510903889502</v>
          </cell>
          <cell r="T28">
            <v>103.21900000000001</v>
          </cell>
          <cell r="V28">
            <v>124.99818249999998</v>
          </cell>
          <cell r="X28">
            <v>-8.5430008041155456E-2</v>
          </cell>
          <cell r="Z28">
            <v>0.2000509441707283</v>
          </cell>
          <cell r="AB28" t="str">
            <v>--</v>
          </cell>
          <cell r="AD28" t="str">
            <v>--</v>
          </cell>
          <cell r="AF28">
            <v>5.6372232142857142</v>
          </cell>
        </row>
        <row r="29">
          <cell r="C29" t="str">
            <v>Symantec</v>
          </cell>
          <cell r="D29">
            <v>46.26</v>
          </cell>
          <cell r="E29">
            <v>354.19714999999997</v>
          </cell>
          <cell r="F29">
            <v>14964.486159</v>
          </cell>
          <cell r="G29">
            <v>16385.160158999999</v>
          </cell>
          <cell r="H29">
            <v>2026.57</v>
          </cell>
          <cell r="J29">
            <v>4.0109695970168033</v>
          </cell>
          <cell r="L29">
            <v>0.83181585750349019</v>
          </cell>
          <cell r="N29">
            <v>1.2866009879147799</v>
          </cell>
          <cell r="P29">
            <v>0.27797455237414587</v>
          </cell>
          <cell r="R29">
            <v>0.16396841891265257</v>
          </cell>
          <cell r="T29">
            <v>1327.69</v>
          </cell>
          <cell r="V29">
            <v>2135.4042390000004</v>
          </cell>
          <cell r="X29">
            <v>0.28323102531464411</v>
          </cell>
          <cell r="Z29">
            <v>0.15131257299147829</v>
          </cell>
          <cell r="AB29">
            <v>55.613270151928901</v>
          </cell>
          <cell r="AD29">
            <v>35.955203232802198</v>
          </cell>
          <cell r="AF29">
            <v>16.20688443026706</v>
          </cell>
        </row>
        <row r="30">
          <cell r="C30" t="str">
            <v>VeriSign</v>
          </cell>
          <cell r="D30">
            <v>16.260000000000002</v>
          </cell>
          <cell r="E30">
            <v>248.75</v>
          </cell>
          <cell r="F30">
            <v>3404.2170000000001</v>
          </cell>
          <cell r="G30">
            <v>4044.6750000000002</v>
          </cell>
          <cell r="H30">
            <v>640.45799999999997</v>
          </cell>
          <cell r="J30">
            <v>2.5747055276381907</v>
          </cell>
          <cell r="L30">
            <v>0.62686443567173922</v>
          </cell>
          <cell r="N30">
            <v>0.58231815560078137</v>
          </cell>
          <cell r="P30">
            <v>-5.8347515167172188E-2</v>
          </cell>
          <cell r="R30">
            <v>0.14503747524355182</v>
          </cell>
          <cell r="T30">
            <v>1221.6690000000001</v>
          </cell>
          <cell r="V30">
            <v>924.8761770000001</v>
          </cell>
          <cell r="X30">
            <v>-0.13660737892178659</v>
          </cell>
          <cell r="Z30">
            <v>7.0020913918512395E-2</v>
          </cell>
          <cell r="AB30">
            <v>25.938622570884903</v>
          </cell>
          <cell r="AD30">
            <v>27.922880033208745</v>
          </cell>
          <cell r="AF30">
            <v>4.1122641739632604</v>
          </cell>
        </row>
        <row r="31">
          <cell r="C31" t="str">
            <v>Watchguard</v>
          </cell>
          <cell r="D31">
            <v>7.74</v>
          </cell>
          <cell r="E31">
            <v>33.387</v>
          </cell>
          <cell r="F31">
            <v>175.29038000000003</v>
          </cell>
          <cell r="G31">
            <v>258.41538000000003</v>
          </cell>
          <cell r="H31">
            <v>83.125</v>
          </cell>
          <cell r="J31">
            <v>2.489741516158984</v>
          </cell>
          <cell r="L31">
            <v>-0.33</v>
          </cell>
          <cell r="N31">
            <v>-0.11</v>
          </cell>
          <cell r="P31">
            <v>-0.15151515151515146</v>
          </cell>
          <cell r="R31">
            <v>-1.8181818181818183</v>
          </cell>
          <cell r="T31">
            <v>75.47</v>
          </cell>
          <cell r="V31">
            <v>88.55</v>
          </cell>
          <cell r="X31">
            <v>6.1733138995627483E-2</v>
          </cell>
          <cell r="Z31">
            <v>0.15968379446640318</v>
          </cell>
          <cell r="AB31" t="str">
            <v>-</v>
          </cell>
          <cell r="AD31" t="str">
            <v>-</v>
          </cell>
          <cell r="AF31">
            <v>4.0199645318357886</v>
          </cell>
        </row>
        <row r="32">
          <cell r="C32" t="str">
            <v>Websense</v>
          </cell>
          <cell r="D32">
            <v>29.1</v>
          </cell>
          <cell r="E32">
            <v>22.375</v>
          </cell>
          <cell r="F32">
            <v>468.25350000000009</v>
          </cell>
          <cell r="G32">
            <v>651.11249999999995</v>
          </cell>
          <cell r="H32">
            <v>182.85899999999998</v>
          </cell>
          <cell r="J32">
            <v>8.1724692737430153</v>
          </cell>
          <cell r="L32">
            <v>0.67</v>
          </cell>
          <cell r="N32">
            <v>0.88</v>
          </cell>
          <cell r="P32">
            <v>7.4626865671641687E-2</v>
          </cell>
          <cell r="R32">
            <v>0.17045454545454547</v>
          </cell>
          <cell r="T32">
            <v>60.984999999999999</v>
          </cell>
          <cell r="V32">
            <v>102.59</v>
          </cell>
          <cell r="X32">
            <v>0.33973928015085669</v>
          </cell>
          <cell r="Z32">
            <v>0.18910225168145034</v>
          </cell>
          <cell r="AB32">
            <v>43.432835820895519</v>
          </cell>
          <cell r="AD32">
            <v>33.06818181818182</v>
          </cell>
          <cell r="AF32">
            <v>18.140375560694288</v>
          </cell>
        </row>
        <row r="33">
          <cell r="X33">
            <v>5.5076124610437108E-2</v>
          </cell>
          <cell r="Z33">
            <v>0.12965760480866539</v>
          </cell>
          <cell r="AB33">
            <v>30.613987173179115</v>
          </cell>
        </row>
        <row r="34">
          <cell r="V34" t="str">
            <v>Group Mean</v>
          </cell>
          <cell r="X34">
            <v>5.6107827359320323E-2</v>
          </cell>
          <cell r="Z34">
            <v>0.13080225743365156</v>
          </cell>
          <cell r="AB34">
            <v>30.153323113530664</v>
          </cell>
          <cell r="AD34">
            <v>31.706776781362514</v>
          </cell>
          <cell r="AF34">
            <v>7.3571570795343266</v>
          </cell>
        </row>
        <row r="35">
          <cell r="V35" t="str">
            <v>Group Median</v>
          </cell>
          <cell r="AB35">
            <v>26.008020024073275</v>
          </cell>
          <cell r="AD35">
            <v>27.922880033208745</v>
          </cell>
          <cell r="AF35">
            <v>4.2734424833064502</v>
          </cell>
        </row>
        <row r="37">
          <cell r="C37" t="str">
            <v>Infrastructure &amp; Platforms</v>
          </cell>
          <cell r="D37" t="str">
            <v>Price</v>
          </cell>
          <cell r="E37" t="str">
            <v># shares</v>
          </cell>
          <cell r="F37" t="str">
            <v>Ent. Value</v>
          </cell>
          <cell r="G37" t="str">
            <v>Mkt Cap</v>
          </cell>
          <cell r="H37" t="str">
            <v>Cash</v>
          </cell>
          <cell r="J37" t="str">
            <v>Net Cash Per share</v>
          </cell>
          <cell r="K37" t="str">
            <v>EPS</v>
          </cell>
          <cell r="L37">
            <v>2002</v>
          </cell>
          <cell r="N37">
            <v>2004</v>
          </cell>
          <cell r="Q37" t="str">
            <v>'03-'04 Growth</v>
          </cell>
          <cell r="S37" t="str">
            <v>Revenue</v>
          </cell>
          <cell r="U37">
            <v>2003</v>
          </cell>
          <cell r="X37" t="str">
            <v>'02-'03 Growth</v>
          </cell>
          <cell r="Z37" t="str">
            <v>'04-'05 Growth</v>
          </cell>
          <cell r="AA37" t="str">
            <v>P/E Multiple</v>
          </cell>
          <cell r="AB37">
            <v>2002</v>
          </cell>
          <cell r="AE37">
            <v>2005</v>
          </cell>
          <cell r="AF37" t="str">
            <v>P/S Multiple</v>
          </cell>
          <cell r="AG37">
            <v>2002</v>
          </cell>
          <cell r="AJ37">
            <v>2005</v>
          </cell>
          <cell r="AK37">
            <v>2003</v>
          </cell>
          <cell r="AL37" t="str">
            <v>'03 Rev</v>
          </cell>
          <cell r="AM37" t="str">
            <v xml:space="preserve">'03 EPS </v>
          </cell>
          <cell r="AN37" t="str">
            <v>'03 Rev</v>
          </cell>
          <cell r="AO37">
            <v>2004</v>
          </cell>
          <cell r="AP37" t="str">
            <v>'04 Rev</v>
          </cell>
          <cell r="AQ37" t="str">
            <v xml:space="preserve">'04 EPS </v>
          </cell>
          <cell r="AR37" t="str">
            <v>'04 Rev</v>
          </cell>
          <cell r="AS37">
            <v>2005</v>
          </cell>
          <cell r="AT37" t="str">
            <v>'04 Rev</v>
          </cell>
          <cell r="AU37" t="str">
            <v xml:space="preserve">'04 EPS </v>
          </cell>
          <cell r="AV37" t="str">
            <v>'04 Rev</v>
          </cell>
        </row>
        <row r="38">
          <cell r="C38" t="str">
            <v>Infrastructure &amp; Platforms</v>
          </cell>
          <cell r="D38" t="str">
            <v>Price</v>
          </cell>
          <cell r="E38" t="str">
            <v># shares</v>
          </cell>
          <cell r="F38" t="str">
            <v>Ent. Value</v>
          </cell>
          <cell r="G38" t="str">
            <v>Mkt Cap</v>
          </cell>
          <cell r="H38" t="str">
            <v>Cash</v>
          </cell>
          <cell r="J38" t="str">
            <v>Net Cash Per share</v>
          </cell>
          <cell r="L38">
            <v>2002</v>
          </cell>
          <cell r="N38">
            <v>2004</v>
          </cell>
          <cell r="P38" t="str">
            <v>'02-'03 Growth</v>
          </cell>
          <cell r="R38" t="str">
            <v>'04-'05 Growth</v>
          </cell>
          <cell r="T38">
            <v>2002</v>
          </cell>
          <cell r="V38">
            <v>2004</v>
          </cell>
          <cell r="X38" t="str">
            <v>'02-'03 Growth</v>
          </cell>
          <cell r="Z38" t="str">
            <v>'04-'05 Growth</v>
          </cell>
          <cell r="AB38">
            <v>2002</v>
          </cell>
          <cell r="AD38">
            <v>2004</v>
          </cell>
          <cell r="AF38">
            <v>2001</v>
          </cell>
        </row>
        <row r="39">
          <cell r="C39" t="str">
            <v>BEA Systems</v>
          </cell>
          <cell r="D39">
            <v>12.64</v>
          </cell>
          <cell r="E39">
            <v>433.56</v>
          </cell>
          <cell r="F39">
            <v>4564.3664000000008</v>
          </cell>
          <cell r="G39">
            <v>5480.1984000000002</v>
          </cell>
          <cell r="H39">
            <v>1472.48</v>
          </cell>
          <cell r="J39">
            <v>2.112353538149276</v>
          </cell>
          <cell r="L39">
            <v>0.32052791039574252</v>
          </cell>
          <cell r="N39">
            <v>0.36586276089168368</v>
          </cell>
          <cell r="P39">
            <v>5.4986150011488702E-3</v>
          </cell>
          <cell r="R39">
            <v>0.11226116701709032</v>
          </cell>
          <cell r="T39">
            <v>975.89299999999992</v>
          </cell>
          <cell r="V39">
            <v>1122.9963750000002</v>
          </cell>
          <cell r="X39">
            <v>3.7503086916291076E-2</v>
          </cell>
          <cell r="Z39">
            <v>9.896086365372285E-2</v>
          </cell>
          <cell r="AB39">
            <v>39.434943385722377</v>
          </cell>
          <cell r="AD39">
            <v>34.548473775231159</v>
          </cell>
          <cell r="AF39">
            <v>5.6155730187633282</v>
          </cell>
        </row>
        <row r="40">
          <cell r="C40" t="str">
            <v>BMC Software</v>
          </cell>
          <cell r="D40">
            <v>19.22</v>
          </cell>
          <cell r="E40">
            <v>228.25</v>
          </cell>
          <cell r="F40">
            <v>3322.0650000000001</v>
          </cell>
          <cell r="G40">
            <v>4386.9650000000001</v>
          </cell>
          <cell r="H40">
            <v>1064.9000000000001</v>
          </cell>
          <cell r="J40">
            <v>4.6654983570646227</v>
          </cell>
          <cell r="L40">
            <v>0.42923777981670663</v>
          </cell>
          <cell r="N40">
            <v>0.79759268022826035</v>
          </cell>
          <cell r="P40">
            <v>0.1225093444916197</v>
          </cell>
          <cell r="R40">
            <v>0.14298662597001807</v>
          </cell>
          <cell r="T40">
            <v>1277.8</v>
          </cell>
          <cell r="V40">
            <v>1498.890516719538</v>
          </cell>
          <cell r="X40">
            <v>9.5007043355767803E-2</v>
          </cell>
          <cell r="Z40">
            <v>5.690170703239511E-2</v>
          </cell>
          <cell r="AB40">
            <v>44.777046438473647</v>
          </cell>
          <cell r="AD40">
            <v>24.097513024441863</v>
          </cell>
          <cell r="AF40">
            <v>3.2002954479136272</v>
          </cell>
        </row>
        <row r="41">
          <cell r="C41" t="str">
            <v>Citrix</v>
          </cell>
          <cell r="D41">
            <v>22.21</v>
          </cell>
          <cell r="E41">
            <v>164.12</v>
          </cell>
          <cell r="F41">
            <v>3384.2142000000003</v>
          </cell>
          <cell r="G41">
            <v>3645.1052000000004</v>
          </cell>
          <cell r="H41">
            <v>612.31400000000008</v>
          </cell>
          <cell r="J41">
            <v>1.589635632464051</v>
          </cell>
          <cell r="L41">
            <v>0.56000000000000005</v>
          </cell>
          <cell r="N41">
            <v>0.81</v>
          </cell>
          <cell r="P41">
            <v>0.39285714285714279</v>
          </cell>
          <cell r="R41">
            <v>0.12345679012345676</v>
          </cell>
          <cell r="T41">
            <v>527</v>
          </cell>
          <cell r="V41">
            <v>646.22</v>
          </cell>
          <cell r="X41">
            <v>0.11680075901328268</v>
          </cell>
          <cell r="Z41">
            <v>8.5265080003713939E-2</v>
          </cell>
          <cell r="AB41">
            <v>39.660714285714285</v>
          </cell>
          <cell r="AD41">
            <v>27.419753086419753</v>
          </cell>
          <cell r="AF41">
            <v>6.1572722972972977</v>
          </cell>
        </row>
        <row r="42">
          <cell r="C42" t="str">
            <v>Computer Associates</v>
          </cell>
          <cell r="D42">
            <v>26.75</v>
          </cell>
          <cell r="E42">
            <v>579.08199999999999</v>
          </cell>
          <cell r="F42">
            <v>16438.443500000001</v>
          </cell>
          <cell r="G42">
            <v>15490.443499999999</v>
          </cell>
          <cell r="H42">
            <v>1352</v>
          </cell>
          <cell r="J42">
            <v>-1.6370738513716538</v>
          </cell>
          <cell r="L42">
            <v>0.11</v>
          </cell>
          <cell r="N42">
            <v>0.83</v>
          </cell>
          <cell r="P42">
            <v>3.7272727272727275</v>
          </cell>
          <cell r="R42">
            <v>0.45783132530120485</v>
          </cell>
          <cell r="T42">
            <v>3087</v>
          </cell>
          <cell r="V42">
            <v>3640.6401000000001</v>
          </cell>
          <cell r="X42">
            <v>6.6083576287657916E-2</v>
          </cell>
          <cell r="Z42">
            <v>0.13734667153723867</v>
          </cell>
          <cell r="AB42">
            <v>243.18181818181819</v>
          </cell>
          <cell r="AD42">
            <v>32.228915662650607</v>
          </cell>
          <cell r="AF42">
            <v>5.3415322413793103</v>
          </cell>
        </row>
        <row r="43">
          <cell r="C43" t="str">
            <v>Compuware</v>
          </cell>
          <cell r="D43">
            <v>7.52</v>
          </cell>
          <cell r="E43">
            <v>384.07799999999997</v>
          </cell>
          <cell r="F43">
            <v>2346.0245599999998</v>
          </cell>
          <cell r="G43">
            <v>2888.2665599999996</v>
          </cell>
          <cell r="H43">
            <v>542.24199999999996</v>
          </cell>
          <cell r="J43">
            <v>1.4118017694322507</v>
          </cell>
          <cell r="L43">
            <v>0.3</v>
          </cell>
          <cell r="N43">
            <v>0.11</v>
          </cell>
          <cell r="P43">
            <v>-0.63333333333333341</v>
          </cell>
          <cell r="R43">
            <v>0.18181818181818185</v>
          </cell>
          <cell r="T43">
            <v>1444.893</v>
          </cell>
          <cell r="V43">
            <v>1278.0599</v>
          </cell>
          <cell r="X43">
            <v>-0.12482239169267206</v>
          </cell>
          <cell r="Z43">
            <v>1.4467240541699188E-2</v>
          </cell>
          <cell r="AB43">
            <v>25.066666666666666</v>
          </cell>
          <cell r="AD43" t="str">
            <v>--</v>
          </cell>
          <cell r="AF43">
            <v>1.5739872261580379</v>
          </cell>
        </row>
        <row r="44">
          <cell r="C44" t="str">
            <v>Embarcadero Technologies</v>
          </cell>
          <cell r="D44">
            <v>12.61</v>
          </cell>
          <cell r="E44">
            <v>26.602</v>
          </cell>
          <cell r="F44">
            <v>277.48421999999999</v>
          </cell>
          <cell r="G44">
            <v>335.45121999999998</v>
          </cell>
          <cell r="H44">
            <v>57.966999999999999</v>
          </cell>
          <cell r="I44">
            <v>0</v>
          </cell>
          <cell r="J44">
            <v>2.1790466882189308</v>
          </cell>
          <cell r="K44">
            <v>0.25</v>
          </cell>
          <cell r="L44">
            <v>0.21</v>
          </cell>
          <cell r="M44">
            <v>0.24</v>
          </cell>
          <cell r="N44">
            <v>0.35</v>
          </cell>
          <cell r="O44">
            <v>0.42</v>
          </cell>
          <cell r="P44">
            <v>0.14285714285714285</v>
          </cell>
          <cell r="Q44">
            <v>0.45833333333333331</v>
          </cell>
          <cell r="R44">
            <v>0.2</v>
          </cell>
          <cell r="T44">
            <v>49.302</v>
          </cell>
          <cell r="V44">
            <v>60.22</v>
          </cell>
          <cell r="X44">
            <v>5.2249401646992016E-2</v>
          </cell>
          <cell r="Z44">
            <v>0.14596479574892074</v>
          </cell>
          <cell r="AB44">
            <v>60.047619047619044</v>
          </cell>
          <cell r="AD44">
            <v>36.028571428571432</v>
          </cell>
          <cell r="AF44">
            <v>6.5143748786266356</v>
          </cell>
        </row>
        <row r="45">
          <cell r="C45" t="str">
            <v>Mercury Interative</v>
          </cell>
          <cell r="D45">
            <v>43.97</v>
          </cell>
          <cell r="E45">
            <v>90.034000000000006</v>
          </cell>
          <cell r="F45">
            <v>4063.5939800000001</v>
          </cell>
          <cell r="G45">
            <v>3958.7949800000001</v>
          </cell>
          <cell r="H45">
            <v>706.36</v>
          </cell>
          <cell r="J45">
            <v>-1.1639936024168644</v>
          </cell>
          <cell r="L45">
            <v>0.72</v>
          </cell>
          <cell r="N45">
            <v>1.07</v>
          </cell>
          <cell r="P45">
            <v>0.2777777777777779</v>
          </cell>
          <cell r="R45">
            <v>0.22429906542056072</v>
          </cell>
          <cell r="T45">
            <v>400.12200000000001</v>
          </cell>
          <cell r="V45">
            <v>648</v>
          </cell>
          <cell r="X45">
            <v>0.26589390235978022</v>
          </cell>
          <cell r="Z45">
            <v>0.17501543209876538</v>
          </cell>
          <cell r="AB45">
            <v>61.069444444444443</v>
          </cell>
          <cell r="AD45">
            <v>41.09345794392523</v>
          </cell>
          <cell r="AF45">
            <v>10.966191080332411</v>
          </cell>
        </row>
        <row r="46">
          <cell r="C46" t="str">
            <v>Microsoft</v>
          </cell>
          <cell r="D46">
            <v>25.03</v>
          </cell>
          <cell r="E46">
            <v>10812.468999999999</v>
          </cell>
          <cell r="F46">
            <v>217859.09907</v>
          </cell>
          <cell r="G46">
            <v>270636.09907</v>
          </cell>
          <cell r="H46">
            <v>52777</v>
          </cell>
          <cell r="J46">
            <v>4.8811238210255219</v>
          </cell>
          <cell r="L46">
            <v>1</v>
          </cell>
          <cell r="N46">
            <v>1.22</v>
          </cell>
          <cell r="P46">
            <v>0.14000000000000001</v>
          </cell>
          <cell r="R46">
            <v>0.1</v>
          </cell>
          <cell r="T46">
            <v>30785</v>
          </cell>
          <cell r="V46">
            <v>37111</v>
          </cell>
          <cell r="X46">
            <v>0.113139515998051</v>
          </cell>
          <cell r="Z46">
            <v>0.1</v>
          </cell>
          <cell r="AB46">
            <v>25.03</v>
          </cell>
          <cell r="AD46">
            <v>20.516393442622952</v>
          </cell>
          <cell r="AF46">
            <v>10.023559224814814</v>
          </cell>
        </row>
        <row r="47">
          <cell r="C47" t="str">
            <v>NetIQ</v>
          </cell>
          <cell r="D47">
            <v>13.72</v>
          </cell>
          <cell r="E47">
            <v>52.279000000000003</v>
          </cell>
          <cell r="F47">
            <v>378.18988000000013</v>
          </cell>
          <cell r="G47">
            <v>717.2678800000001</v>
          </cell>
          <cell r="H47">
            <v>339.07799999999997</v>
          </cell>
          <cell r="J47">
            <v>6.4859312534669744</v>
          </cell>
          <cell r="L47">
            <v>0.99</v>
          </cell>
          <cell r="N47">
            <v>0.05</v>
          </cell>
          <cell r="P47">
            <v>-0.79797979797979801</v>
          </cell>
          <cell r="R47">
            <v>1</v>
          </cell>
          <cell r="T47">
            <v>278</v>
          </cell>
          <cell r="V47">
            <v>254.98</v>
          </cell>
          <cell r="X47">
            <v>0.11605395683453229</v>
          </cell>
          <cell r="Z47">
            <v>8.6595027060946003E-2</v>
          </cell>
          <cell r="AB47">
            <v>13.85858585858586</v>
          </cell>
          <cell r="AD47" t="str">
            <v>--</v>
          </cell>
          <cell r="AF47">
            <v>3.2020887500000006</v>
          </cell>
        </row>
        <row r="48">
          <cell r="C48" t="str">
            <v>Oracle</v>
          </cell>
          <cell r="D48">
            <v>11.92</v>
          </cell>
          <cell r="E48">
            <v>5355.75</v>
          </cell>
          <cell r="F48">
            <v>56087.54</v>
          </cell>
          <cell r="G48">
            <v>63840.54</v>
          </cell>
          <cell r="H48">
            <v>8074</v>
          </cell>
          <cell r="J48">
            <v>1.4476030434579656</v>
          </cell>
          <cell r="L48">
            <v>0.40638090707461194</v>
          </cell>
          <cell r="N48">
            <v>0.50994487201454231</v>
          </cell>
          <cell r="P48">
            <v>0.13462217584207092</v>
          </cell>
          <cell r="R48">
            <v>0.13261957707561003</v>
          </cell>
          <cell r="T48">
            <v>9363.1569999999992</v>
          </cell>
          <cell r="V48">
            <v>10475.466204</v>
          </cell>
          <cell r="X48">
            <v>3.6926006901304827E-2</v>
          </cell>
          <cell r="Z48">
            <v>7.2384392854082547E-2</v>
          </cell>
          <cell r="AB48">
            <v>29.33208670113893</v>
          </cell>
          <cell r="AD48">
            <v>23.375075727126976</v>
          </cell>
          <cell r="AF48">
            <v>6.0580330746449826</v>
          </cell>
        </row>
        <row r="49">
          <cell r="C49" t="str">
            <v>Quest</v>
          </cell>
          <cell r="D49">
            <v>16.010000000000002</v>
          </cell>
          <cell r="E49">
            <v>93.972999999999999</v>
          </cell>
          <cell r="F49">
            <v>1410.3017300000001</v>
          </cell>
          <cell r="G49">
            <v>1504.50773</v>
          </cell>
          <cell r="H49">
            <v>94.206000000000003</v>
          </cell>
          <cell r="J49">
            <v>1.002479435582561</v>
          </cell>
          <cell r="L49">
            <v>0.22</v>
          </cell>
          <cell r="N49">
            <v>0.4</v>
          </cell>
          <cell r="P49">
            <v>0.59090909090909083</v>
          </cell>
          <cell r="R49">
            <v>0.25</v>
          </cell>
          <cell r="T49">
            <v>260</v>
          </cell>
          <cell r="V49">
            <v>339.83</v>
          </cell>
          <cell r="X49">
            <v>0.1735576923076923</v>
          </cell>
          <cell r="Z49">
            <v>0.12532736956713661</v>
          </cell>
          <cell r="AB49">
            <v>72.77272727272728</v>
          </cell>
          <cell r="AD49">
            <v>40.024999999999999</v>
          </cell>
          <cell r="AF49">
            <v>6.1408478775510202</v>
          </cell>
        </row>
        <row r="50">
          <cell r="C50" t="str">
            <v xml:space="preserve">   </v>
          </cell>
          <cell r="X50">
            <v>7.7352711816733935E-2</v>
          </cell>
          <cell r="Z50">
            <v>9.3195764416559523E-2</v>
          </cell>
          <cell r="AB50">
            <v>60.902310607711279</v>
          </cell>
        </row>
        <row r="51">
          <cell r="V51" t="str">
            <v>Group Mean</v>
          </cell>
          <cell r="X51">
            <v>8.7893851587821578E-2</v>
          </cell>
          <cell r="Z51">
            <v>9.5070491376182925E-2</v>
          </cell>
          <cell r="AB51">
            <v>59.475604752991877</v>
          </cell>
          <cell r="AD51">
            <v>31.037017121221108</v>
          </cell>
          <cell r="AF51">
            <v>5.8903413743164972</v>
          </cell>
        </row>
        <row r="52">
          <cell r="V52" t="str">
            <v>Group Median</v>
          </cell>
          <cell r="AB52">
            <v>39.660714285714285</v>
          </cell>
          <cell r="AD52">
            <v>32.228915662650607</v>
          </cell>
          <cell r="AF52">
            <v>6.0580330746449826</v>
          </cell>
        </row>
      </sheetData>
      <sheetData sheetId="1"/>
      <sheetData sheetId="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SENSITIVITY"/>
      <sheetName val="MULTIPLES"/>
      <sheetName val="CHARTS"/>
      <sheetName val="EARNINGS SUMMARY"/>
      <sheetName val="GUIDANCE_ESTIMATES"/>
      <sheetName val="LINKS"/>
      <sheetName val="Q&amp;A"/>
      <sheetName val="UPCOMING EVENTS"/>
      <sheetName val="Sheet1"/>
      <sheetName val="SENSITIVITY ANALYSIS"/>
      <sheetName val="DCF"/>
      <sheetName val="Comp Sheet"/>
      <sheetName val="Comp 2"/>
      <sheetName val="Comp 4"/>
      <sheetName val="Comp 5"/>
      <sheetName val="FX summary"/>
      <sheetName val="Qtr Preview"/>
      <sheetName val="FX"/>
      <sheetName val="Security Group Picture"/>
      <sheetName val="Infrastructure Group Picture"/>
      <sheetName val="Content Group Picture"/>
      <sheetName val="P-S-Gwth"/>
      <sheetName val="ECM Market"/>
      <sheetName val="Pricing-Broadband-ISPs"/>
      <sheetName val="AV Market"/>
      <sheetName val="URL Filtering"/>
      <sheetName val="RBC IWOV Model"/>
      <sheetName val="NA Tech Conference"/>
      <sheetName val="#REF"/>
    </sheetNames>
    <sheetDataSet>
      <sheetData sheetId="0"/>
      <sheetData sheetId="1" refreshError="1">
        <row r="37">
          <cell r="A37" t="str">
            <v>New License Customers</v>
          </cell>
          <cell r="D37">
            <v>33</v>
          </cell>
          <cell r="E37">
            <v>67</v>
          </cell>
          <cell r="F37">
            <v>80</v>
          </cell>
          <cell r="G37">
            <v>108</v>
          </cell>
          <cell r="H37">
            <v>140</v>
          </cell>
          <cell r="I37">
            <v>147</v>
          </cell>
          <cell r="J37">
            <v>91</v>
          </cell>
          <cell r="K37">
            <v>50</v>
          </cell>
          <cell r="L37">
            <v>59</v>
          </cell>
          <cell r="M37">
            <v>82</v>
          </cell>
          <cell r="N37">
            <v>66</v>
          </cell>
          <cell r="O37">
            <v>51</v>
          </cell>
          <cell r="P37">
            <v>51</v>
          </cell>
          <cell r="Q37">
            <v>42</v>
          </cell>
          <cell r="R37">
            <v>29</v>
          </cell>
          <cell r="S37">
            <v>34</v>
          </cell>
          <cell r="T37">
            <v>41</v>
          </cell>
          <cell r="U37">
            <v>78</v>
          </cell>
          <cell r="V37">
            <v>69</v>
          </cell>
          <cell r="W37">
            <v>82</v>
          </cell>
          <cell r="X37">
            <v>89</v>
          </cell>
          <cell r="Y37">
            <v>0</v>
          </cell>
          <cell r="Z37">
            <v>64</v>
          </cell>
          <cell r="AA37">
            <v>73</v>
          </cell>
          <cell r="AB37">
            <v>1</v>
          </cell>
          <cell r="AC37">
            <v>2</v>
          </cell>
          <cell r="AD37">
            <v>3</v>
          </cell>
          <cell r="AE37">
            <v>4</v>
          </cell>
          <cell r="AF37">
            <v>5</v>
          </cell>
          <cell r="AG37">
            <v>6</v>
          </cell>
          <cell r="AH37">
            <v>7</v>
          </cell>
          <cell r="AI37">
            <v>8</v>
          </cell>
          <cell r="AJ37">
            <v>9</v>
          </cell>
          <cell r="AK37">
            <v>10</v>
          </cell>
        </row>
        <row r="39">
          <cell r="A39" t="str">
            <v>Key Metrics</v>
          </cell>
          <cell r="D39">
            <v>108</v>
          </cell>
          <cell r="E39">
            <v>175</v>
          </cell>
          <cell r="F39">
            <v>0</v>
          </cell>
          <cell r="G39">
            <v>0</v>
          </cell>
          <cell r="H39">
            <v>0</v>
          </cell>
          <cell r="I39">
            <v>0</v>
          </cell>
          <cell r="J39">
            <v>0</v>
          </cell>
          <cell r="K39">
            <v>0</v>
          </cell>
          <cell r="L39">
            <v>0</v>
          </cell>
          <cell r="M39">
            <v>0</v>
          </cell>
          <cell r="N39">
            <v>0</v>
          </cell>
          <cell r="O39">
            <v>0</v>
          </cell>
          <cell r="P39">
            <v>0</v>
          </cell>
          <cell r="Q39">
            <v>30.44</v>
          </cell>
          <cell r="R39">
            <v>24.990000000000002</v>
          </cell>
          <cell r="S39">
            <v>26.04</v>
          </cell>
          <cell r="T39">
            <v>26.26</v>
          </cell>
          <cell r="U39">
            <v>33.090000000000003</v>
          </cell>
          <cell r="V39">
            <v>36.660000000000004</v>
          </cell>
          <cell r="W39">
            <v>39.36</v>
          </cell>
          <cell r="X39">
            <v>39.46</v>
          </cell>
          <cell r="Y39">
            <v>42.480000000000004</v>
          </cell>
          <cell r="Z39">
            <v>42.65</v>
          </cell>
          <cell r="AA39">
            <v>41.02</v>
          </cell>
          <cell r="AB39">
            <v>42.06</v>
          </cell>
          <cell r="AC39">
            <v>46.45</v>
          </cell>
          <cell r="AD39">
            <v>45.94</v>
          </cell>
          <cell r="AE39">
            <v>47.54</v>
          </cell>
          <cell r="AF39">
            <v>48.120000000000005</v>
          </cell>
          <cell r="AG39">
            <v>51.51</v>
          </cell>
          <cell r="AH39" t="e">
            <v>#N/A</v>
          </cell>
          <cell r="AI39" t="e">
            <v>#N/A</v>
          </cell>
          <cell r="AJ39" t="e">
            <v>#N/A</v>
          </cell>
          <cell r="AK39" t="e">
            <v>#N/A</v>
          </cell>
          <cell r="AQ39">
            <v>110.38000000000001</v>
          </cell>
          <cell r="AR39">
            <v>157.96000000000004</v>
          </cell>
          <cell r="AS39">
            <v>173.91</v>
          </cell>
          <cell r="AT39">
            <v>192.69</v>
          </cell>
          <cell r="AU39">
            <v>192.69</v>
          </cell>
        </row>
        <row r="40">
          <cell r="A40" t="str">
            <v>Street EPS</v>
          </cell>
          <cell r="C40">
            <v>1.1719999999999999</v>
          </cell>
          <cell r="D40">
            <v>178</v>
          </cell>
          <cell r="E40">
            <v>226</v>
          </cell>
          <cell r="F40">
            <v>300</v>
          </cell>
          <cell r="G40">
            <v>325</v>
          </cell>
          <cell r="H40">
            <v>282</v>
          </cell>
          <cell r="I40">
            <v>302</v>
          </cell>
          <cell r="J40">
            <v>335</v>
          </cell>
          <cell r="K40">
            <v>320</v>
          </cell>
          <cell r="L40">
            <v>287</v>
          </cell>
          <cell r="M40">
            <v>220</v>
          </cell>
          <cell r="N40">
            <v>210</v>
          </cell>
          <cell r="O40">
            <v>250</v>
          </cell>
          <cell r="P40">
            <v>-0.29250000000000004</v>
          </cell>
          <cell r="Q40">
            <v>-0.216</v>
          </cell>
          <cell r="R40">
            <v>-14</v>
          </cell>
          <cell r="S40">
            <v>-13</v>
          </cell>
          <cell r="T40">
            <v>-12</v>
          </cell>
          <cell r="U40">
            <v>-11</v>
          </cell>
          <cell r="V40">
            <v>-10</v>
          </cell>
          <cell r="W40">
            <v>-9</v>
          </cell>
          <cell r="X40">
            <v>-8</v>
          </cell>
          <cell r="Y40">
            <v>-7</v>
          </cell>
          <cell r="Z40">
            <v>-6</v>
          </cell>
          <cell r="AA40">
            <v>-5</v>
          </cell>
          <cell r="AB40">
            <v>-4</v>
          </cell>
          <cell r="AC40">
            <v>-3</v>
          </cell>
          <cell r="AD40">
            <v>-2</v>
          </cell>
          <cell r="AE40">
            <v>-1</v>
          </cell>
          <cell r="AF40">
            <v>0</v>
          </cell>
          <cell r="AG40">
            <v>1</v>
          </cell>
          <cell r="AH40">
            <v>2</v>
          </cell>
          <cell r="AI40">
            <v>3</v>
          </cell>
          <cell r="AJ40">
            <v>4</v>
          </cell>
          <cell r="AK40">
            <v>5</v>
          </cell>
          <cell r="AL40">
            <v>6</v>
          </cell>
          <cell r="AM40">
            <v>7</v>
          </cell>
          <cell r="AN40">
            <v>8</v>
          </cell>
          <cell r="AO40">
            <v>9</v>
          </cell>
          <cell r="AP40">
            <v>10</v>
          </cell>
          <cell r="AQ40">
            <v>11</v>
          </cell>
          <cell r="AR40">
            <v>12</v>
          </cell>
          <cell r="AS40">
            <v>13</v>
          </cell>
          <cell r="AT40">
            <v>0.34571429999999997</v>
          </cell>
          <cell r="AU40">
            <v>0.34571429999999997</v>
          </cell>
        </row>
      </sheetData>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vidual Data"/>
      <sheetName val="Mapped Cell Data"/>
      <sheetName val="Properties"/>
      <sheetName val="__FDSCACHE__"/>
      <sheetName val="MODEL"/>
      <sheetName val="Earnings Summary"/>
      <sheetName val="CHARTS"/>
      <sheetName val="SENSITIVITY"/>
      <sheetName val="Cipher"/>
      <sheetName val="SCUR-CGFW Combined"/>
      <sheetName val="SCUR-CGFW Combined Runrate"/>
      <sheetName val="SCUR Deal Metrics"/>
      <sheetName val="GUIDANCE_ESTIMATES"/>
      <sheetName val="Q&amp;A"/>
      <sheetName val="LINKS"/>
      <sheetName val="Pricing"/>
      <sheetName val="Bus. Model"/>
      <sheetName val="Rev Scratchpad"/>
      <sheetName val="Report Tables"/>
      <sheetName val="Upgrade opportunity"/>
      <sheetName val="Ownership"/>
      <sheetName val="RBC SCUR model"/>
    </sheetNames>
    <sheetDataSet>
      <sheetData sheetId="0"/>
      <sheetData sheetId="1"/>
      <sheetData sheetId="2"/>
      <sheetData sheetId="3"/>
      <sheetData sheetId="4" refreshError="1">
        <row r="10">
          <cell r="A10" t="str">
            <v>Advanced Technology</v>
          </cell>
          <cell r="B10">
            <v>1.663</v>
          </cell>
          <cell r="C10">
            <v>0.747</v>
          </cell>
          <cell r="D10">
            <v>1.1565000000000001</v>
          </cell>
          <cell r="E10">
            <v>1.0009999999999999</v>
          </cell>
          <cell r="F10">
            <v>0.99199999999999999</v>
          </cell>
          <cell r="G10">
            <v>1.2589999999999999</v>
          </cell>
          <cell r="H10">
            <v>1.1000000000000001</v>
          </cell>
          <cell r="I10">
            <v>1.1200000000000001</v>
          </cell>
          <cell r="J10">
            <v>1.0229999999999999</v>
          </cell>
          <cell r="K10">
            <v>1.121</v>
          </cell>
          <cell r="L10">
            <v>0.98299999999999998</v>
          </cell>
          <cell r="M10">
            <v>0.98699999999999999</v>
          </cell>
          <cell r="N10">
            <v>0.99099999999999999</v>
          </cell>
          <cell r="O10">
            <v>1.0329999999999999</v>
          </cell>
          <cell r="P10">
            <v>0.95899999999999996</v>
          </cell>
          <cell r="Q10">
            <v>0.89400000000000002</v>
          </cell>
          <cell r="R10">
            <v>0.83</v>
          </cell>
          <cell r="S10">
            <v>0.54700000000000004</v>
          </cell>
          <cell r="T10">
            <v>0.64100000000000001</v>
          </cell>
          <cell r="AP10">
            <v>4.5675000000000008</v>
          </cell>
          <cell r="AQ10">
            <v>4.4710000000000001</v>
          </cell>
          <cell r="AR10">
            <v>4.1139999999999999</v>
          </cell>
          <cell r="AS10">
            <v>3.8770000000000002</v>
          </cell>
          <cell r="AT10">
            <v>2.0179999999999998</v>
          </cell>
          <cell r="AX10">
            <v>0</v>
          </cell>
          <cell r="AY10">
            <v>0</v>
          </cell>
        </row>
        <row r="349">
          <cell r="A349" t="str">
            <v>Information Technology</v>
          </cell>
          <cell r="U349">
            <v>25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odel"/>
      <sheetName val="Newer version"/>
      <sheetName val="QPL (before FY2000Q4 report)"/>
      <sheetName val="QPL (raised ests-now bogus)"/>
      <sheetName val="QPL (pre_2000-01-12)"/>
      <sheetName val="QPL-prev"/>
      <sheetName val="QPL (pre-101399)"/>
      <sheetName val="Multiples"/>
    </sheetNames>
    <sheetDataSet>
      <sheetData sheetId="0" refreshError="1">
        <row r="3">
          <cell r="R3">
            <v>0.35</v>
          </cell>
        </row>
        <row r="5">
          <cell r="G5">
            <v>660</v>
          </cell>
        </row>
        <row r="6">
          <cell r="F6">
            <v>0.8346497494808639</v>
          </cell>
          <cell r="G6">
            <v>1.0967192730341033</v>
          </cell>
          <cell r="V6">
            <v>3.6960000000000002</v>
          </cell>
        </row>
        <row r="9">
          <cell r="A9" t="str">
            <v>Rational Software, Income Statement</v>
          </cell>
        </row>
        <row r="10">
          <cell r="J10" t="str">
            <v>Fiscal 1996</v>
          </cell>
          <cell r="AI10" t="str">
            <v>Fiscal 1997-E</v>
          </cell>
          <cell r="AW10" t="str">
            <v>Fiscal 1998-E</v>
          </cell>
          <cell r="BI10" t="str">
            <v>Fiscal 1999 - E</v>
          </cell>
          <cell r="BQ10" t="str">
            <v>Fiscal Years</v>
          </cell>
          <cell r="BX10" t="str">
            <v>Calendar Years</v>
          </cell>
        </row>
        <row r="11">
          <cell r="D11" t="str">
            <v>Q1 - Jun95</v>
          </cell>
          <cell r="J11" t="str">
            <v>Q2 - Sep95</v>
          </cell>
          <cell r="P11" t="str">
            <v>Q3 - Dec95</v>
          </cell>
          <cell r="V11" t="str">
            <v>Q4 - Mar96</v>
          </cell>
          <cell r="AC11" t="str">
            <v>Q1 - Jun96</v>
          </cell>
          <cell r="AI11" t="str">
            <v>Q2 - Sep96</v>
          </cell>
          <cell r="AO11" t="str">
            <v>Q3 - Dec96</v>
          </cell>
          <cell r="AS11" t="str">
            <v>Q4 - Mar97</v>
          </cell>
          <cell r="AW11" t="str">
            <v>Q1 - Jun97</v>
          </cell>
          <cell r="AZ11" t="str">
            <v>Q2 - Sep97</v>
          </cell>
          <cell r="BC11" t="str">
            <v>Q3 - Dec97</v>
          </cell>
          <cell r="BF11" t="str">
            <v>Q4 - Mar98E</v>
          </cell>
          <cell r="BI11" t="str">
            <v>Q1</v>
          </cell>
          <cell r="BJ11" t="str">
            <v>Q2</v>
          </cell>
          <cell r="BK11" t="str">
            <v>Q3</v>
          </cell>
          <cell r="BL11" t="str">
            <v>Q4</v>
          </cell>
          <cell r="BN11">
            <v>1996</v>
          </cell>
          <cell r="BP11">
            <v>1997</v>
          </cell>
          <cell r="BS11" t="str">
            <v>1998E</v>
          </cell>
          <cell r="BV11" t="str">
            <v>1999E</v>
          </cell>
          <cell r="BX11">
            <v>1996</v>
          </cell>
          <cell r="CA11" t="str">
            <v>1997E</v>
          </cell>
          <cell r="CD11">
            <v>1998</v>
          </cell>
        </row>
        <row r="12">
          <cell r="B12" t="str">
            <v>Mar95</v>
          </cell>
          <cell r="C12" t="str">
            <v>Mar95</v>
          </cell>
          <cell r="D12" t="str">
            <v>Jun95</v>
          </cell>
          <cell r="F12" t="str">
            <v>RATL</v>
          </cell>
          <cell r="H12" t="str">
            <v>Jun95</v>
          </cell>
          <cell r="I12" t="str">
            <v>Jun95</v>
          </cell>
          <cell r="J12" t="str">
            <v>Sep95</v>
          </cell>
          <cell r="L12" t="str">
            <v>RATL</v>
          </cell>
          <cell r="N12" t="str">
            <v>Sep95</v>
          </cell>
          <cell r="O12" t="str">
            <v>Sep95</v>
          </cell>
          <cell r="P12" t="str">
            <v>Dec95</v>
          </cell>
          <cell r="R12" t="str">
            <v>RATL</v>
          </cell>
          <cell r="T12" t="str">
            <v>Dec95</v>
          </cell>
          <cell r="U12" t="str">
            <v>Dec95</v>
          </cell>
          <cell r="V12" t="str">
            <v>Mar96</v>
          </cell>
          <cell r="X12" t="str">
            <v>RATL</v>
          </cell>
          <cell r="Z12" t="str">
            <v>Mar96</v>
          </cell>
          <cell r="AA12" t="str">
            <v>Mar96</v>
          </cell>
          <cell r="AB12" t="str">
            <v>Jun96</v>
          </cell>
          <cell r="AD12" t="str">
            <v>RATL</v>
          </cell>
          <cell r="AF12">
            <v>35217</v>
          </cell>
          <cell r="AG12" t="str">
            <v>Jun96</v>
          </cell>
          <cell r="AH12" t="str">
            <v>Sep96</v>
          </cell>
          <cell r="AJ12" t="str">
            <v>RATL</v>
          </cell>
          <cell r="AL12" t="str">
            <v>Sep96</v>
          </cell>
          <cell r="AM12" t="str">
            <v>Sep96</v>
          </cell>
          <cell r="AN12" t="str">
            <v>Dec96</v>
          </cell>
          <cell r="AP12" t="str">
            <v>RATL</v>
          </cell>
          <cell r="AR12" t="str">
            <v>Dec96</v>
          </cell>
          <cell r="AT12" t="str">
            <v>RATL</v>
          </cell>
          <cell r="AV12">
            <v>35582</v>
          </cell>
          <cell r="AX12" t="str">
            <v>RATL</v>
          </cell>
          <cell r="BA12" t="str">
            <v>RATL</v>
          </cell>
          <cell r="BD12" t="str">
            <v>RATL</v>
          </cell>
          <cell r="BG12" t="str">
            <v>RATL</v>
          </cell>
          <cell r="BQ12" t="str">
            <v>RATL</v>
          </cell>
          <cell r="BT12" t="str">
            <v>RATL</v>
          </cell>
          <cell r="BY12" t="str">
            <v>RATL</v>
          </cell>
          <cell r="CB12" t="str">
            <v>RATL</v>
          </cell>
        </row>
        <row r="13">
          <cell r="A13" t="str">
            <v>Revenues</v>
          </cell>
          <cell r="B13" t="str">
            <v>PASW</v>
          </cell>
          <cell r="C13" t="str">
            <v>SQA</v>
          </cell>
          <cell r="D13" t="str">
            <v>RATL</v>
          </cell>
          <cell r="E13" t="str">
            <v>SQA-RATL</v>
          </cell>
          <cell r="F13" t="str">
            <v>SQA-PASW</v>
          </cell>
          <cell r="H13" t="str">
            <v>PASW</v>
          </cell>
          <cell r="I13" t="str">
            <v>SQA</v>
          </cell>
          <cell r="J13" t="str">
            <v>RATL</v>
          </cell>
          <cell r="K13" t="str">
            <v>SQA-RATL</v>
          </cell>
          <cell r="L13" t="str">
            <v>SQA-PASW</v>
          </cell>
          <cell r="N13" t="str">
            <v>PASW</v>
          </cell>
          <cell r="O13" t="str">
            <v>SQA</v>
          </cell>
          <cell r="P13" t="str">
            <v>RATL</v>
          </cell>
          <cell r="Q13" t="str">
            <v>SQA-RATL</v>
          </cell>
          <cell r="R13" t="str">
            <v>SQA-PASW</v>
          </cell>
          <cell r="T13" t="str">
            <v>PASW</v>
          </cell>
          <cell r="U13" t="str">
            <v>SQA</v>
          </cell>
          <cell r="V13" t="str">
            <v>RATL</v>
          </cell>
          <cell r="W13" t="str">
            <v>SQA-RATL</v>
          </cell>
          <cell r="X13" t="str">
            <v>SQA-PASW</v>
          </cell>
          <cell r="Z13" t="str">
            <v>PASW</v>
          </cell>
          <cell r="AA13" t="str">
            <v>SQA</v>
          </cell>
          <cell r="AB13" t="str">
            <v>RATL</v>
          </cell>
          <cell r="AC13" t="str">
            <v>SQA-RATL</v>
          </cell>
          <cell r="AD13" t="str">
            <v>SQA-PASW</v>
          </cell>
          <cell r="AF13" t="str">
            <v>PASW</v>
          </cell>
          <cell r="AG13" t="str">
            <v>SQA</v>
          </cell>
          <cell r="AH13" t="str">
            <v>RATL</v>
          </cell>
          <cell r="AI13" t="str">
            <v>SQA-RATL</v>
          </cell>
          <cell r="AJ13" t="str">
            <v>SQA-PASW</v>
          </cell>
          <cell r="AL13" t="str">
            <v>PASW</v>
          </cell>
          <cell r="AM13" t="str">
            <v>SQA</v>
          </cell>
          <cell r="AN13" t="str">
            <v>RATL</v>
          </cell>
          <cell r="AO13" t="str">
            <v>SQA-RATL</v>
          </cell>
          <cell r="AP13" t="str">
            <v>SQA-PASW</v>
          </cell>
          <cell r="AR13" t="str">
            <v>PASW</v>
          </cell>
          <cell r="AS13" t="str">
            <v>SQA-RATL</v>
          </cell>
          <cell r="AT13" t="str">
            <v>SQA-PASW</v>
          </cell>
          <cell r="AV13" t="str">
            <v>PASW</v>
          </cell>
          <cell r="AW13" t="str">
            <v xml:space="preserve">SQA-RATL </v>
          </cell>
          <cell r="AX13" t="str">
            <v>SQA-PASW</v>
          </cell>
          <cell r="AZ13" t="str">
            <v>SQA-RATL</v>
          </cell>
          <cell r="BA13" t="str">
            <v>SQA-PASW</v>
          </cell>
          <cell r="BC13" t="str">
            <v>SQA-RATL</v>
          </cell>
          <cell r="BD13" t="str">
            <v>SQA-PASW</v>
          </cell>
          <cell r="BF13" t="str">
            <v>SQA-RATL</v>
          </cell>
          <cell r="BG13" t="str">
            <v>SQA-PASW</v>
          </cell>
          <cell r="BN13" t="str">
            <v>RATL</v>
          </cell>
          <cell r="BP13" t="str">
            <v>SQA-RATL</v>
          </cell>
          <cell r="BQ13" t="str">
            <v>SQA-PASW</v>
          </cell>
          <cell r="BS13" t="str">
            <v>SQA-RATL</v>
          </cell>
          <cell r="BT13" t="str">
            <v>SQA-PASW</v>
          </cell>
          <cell r="BX13" t="str">
            <v>SQA-RATL</v>
          </cell>
          <cell r="BY13" t="str">
            <v>SQA-PASW</v>
          </cell>
          <cell r="CA13" t="str">
            <v>SQA-RATL</v>
          </cell>
          <cell r="CB13" t="str">
            <v>SQA-PASW</v>
          </cell>
        </row>
        <row r="14">
          <cell r="A14" t="str">
            <v xml:space="preserve">  License</v>
          </cell>
          <cell r="B14">
            <v>12.07</v>
          </cell>
          <cell r="C14">
            <v>1.607</v>
          </cell>
          <cell r="D14">
            <v>11.5</v>
          </cell>
          <cell r="E14">
            <v>13.061</v>
          </cell>
          <cell r="F14">
            <v>25.131</v>
          </cell>
          <cell r="H14">
            <v>14.58</v>
          </cell>
          <cell r="I14">
            <v>2.0390000000000001</v>
          </cell>
          <cell r="J14">
            <v>13.83</v>
          </cell>
          <cell r="K14">
            <v>15.853999999999999</v>
          </cell>
          <cell r="L14">
            <v>30.433999999999997</v>
          </cell>
          <cell r="N14">
            <v>16.72</v>
          </cell>
          <cell r="O14">
            <v>2.3180000000000001</v>
          </cell>
          <cell r="P14">
            <v>14.9</v>
          </cell>
          <cell r="Q14">
            <v>17.222000000000001</v>
          </cell>
          <cell r="R14">
            <v>33.942</v>
          </cell>
          <cell r="T14">
            <v>18.75</v>
          </cell>
          <cell r="U14">
            <v>2.88</v>
          </cell>
          <cell r="V14">
            <v>15.725</v>
          </cell>
          <cell r="W14">
            <v>18.606000000000002</v>
          </cell>
          <cell r="X14">
            <v>37.356000000000002</v>
          </cell>
          <cell r="Z14">
            <v>20.16</v>
          </cell>
          <cell r="AA14">
            <v>3.0289999999999999</v>
          </cell>
          <cell r="AB14">
            <v>17.3</v>
          </cell>
          <cell r="AC14">
            <v>20.329000000000001</v>
          </cell>
          <cell r="AD14">
            <v>40.489000000000004</v>
          </cell>
          <cell r="AF14">
            <v>22.704000000000001</v>
          </cell>
          <cell r="AG14">
            <v>3.5009999999999999</v>
          </cell>
          <cell r="AH14">
            <v>17.870999999999999</v>
          </cell>
          <cell r="AI14">
            <v>21.372</v>
          </cell>
          <cell r="AJ14">
            <v>44.076000000000001</v>
          </cell>
          <cell r="AL14">
            <v>23.908999999999999</v>
          </cell>
          <cell r="AM14">
            <v>4.8070000000000004</v>
          </cell>
          <cell r="AN14">
            <v>20.826000000000001</v>
          </cell>
          <cell r="AO14">
            <v>25.633000000000003</v>
          </cell>
          <cell r="AP14">
            <v>49.542000000000002</v>
          </cell>
          <cell r="AR14">
            <v>26.66</v>
          </cell>
          <cell r="AS14">
            <v>24.361999999999998</v>
          </cell>
          <cell r="AT14">
            <v>51.021999999999998</v>
          </cell>
          <cell r="AV14">
            <v>14</v>
          </cell>
          <cell r="AW14">
            <v>27.704999999999998</v>
          </cell>
          <cell r="AX14">
            <v>38.354999999999997</v>
          </cell>
          <cell r="AZ14">
            <v>30</v>
          </cell>
          <cell r="BA14">
            <v>46.255000000000003</v>
          </cell>
          <cell r="BC14">
            <v>34</v>
          </cell>
          <cell r="BD14">
            <v>48.372999999999998</v>
          </cell>
          <cell r="BF14">
            <v>37</v>
          </cell>
          <cell r="BG14">
            <v>51</v>
          </cell>
          <cell r="BI14">
            <v>47</v>
          </cell>
          <cell r="BJ14">
            <v>55</v>
          </cell>
          <cell r="BK14">
            <v>62</v>
          </cell>
          <cell r="BL14">
            <v>69</v>
          </cell>
          <cell r="BN14">
            <v>55.954999999999998</v>
          </cell>
          <cell r="BP14">
            <v>91.695999999999998</v>
          </cell>
          <cell r="BQ14">
            <v>185.12899999999999</v>
          </cell>
          <cell r="BS14">
            <v>128.70499999999998</v>
          </cell>
          <cell r="BT14">
            <v>183.983</v>
          </cell>
          <cell r="BV14">
            <v>233</v>
          </cell>
          <cell r="BX14">
            <v>71.722000000000008</v>
          </cell>
          <cell r="BY14">
            <v>171.46299999999999</v>
          </cell>
          <cell r="CA14">
            <v>116.06699999999999</v>
          </cell>
          <cell r="CB14">
            <v>184.005</v>
          </cell>
          <cell r="CD14">
            <v>215</v>
          </cell>
        </row>
        <row r="15">
          <cell r="A15" t="str">
            <v xml:space="preserve">  Consult/support</v>
          </cell>
          <cell r="B15">
            <v>4.2</v>
          </cell>
          <cell r="C15">
            <v>0.70099999999999996</v>
          </cell>
          <cell r="D15">
            <v>8.3000000000000007</v>
          </cell>
          <cell r="E15">
            <v>9.0030000000000001</v>
          </cell>
          <cell r="F15">
            <v>13.202999999999999</v>
          </cell>
          <cell r="H15">
            <v>4.8899999999999997</v>
          </cell>
          <cell r="I15">
            <v>0.89800000000000002</v>
          </cell>
          <cell r="J15">
            <v>7.8</v>
          </cell>
          <cell r="K15">
            <v>8.7249999999999996</v>
          </cell>
          <cell r="L15">
            <v>13.614999999999998</v>
          </cell>
          <cell r="N15">
            <v>6.23</v>
          </cell>
          <cell r="O15">
            <v>1.123</v>
          </cell>
          <cell r="P15">
            <v>9.1</v>
          </cell>
          <cell r="Q15">
            <v>10.223000000000001</v>
          </cell>
          <cell r="R15">
            <v>16.453000000000003</v>
          </cell>
          <cell r="T15">
            <v>6.74</v>
          </cell>
          <cell r="U15">
            <v>1.2789999999999999</v>
          </cell>
          <cell r="V15">
            <v>9.9789999999999992</v>
          </cell>
          <cell r="W15">
            <v>11.257999999999999</v>
          </cell>
          <cell r="X15">
            <v>17.997999999999998</v>
          </cell>
          <cell r="Z15">
            <v>8.4700000000000006</v>
          </cell>
          <cell r="AA15">
            <v>1.512</v>
          </cell>
          <cell r="AB15">
            <v>10.161</v>
          </cell>
          <cell r="AC15">
            <v>11.673</v>
          </cell>
          <cell r="AD15">
            <v>20.143000000000001</v>
          </cell>
          <cell r="AF15">
            <v>9.2889999999999997</v>
          </cell>
          <cell r="AG15">
            <v>1.9079999999999999</v>
          </cell>
          <cell r="AH15">
            <v>10.744999999999999</v>
          </cell>
          <cell r="AI15">
            <v>12.652999999999999</v>
          </cell>
          <cell r="AJ15">
            <v>21.942</v>
          </cell>
          <cell r="AL15">
            <v>10.183</v>
          </cell>
          <cell r="AM15">
            <v>1.9950000000000001</v>
          </cell>
          <cell r="AN15">
            <v>11.429</v>
          </cell>
          <cell r="AO15">
            <v>13.423999999999999</v>
          </cell>
          <cell r="AP15">
            <v>23.606999999999999</v>
          </cell>
          <cell r="AR15">
            <v>11.12</v>
          </cell>
          <cell r="AS15">
            <v>15.927</v>
          </cell>
          <cell r="AT15">
            <v>27.046999999999997</v>
          </cell>
          <cell r="AV15">
            <v>8.5</v>
          </cell>
          <cell r="AW15">
            <v>15.223000000000001</v>
          </cell>
          <cell r="AX15">
            <v>27.792999999999999</v>
          </cell>
          <cell r="AZ15">
            <v>16</v>
          </cell>
          <cell r="BA15">
            <v>28.713000000000001</v>
          </cell>
          <cell r="BC15">
            <v>17</v>
          </cell>
          <cell r="BD15">
            <v>33.933</v>
          </cell>
          <cell r="BF15">
            <v>19</v>
          </cell>
          <cell r="BG15">
            <v>38</v>
          </cell>
          <cell r="BI15">
            <v>32</v>
          </cell>
          <cell r="BJ15">
            <v>35</v>
          </cell>
          <cell r="BK15">
            <v>39</v>
          </cell>
          <cell r="BL15">
            <v>41</v>
          </cell>
          <cell r="BN15">
            <v>35.179000000000002</v>
          </cell>
          <cell r="BP15">
            <v>53.677</v>
          </cell>
          <cell r="BQ15">
            <v>92.739000000000004</v>
          </cell>
          <cell r="BS15">
            <v>67.222999999999999</v>
          </cell>
          <cell r="BT15">
            <v>128.43899999999999</v>
          </cell>
          <cell r="BV15">
            <v>147</v>
          </cell>
          <cell r="BX15">
            <v>42.314</v>
          </cell>
          <cell r="BY15">
            <v>83.69</v>
          </cell>
          <cell r="CA15">
            <v>64.150000000000006</v>
          </cell>
          <cell r="CB15">
            <v>117.48599999999999</v>
          </cell>
          <cell r="CD15">
            <v>144</v>
          </cell>
        </row>
        <row r="16">
          <cell r="A16" t="str">
            <v>Total revenues</v>
          </cell>
          <cell r="B16">
            <v>16.27</v>
          </cell>
          <cell r="C16">
            <v>2.3079999999999998</v>
          </cell>
          <cell r="D16">
            <v>19.8</v>
          </cell>
          <cell r="E16">
            <v>22.064</v>
          </cell>
          <cell r="F16">
            <v>38.334000000000003</v>
          </cell>
          <cell r="H16">
            <v>19.47</v>
          </cell>
          <cell r="I16">
            <v>2.9370000000000003</v>
          </cell>
          <cell r="J16">
            <v>21.63</v>
          </cell>
          <cell r="K16">
            <v>24.579000000000001</v>
          </cell>
          <cell r="L16">
            <v>44.048999999999992</v>
          </cell>
          <cell r="N16">
            <v>22.95</v>
          </cell>
          <cell r="O16">
            <v>3.4409999999999998</v>
          </cell>
          <cell r="P16">
            <v>24</v>
          </cell>
          <cell r="Q16">
            <v>27.445</v>
          </cell>
          <cell r="R16">
            <v>50.395000000000003</v>
          </cell>
          <cell r="T16">
            <v>25.490000000000002</v>
          </cell>
          <cell r="U16">
            <v>4.1589999999999998</v>
          </cell>
          <cell r="V16">
            <v>25.704000000000001</v>
          </cell>
          <cell r="W16">
            <v>29.864000000000001</v>
          </cell>
          <cell r="X16">
            <v>55.353999999999999</v>
          </cell>
          <cell r="Z16">
            <v>28.630000000000003</v>
          </cell>
          <cell r="AA16">
            <v>4.5410000000000004</v>
          </cell>
          <cell r="AB16">
            <v>27.460999999999999</v>
          </cell>
          <cell r="AC16">
            <v>32.002000000000002</v>
          </cell>
          <cell r="AD16">
            <v>60.632000000000005</v>
          </cell>
          <cell r="AF16">
            <v>31.993000000000002</v>
          </cell>
          <cell r="AG16">
            <v>5.4089999999999998</v>
          </cell>
          <cell r="AH16">
            <v>28.616</v>
          </cell>
          <cell r="AI16">
            <v>34.024999999999999</v>
          </cell>
          <cell r="AJ16">
            <v>66.018000000000001</v>
          </cell>
          <cell r="AL16">
            <v>34.091999999999999</v>
          </cell>
          <cell r="AM16">
            <v>6.8020000000000005</v>
          </cell>
          <cell r="AN16">
            <v>32.255000000000003</v>
          </cell>
          <cell r="AO16">
            <v>39.057000000000002</v>
          </cell>
          <cell r="AP16">
            <v>73.149000000000001</v>
          </cell>
          <cell r="AR16">
            <v>37.78</v>
          </cell>
          <cell r="AS16">
            <v>40.289000000000001</v>
          </cell>
          <cell r="AT16">
            <v>78.068999999999988</v>
          </cell>
          <cell r="AV16">
            <v>22.5</v>
          </cell>
          <cell r="AW16">
            <v>42.927999999999997</v>
          </cell>
          <cell r="AX16">
            <v>66.147999999999996</v>
          </cell>
          <cell r="AZ16">
            <v>46</v>
          </cell>
          <cell r="BA16">
            <v>74.968000000000004</v>
          </cell>
          <cell r="BC16">
            <v>51</v>
          </cell>
          <cell r="BD16">
            <v>82.305999999999997</v>
          </cell>
          <cell r="BF16">
            <v>56</v>
          </cell>
          <cell r="BG16">
            <v>89</v>
          </cell>
          <cell r="BI16">
            <v>79</v>
          </cell>
          <cell r="BJ16">
            <v>90</v>
          </cell>
          <cell r="BK16">
            <v>101</v>
          </cell>
          <cell r="BL16">
            <v>110</v>
          </cell>
          <cell r="BN16">
            <v>91.134</v>
          </cell>
          <cell r="BP16">
            <v>145.37299999999999</v>
          </cell>
          <cell r="BQ16">
            <v>277.86799999999999</v>
          </cell>
          <cell r="BS16">
            <v>195.928</v>
          </cell>
          <cell r="BT16">
            <v>312.42200000000003</v>
          </cell>
          <cell r="BV16">
            <v>380</v>
          </cell>
          <cell r="BX16">
            <v>114.036</v>
          </cell>
          <cell r="BY16">
            <v>255.15299999999999</v>
          </cell>
          <cell r="CA16">
            <v>180.21699999999998</v>
          </cell>
          <cell r="CB16">
            <v>301.49099999999999</v>
          </cell>
          <cell r="CD16">
            <v>359</v>
          </cell>
        </row>
        <row r="17">
          <cell r="A17" t="str">
            <v>Costs and exp.</v>
          </cell>
          <cell r="BT17">
            <v>0.12435400981761124</v>
          </cell>
          <cell r="BV17">
            <v>0.21630358937590821</v>
          </cell>
          <cell r="CD17">
            <v>0.19074864589656082</v>
          </cell>
        </row>
        <row r="18">
          <cell r="A18" t="str">
            <v xml:space="preserve">  Cost of lic fees</v>
          </cell>
          <cell r="B18">
            <v>0.22</v>
          </cell>
          <cell r="C18">
            <v>8.7999999999999995E-2</v>
          </cell>
          <cell r="D18">
            <v>1.3</v>
          </cell>
          <cell r="E18">
            <v>1.3380000000000001</v>
          </cell>
          <cell r="F18">
            <v>1.5580000000000001</v>
          </cell>
          <cell r="H18">
            <v>0.56999999999999995</v>
          </cell>
          <cell r="I18">
            <v>0.13400000000000001</v>
          </cell>
          <cell r="J18">
            <v>1.86</v>
          </cell>
          <cell r="K18">
            <v>2.0129999999999999</v>
          </cell>
          <cell r="L18">
            <v>2.5829999999999997</v>
          </cell>
          <cell r="N18">
            <v>0.63</v>
          </cell>
          <cell r="O18">
            <v>0.14399999999999999</v>
          </cell>
          <cell r="P18">
            <v>1.7</v>
          </cell>
          <cell r="Q18">
            <v>1.88</v>
          </cell>
          <cell r="R18">
            <v>2.5099999999999998</v>
          </cell>
          <cell r="T18">
            <v>0.48</v>
          </cell>
          <cell r="U18">
            <v>0.26400000000000001</v>
          </cell>
          <cell r="V18">
            <v>2.1150000000000002</v>
          </cell>
          <cell r="W18">
            <v>2.379</v>
          </cell>
          <cell r="X18">
            <v>2.859</v>
          </cell>
          <cell r="Z18">
            <v>0.56000000000000005</v>
          </cell>
          <cell r="AA18">
            <v>0.11600000000000001</v>
          </cell>
          <cell r="AB18">
            <v>1.825</v>
          </cell>
          <cell r="AC18">
            <v>1.9410000000000001</v>
          </cell>
          <cell r="AD18">
            <v>2.5010000000000003</v>
          </cell>
          <cell r="AF18">
            <v>0.69899999999999995</v>
          </cell>
          <cell r="AG18">
            <v>0.19400000000000001</v>
          </cell>
          <cell r="AH18">
            <v>2.081</v>
          </cell>
          <cell r="AI18">
            <v>2.2749999999999999</v>
          </cell>
          <cell r="AJ18">
            <v>2.9739999999999998</v>
          </cell>
          <cell r="AL18">
            <v>0.503</v>
          </cell>
          <cell r="AM18">
            <v>0.29299999999999998</v>
          </cell>
          <cell r="AN18">
            <v>2.2989999999999999</v>
          </cell>
          <cell r="AO18">
            <v>2.5920000000000001</v>
          </cell>
          <cell r="AP18">
            <v>3.0950000000000002</v>
          </cell>
          <cell r="AR18">
            <v>0.88</v>
          </cell>
          <cell r="AS18">
            <v>2.1930000000000001</v>
          </cell>
          <cell r="AT18">
            <v>3.073</v>
          </cell>
          <cell r="AV18">
            <v>0.64</v>
          </cell>
          <cell r="AW18">
            <v>3.61</v>
          </cell>
          <cell r="AX18">
            <v>3.8730000000000002</v>
          </cell>
          <cell r="AZ18">
            <v>3.15</v>
          </cell>
          <cell r="BA18">
            <v>4.9020000000000001</v>
          </cell>
          <cell r="BC18">
            <v>3.468</v>
          </cell>
          <cell r="BD18">
            <v>5.1859999999999999</v>
          </cell>
          <cell r="BF18">
            <v>3.7</v>
          </cell>
          <cell r="BG18">
            <v>3.8249999999999997</v>
          </cell>
          <cell r="BI18">
            <v>3.4074999999999998</v>
          </cell>
          <cell r="BJ18">
            <v>3.9874999999999998</v>
          </cell>
          <cell r="BK18">
            <v>4.3400000000000007</v>
          </cell>
          <cell r="BL18">
            <v>4.6575000000000006</v>
          </cell>
          <cell r="BN18">
            <v>6.9750000000000005</v>
          </cell>
          <cell r="BP18">
            <v>9.0009999999999994</v>
          </cell>
          <cell r="BQ18">
            <v>11.643000000000001</v>
          </cell>
          <cell r="BS18">
            <v>13.928000000000001</v>
          </cell>
          <cell r="BT18">
            <v>17.786000000000001</v>
          </cell>
          <cell r="BV18">
            <v>16.392499999999998</v>
          </cell>
          <cell r="BX18">
            <v>8.32</v>
          </cell>
          <cell r="BY18">
            <v>11.429</v>
          </cell>
          <cell r="CA18">
            <v>12.420999999999999</v>
          </cell>
          <cell r="CB18">
            <v>17.033999999999999</v>
          </cell>
          <cell r="CD18">
            <v>15.559999999999999</v>
          </cell>
        </row>
        <row r="19">
          <cell r="A19" t="str">
            <v xml:space="preserve">   % of lic. fees</v>
          </cell>
          <cell r="B19">
            <v>1.8227009113504555E-2</v>
          </cell>
          <cell r="C19">
            <v>5.4760423148724327E-2</v>
          </cell>
          <cell r="D19">
            <v>0.11304347826086956</v>
          </cell>
          <cell r="E19">
            <v>0.10244238572850471</v>
          </cell>
          <cell r="F19">
            <v>6.199514543790538E-2</v>
          </cell>
          <cell r="H19">
            <v>3.9094650205761312E-2</v>
          </cell>
          <cell r="I19">
            <v>6.5718489455615495E-2</v>
          </cell>
          <cell r="J19">
            <v>0.13449023861171366</v>
          </cell>
          <cell r="K19">
            <v>0.12697111139144696</v>
          </cell>
          <cell r="L19">
            <v>8.487218242754814E-2</v>
          </cell>
          <cell r="N19">
            <v>3.7679425837320576E-2</v>
          </cell>
          <cell r="O19">
            <v>6.2122519413287308E-2</v>
          </cell>
          <cell r="P19">
            <v>0.11409395973154361</v>
          </cell>
          <cell r="Q19">
            <v>0.10916269887353383</v>
          </cell>
          <cell r="R19">
            <v>7.3949678863944365E-2</v>
          </cell>
          <cell r="T19">
            <v>2.5599999999999998E-2</v>
          </cell>
          <cell r="U19">
            <v>9.1666666666666674E-2</v>
          </cell>
          <cell r="V19">
            <v>0.1344992050874404</v>
          </cell>
          <cell r="W19">
            <v>0.12786198000644952</v>
          </cell>
          <cell r="X19">
            <v>7.6533890138130417E-2</v>
          </cell>
          <cell r="Z19">
            <v>2.777777777777778E-2</v>
          </cell>
          <cell r="AA19">
            <v>3.8296467481016838E-2</v>
          </cell>
          <cell r="AB19">
            <v>0.10549132947976878</v>
          </cell>
          <cell r="AC19">
            <v>9.5479364454719856E-2</v>
          </cell>
          <cell r="AD19">
            <v>6.1769863419694239E-2</v>
          </cell>
          <cell r="AF19">
            <v>3.0787526427061309E-2</v>
          </cell>
          <cell r="AG19">
            <v>5.5412739217366468E-2</v>
          </cell>
          <cell r="AH19">
            <v>0.11644563818476862</v>
          </cell>
          <cell r="AI19">
            <v>0.10644768856447688</v>
          </cell>
          <cell r="AJ19">
            <v>6.7474362464833459E-2</v>
          </cell>
          <cell r="AL19">
            <v>2.103810280647455E-2</v>
          </cell>
          <cell r="AM19">
            <v>6.0952777199916777E-2</v>
          </cell>
          <cell r="AN19">
            <v>0.11039085758186881</v>
          </cell>
          <cell r="AO19">
            <v>0.10111965045059103</v>
          </cell>
          <cell r="AP19">
            <v>6.2472245771264791E-2</v>
          </cell>
          <cell r="AR19">
            <v>3.3008252063015754E-2</v>
          </cell>
          <cell r="AS19">
            <v>9.0017239963878184E-2</v>
          </cell>
          <cell r="AT19">
            <v>6.0228920857669239E-2</v>
          </cell>
          <cell r="AV19">
            <v>4.5714285714285714E-2</v>
          </cell>
          <cell r="AW19">
            <v>0.13030138964085905</v>
          </cell>
          <cell r="AX19">
            <v>0.10097770825185766</v>
          </cell>
          <cell r="AZ19">
            <v>0.105</v>
          </cell>
          <cell r="BA19">
            <v>0.10597773213706627</v>
          </cell>
          <cell r="BC19">
            <v>0.10199999999999999</v>
          </cell>
          <cell r="BD19">
            <v>0.10720856676245014</v>
          </cell>
          <cell r="BF19">
            <v>0.1</v>
          </cell>
          <cell r="BG19">
            <v>7.4999999999999997E-2</v>
          </cell>
          <cell r="BI19">
            <v>7.2499999999999995E-2</v>
          </cell>
          <cell r="BJ19">
            <v>7.2499999999999995E-2</v>
          </cell>
          <cell r="BK19">
            <v>7.0000000000000007E-2</v>
          </cell>
          <cell r="BL19">
            <v>6.7500000000000004E-2</v>
          </cell>
          <cell r="BN19">
            <v>0.12465373961218838</v>
          </cell>
          <cell r="BP19">
            <v>9.816131565171872E-2</v>
          </cell>
          <cell r="BQ19">
            <v>6.2891281214720554E-2</v>
          </cell>
          <cell r="BS19">
            <v>0.10821646400683736</v>
          </cell>
          <cell r="BT19">
            <v>9.6671975128136842E-2</v>
          </cell>
          <cell r="BV19">
            <v>7.0354077253218877E-2</v>
          </cell>
          <cell r="BX19">
            <v>0.11600345779537659</v>
          </cell>
          <cell r="BY19">
            <v>6.6655779964190531E-2</v>
          </cell>
          <cell r="CA19">
            <v>0.10701577537112185</v>
          </cell>
          <cell r="CB19">
            <v>9.2573571370343194E-2</v>
          </cell>
          <cell r="CD19">
            <v>7.2372093023255812E-2</v>
          </cell>
        </row>
        <row r="21">
          <cell r="A21" t="str">
            <v xml:space="preserve">  Cost of cons/sup</v>
          </cell>
          <cell r="B21">
            <v>1.17</v>
          </cell>
          <cell r="C21">
            <v>0.33700000000000002</v>
          </cell>
          <cell r="D21">
            <v>4.8</v>
          </cell>
          <cell r="E21">
            <v>5.0999999999999996</v>
          </cell>
          <cell r="F21">
            <v>6.27</v>
          </cell>
          <cell r="H21">
            <v>1.32</v>
          </cell>
          <cell r="I21">
            <v>0.32600000000000001</v>
          </cell>
          <cell r="J21">
            <v>4.2</v>
          </cell>
          <cell r="K21">
            <v>4.4909999999999997</v>
          </cell>
          <cell r="L21">
            <v>5.8109999999999999</v>
          </cell>
          <cell r="N21">
            <v>1.56</v>
          </cell>
          <cell r="O21">
            <v>0.41599999999999998</v>
          </cell>
          <cell r="P21">
            <v>4.9000000000000004</v>
          </cell>
          <cell r="Q21">
            <v>5.2750000000000004</v>
          </cell>
          <cell r="R21">
            <v>6.8350000000000009</v>
          </cell>
          <cell r="T21">
            <v>1.91</v>
          </cell>
          <cell r="U21">
            <v>0.40799999999999997</v>
          </cell>
          <cell r="V21">
            <v>5.548</v>
          </cell>
          <cell r="W21">
            <v>5.9560000000000004</v>
          </cell>
          <cell r="X21">
            <v>7.8660000000000005</v>
          </cell>
          <cell r="Z21">
            <v>2.25</v>
          </cell>
          <cell r="AA21">
            <v>0.50800000000000001</v>
          </cell>
          <cell r="AB21">
            <v>5.4989999999999997</v>
          </cell>
          <cell r="AC21">
            <v>6.0069999999999997</v>
          </cell>
          <cell r="AD21">
            <v>8.2569999999999997</v>
          </cell>
          <cell r="AF21">
            <v>2.496</v>
          </cell>
          <cell r="AG21">
            <v>0.56299999999999994</v>
          </cell>
          <cell r="AH21">
            <v>5.4329999999999998</v>
          </cell>
          <cell r="AI21">
            <v>5.9959999999999996</v>
          </cell>
          <cell r="AJ21">
            <v>8.4919999999999991</v>
          </cell>
          <cell r="AL21">
            <v>3.2090000000000001</v>
          </cell>
          <cell r="AM21">
            <v>0.63200000000000001</v>
          </cell>
          <cell r="AN21">
            <v>6.1059999999999999</v>
          </cell>
          <cell r="AO21">
            <v>6.7379999999999995</v>
          </cell>
          <cell r="AP21">
            <v>9.9469999999999992</v>
          </cell>
          <cell r="AR21">
            <v>3.7810000000000001</v>
          </cell>
          <cell r="AS21">
            <v>7.8250000000000002</v>
          </cell>
          <cell r="AT21">
            <v>11.606</v>
          </cell>
          <cell r="AV21">
            <v>2.88</v>
          </cell>
          <cell r="AW21">
            <v>7.0720000000000001</v>
          </cell>
          <cell r="AX21">
            <v>11.41</v>
          </cell>
          <cell r="AZ21">
            <v>8.08</v>
          </cell>
          <cell r="BA21">
            <v>9.0139999999999993</v>
          </cell>
          <cell r="BC21">
            <v>8.5510000000000002</v>
          </cell>
          <cell r="BD21">
            <v>11.507999999999999</v>
          </cell>
          <cell r="BF21">
            <v>9.5</v>
          </cell>
          <cell r="BG21">
            <v>12.16</v>
          </cell>
          <cell r="BI21">
            <v>13.76</v>
          </cell>
          <cell r="BJ21">
            <v>15.049999999999999</v>
          </cell>
          <cell r="BK21">
            <v>16.38</v>
          </cell>
          <cell r="BL21">
            <v>16.809999999999999</v>
          </cell>
          <cell r="BN21">
            <v>19.448</v>
          </cell>
          <cell r="BP21">
            <v>26.565999999999999</v>
          </cell>
          <cell r="BQ21">
            <v>38.302</v>
          </cell>
          <cell r="BS21">
            <v>33.203000000000003</v>
          </cell>
          <cell r="BT21">
            <v>44.091999999999999</v>
          </cell>
          <cell r="BV21">
            <v>62</v>
          </cell>
          <cell r="BX21">
            <v>22.585999999999999</v>
          </cell>
          <cell r="BY21">
            <v>34.561999999999998</v>
          </cell>
          <cell r="CA21">
            <v>31.527999999999999</v>
          </cell>
          <cell r="CB21">
            <v>43.537999999999997</v>
          </cell>
          <cell r="CD21">
            <v>57.349999999999994</v>
          </cell>
        </row>
        <row r="22">
          <cell r="A22" t="str">
            <v xml:space="preserve">   % of cons/supp</v>
          </cell>
          <cell r="B22">
            <v>0.27857142857142853</v>
          </cell>
          <cell r="C22">
            <v>0.48074179743223971</v>
          </cell>
          <cell r="D22">
            <v>0.57831325301204817</v>
          </cell>
          <cell r="E22">
            <v>0.56647784071976004</v>
          </cell>
          <cell r="F22">
            <v>0.4748920699840945</v>
          </cell>
          <cell r="H22">
            <v>0.26993865030674852</v>
          </cell>
          <cell r="I22">
            <v>0.36302895322939865</v>
          </cell>
          <cell r="J22">
            <v>0.53846153846153855</v>
          </cell>
          <cell r="K22">
            <v>0.51472779369627508</v>
          </cell>
          <cell r="L22">
            <v>0.42680866691149472</v>
          </cell>
          <cell r="N22">
            <v>0.25040128410914925</v>
          </cell>
          <cell r="O22">
            <v>0.37043633125556541</v>
          </cell>
          <cell r="P22">
            <v>0.53846153846153855</v>
          </cell>
          <cell r="Q22">
            <v>0.51599334833219213</v>
          </cell>
          <cell r="R22">
            <v>0.4154257582203853</v>
          </cell>
          <cell r="T22">
            <v>0.28338278931750738</v>
          </cell>
          <cell r="U22">
            <v>0.3189992181391712</v>
          </cell>
          <cell r="V22">
            <v>0.55596753181681535</v>
          </cell>
          <cell r="W22">
            <v>0.52904601172499566</v>
          </cell>
          <cell r="X22">
            <v>0.43704856095121691</v>
          </cell>
          <cell r="Z22">
            <v>0.26564344746162927</v>
          </cell>
          <cell r="AA22">
            <v>0.33597883597883599</v>
          </cell>
          <cell r="AB22">
            <v>0.54118689105403006</v>
          </cell>
          <cell r="AC22">
            <v>0.52702114698459668</v>
          </cell>
          <cell r="AD22">
            <v>0.40991907858809506</v>
          </cell>
          <cell r="AF22">
            <v>0.26870491979761008</v>
          </cell>
          <cell r="AG22">
            <v>0.29507337526205452</v>
          </cell>
          <cell r="AH22">
            <v>0.50563052582596557</v>
          </cell>
          <cell r="AI22">
            <v>0.47387971232118864</v>
          </cell>
          <cell r="AJ22">
            <v>0.38702032631482997</v>
          </cell>
          <cell r="AL22">
            <v>0.31513306491210841</v>
          </cell>
          <cell r="AM22">
            <v>0.31679197994987468</v>
          </cell>
          <cell r="AN22">
            <v>0.53425496543879603</v>
          </cell>
          <cell r="AO22">
            <v>0.50193682955899876</v>
          </cell>
          <cell r="AP22">
            <v>0.42135807175837675</v>
          </cell>
          <cell r="AR22">
            <v>0.34001798561151081</v>
          </cell>
          <cell r="AS22">
            <v>0.49130407484146421</v>
          </cell>
          <cell r="AT22">
            <v>0.42910489148519249</v>
          </cell>
          <cell r="AV22">
            <v>0.33882352941176469</v>
          </cell>
          <cell r="AW22">
            <v>0.46456020495303157</v>
          </cell>
          <cell r="AX22">
            <v>0.41053502680531073</v>
          </cell>
          <cell r="AZ22">
            <v>0.505</v>
          </cell>
          <cell r="BA22">
            <v>0.31393445477658199</v>
          </cell>
          <cell r="BC22">
            <v>0.503</v>
          </cell>
          <cell r="BD22">
            <v>0.33913889134470865</v>
          </cell>
          <cell r="BF22">
            <v>0.5</v>
          </cell>
          <cell r="BG22">
            <v>0.32</v>
          </cell>
          <cell r="BI22">
            <v>0.43</v>
          </cell>
          <cell r="BJ22">
            <v>0.43</v>
          </cell>
          <cell r="BK22">
            <v>0.42</v>
          </cell>
          <cell r="BL22">
            <v>0.41</v>
          </cell>
          <cell r="BN22">
            <v>0.5528298132408539</v>
          </cell>
          <cell r="BP22">
            <v>0.49492333774242225</v>
          </cell>
          <cell r="BQ22">
            <v>0.41300855087934957</v>
          </cell>
          <cell r="BS22">
            <v>0.49392321080582546</v>
          </cell>
          <cell r="BT22">
            <v>0.34329136788670112</v>
          </cell>
          <cell r="BV22">
            <v>0.42176870748299322</v>
          </cell>
          <cell r="BX22">
            <v>0.5337713286382757</v>
          </cell>
          <cell r="BY22">
            <v>0.41297646074799854</v>
          </cell>
          <cell r="CA22">
            <v>0.49147310989867493</v>
          </cell>
          <cell r="CB22">
            <v>0.37058032446419148</v>
          </cell>
          <cell r="CD22">
            <v>0.39826388888888886</v>
          </cell>
        </row>
        <row r="23">
          <cell r="A23" t="str">
            <v>Total Cost of Rev</v>
          </cell>
          <cell r="B23">
            <v>1.39</v>
          </cell>
          <cell r="C23">
            <v>0.42500000000000004</v>
          </cell>
          <cell r="D23">
            <v>6.1</v>
          </cell>
          <cell r="E23">
            <v>6.4379999999999997</v>
          </cell>
          <cell r="F23">
            <v>7.8279999999999994</v>
          </cell>
          <cell r="H23">
            <v>1.8900000000000001</v>
          </cell>
          <cell r="I23">
            <v>0.46</v>
          </cell>
          <cell r="J23">
            <v>6.0600000000000005</v>
          </cell>
          <cell r="K23">
            <v>6.5039999999999996</v>
          </cell>
          <cell r="L23">
            <v>8.3940000000000001</v>
          </cell>
          <cell r="N23">
            <v>2.19</v>
          </cell>
          <cell r="O23">
            <v>0.55999999999999994</v>
          </cell>
          <cell r="P23">
            <v>6.6000000000000005</v>
          </cell>
          <cell r="Q23">
            <v>7.1550000000000002</v>
          </cell>
          <cell r="R23">
            <v>9.3450000000000006</v>
          </cell>
          <cell r="T23">
            <v>2.3899999999999997</v>
          </cell>
          <cell r="U23">
            <v>0.67199999999999993</v>
          </cell>
          <cell r="V23">
            <v>7.6630000000000003</v>
          </cell>
          <cell r="W23">
            <v>8.3350000000000009</v>
          </cell>
          <cell r="X23">
            <v>10.725000000000001</v>
          </cell>
          <cell r="Z23">
            <v>2.81</v>
          </cell>
          <cell r="AA23">
            <v>0.624</v>
          </cell>
          <cell r="AB23">
            <v>7.3239999999999998</v>
          </cell>
          <cell r="AC23">
            <v>7.9479999999999995</v>
          </cell>
          <cell r="AD23">
            <v>10.757999999999999</v>
          </cell>
          <cell r="AF23">
            <v>3.1949999999999998</v>
          </cell>
          <cell r="AG23">
            <v>0.7569999999999999</v>
          </cell>
          <cell r="AH23">
            <v>7.5139999999999993</v>
          </cell>
          <cell r="AI23">
            <v>8.270999999999999</v>
          </cell>
          <cell r="AJ23">
            <v>11.465999999999999</v>
          </cell>
          <cell r="AL23">
            <v>3.7120000000000002</v>
          </cell>
          <cell r="AM23">
            <v>0.92500000000000004</v>
          </cell>
          <cell r="AN23">
            <v>8.4049999999999994</v>
          </cell>
          <cell r="AO23">
            <v>9.33</v>
          </cell>
          <cell r="AP23">
            <v>13.042</v>
          </cell>
          <cell r="AR23">
            <v>4.6610000000000005</v>
          </cell>
          <cell r="AS23">
            <v>10.018000000000001</v>
          </cell>
          <cell r="AT23">
            <v>14.679</v>
          </cell>
          <cell r="AV23">
            <v>3.52</v>
          </cell>
          <cell r="AW23">
            <v>10.682</v>
          </cell>
          <cell r="AX23">
            <v>15.283000000000001</v>
          </cell>
          <cell r="AZ23">
            <v>11.23</v>
          </cell>
          <cell r="BA23">
            <v>13.916</v>
          </cell>
          <cell r="BC23">
            <v>12.019</v>
          </cell>
          <cell r="BD23">
            <v>16.693999999999999</v>
          </cell>
          <cell r="BF23">
            <v>13.2</v>
          </cell>
          <cell r="BG23">
            <v>15.984999999999999</v>
          </cell>
          <cell r="BI23">
            <v>17.1675</v>
          </cell>
          <cell r="BJ23">
            <v>19.037499999999998</v>
          </cell>
          <cell r="BK23">
            <v>20.72</v>
          </cell>
          <cell r="BL23">
            <v>21.467500000000001</v>
          </cell>
          <cell r="BN23">
            <v>26.423000000000002</v>
          </cell>
          <cell r="BP23">
            <v>35.567</v>
          </cell>
          <cell r="BQ23">
            <v>49.945</v>
          </cell>
          <cell r="BS23">
            <v>47.131</v>
          </cell>
          <cell r="BT23">
            <v>61.878</v>
          </cell>
          <cell r="BV23">
            <v>78.392499999999998</v>
          </cell>
          <cell r="BX23">
            <v>30.905999999999999</v>
          </cell>
          <cell r="BY23">
            <v>45.991</v>
          </cell>
          <cell r="CA23">
            <v>43.948999999999998</v>
          </cell>
          <cell r="CB23">
            <v>60.571999999999996</v>
          </cell>
          <cell r="CD23">
            <v>72.91</v>
          </cell>
        </row>
        <row r="25">
          <cell r="A25" t="str">
            <v>Gross Profit</v>
          </cell>
          <cell r="B25">
            <v>14.879999999999999</v>
          </cell>
          <cell r="C25">
            <v>1.8829999999999998</v>
          </cell>
          <cell r="D25">
            <v>13.700000000000001</v>
          </cell>
          <cell r="E25">
            <v>15.626000000000001</v>
          </cell>
          <cell r="F25">
            <v>30.506000000000004</v>
          </cell>
          <cell r="H25">
            <v>17.579999999999998</v>
          </cell>
          <cell r="I25">
            <v>2.4770000000000003</v>
          </cell>
          <cell r="J25">
            <v>15.569999999999999</v>
          </cell>
          <cell r="K25">
            <v>18.075000000000003</v>
          </cell>
          <cell r="L25">
            <v>35.654999999999994</v>
          </cell>
          <cell r="N25">
            <v>20.759999999999998</v>
          </cell>
          <cell r="O25">
            <v>2.8809999999999998</v>
          </cell>
          <cell r="P25">
            <v>17.399999999999999</v>
          </cell>
          <cell r="Q25">
            <v>20.29</v>
          </cell>
          <cell r="R25">
            <v>41.050000000000004</v>
          </cell>
          <cell r="T25">
            <v>23.1</v>
          </cell>
          <cell r="U25">
            <v>3.4870000000000001</v>
          </cell>
          <cell r="V25">
            <v>18.041</v>
          </cell>
          <cell r="W25">
            <v>21.529</v>
          </cell>
          <cell r="X25">
            <v>44.628999999999998</v>
          </cell>
          <cell r="Z25">
            <v>25.820000000000004</v>
          </cell>
          <cell r="AA25">
            <v>3.9170000000000003</v>
          </cell>
          <cell r="AB25">
            <v>20.137</v>
          </cell>
          <cell r="AC25">
            <v>24.054000000000002</v>
          </cell>
          <cell r="AD25">
            <v>49.874000000000009</v>
          </cell>
          <cell r="AF25">
            <v>28.798000000000002</v>
          </cell>
          <cell r="AG25">
            <v>4.6520000000000001</v>
          </cell>
          <cell r="AH25">
            <v>21.102</v>
          </cell>
          <cell r="AI25">
            <v>25.753999999999998</v>
          </cell>
          <cell r="AJ25">
            <v>54.552</v>
          </cell>
          <cell r="AL25">
            <v>30.38</v>
          </cell>
          <cell r="AM25">
            <v>5.8770000000000007</v>
          </cell>
          <cell r="AN25">
            <v>23.85</v>
          </cell>
          <cell r="AO25">
            <v>29.727000000000004</v>
          </cell>
          <cell r="AP25">
            <v>60.106999999999999</v>
          </cell>
          <cell r="AR25">
            <v>33.119</v>
          </cell>
          <cell r="AS25">
            <v>30.271000000000001</v>
          </cell>
          <cell r="AT25">
            <v>63.389999999999986</v>
          </cell>
          <cell r="AV25">
            <v>18.98</v>
          </cell>
          <cell r="AW25">
            <v>32.245999999999995</v>
          </cell>
          <cell r="AX25">
            <v>50.864999999999995</v>
          </cell>
          <cell r="AZ25">
            <v>34.769999999999996</v>
          </cell>
          <cell r="BA25">
            <v>61.052000000000007</v>
          </cell>
          <cell r="BC25">
            <v>38.981000000000002</v>
          </cell>
          <cell r="BD25">
            <v>65.611999999999995</v>
          </cell>
          <cell r="BF25">
            <v>42.8</v>
          </cell>
          <cell r="BG25">
            <v>73.015000000000001</v>
          </cell>
          <cell r="BI25">
            <v>61.832499999999996</v>
          </cell>
          <cell r="BJ25">
            <v>70.962500000000006</v>
          </cell>
          <cell r="BK25">
            <v>80.28</v>
          </cell>
          <cell r="BL25">
            <v>88.532499999999999</v>
          </cell>
          <cell r="BN25">
            <v>64.710999999999999</v>
          </cell>
          <cell r="BP25">
            <v>109.80599999999998</v>
          </cell>
          <cell r="BQ25">
            <v>227.923</v>
          </cell>
          <cell r="BS25">
            <v>148.797</v>
          </cell>
          <cell r="BT25">
            <v>250.54400000000004</v>
          </cell>
          <cell r="BV25">
            <v>301.60750000000002</v>
          </cell>
          <cell r="BX25">
            <v>83.13</v>
          </cell>
          <cell r="BY25">
            <v>209.16199999999998</v>
          </cell>
          <cell r="CA25">
            <v>136.26799999999997</v>
          </cell>
          <cell r="CB25">
            <v>240.91899999999998</v>
          </cell>
          <cell r="CD25">
            <v>286.09000000000003</v>
          </cell>
        </row>
        <row r="26">
          <cell r="A26" t="str">
            <v>Operating expenses</v>
          </cell>
        </row>
        <row r="27">
          <cell r="A27" t="str">
            <v xml:space="preserve">  Sales &amp; mkting</v>
          </cell>
          <cell r="B27">
            <v>7.58</v>
          </cell>
          <cell r="C27">
            <v>1.335</v>
          </cell>
          <cell r="D27">
            <v>7.7</v>
          </cell>
          <cell r="E27">
            <v>8.7289999999999992</v>
          </cell>
          <cell r="F27">
            <v>16.308999999999997</v>
          </cell>
          <cell r="H27">
            <v>9.18</v>
          </cell>
          <cell r="I27">
            <v>1.4059999999999999</v>
          </cell>
          <cell r="J27">
            <v>8.4</v>
          </cell>
          <cell r="K27">
            <v>10.093999999999999</v>
          </cell>
          <cell r="L27">
            <v>19.274000000000001</v>
          </cell>
          <cell r="N27">
            <v>10.37</v>
          </cell>
          <cell r="O27">
            <v>1.5309999999999999</v>
          </cell>
          <cell r="P27">
            <v>8.1</v>
          </cell>
          <cell r="Q27">
            <v>9.7080000000000002</v>
          </cell>
          <cell r="R27">
            <v>20.077999999999999</v>
          </cell>
          <cell r="T27">
            <v>11.93</v>
          </cell>
          <cell r="U27">
            <v>1.7290000000000001</v>
          </cell>
          <cell r="V27">
            <v>8.0109999999999992</v>
          </cell>
          <cell r="W27">
            <v>9.74</v>
          </cell>
          <cell r="X27">
            <v>21.67</v>
          </cell>
          <cell r="Z27">
            <v>13.23</v>
          </cell>
          <cell r="AA27">
            <v>2.0499999999999998</v>
          </cell>
          <cell r="AB27">
            <v>8.93</v>
          </cell>
          <cell r="AC27">
            <v>10.98</v>
          </cell>
          <cell r="AD27">
            <v>24.21</v>
          </cell>
          <cell r="AF27">
            <v>14.416</v>
          </cell>
          <cell r="AG27">
            <v>2.375</v>
          </cell>
          <cell r="AH27">
            <v>9.0050000000000008</v>
          </cell>
          <cell r="AI27">
            <v>11.38</v>
          </cell>
          <cell r="AJ27">
            <v>25.795999999999999</v>
          </cell>
          <cell r="AL27">
            <v>14.952</v>
          </cell>
          <cell r="AM27">
            <v>2.8090000000000002</v>
          </cell>
          <cell r="AN27">
            <v>10.089</v>
          </cell>
          <cell r="AO27">
            <v>12.898</v>
          </cell>
          <cell r="AP27">
            <v>27.85</v>
          </cell>
          <cell r="AR27">
            <v>15.162000000000001</v>
          </cell>
          <cell r="AS27">
            <v>13.401</v>
          </cell>
          <cell r="AT27">
            <v>28.563000000000002</v>
          </cell>
          <cell r="AV27">
            <v>11</v>
          </cell>
          <cell r="AW27">
            <v>14.481</v>
          </cell>
          <cell r="AX27">
            <v>28.538</v>
          </cell>
          <cell r="AZ27">
            <v>14.812000000000001</v>
          </cell>
          <cell r="BA27">
            <v>40.987000000000002</v>
          </cell>
          <cell r="BC27">
            <v>16.340399999999999</v>
          </cell>
          <cell r="BD27">
            <v>34.128999999999998</v>
          </cell>
          <cell r="BF27">
            <v>18</v>
          </cell>
          <cell r="BG27">
            <v>37</v>
          </cell>
          <cell r="BI27">
            <v>31.2</v>
          </cell>
          <cell r="BJ27">
            <v>35</v>
          </cell>
          <cell r="BK27">
            <v>38.200000000000003</v>
          </cell>
          <cell r="BL27">
            <v>39.6</v>
          </cell>
          <cell r="BN27">
            <v>32.210999999999999</v>
          </cell>
          <cell r="BP27">
            <v>48.658999999999992</v>
          </cell>
          <cell r="BQ27">
            <v>106.419</v>
          </cell>
          <cell r="BS27">
            <v>63.633399999999995</v>
          </cell>
          <cell r="BT27">
            <v>140.654</v>
          </cell>
          <cell r="BV27">
            <v>144</v>
          </cell>
          <cell r="BX27">
            <v>36.034999999999997</v>
          </cell>
          <cell r="BY27">
            <v>99.52600000000001</v>
          </cell>
          <cell r="CA27">
            <v>59.034400000000005</v>
          </cell>
          <cell r="CB27">
            <v>132.21699999999998</v>
          </cell>
          <cell r="CD27">
            <v>141.4</v>
          </cell>
        </row>
        <row r="28">
          <cell r="A28" t="str">
            <v xml:space="preserve">  R &amp; D</v>
          </cell>
          <cell r="B28">
            <v>3.17</v>
          </cell>
          <cell r="C28">
            <v>0.60499999999999998</v>
          </cell>
          <cell r="D28">
            <v>3.2</v>
          </cell>
          <cell r="E28">
            <v>4.0469999999999997</v>
          </cell>
          <cell r="F28">
            <v>7.2169999999999996</v>
          </cell>
          <cell r="H28">
            <v>3.57</v>
          </cell>
          <cell r="I28">
            <v>0.57199999999999995</v>
          </cell>
          <cell r="J28">
            <v>3.3</v>
          </cell>
          <cell r="K28">
            <v>3.5859999999999999</v>
          </cell>
          <cell r="L28">
            <v>7.1559999999999997</v>
          </cell>
          <cell r="N28">
            <v>4.09</v>
          </cell>
          <cell r="O28">
            <v>0.56499999999999995</v>
          </cell>
          <cell r="P28">
            <v>4</v>
          </cell>
          <cell r="Q28">
            <v>4.6390000000000002</v>
          </cell>
          <cell r="R28">
            <v>8.7289999999999992</v>
          </cell>
          <cell r="T28">
            <v>4.6399999999999997</v>
          </cell>
          <cell r="U28">
            <v>0.624</v>
          </cell>
          <cell r="V28">
            <v>4.109</v>
          </cell>
          <cell r="W28">
            <v>4.7329999999999997</v>
          </cell>
          <cell r="X28">
            <v>9.3729999999999993</v>
          </cell>
          <cell r="Z28">
            <v>5.19</v>
          </cell>
          <cell r="AA28">
            <v>0.78400000000000003</v>
          </cell>
          <cell r="AB28">
            <v>4.4950000000000001</v>
          </cell>
          <cell r="AC28">
            <v>5.2789999999999999</v>
          </cell>
          <cell r="AD28">
            <v>10.469000000000001</v>
          </cell>
          <cell r="AF28">
            <v>5.6449999999999996</v>
          </cell>
          <cell r="AG28">
            <v>0.95299999999999996</v>
          </cell>
          <cell r="AH28">
            <v>4.46</v>
          </cell>
          <cell r="AI28">
            <v>5.4130000000000003</v>
          </cell>
          <cell r="AJ28">
            <v>11.058</v>
          </cell>
          <cell r="AL28">
            <v>5.6980000000000004</v>
          </cell>
          <cell r="AM28">
            <v>1.2190000000000001</v>
          </cell>
          <cell r="AN28">
            <v>4.7880000000000003</v>
          </cell>
          <cell r="AO28">
            <v>6.0070000000000006</v>
          </cell>
          <cell r="AP28">
            <v>11.705000000000002</v>
          </cell>
          <cell r="AR28">
            <v>6.266</v>
          </cell>
          <cell r="AS28">
            <v>6.2590000000000003</v>
          </cell>
          <cell r="AT28">
            <v>12.525</v>
          </cell>
          <cell r="AV28">
            <v>5.5</v>
          </cell>
          <cell r="AW28">
            <v>6.7039999999999997</v>
          </cell>
          <cell r="AX28">
            <v>13.489000000000001</v>
          </cell>
          <cell r="AZ28">
            <v>6.9966000000000008</v>
          </cell>
          <cell r="BA28">
            <v>17.489999999999998</v>
          </cell>
          <cell r="BC28">
            <v>7.6703999999999999</v>
          </cell>
          <cell r="BD28">
            <v>14.869</v>
          </cell>
          <cell r="BF28">
            <v>8.4223999999999997</v>
          </cell>
          <cell r="BG28">
            <v>17</v>
          </cell>
          <cell r="BI28">
            <v>15.2</v>
          </cell>
          <cell r="BJ28">
            <v>17.25</v>
          </cell>
          <cell r="BK28">
            <v>18.5</v>
          </cell>
          <cell r="BL28">
            <v>19.7</v>
          </cell>
          <cell r="BN28">
            <v>14.609</v>
          </cell>
          <cell r="BP28">
            <v>22.958000000000002</v>
          </cell>
          <cell r="BQ28">
            <v>45.756999999999998</v>
          </cell>
          <cell r="BS28">
            <v>29.793400000000002</v>
          </cell>
          <cell r="BT28">
            <v>62.847999999999999</v>
          </cell>
          <cell r="BV28">
            <v>70.650000000000006</v>
          </cell>
          <cell r="BX28">
            <v>17.852</v>
          </cell>
          <cell r="BY28">
            <v>42.605000000000004</v>
          </cell>
          <cell r="CA28">
            <v>27.630000000000003</v>
          </cell>
          <cell r="CB28">
            <v>58.373000000000005</v>
          </cell>
          <cell r="CD28">
            <v>67.95</v>
          </cell>
        </row>
        <row r="29">
          <cell r="A29" t="str">
            <v xml:space="preserve">  G &amp; A</v>
          </cell>
          <cell r="B29">
            <v>1.54</v>
          </cell>
          <cell r="C29">
            <v>0.47699999999999998</v>
          </cell>
          <cell r="D29">
            <v>1.7</v>
          </cell>
          <cell r="E29">
            <v>2.1930000000000001</v>
          </cell>
          <cell r="F29">
            <v>3.7330000000000001</v>
          </cell>
          <cell r="H29">
            <v>1.86</v>
          </cell>
          <cell r="I29">
            <v>0.48899999999999999</v>
          </cell>
          <cell r="J29">
            <v>2.1</v>
          </cell>
          <cell r="K29">
            <v>2.5569999999999999</v>
          </cell>
          <cell r="L29">
            <v>4.4169999999999998</v>
          </cell>
          <cell r="N29">
            <v>2.36</v>
          </cell>
          <cell r="O29">
            <v>0.57299999999999995</v>
          </cell>
          <cell r="P29">
            <v>2</v>
          </cell>
          <cell r="Q29">
            <v>2.39</v>
          </cell>
          <cell r="R29">
            <v>4.75</v>
          </cell>
          <cell r="T29">
            <v>2.04</v>
          </cell>
          <cell r="U29">
            <v>0.63900000000000001</v>
          </cell>
          <cell r="V29">
            <v>2.2879999999999998</v>
          </cell>
          <cell r="W29">
            <v>2.746</v>
          </cell>
          <cell r="X29">
            <v>4.7859999999999996</v>
          </cell>
          <cell r="Z29">
            <v>2.34</v>
          </cell>
          <cell r="AA29">
            <v>0.49299999999999999</v>
          </cell>
          <cell r="AB29">
            <v>2.399</v>
          </cell>
          <cell r="AC29">
            <v>2.8919999999999999</v>
          </cell>
          <cell r="AD29">
            <v>5.2319999999999993</v>
          </cell>
          <cell r="AF29">
            <v>2.5089999999999999</v>
          </cell>
          <cell r="AG29">
            <v>0.60499999999999998</v>
          </cell>
          <cell r="AH29">
            <v>2.6379999999999999</v>
          </cell>
          <cell r="AI29">
            <v>3.2429999999999999</v>
          </cell>
          <cell r="AJ29">
            <v>5.7519999999999998</v>
          </cell>
          <cell r="AL29">
            <v>2.7749999999999999</v>
          </cell>
          <cell r="AM29">
            <v>0.83799999999999997</v>
          </cell>
          <cell r="AN29">
            <v>3.1280000000000001</v>
          </cell>
          <cell r="AO29">
            <v>3.9660000000000002</v>
          </cell>
          <cell r="AP29">
            <v>6.7409999999999997</v>
          </cell>
          <cell r="AR29">
            <v>2.653</v>
          </cell>
          <cell r="AS29">
            <v>3.28</v>
          </cell>
          <cell r="AT29">
            <v>5.9329999999999998</v>
          </cell>
          <cell r="AV29">
            <v>2.8</v>
          </cell>
          <cell r="AW29">
            <v>3.972</v>
          </cell>
          <cell r="AX29">
            <v>6.9189999999999996</v>
          </cell>
          <cell r="AZ29">
            <v>3.427</v>
          </cell>
          <cell r="BA29">
            <v>8.202</v>
          </cell>
          <cell r="BC29">
            <v>3.6719999999999997</v>
          </cell>
          <cell r="BD29">
            <v>6.7939999999999996</v>
          </cell>
          <cell r="BF29">
            <v>3.92</v>
          </cell>
          <cell r="BG29">
            <v>7</v>
          </cell>
          <cell r="BI29">
            <v>7</v>
          </cell>
          <cell r="BJ29">
            <v>7.4</v>
          </cell>
          <cell r="BK29">
            <v>7.6</v>
          </cell>
          <cell r="BL29">
            <v>7.8</v>
          </cell>
          <cell r="BN29">
            <v>8.0879999999999992</v>
          </cell>
          <cell r="BP29">
            <v>13.380999999999998</v>
          </cell>
          <cell r="BQ29">
            <v>23.657999999999998</v>
          </cell>
          <cell r="BS29">
            <v>14.991</v>
          </cell>
          <cell r="BT29">
            <v>28.914999999999999</v>
          </cell>
          <cell r="BV29">
            <v>29.8</v>
          </cell>
          <cell r="BX29">
            <v>10.452999999999999</v>
          </cell>
          <cell r="BY29">
            <v>22.510999999999999</v>
          </cell>
          <cell r="CA29">
            <v>14.350999999999999</v>
          </cell>
          <cell r="CB29">
            <v>27.848000000000003</v>
          </cell>
          <cell r="CD29">
            <v>29</v>
          </cell>
        </row>
        <row r="30">
          <cell r="A30" t="str">
            <v xml:space="preserve">     goodwill amort.</v>
          </cell>
          <cell r="AN30">
            <v>0.435</v>
          </cell>
          <cell r="AS30">
            <v>0.6</v>
          </cell>
          <cell r="AT30">
            <v>0.6</v>
          </cell>
          <cell r="AX30">
            <v>0</v>
          </cell>
          <cell r="AZ30">
            <v>0.6</v>
          </cell>
          <cell r="BC30">
            <v>0.6</v>
          </cell>
          <cell r="BF30">
            <v>0.6</v>
          </cell>
          <cell r="BG30">
            <v>0.6</v>
          </cell>
          <cell r="BI30">
            <v>0.6</v>
          </cell>
          <cell r="BJ30">
            <v>0.6</v>
          </cell>
          <cell r="BK30">
            <v>0.6</v>
          </cell>
          <cell r="BL30">
            <v>0.6</v>
          </cell>
          <cell r="BN30">
            <v>0</v>
          </cell>
          <cell r="BP30">
            <v>0.6</v>
          </cell>
          <cell r="BQ30">
            <v>0.6</v>
          </cell>
          <cell r="BS30">
            <v>1.7999999999999998</v>
          </cell>
          <cell r="BT30">
            <v>0.6</v>
          </cell>
          <cell r="BV30">
            <v>2.4</v>
          </cell>
          <cell r="BX30">
            <v>0.435</v>
          </cell>
          <cell r="BY30">
            <v>0</v>
          </cell>
          <cell r="CA30">
            <v>1.7999999999999998</v>
          </cell>
          <cell r="CB30">
            <v>0.6</v>
          </cell>
          <cell r="CD30">
            <v>2.4</v>
          </cell>
        </row>
        <row r="31">
          <cell r="A31" t="str">
            <v>Operating income</v>
          </cell>
          <cell r="B31">
            <v>2.5900000000000007</v>
          </cell>
          <cell r="C31">
            <v>-0.53400000000000014</v>
          </cell>
          <cell r="D31">
            <v>1.099999999999999</v>
          </cell>
          <cell r="E31">
            <v>0.65700000000000047</v>
          </cell>
          <cell r="F31">
            <v>3.2470000000000065</v>
          </cell>
          <cell r="H31">
            <v>2.969999999999998</v>
          </cell>
          <cell r="I31">
            <v>1.0000000000000453E-2</v>
          </cell>
          <cell r="J31">
            <v>1.77</v>
          </cell>
          <cell r="K31">
            <v>1.8380000000000032</v>
          </cell>
          <cell r="L31">
            <v>4.8079999999999945</v>
          </cell>
          <cell r="N31">
            <v>3.9400000000000026</v>
          </cell>
          <cell r="O31">
            <v>0.21199999999999997</v>
          </cell>
          <cell r="P31">
            <v>3.2999999999999989</v>
          </cell>
          <cell r="Q31">
            <v>3.5529999999999986</v>
          </cell>
          <cell r="R31">
            <v>7.4930000000000057</v>
          </cell>
          <cell r="T31">
            <v>4.490000000000002</v>
          </cell>
          <cell r="U31">
            <v>0.49499999999999944</v>
          </cell>
          <cell r="V31">
            <v>3.6329999999999978</v>
          </cell>
          <cell r="W31">
            <v>4.3100000000000005</v>
          </cell>
          <cell r="X31">
            <v>8.7999999999999972</v>
          </cell>
          <cell r="Z31">
            <v>5.0600000000000032</v>
          </cell>
          <cell r="AA31">
            <v>0.59000000000000086</v>
          </cell>
          <cell r="AB31">
            <v>4.3130000000000006</v>
          </cell>
          <cell r="AC31">
            <v>4.9030000000000022</v>
          </cell>
          <cell r="AD31">
            <v>9.9630000000000081</v>
          </cell>
          <cell r="AF31">
            <v>6.2280000000000015</v>
          </cell>
          <cell r="AG31">
            <v>0.71900000000000031</v>
          </cell>
          <cell r="AH31">
            <v>4.9989999999999997</v>
          </cell>
          <cell r="AI31">
            <v>5.718</v>
          </cell>
          <cell r="AJ31">
            <v>11.946000000000009</v>
          </cell>
          <cell r="AL31">
            <v>6.9549999999999983</v>
          </cell>
          <cell r="AM31">
            <v>1.0110000000000006</v>
          </cell>
          <cell r="AN31">
            <v>5.410000000000001</v>
          </cell>
          <cell r="AO31">
            <v>6.8560000000000025</v>
          </cell>
          <cell r="AP31">
            <v>13.810999999999996</v>
          </cell>
          <cell r="AR31">
            <v>9.0380000000000003</v>
          </cell>
          <cell r="AS31">
            <v>6.7310000000000016</v>
          </cell>
          <cell r="AT31">
            <v>15.768999999999993</v>
          </cell>
          <cell r="AV31">
            <v>-0.3199999999999994</v>
          </cell>
          <cell r="AW31">
            <v>7.0889999999999933</v>
          </cell>
          <cell r="AX31">
            <v>1.9189999999999943</v>
          </cell>
          <cell r="AZ31">
            <v>8.9344000000000019</v>
          </cell>
          <cell r="BA31">
            <v>-5.6269999999999936</v>
          </cell>
          <cell r="BC31">
            <v>10.698199999999995</v>
          </cell>
          <cell r="BD31">
            <v>9.8200000000000109</v>
          </cell>
          <cell r="BF31">
            <v>11.857599999999998</v>
          </cell>
          <cell r="BG31">
            <v>11.415000000000001</v>
          </cell>
          <cell r="BI31">
            <v>7.8325000000000049</v>
          </cell>
          <cell r="BJ31">
            <v>10.712500000000006</v>
          </cell>
          <cell r="BK31">
            <v>15.379999999999999</v>
          </cell>
          <cell r="BL31">
            <v>20.832499999999996</v>
          </cell>
          <cell r="BN31">
            <v>9.8030000000000133</v>
          </cell>
          <cell r="BP31">
            <v>24.207999999999991</v>
          </cell>
          <cell r="BQ31">
            <v>51.48900000000004</v>
          </cell>
          <cell r="BS31">
            <v>38.5792</v>
          </cell>
          <cell r="BT31">
            <v>17.527000000000044</v>
          </cell>
          <cell r="BV31">
            <v>54.757500000000014</v>
          </cell>
          <cell r="BX31">
            <v>18.355000000000015</v>
          </cell>
          <cell r="BY31">
            <v>44.519999999999968</v>
          </cell>
          <cell r="CA31">
            <v>33.452599999999997</v>
          </cell>
          <cell r="CB31">
            <v>21.88099999999999</v>
          </cell>
          <cell r="CD31">
            <v>45.340000000000025</v>
          </cell>
        </row>
        <row r="32">
          <cell r="A32" t="str">
            <v xml:space="preserve">  Operating margin</v>
          </cell>
          <cell r="B32">
            <v>0.15918869084204063</v>
          </cell>
          <cell r="C32">
            <v>-0.23136915077989609</v>
          </cell>
          <cell r="D32">
            <v>5.5555555555555504E-2</v>
          </cell>
          <cell r="E32">
            <v>2.9777012327773772E-2</v>
          </cell>
          <cell r="F32">
            <v>8.4702874732613509E-2</v>
          </cell>
          <cell r="H32">
            <v>0.15254237288135583</v>
          </cell>
          <cell r="I32">
            <v>3.4048348655091767E-3</v>
          </cell>
          <cell r="J32">
            <v>8.1830790568654652E-2</v>
          </cell>
          <cell r="K32">
            <v>7.4779283127873519E-2</v>
          </cell>
          <cell r="L32">
            <v>0.10915117255783321</v>
          </cell>
          <cell r="N32">
            <v>0.17167755991285416</v>
          </cell>
          <cell r="O32">
            <v>6.1609997093868052E-2</v>
          </cell>
          <cell r="P32">
            <v>0.13749999999999996</v>
          </cell>
          <cell r="Q32">
            <v>0.12945891783567129</v>
          </cell>
          <cell r="R32">
            <v>0.14868538545490634</v>
          </cell>
          <cell r="T32">
            <v>0.17614750882699104</v>
          </cell>
          <cell r="U32">
            <v>0.11901899495070918</v>
          </cell>
          <cell r="V32">
            <v>0.14133986928104567</v>
          </cell>
          <cell r="W32">
            <v>0.14432092151084919</v>
          </cell>
          <cell r="X32">
            <v>0.15897676771326366</v>
          </cell>
          <cell r="Z32">
            <v>0.17673768774013282</v>
          </cell>
          <cell r="AA32">
            <v>0.12992732878220675</v>
          </cell>
          <cell r="AB32">
            <v>0.1570591019991989</v>
          </cell>
          <cell r="AC32">
            <v>0.1532091744265984</v>
          </cell>
          <cell r="AD32">
            <v>0.16431917139464322</v>
          </cell>
          <cell r="AF32">
            <v>0.19466758353389807</v>
          </cell>
          <cell r="AG32">
            <v>0.13292660380846744</v>
          </cell>
          <cell r="AH32">
            <v>0.17469247973161867</v>
          </cell>
          <cell r="AI32">
            <v>0.16805290227773698</v>
          </cell>
          <cell r="AJ32">
            <v>0.18095064982277573</v>
          </cell>
          <cell r="AL32">
            <v>0.20400680511556959</v>
          </cell>
          <cell r="AM32">
            <v>0.14863275507203771</v>
          </cell>
          <cell r="AN32">
            <v>0.16772593396372656</v>
          </cell>
          <cell r="AO32">
            <v>0.13962638452636786</v>
          </cell>
          <cell r="AP32">
            <v>0.13962638452636786</v>
          </cell>
          <cell r="AR32">
            <v>0.13962638452636786</v>
          </cell>
          <cell r="AS32">
            <v>0.16706793417558147</v>
          </cell>
          <cell r="AT32">
            <v>0.20198798498763909</v>
          </cell>
          <cell r="AV32">
            <v>-1.4222222222222195E-2</v>
          </cell>
          <cell r="AW32">
            <v>0.1651369735370852</v>
          </cell>
          <cell r="AX32">
            <v>2.9010703271451811E-2</v>
          </cell>
          <cell r="AZ32">
            <v>0.19422608695652177</v>
          </cell>
          <cell r="BA32">
            <v>-7.5058691708462189E-2</v>
          </cell>
          <cell r="BC32">
            <v>0.20976862745098029</v>
          </cell>
          <cell r="BD32">
            <v>0.11931086433552852</v>
          </cell>
          <cell r="BF32">
            <v>0.21174285714285709</v>
          </cell>
          <cell r="BG32">
            <v>0.12825842696629214</v>
          </cell>
          <cell r="BI32">
            <v>9.9145569620253227E-2</v>
          </cell>
          <cell r="BJ32">
            <v>0.11902777777777784</v>
          </cell>
          <cell r="BK32">
            <v>0.15227722772277227</v>
          </cell>
          <cell r="BL32">
            <v>0.1893863636363636</v>
          </cell>
          <cell r="BN32">
            <v>0.10756687954001815</v>
          </cell>
          <cell r="BP32">
            <v>0.16652335715710614</v>
          </cell>
          <cell r="BQ32">
            <v>0.18530021449033368</v>
          </cell>
          <cell r="BS32">
            <v>0.19690498550487934</v>
          </cell>
          <cell r="BT32">
            <v>5.6100402660504194E-2</v>
          </cell>
          <cell r="BV32">
            <v>0.14409868421052635</v>
          </cell>
          <cell r="BX32">
            <v>0.16095794310568606</v>
          </cell>
          <cell r="BY32">
            <v>0.17448354516701731</v>
          </cell>
          <cell r="CA32">
            <v>0.18562399773606264</v>
          </cell>
          <cell r="CB32">
            <v>7.2575964124965558E-2</v>
          </cell>
          <cell r="CD32">
            <v>0.12629526462395549</v>
          </cell>
        </row>
        <row r="34">
          <cell r="A34" t="str">
            <v>Other income, net</v>
          </cell>
          <cell r="B34">
            <v>0.43</v>
          </cell>
          <cell r="C34">
            <v>1.7999999999999999E-2</v>
          </cell>
          <cell r="D34">
            <v>0.2</v>
          </cell>
          <cell r="E34">
            <v>0.19900000000000001</v>
          </cell>
          <cell r="F34">
            <v>0.629</v>
          </cell>
          <cell r="H34">
            <v>0.56000000000000005</v>
          </cell>
          <cell r="I34">
            <v>6.7000000000000004E-2</v>
          </cell>
          <cell r="J34">
            <v>0.4</v>
          </cell>
          <cell r="K34">
            <v>0.51400000000000001</v>
          </cell>
          <cell r="L34">
            <v>1.0740000000000001</v>
          </cell>
          <cell r="N34">
            <v>0.63</v>
          </cell>
          <cell r="O34">
            <v>7.6999999999999999E-2</v>
          </cell>
          <cell r="P34">
            <v>0.3</v>
          </cell>
          <cell r="Q34">
            <v>0.51600000000000001</v>
          </cell>
          <cell r="R34">
            <v>1.1459999999999999</v>
          </cell>
          <cell r="T34">
            <v>0.78</v>
          </cell>
          <cell r="U34">
            <v>8.5000000000000006E-2</v>
          </cell>
          <cell r="V34">
            <v>0.66500000000000004</v>
          </cell>
          <cell r="W34">
            <v>0.75</v>
          </cell>
          <cell r="X34">
            <v>1.53</v>
          </cell>
          <cell r="Z34">
            <v>0.76</v>
          </cell>
          <cell r="AA34">
            <v>0.41399999999999998</v>
          </cell>
          <cell r="AB34">
            <v>0.53300000000000003</v>
          </cell>
          <cell r="AC34">
            <v>0.94700000000000006</v>
          </cell>
          <cell r="AD34">
            <v>1.7070000000000001</v>
          </cell>
          <cell r="AF34">
            <v>0.80800000000000005</v>
          </cell>
          <cell r="AG34">
            <v>0.437</v>
          </cell>
          <cell r="AH34">
            <v>0.68600000000000005</v>
          </cell>
          <cell r="AI34">
            <v>1.123</v>
          </cell>
          <cell r="AJ34">
            <v>1.931</v>
          </cell>
          <cell r="AL34">
            <v>0.90800000000000003</v>
          </cell>
          <cell r="AM34">
            <v>0.46400000000000002</v>
          </cell>
          <cell r="AN34">
            <v>2.391</v>
          </cell>
          <cell r="AO34">
            <v>2.855</v>
          </cell>
          <cell r="AP34">
            <v>3.7629999999999999</v>
          </cell>
          <cell r="AR34">
            <v>1.1919999999999999</v>
          </cell>
          <cell r="AS34">
            <v>2.992</v>
          </cell>
          <cell r="AT34">
            <v>4.1840000000000002</v>
          </cell>
          <cell r="AV34">
            <v>1.3</v>
          </cell>
          <cell r="AW34">
            <v>3.33</v>
          </cell>
          <cell r="AX34">
            <v>4.585</v>
          </cell>
          <cell r="AZ34">
            <v>3.4</v>
          </cell>
          <cell r="BA34">
            <v>4.7160000000000002</v>
          </cell>
          <cell r="BC34">
            <v>3.5</v>
          </cell>
          <cell r="BD34">
            <v>4.0039999999999996</v>
          </cell>
          <cell r="BF34">
            <v>3.6</v>
          </cell>
          <cell r="BG34">
            <v>4</v>
          </cell>
          <cell r="BI34">
            <v>4.0999999999999996</v>
          </cell>
          <cell r="BJ34">
            <v>4.2</v>
          </cell>
          <cell r="BK34">
            <v>4.3</v>
          </cell>
          <cell r="BL34">
            <v>4.4000000000000004</v>
          </cell>
          <cell r="BN34">
            <v>1.5650000000000002</v>
          </cell>
          <cell r="BP34">
            <v>7.9170000000000007</v>
          </cell>
          <cell r="BQ34">
            <v>11.585000000000001</v>
          </cell>
          <cell r="BS34">
            <v>13.83</v>
          </cell>
          <cell r="BT34">
            <v>17.305</v>
          </cell>
          <cell r="BV34">
            <v>17</v>
          </cell>
          <cell r="BX34">
            <v>4.2750000000000004</v>
          </cell>
          <cell r="BY34">
            <v>8.9310000000000009</v>
          </cell>
          <cell r="CA34">
            <v>13.222</v>
          </cell>
          <cell r="CB34">
            <v>17.488999999999997</v>
          </cell>
          <cell r="CD34">
            <v>16.600000000000001</v>
          </cell>
        </row>
        <row r="35">
          <cell r="A35" t="str">
            <v xml:space="preserve">Pretax income </v>
          </cell>
          <cell r="B35">
            <v>3.0200000000000009</v>
          </cell>
          <cell r="C35">
            <v>-0.51600000000000013</v>
          </cell>
          <cell r="D35">
            <v>1.2999999999999989</v>
          </cell>
          <cell r="E35">
            <v>0.85600000000000054</v>
          </cell>
          <cell r="F35">
            <v>3.8760000000000066</v>
          </cell>
          <cell r="H35">
            <v>3.529999999999998</v>
          </cell>
          <cell r="I35">
            <v>7.7000000000000457E-2</v>
          </cell>
          <cell r="J35">
            <v>2.17</v>
          </cell>
          <cell r="K35">
            <v>2.352000000000003</v>
          </cell>
          <cell r="L35">
            <v>5.8819999999999943</v>
          </cell>
          <cell r="N35">
            <v>4.5700000000000029</v>
          </cell>
          <cell r="O35">
            <v>0.28899999999999998</v>
          </cell>
          <cell r="P35">
            <v>3.5999999999999988</v>
          </cell>
          <cell r="Q35">
            <v>4.0689999999999991</v>
          </cell>
          <cell r="R35">
            <v>8.6390000000000065</v>
          </cell>
          <cell r="T35">
            <v>5.2700000000000022</v>
          </cell>
          <cell r="U35">
            <v>0.5799999999999994</v>
          </cell>
          <cell r="V35">
            <v>4.2979999999999983</v>
          </cell>
          <cell r="W35">
            <v>5.0600000000000005</v>
          </cell>
          <cell r="X35">
            <v>10.329999999999997</v>
          </cell>
          <cell r="Z35">
            <v>5.8200000000000029</v>
          </cell>
          <cell r="AA35">
            <v>1.0040000000000009</v>
          </cell>
          <cell r="AB35">
            <v>4.846000000000001</v>
          </cell>
          <cell r="AC35">
            <v>5.8500000000000023</v>
          </cell>
          <cell r="AD35">
            <v>11.670000000000009</v>
          </cell>
          <cell r="AF35">
            <v>7.0360000000000014</v>
          </cell>
          <cell r="AG35">
            <v>1.1560000000000004</v>
          </cell>
          <cell r="AH35">
            <v>5.6849999999999996</v>
          </cell>
          <cell r="AI35">
            <v>6.8410000000000002</v>
          </cell>
          <cell r="AJ35">
            <v>13.87700000000001</v>
          </cell>
          <cell r="AL35">
            <v>7.8629999999999987</v>
          </cell>
          <cell r="AM35">
            <v>1.4750000000000005</v>
          </cell>
          <cell r="AN35">
            <v>7.801000000000001</v>
          </cell>
          <cell r="AO35">
            <v>9.7110000000000021</v>
          </cell>
          <cell r="AP35">
            <v>17.573999999999998</v>
          </cell>
          <cell r="AR35">
            <v>10.23</v>
          </cell>
          <cell r="AS35">
            <v>9.7230000000000025</v>
          </cell>
          <cell r="AT35">
            <v>19.952999999999992</v>
          </cell>
          <cell r="AV35">
            <v>0.98000000000000065</v>
          </cell>
          <cell r="AW35">
            <v>10.418999999999993</v>
          </cell>
          <cell r="AX35">
            <v>6.5039999999999942</v>
          </cell>
          <cell r="AZ35">
            <v>12.334400000000002</v>
          </cell>
          <cell r="BA35">
            <v>-0.91099999999999337</v>
          </cell>
          <cell r="BC35">
            <v>14.198199999999995</v>
          </cell>
          <cell r="BD35">
            <v>13.824000000000011</v>
          </cell>
          <cell r="BF35">
            <v>15.457599999999998</v>
          </cell>
          <cell r="BG35">
            <v>15.415000000000001</v>
          </cell>
          <cell r="BI35">
            <v>11.932500000000005</v>
          </cell>
          <cell r="BJ35">
            <v>14.912500000000005</v>
          </cell>
          <cell r="BK35">
            <v>19.68</v>
          </cell>
          <cell r="BL35">
            <v>25.232499999999995</v>
          </cell>
          <cell r="BN35">
            <v>11.368000000000013</v>
          </cell>
          <cell r="BP35">
            <v>32.124999999999993</v>
          </cell>
          <cell r="BQ35">
            <v>63.074000000000041</v>
          </cell>
          <cell r="BS35">
            <v>52.409199999999998</v>
          </cell>
          <cell r="BT35">
            <v>34.832000000000043</v>
          </cell>
          <cell r="BV35">
            <v>71.757500000000022</v>
          </cell>
          <cell r="BX35">
            <v>22.630000000000017</v>
          </cell>
          <cell r="BY35">
            <v>53.450999999999965</v>
          </cell>
          <cell r="CA35">
            <v>46.674599999999998</v>
          </cell>
          <cell r="CB35">
            <v>39.36999999999999</v>
          </cell>
          <cell r="CD35">
            <v>61.940000000000026</v>
          </cell>
        </row>
        <row r="36">
          <cell r="A36" t="str">
            <v xml:space="preserve"> Pretax margin</v>
          </cell>
          <cell r="B36">
            <v>0.18561770129071917</v>
          </cell>
          <cell r="C36">
            <v>-0.22357019064124792</v>
          </cell>
          <cell r="D36">
            <v>6.5656565656565594E-2</v>
          </cell>
          <cell r="E36">
            <v>3.8796229151559128E-2</v>
          </cell>
          <cell r="F36">
            <v>0.10111128502113023</v>
          </cell>
          <cell r="H36">
            <v>0.18130457113507953</v>
          </cell>
          <cell r="I36">
            <v>2.621722846441963E-2</v>
          </cell>
          <cell r="J36">
            <v>0.10032362459546926</v>
          </cell>
          <cell r="K36">
            <v>9.5691443915537772E-2</v>
          </cell>
          <cell r="L36">
            <v>0.13353311085382177</v>
          </cell>
          <cell r="N36">
            <v>0.19912854030501104</v>
          </cell>
          <cell r="O36">
            <v>8.3987213019471083E-2</v>
          </cell>
          <cell r="P36">
            <v>0.14999999999999994</v>
          </cell>
          <cell r="Q36">
            <v>0.1482601566769903</v>
          </cell>
          <cell r="R36">
            <v>0.17142573668022634</v>
          </cell>
          <cell r="T36">
            <v>0.2067477442134171</v>
          </cell>
          <cell r="U36">
            <v>0.13945660014426531</v>
          </cell>
          <cell r="V36">
            <v>0.16721132897603477</v>
          </cell>
          <cell r="W36">
            <v>0.16943477096169302</v>
          </cell>
          <cell r="X36">
            <v>0.18661704664522882</v>
          </cell>
          <cell r="Z36">
            <v>0.2032832692979393</v>
          </cell>
          <cell r="AA36">
            <v>0.22109667474124661</v>
          </cell>
          <cell r="AB36">
            <v>0.17646844616000879</v>
          </cell>
          <cell r="AC36">
            <v>0.18280107493281675</v>
          </cell>
          <cell r="AD36">
            <v>0.19247262171790486</v>
          </cell>
          <cell r="AF36">
            <v>0.21992310817991439</v>
          </cell>
          <cell r="AG36">
            <v>0.2137178776113885</v>
          </cell>
          <cell r="AH36">
            <v>0.19866508247134468</v>
          </cell>
          <cell r="AI36">
            <v>0.20105804555473919</v>
          </cell>
          <cell r="AJ36">
            <v>0.2102002484170985</v>
          </cell>
          <cell r="AL36">
            <v>0.23064061950017598</v>
          </cell>
          <cell r="AM36">
            <v>0.21684798588650403</v>
          </cell>
          <cell r="AN36">
            <v>0.24185397612773216</v>
          </cell>
          <cell r="AO36">
            <v>0.17530170276078677</v>
          </cell>
          <cell r="AP36">
            <v>0.17530170276078677</v>
          </cell>
          <cell r="AR36">
            <v>0.17530170276078677</v>
          </cell>
          <cell r="AS36">
            <v>0.24133138077390856</v>
          </cell>
          <cell r="AT36">
            <v>0.25558160089151899</v>
          </cell>
          <cell r="AV36">
            <v>0.17530170276078677</v>
          </cell>
          <cell r="AW36">
            <v>0.24270872158032039</v>
          </cell>
          <cell r="AX36">
            <v>9.8324968253008321E-2</v>
          </cell>
          <cell r="AZ36">
            <v>0.26813913043478266</v>
          </cell>
          <cell r="BA36">
            <v>-1.2151851456621402E-2</v>
          </cell>
          <cell r="BC36">
            <v>0.27839607843137243</v>
          </cell>
          <cell r="BD36">
            <v>0.16795859354117573</v>
          </cell>
          <cell r="BF36">
            <v>0.2760285714285714</v>
          </cell>
          <cell r="BG36">
            <v>0.17320224719101124</v>
          </cell>
          <cell r="BI36">
            <v>0.15104430379746842</v>
          </cell>
          <cell r="BJ36">
            <v>0.16569444444444451</v>
          </cell>
          <cell r="BK36">
            <v>0.19485148514851486</v>
          </cell>
          <cell r="BL36">
            <v>0.22938636363636358</v>
          </cell>
          <cell r="BN36">
            <v>0.12473939473741977</v>
          </cell>
          <cell r="BP36">
            <v>0.22098326374223545</v>
          </cell>
          <cell r="BQ36">
            <v>0.22699267277988125</v>
          </cell>
          <cell r="BS36">
            <v>0.26749213996978483</v>
          </cell>
          <cell r="BT36">
            <v>0.11149022796089918</v>
          </cell>
          <cell r="BV36">
            <v>0.18883552631578954</v>
          </cell>
          <cell r="BX36">
            <v>0.19844610473885455</v>
          </cell>
          <cell r="BY36">
            <v>0.209486073062045</v>
          </cell>
          <cell r="CA36">
            <v>0.258991105167659</v>
          </cell>
          <cell r="CB36">
            <v>0.13058432921712421</v>
          </cell>
          <cell r="CD36">
            <v>0.17253481894150424</v>
          </cell>
        </row>
        <row r="38">
          <cell r="A38" t="str">
            <v>Reported Taxes</v>
          </cell>
          <cell r="D38">
            <v>0.104</v>
          </cell>
          <cell r="J38">
            <v>0.17399999999999999</v>
          </cell>
          <cell r="P38">
            <v>0.215</v>
          </cell>
          <cell r="V38">
            <v>0.51600000000000001</v>
          </cell>
          <cell r="AB38">
            <v>0.73499999999999999</v>
          </cell>
          <cell r="AF38">
            <v>2.4</v>
          </cell>
          <cell r="AH38">
            <v>0.85299999999999998</v>
          </cell>
          <cell r="AN38">
            <v>0.8</v>
          </cell>
          <cell r="AS38">
            <v>1.4584500000000002</v>
          </cell>
          <cell r="AW38">
            <v>1.562849999999999</v>
          </cell>
          <cell r="AZ38">
            <v>1.8501600000000002</v>
          </cell>
          <cell r="BC38">
            <v>2.129729999999999</v>
          </cell>
          <cell r="BF38">
            <v>2.3186399999999994</v>
          </cell>
          <cell r="BN38">
            <v>1</v>
          </cell>
          <cell r="BP38">
            <v>3.8464499999999999</v>
          </cell>
          <cell r="BS38">
            <v>7.8613799999999978</v>
          </cell>
        </row>
        <row r="39">
          <cell r="A39" t="str">
            <v xml:space="preserve"> Reported tax rate</v>
          </cell>
          <cell r="D39">
            <v>8.0000000000000057E-2</v>
          </cell>
          <cell r="J39">
            <v>8.0184331797235026E-2</v>
          </cell>
          <cell r="P39">
            <v>5.9722222222222239E-2</v>
          </cell>
          <cell r="V39">
            <v>0.12005583992554682</v>
          </cell>
          <cell r="AB39">
            <v>0.15167148163433755</v>
          </cell>
          <cell r="AF39">
            <v>0.34110289937464461</v>
          </cell>
          <cell r="AH39">
            <v>0.15004397537379069</v>
          </cell>
          <cell r="AN39">
            <v>0.10255095500576848</v>
          </cell>
          <cell r="AS39">
            <v>0.15</v>
          </cell>
          <cell r="AW39">
            <v>0.15</v>
          </cell>
          <cell r="AZ39">
            <v>0.15</v>
          </cell>
          <cell r="BC39">
            <v>0.15</v>
          </cell>
          <cell r="BF39">
            <v>0.15</v>
          </cell>
          <cell r="BN39">
            <v>8.796622097114698E-2</v>
          </cell>
          <cell r="BP39">
            <v>0.11973385214007784</v>
          </cell>
          <cell r="BS39">
            <v>0.14999999999999997</v>
          </cell>
        </row>
        <row r="40">
          <cell r="A40" t="str">
            <v>Net income</v>
          </cell>
          <cell r="D40">
            <v>1.996</v>
          </cell>
          <cell r="J40">
            <v>3.3849999999999989</v>
          </cell>
          <cell r="P40">
            <v>3.3849999999999989</v>
          </cell>
          <cell r="V40">
            <v>3.7819999999999983</v>
          </cell>
          <cell r="AB40">
            <v>4.1110000000000007</v>
          </cell>
          <cell r="AF40">
            <v>4.636000000000001</v>
          </cell>
          <cell r="AH40">
            <v>4.8319999999999999</v>
          </cell>
          <cell r="AN40">
            <v>7.0010000000000012</v>
          </cell>
          <cell r="AS40">
            <v>6.6025753902880044</v>
          </cell>
          <cell r="AW40">
            <v>8.8561499999999942</v>
          </cell>
          <cell r="AZ40">
            <v>10.484240000000002</v>
          </cell>
          <cell r="BC40">
            <v>12.068469999999996</v>
          </cell>
          <cell r="BF40">
            <v>13.138959999999997</v>
          </cell>
          <cell r="BN40">
            <v>10.368000000000013</v>
          </cell>
          <cell r="BP40">
            <v>28.278549999999992</v>
          </cell>
          <cell r="BS40">
            <v>44.547820000000002</v>
          </cell>
        </row>
        <row r="42">
          <cell r="A42" t="str">
            <v>EPS Reported</v>
          </cell>
          <cell r="D42">
            <v>6.0120481927710835E-2</v>
          </cell>
          <cell r="J42">
            <v>9.9558823529411727E-2</v>
          </cell>
          <cell r="P42">
            <v>9.9558823529411727E-2</v>
          </cell>
          <cell r="V42">
            <v>0.10493313356639471</v>
          </cell>
          <cell r="AB42">
            <v>0.11131871107500679</v>
          </cell>
          <cell r="AF42">
            <v>0.10371364653243849</v>
          </cell>
          <cell r="AH42">
            <v>0.1299553547415416</v>
          </cell>
          <cell r="AN42">
            <v>0.16725196492988367</v>
          </cell>
          <cell r="AS42">
            <v>0.13100347996603184</v>
          </cell>
          <cell r="AW42">
            <v>0.17635409614082587</v>
          </cell>
          <cell r="AZ42">
            <v>0.21095050301810866</v>
          </cell>
          <cell r="BC42">
            <v>0.24136939999999993</v>
          </cell>
          <cell r="BF42">
            <v>0.26173227091633461</v>
          </cell>
          <cell r="BN42">
            <v>0.27117225506094084</v>
          </cell>
          <cell r="BP42">
            <v>0.59824498753733391</v>
          </cell>
          <cell r="BS42">
            <v>0.8904310456830471</v>
          </cell>
        </row>
        <row r="44">
          <cell r="A44" t="str">
            <v>Pro forma</v>
          </cell>
        </row>
        <row r="45">
          <cell r="A45" t="str">
            <v>Fully Taxed</v>
          </cell>
          <cell r="B45">
            <v>0.90600000000000025</v>
          </cell>
          <cell r="C45">
            <v>-0.15480000000000002</v>
          </cell>
          <cell r="D45">
            <v>0.38999999999999968</v>
          </cell>
          <cell r="E45">
            <v>0.25680000000000014</v>
          </cell>
          <cell r="F45">
            <v>1.1628000000000018</v>
          </cell>
          <cell r="H45">
            <v>1.0589999999999993</v>
          </cell>
          <cell r="I45">
            <v>2.3100000000000138E-2</v>
          </cell>
          <cell r="J45">
            <v>0.65099999999999991</v>
          </cell>
          <cell r="K45">
            <v>0.70560000000000089</v>
          </cell>
          <cell r="L45">
            <v>1.7645999999999982</v>
          </cell>
          <cell r="N45">
            <v>1.3710000000000009</v>
          </cell>
          <cell r="O45">
            <v>8.6699999999999985E-2</v>
          </cell>
          <cell r="P45">
            <v>1.0799999999999996</v>
          </cell>
          <cell r="Q45">
            <v>1.2206999999999997</v>
          </cell>
          <cell r="R45">
            <v>2.5917000000000017</v>
          </cell>
          <cell r="T45">
            <v>1.5810000000000006</v>
          </cell>
          <cell r="U45">
            <v>0.17399999999999982</v>
          </cell>
          <cell r="V45">
            <v>1.2893999999999994</v>
          </cell>
          <cell r="W45">
            <v>1.518</v>
          </cell>
          <cell r="X45">
            <v>3.0989999999999989</v>
          </cell>
          <cell r="Z45">
            <v>1.7460000000000009</v>
          </cell>
          <cell r="AA45">
            <v>0.36099999999999999</v>
          </cell>
          <cell r="AB45">
            <v>1.4538000000000002</v>
          </cell>
          <cell r="AC45">
            <v>1.8148000000000002</v>
          </cell>
          <cell r="AD45">
            <v>3.5010000000000026</v>
          </cell>
          <cell r="AF45">
            <v>2.3980000000000001</v>
          </cell>
          <cell r="AG45">
            <v>0.41599999999999998</v>
          </cell>
          <cell r="AH45">
            <v>1.7054999999999998</v>
          </cell>
          <cell r="AI45">
            <v>2.1214999999999997</v>
          </cell>
          <cell r="AJ45">
            <v>3.367</v>
          </cell>
          <cell r="AL45">
            <v>2.8306799999999992</v>
          </cell>
          <cell r="AM45">
            <v>0.53100000000000003</v>
          </cell>
          <cell r="AN45">
            <v>2.3403</v>
          </cell>
          <cell r="AO45">
            <v>2.8713000000000002</v>
          </cell>
          <cell r="AP45">
            <v>5.7019799999999989</v>
          </cell>
          <cell r="AR45">
            <v>3.645</v>
          </cell>
          <cell r="AS45">
            <v>2.9169000000000005</v>
          </cell>
          <cell r="AT45">
            <v>6.5619000000000005</v>
          </cell>
          <cell r="AV45">
            <v>0.29499999999999998</v>
          </cell>
          <cell r="AW45">
            <v>3.1256999999999979</v>
          </cell>
          <cell r="AX45">
            <v>1.9511999999999983</v>
          </cell>
          <cell r="AZ45">
            <v>3.7003200000000005</v>
          </cell>
          <cell r="BA45">
            <v>-0.27329999999999799</v>
          </cell>
          <cell r="BC45">
            <v>4.259459999999998</v>
          </cell>
          <cell r="BD45">
            <v>3.456</v>
          </cell>
          <cell r="BF45">
            <v>4.6372799999999987</v>
          </cell>
          <cell r="BG45">
            <v>4.6245000000000003</v>
          </cell>
          <cell r="BI45">
            <v>3.5797500000000011</v>
          </cell>
          <cell r="BJ45">
            <v>4.4737500000000017</v>
          </cell>
          <cell r="BK45">
            <v>5.9039999999999999</v>
          </cell>
          <cell r="BL45">
            <v>7.5697499999999982</v>
          </cell>
          <cell r="BN45">
            <v>3.4103999999999983</v>
          </cell>
          <cell r="BP45">
            <v>9.7245000000000008</v>
          </cell>
          <cell r="BQ45">
            <v>19.131880000000002</v>
          </cell>
          <cell r="BS45">
            <v>15.722759999999996</v>
          </cell>
          <cell r="BT45">
            <v>9.7584000000000017</v>
          </cell>
          <cell r="BV45">
            <v>21.527250000000002</v>
          </cell>
          <cell r="BX45">
            <v>6.7889999999999997</v>
          </cell>
          <cell r="BY45">
            <v>15.668980000000001</v>
          </cell>
          <cell r="CA45">
            <v>14.002379999999995</v>
          </cell>
          <cell r="CB45">
            <v>11.6958</v>
          </cell>
          <cell r="CD45">
            <v>18.582000000000004</v>
          </cell>
        </row>
        <row r="46">
          <cell r="A46" t="str">
            <v xml:space="preserve"> Tax rate</v>
          </cell>
          <cell r="B46">
            <v>0.3</v>
          </cell>
          <cell r="C46">
            <v>0.3</v>
          </cell>
          <cell r="D46">
            <v>0.3</v>
          </cell>
          <cell r="E46">
            <v>0.3</v>
          </cell>
          <cell r="F46">
            <v>0.3</v>
          </cell>
          <cell r="H46">
            <v>0.3</v>
          </cell>
          <cell r="I46">
            <v>0.3</v>
          </cell>
          <cell r="J46">
            <v>0.3</v>
          </cell>
          <cell r="K46">
            <v>0.3</v>
          </cell>
          <cell r="L46">
            <v>0.3</v>
          </cell>
          <cell r="N46">
            <v>0.3</v>
          </cell>
          <cell r="O46">
            <v>0.3</v>
          </cell>
          <cell r="P46">
            <v>0.3</v>
          </cell>
          <cell r="Q46">
            <v>0.3</v>
          </cell>
          <cell r="R46">
            <v>0.3</v>
          </cell>
          <cell r="T46">
            <v>0.3</v>
          </cell>
          <cell r="U46">
            <v>0.3</v>
          </cell>
          <cell r="V46">
            <v>0.3</v>
          </cell>
          <cell r="W46">
            <v>0.3</v>
          </cell>
          <cell r="X46">
            <v>0.3</v>
          </cell>
          <cell r="Z46">
            <v>0.3</v>
          </cell>
          <cell r="AA46">
            <v>0.35956175298804749</v>
          </cell>
          <cell r="AB46">
            <v>0.3</v>
          </cell>
          <cell r="AC46">
            <v>0.31022222222222212</v>
          </cell>
          <cell r="AD46">
            <v>0.3</v>
          </cell>
          <cell r="AF46">
            <v>0.34081864695849912</v>
          </cell>
          <cell r="AG46">
            <v>0.35986159169550158</v>
          </cell>
          <cell r="AH46">
            <v>0.3</v>
          </cell>
          <cell r="AI46">
            <v>0.31011548019295421</v>
          </cell>
          <cell r="AJ46">
            <v>0.24263169272897583</v>
          </cell>
          <cell r="AL46">
            <v>0.36</v>
          </cell>
          <cell r="AM46">
            <v>0.35999999999999988</v>
          </cell>
          <cell r="AN46">
            <v>0.3</v>
          </cell>
          <cell r="AO46">
            <v>0.29567500772320043</v>
          </cell>
          <cell r="AP46">
            <v>0.32445544554455441</v>
          </cell>
          <cell r="AR46">
            <v>0.35630498533724336</v>
          </cell>
          <cell r="AS46">
            <v>0.3</v>
          </cell>
          <cell r="AT46">
            <v>0.3</v>
          </cell>
          <cell r="AV46">
            <v>0.30102040816326509</v>
          </cell>
          <cell r="AW46">
            <v>0.3</v>
          </cell>
          <cell r="AX46">
            <v>0.3</v>
          </cell>
          <cell r="AZ46">
            <v>0.3</v>
          </cell>
          <cell r="BA46">
            <v>0.3</v>
          </cell>
          <cell r="BC46">
            <v>0.3</v>
          </cell>
          <cell r="BD46">
            <v>0.24999999999999981</v>
          </cell>
          <cell r="BF46">
            <v>0.3</v>
          </cell>
          <cell r="BG46">
            <v>0.3</v>
          </cell>
          <cell r="BI46">
            <v>0.3</v>
          </cell>
          <cell r="BJ46">
            <v>0.3</v>
          </cell>
          <cell r="BK46">
            <v>0.3</v>
          </cell>
          <cell r="BL46">
            <v>0.3</v>
          </cell>
          <cell r="BN46">
            <v>0.29999999999999949</v>
          </cell>
          <cell r="BP46">
            <v>0.30270817120622578</v>
          </cell>
          <cell r="BQ46">
            <v>0.30332434917715684</v>
          </cell>
          <cell r="BS46">
            <v>0.29999999999999993</v>
          </cell>
          <cell r="BT46">
            <v>0.28015617822691746</v>
          </cell>
          <cell r="BV46">
            <v>0.29999999999999993</v>
          </cell>
          <cell r="BX46">
            <v>0.29999999999999977</v>
          </cell>
          <cell r="BY46">
            <v>0.29314662026903165</v>
          </cell>
          <cell r="CA46">
            <v>0.29999999999999993</v>
          </cell>
          <cell r="CB46">
            <v>0.29707391414782836</v>
          </cell>
        </row>
        <row r="47">
          <cell r="A47" t="str">
            <v>Net income</v>
          </cell>
          <cell r="B47">
            <v>2.1140000000000008</v>
          </cell>
          <cell r="C47">
            <v>-0.36120000000000008</v>
          </cell>
          <cell r="D47">
            <v>0.90999999999999925</v>
          </cell>
          <cell r="E47">
            <v>0.5992000000000004</v>
          </cell>
          <cell r="F47">
            <v>2.7132000000000049</v>
          </cell>
          <cell r="H47">
            <v>2.4709999999999988</v>
          </cell>
          <cell r="I47">
            <v>5.3900000000000323E-2</v>
          </cell>
          <cell r="J47">
            <v>1.5190000000000001</v>
          </cell>
          <cell r="K47">
            <v>1.6464000000000021</v>
          </cell>
          <cell r="L47">
            <v>4.1173999999999964</v>
          </cell>
          <cell r="N47">
            <v>3.1990000000000021</v>
          </cell>
          <cell r="O47">
            <v>0.20229999999999998</v>
          </cell>
          <cell r="P47">
            <v>2.5199999999999991</v>
          </cell>
          <cell r="Q47">
            <v>2.8482999999999992</v>
          </cell>
          <cell r="R47">
            <v>6.0473000000000052</v>
          </cell>
          <cell r="T47">
            <v>3.6890000000000018</v>
          </cell>
          <cell r="U47">
            <v>0.40599999999999958</v>
          </cell>
          <cell r="V47">
            <v>3.0085999999999986</v>
          </cell>
          <cell r="W47">
            <v>3.5420000000000007</v>
          </cell>
          <cell r="X47">
            <v>7.2309999999999981</v>
          </cell>
          <cell r="Z47">
            <v>4.0740000000000016</v>
          </cell>
          <cell r="AA47">
            <v>0.6430000000000009</v>
          </cell>
          <cell r="AB47">
            <v>3.3922000000000008</v>
          </cell>
          <cell r="AC47">
            <v>4.0352000000000023</v>
          </cell>
          <cell r="AD47">
            <v>8.1690000000000058</v>
          </cell>
          <cell r="AF47">
            <v>4.6380000000000017</v>
          </cell>
          <cell r="AG47">
            <v>0.74000000000000044</v>
          </cell>
          <cell r="AH47">
            <v>3.9794999999999998</v>
          </cell>
          <cell r="AI47">
            <v>4.7195</v>
          </cell>
          <cell r="AJ47">
            <v>10.510000000000009</v>
          </cell>
          <cell r="AL47">
            <v>5.0323199999999995</v>
          </cell>
          <cell r="AM47">
            <v>0.94400000000000051</v>
          </cell>
          <cell r="AN47">
            <v>5.460700000000001</v>
          </cell>
          <cell r="AO47">
            <v>6.8397000000000023</v>
          </cell>
          <cell r="AP47">
            <v>11.872019999999999</v>
          </cell>
          <cell r="AR47">
            <v>6.5850000000000009</v>
          </cell>
          <cell r="AS47">
            <v>6.8061000000000025</v>
          </cell>
          <cell r="AT47">
            <v>13.391099999999991</v>
          </cell>
          <cell r="AV47">
            <v>0.68500000000000072</v>
          </cell>
          <cell r="AW47">
            <v>7.293299999999995</v>
          </cell>
          <cell r="AX47">
            <v>4.552799999999996</v>
          </cell>
          <cell r="AZ47">
            <v>8.6340800000000009</v>
          </cell>
          <cell r="BA47">
            <v>-0.63769999999999538</v>
          </cell>
          <cell r="BC47">
            <v>9.9387399999999957</v>
          </cell>
          <cell r="BD47">
            <v>10.368000000000011</v>
          </cell>
          <cell r="BF47">
            <v>10.820319999999999</v>
          </cell>
          <cell r="BG47">
            <v>10.790500000000002</v>
          </cell>
          <cell r="BI47">
            <v>8.3527500000000039</v>
          </cell>
          <cell r="BJ47">
            <v>10.438750000000002</v>
          </cell>
          <cell r="BK47">
            <v>13.776</v>
          </cell>
          <cell r="BL47">
            <v>17.662749999999996</v>
          </cell>
          <cell r="BN47">
            <v>7.9576000000000144</v>
          </cell>
          <cell r="BP47">
            <v>22.400499999999994</v>
          </cell>
          <cell r="BQ47">
            <v>43.942120000000038</v>
          </cell>
          <cell r="BS47">
            <v>36.686440000000005</v>
          </cell>
          <cell r="BT47">
            <v>25.073600000000042</v>
          </cell>
          <cell r="BV47">
            <v>50.230250000000019</v>
          </cell>
          <cell r="BX47">
            <v>15.841000000000017</v>
          </cell>
          <cell r="BY47">
            <v>37.78201999999996</v>
          </cell>
          <cell r="CA47">
            <v>32.672220000000003</v>
          </cell>
          <cell r="CB47">
            <v>27.674199999999992</v>
          </cell>
          <cell r="CD47">
            <v>43.358000000000018</v>
          </cell>
        </row>
        <row r="48">
          <cell r="A48" t="str">
            <v>EPS Pro forma</v>
          </cell>
          <cell r="B48">
            <v>5.2326732673267345E-2</v>
          </cell>
          <cell r="C48">
            <v>-6.246973365617435E-2</v>
          </cell>
          <cell r="D48">
            <v>3.1929824561403482E-2</v>
          </cell>
          <cell r="E48">
            <v>1.7901251534094248E-2</v>
          </cell>
          <cell r="F48">
            <v>3.8852958478370891E-2</v>
          </cell>
          <cell r="H48">
            <v>6.0712530712530681E-2</v>
          </cell>
          <cell r="I48">
            <v>9.1355932203390378E-3</v>
          </cell>
          <cell r="J48">
            <v>4.5753012048192772E-2</v>
          </cell>
          <cell r="K48">
            <v>4.3016146731462666E-2</v>
          </cell>
          <cell r="L48">
            <v>5.4969027021253829E-2</v>
          </cell>
          <cell r="N48">
            <v>7.5626477541371209E-2</v>
          </cell>
          <cell r="O48">
            <v>3.3829431438127083E-2</v>
          </cell>
          <cell r="P48">
            <v>7.411764705882351E-2</v>
          </cell>
          <cell r="Q48">
            <v>7.2766894550211E-2</v>
          </cell>
          <cell r="R48">
            <v>7.8319915868871548E-2</v>
          </cell>
          <cell r="T48">
            <v>8.5790697674418645E-2</v>
          </cell>
          <cell r="U48">
            <v>6.1015930267508206E-2</v>
          </cell>
          <cell r="V48">
            <v>8.347483491482155E-2</v>
          </cell>
          <cell r="W48">
            <v>8.4808990614982524E-2</v>
          </cell>
          <cell r="X48">
            <v>8.9865784189885597E-2</v>
          </cell>
          <cell r="Z48">
            <v>9.3873130717297665E-2</v>
          </cell>
          <cell r="AA48">
            <v>7.3959052219921884E-2</v>
          </cell>
          <cell r="AB48">
            <v>9.1854860546980791E-2</v>
          </cell>
          <cell r="AC48">
            <v>9.0868884162890268E-2</v>
          </cell>
          <cell r="AD48">
            <v>9.7872257833554688E-2</v>
          </cell>
          <cell r="AF48">
            <v>0.10375838926174499</v>
          </cell>
          <cell r="AG48">
            <v>8.3615819209039599E-2</v>
          </cell>
          <cell r="AH48">
            <v>0.10702759399709535</v>
          </cell>
          <cell r="AI48">
            <v>0.10536244502489228</v>
          </cell>
          <cell r="AJ48">
            <v>0.12480258392409734</v>
          </cell>
          <cell r="AL48">
            <v>0.1188381429178671</v>
          </cell>
          <cell r="AM48">
            <v>0.10657033190336423</v>
          </cell>
          <cell r="AN48">
            <v>0.13045462146730694</v>
          </cell>
          <cell r="AO48">
            <v>0.13824032558237306</v>
          </cell>
          <cell r="AP48">
            <v>0.13554347682132814</v>
          </cell>
          <cell r="AR48">
            <v>0.15557813164485187</v>
          </cell>
          <cell r="AS48">
            <v>0.13504166666666673</v>
          </cell>
          <cell r="AT48">
            <v>0.15132314952301515</v>
          </cell>
          <cell r="AV48">
            <v>1.5930232558139551E-2</v>
          </cell>
          <cell r="AW48">
            <v>0.1452327850571507</v>
          </cell>
          <cell r="AX48">
            <v>5.2561216361306368E-2</v>
          </cell>
          <cell r="AZ48">
            <v>0.17372394366197183</v>
          </cell>
          <cell r="BA48">
            <v>-7.3097203117835326E-3</v>
          </cell>
          <cell r="BC48">
            <v>0.19877479999999992</v>
          </cell>
          <cell r="BD48">
            <v>0.11439668108394398</v>
          </cell>
          <cell r="BF48">
            <v>0.21554422310756968</v>
          </cell>
          <cell r="BG48">
            <v>0.11792896174863389</v>
          </cell>
          <cell r="BI48">
            <v>9.1286885245901686E-2</v>
          </cell>
          <cell r="BJ48">
            <v>0.11358813928182809</v>
          </cell>
          <cell r="BK48">
            <v>0.14941431670281996</v>
          </cell>
          <cell r="BL48">
            <v>0.18992204301075263</v>
          </cell>
          <cell r="BN48">
            <v>0.20812889051629477</v>
          </cell>
          <cell r="BP48">
            <v>0.47389229091767604</v>
          </cell>
          <cell r="BQ48">
            <v>0.5113106905613567</v>
          </cell>
          <cell r="BS48">
            <v>0.73329615526839176</v>
          </cell>
          <cell r="BT48">
            <v>0.28173296515923202</v>
          </cell>
          <cell r="BV48">
            <v>0.54509224091155739</v>
          </cell>
          <cell r="BX48">
            <v>0.41683277088143822</v>
          </cell>
          <cell r="BY48">
            <v>0.45014545247236981</v>
          </cell>
          <cell r="CA48">
            <v>0.65240707275432075</v>
          </cell>
          <cell r="CB48">
            <v>0.31360252747713491</v>
          </cell>
          <cell r="CD48">
            <v>0.47243802778534483</v>
          </cell>
        </row>
        <row r="49">
          <cell r="A49" t="str">
            <v>Avg shares (millions)</v>
          </cell>
          <cell r="B49">
            <v>40.4</v>
          </cell>
          <cell r="C49">
            <v>5.782</v>
          </cell>
          <cell r="D49">
            <v>28.5</v>
          </cell>
          <cell r="E49">
            <v>33.472520000000003</v>
          </cell>
          <cell r="F49">
            <v>69.832520000000002</v>
          </cell>
          <cell r="H49">
            <v>40.700000000000003</v>
          </cell>
          <cell r="I49">
            <v>5.9</v>
          </cell>
          <cell r="J49">
            <v>33.200000000000003</v>
          </cell>
          <cell r="K49">
            <v>38.274000000000001</v>
          </cell>
          <cell r="L49">
            <v>74.903999999999996</v>
          </cell>
          <cell r="N49">
            <v>42.3</v>
          </cell>
          <cell r="O49">
            <v>5.98</v>
          </cell>
          <cell r="P49">
            <v>34</v>
          </cell>
          <cell r="Q49">
            <v>39.142800000000001</v>
          </cell>
          <cell r="R49">
            <v>77.212800000000001</v>
          </cell>
          <cell r="T49">
            <v>43</v>
          </cell>
          <cell r="U49">
            <v>6.6539999999999999</v>
          </cell>
          <cell r="V49">
            <v>36.042000000000002</v>
          </cell>
          <cell r="W49">
            <v>41.76444</v>
          </cell>
          <cell r="X49">
            <v>80.464439999999996</v>
          </cell>
          <cell r="Z49">
            <v>43.399000000000001</v>
          </cell>
          <cell r="AA49">
            <v>8.6940000000000008</v>
          </cell>
          <cell r="AB49">
            <v>36.93</v>
          </cell>
          <cell r="AC49">
            <v>44.406840000000003</v>
          </cell>
          <cell r="AD49">
            <v>83.465940000000003</v>
          </cell>
          <cell r="AF49">
            <v>44.7</v>
          </cell>
          <cell r="AG49">
            <v>8.85</v>
          </cell>
          <cell r="AH49">
            <v>37.182000000000002</v>
          </cell>
          <cell r="AI49">
            <v>44.792999999999999</v>
          </cell>
          <cell r="AJ49">
            <v>84.212999999999994</v>
          </cell>
          <cell r="AL49">
            <v>42.345999999999997</v>
          </cell>
          <cell r="AM49">
            <v>8.8580000000000005</v>
          </cell>
          <cell r="AN49">
            <v>41.859000000000002</v>
          </cell>
          <cell r="AO49">
            <v>49.476880000000001</v>
          </cell>
          <cell r="AP49">
            <v>87.588279999999997</v>
          </cell>
          <cell r="AR49">
            <v>42.326000000000001</v>
          </cell>
          <cell r="AS49">
            <v>50.4</v>
          </cell>
          <cell r="AT49">
            <v>88.493400000000008</v>
          </cell>
          <cell r="AV49">
            <v>43</v>
          </cell>
          <cell r="AW49">
            <v>50.218000000000004</v>
          </cell>
          <cell r="AX49">
            <v>86.619</v>
          </cell>
          <cell r="AZ49">
            <v>49.7</v>
          </cell>
          <cell r="BA49">
            <v>87.24</v>
          </cell>
          <cell r="BC49">
            <v>50</v>
          </cell>
          <cell r="BD49">
            <v>90.632000000000005</v>
          </cell>
          <cell r="BF49">
            <v>50.2</v>
          </cell>
          <cell r="BG49">
            <v>91.5</v>
          </cell>
          <cell r="BI49">
            <v>91.5</v>
          </cell>
          <cell r="BJ49">
            <v>91.9</v>
          </cell>
          <cell r="BK49">
            <v>92.2</v>
          </cell>
          <cell r="BL49">
            <v>93</v>
          </cell>
          <cell r="BN49">
            <v>38.234000000000002</v>
          </cell>
          <cell r="BP49">
            <v>47.269179999999999</v>
          </cell>
          <cell r="BQ49">
            <v>85.940155000000004</v>
          </cell>
          <cell r="BS49">
            <v>50.029499999999999</v>
          </cell>
          <cell r="BT49">
            <v>88.997749999999996</v>
          </cell>
          <cell r="BV49">
            <v>92.15</v>
          </cell>
          <cell r="BX49">
            <v>38.003250000000001</v>
          </cell>
          <cell r="BY49">
            <v>83.932915000000008</v>
          </cell>
          <cell r="CA49">
            <v>50.079499999999996</v>
          </cell>
          <cell r="CB49">
            <v>88.246099999999998</v>
          </cell>
          <cell r="CD49">
            <v>91.774999999999991</v>
          </cell>
        </row>
        <row r="51">
          <cell r="A51" t="str">
            <v>As a % of Revenues</v>
          </cell>
          <cell r="BV51">
            <v>0.93478331725745312</v>
          </cell>
          <cell r="CD51">
            <v>0.50648667147553783</v>
          </cell>
        </row>
        <row r="52">
          <cell r="A52" t="str">
            <v>Revenues</v>
          </cell>
        </row>
        <row r="53">
          <cell r="A53" t="str">
            <v xml:space="preserve">  License</v>
          </cell>
          <cell r="B53">
            <v>0.74884437596302011</v>
          </cell>
          <cell r="C53">
            <v>0.69424582907728971</v>
          </cell>
          <cell r="D53">
            <v>0.58080808080808077</v>
          </cell>
          <cell r="E53">
            <v>0.59195975344452501</v>
          </cell>
          <cell r="F53">
            <v>0.65557990295820934</v>
          </cell>
          <cell r="H53">
            <v>0.72854030501089317</v>
          </cell>
          <cell r="I53">
            <v>0.67364138331880274</v>
          </cell>
          <cell r="J53">
            <v>0.63938973647711517</v>
          </cell>
          <cell r="K53">
            <v>0.64502217340005696</v>
          </cell>
          <cell r="L53">
            <v>0.69091239301686769</v>
          </cell>
          <cell r="N53">
            <v>0.7355825814044723</v>
          </cell>
          <cell r="O53">
            <v>0.69247415244049049</v>
          </cell>
          <cell r="P53">
            <v>0.62083333333333335</v>
          </cell>
          <cell r="Q53">
            <v>0.62750956458371288</v>
          </cell>
          <cell r="R53">
            <v>0.67351919833316798</v>
          </cell>
          <cell r="T53">
            <v>0.70415647921760383</v>
          </cell>
          <cell r="U53">
            <v>0.66703369301915871</v>
          </cell>
          <cell r="V53">
            <v>0.61177248677248675</v>
          </cell>
          <cell r="W53">
            <v>0.62302437717653369</v>
          </cell>
          <cell r="X53">
            <v>0.67485637894280448</v>
          </cell>
          <cell r="Z53">
            <v>0.70965523708311196</v>
          </cell>
          <cell r="AA53">
            <v>0.64725457570715472</v>
          </cell>
          <cell r="AB53">
            <v>0.62998434142966397</v>
          </cell>
          <cell r="AC53">
            <v>0.63524154740328731</v>
          </cell>
          <cell r="AD53">
            <v>0.66778268900910409</v>
          </cell>
          <cell r="AF53">
            <v>0.70130822480347299</v>
          </cell>
          <cell r="AG53">
            <v>0.7067039106145252</v>
          </cell>
          <cell r="AH53">
            <v>0.62451076320939336</v>
          </cell>
          <cell r="AI53">
            <v>0.62812637766348278</v>
          </cell>
          <cell r="AJ53">
            <v>0.66763609924566025</v>
          </cell>
          <cell r="AL53">
            <v>0.70566437268395976</v>
          </cell>
          <cell r="AM53">
            <v>0.60468117848544256</v>
          </cell>
          <cell r="AN53">
            <v>0.64566733839714774</v>
          </cell>
          <cell r="AO53">
            <v>0.65629720664669589</v>
          </cell>
          <cell r="AP53">
            <v>0.67727515071976374</v>
          </cell>
          <cell r="AR53">
            <v>0.70566437268395976</v>
          </cell>
          <cell r="AS53">
            <v>0.60468117848544256</v>
          </cell>
          <cell r="AT53">
            <v>0.65355006468636723</v>
          </cell>
          <cell r="AV53">
            <v>0.62222222222222223</v>
          </cell>
          <cell r="AW53">
            <v>0.64538296682817742</v>
          </cell>
          <cell r="AX53">
            <v>0.5798361250529116</v>
          </cell>
          <cell r="AZ53">
            <v>0.65217391304347827</v>
          </cell>
          <cell r="BA53">
            <v>0.61699658520968947</v>
          </cell>
          <cell r="BC53">
            <v>0.66666666666666663</v>
          </cell>
          <cell r="BD53">
            <v>0.58772142978640685</v>
          </cell>
          <cell r="BF53">
            <v>0.6607142857142857</v>
          </cell>
          <cell r="BG53">
            <v>0.5730337078651685</v>
          </cell>
          <cell r="BI53">
            <v>0.59493670886075944</v>
          </cell>
          <cell r="BJ53">
            <v>0.61111111111111116</v>
          </cell>
          <cell r="BK53">
            <v>0.61386138613861385</v>
          </cell>
          <cell r="BL53">
            <v>0.62727272727272732</v>
          </cell>
          <cell r="BP53">
            <v>0.63076362185550272</v>
          </cell>
          <cell r="BQ53">
            <v>0.66624800264873962</v>
          </cell>
          <cell r="BS53">
            <v>0.65689947327589715</v>
          </cell>
          <cell r="BT53">
            <v>0.5888925875898624</v>
          </cell>
          <cell r="BV53">
            <v>0.61315789473684212</v>
          </cell>
          <cell r="BX53">
            <v>0.62894173769686768</v>
          </cell>
          <cell r="BY53">
            <v>0.67200072113594589</v>
          </cell>
          <cell r="CA53">
            <v>0.64404024037687901</v>
          </cell>
          <cell r="CB53">
            <v>0.61031672587241415</v>
          </cell>
          <cell r="CD53">
            <v>0.59888579387186625</v>
          </cell>
        </row>
        <row r="54">
          <cell r="A54" t="str">
            <v xml:space="preserve">  Consult/support</v>
          </cell>
          <cell r="B54">
            <v>25.115562403697993</v>
          </cell>
          <cell r="C54">
            <v>30.575417092271024</v>
          </cell>
          <cell r="D54">
            <v>41.919191919191924</v>
          </cell>
          <cell r="E54">
            <v>40.804024655547501</v>
          </cell>
          <cell r="F54">
            <v>34.442009704179057</v>
          </cell>
          <cell r="H54">
            <v>27.145969498910677</v>
          </cell>
          <cell r="I54">
            <v>32.635861668119738</v>
          </cell>
          <cell r="J54">
            <v>36.061026352288486</v>
          </cell>
          <cell r="K54">
            <v>35.4977826599943</v>
          </cell>
          <cell r="L54">
            <v>30.908760698313241</v>
          </cell>
          <cell r="N54">
            <v>26.441741859552764</v>
          </cell>
          <cell r="O54">
            <v>30.752584755950952</v>
          </cell>
          <cell r="P54">
            <v>37.916666666666664</v>
          </cell>
          <cell r="Q54">
            <v>37.249043541628716</v>
          </cell>
          <cell r="R54">
            <v>32.648080166683208</v>
          </cell>
          <cell r="T54">
            <v>29.584352078239608</v>
          </cell>
          <cell r="U54">
            <v>33.296630698084115</v>
          </cell>
          <cell r="V54">
            <v>38.822751322751323</v>
          </cell>
          <cell r="W54">
            <v>37.697562282346638</v>
          </cell>
          <cell r="X54">
            <v>32.514362105719549</v>
          </cell>
          <cell r="Z54">
            <v>29.034476291688804</v>
          </cell>
          <cell r="AA54">
            <v>35.27454242928453</v>
          </cell>
          <cell r="AB54">
            <v>37.001565857033611</v>
          </cell>
          <cell r="AC54">
            <v>36.475845259671267</v>
          </cell>
          <cell r="AD54">
            <v>33.221731099089588</v>
          </cell>
          <cell r="AF54">
            <v>29.869177519652705</v>
          </cell>
          <cell r="AG54">
            <v>29.329608938547487</v>
          </cell>
          <cell r="AH54">
            <v>37.548923679060664</v>
          </cell>
          <cell r="AI54">
            <v>37.187362233651719</v>
          </cell>
          <cell r="AJ54">
            <v>33.236390075433974</v>
          </cell>
          <cell r="AL54">
            <v>29.433562731604017</v>
          </cell>
          <cell r="AM54">
            <v>39.531882151455726</v>
          </cell>
          <cell r="AN54">
            <v>35.433266160285228</v>
          </cell>
          <cell r="AO54">
            <v>34.370279335330409</v>
          </cell>
          <cell r="AP54">
            <v>32.272484928023623</v>
          </cell>
          <cell r="AR54">
            <v>29.433562731604017</v>
          </cell>
          <cell r="AS54">
            <v>39.531882151455726</v>
          </cell>
          <cell r="AT54">
            <v>34.644993531363284</v>
          </cell>
          <cell r="AV54">
            <v>37.777777777777779</v>
          </cell>
          <cell r="AW54">
            <v>35.461703317182263</v>
          </cell>
          <cell r="AX54">
            <v>42.016387494708837</v>
          </cell>
          <cell r="AZ54">
            <v>34.782608695652172</v>
          </cell>
          <cell r="BA54">
            <v>38.300341479031054</v>
          </cell>
          <cell r="BC54">
            <v>33.333333333333329</v>
          </cell>
          <cell r="BD54">
            <v>41.22785702135932</v>
          </cell>
          <cell r="BF54">
            <v>33.928571428571431</v>
          </cell>
          <cell r="BG54">
            <v>42.696629213483142</v>
          </cell>
          <cell r="BI54">
            <v>40.506329113924053</v>
          </cell>
          <cell r="BJ54">
            <v>38.888888888888893</v>
          </cell>
          <cell r="BK54">
            <v>38.613861386138616</v>
          </cell>
          <cell r="BL54">
            <v>37.272727272727273</v>
          </cell>
          <cell r="BP54">
            <v>36.923637814449727</v>
          </cell>
          <cell r="BQ54">
            <v>33.375199735126031</v>
          </cell>
          <cell r="BS54">
            <v>34.310052672410272</v>
          </cell>
          <cell r="BT54">
            <v>41.110741241013756</v>
          </cell>
          <cell r="BV54">
            <v>38.684210526315788</v>
          </cell>
          <cell r="BX54">
            <v>37.105826230313234</v>
          </cell>
          <cell r="BY54">
            <v>32.799927886405413</v>
          </cell>
          <cell r="CA54">
            <v>35.59597596231211</v>
          </cell>
          <cell r="CB54">
            <v>38.96832741275859</v>
          </cell>
          <cell r="CD54">
            <v>40.111420612813369</v>
          </cell>
        </row>
        <row r="55">
          <cell r="A55" t="str">
            <v>Gross Margin</v>
          </cell>
          <cell r="B55">
            <v>90.292758089368249</v>
          </cell>
          <cell r="C55">
            <v>84.337759618658509</v>
          </cell>
          <cell r="D55">
            <v>69.191919191919197</v>
          </cell>
          <cell r="E55">
            <v>70.821247280638147</v>
          </cell>
          <cell r="F55">
            <v>79.57948557416394</v>
          </cell>
          <cell r="H55">
            <v>90.457516339869272</v>
          </cell>
          <cell r="I55">
            <v>83.725661145015977</v>
          </cell>
          <cell r="J55">
            <v>71.983356449375862</v>
          </cell>
          <cell r="K55">
            <v>73.53838642743807</v>
          </cell>
          <cell r="L55">
            <v>80.94394878430839</v>
          </cell>
          <cell r="N55">
            <v>90.623774029030983</v>
          </cell>
          <cell r="O55">
            <v>83.842269776388562</v>
          </cell>
          <cell r="P55">
            <v>72.5</v>
          </cell>
          <cell r="Q55">
            <v>73.929677536891958</v>
          </cell>
          <cell r="R55">
            <v>81.456493699771798</v>
          </cell>
          <cell r="T55">
            <v>90.185120502968914</v>
          </cell>
          <cell r="U55">
            <v>86.258533362695445</v>
          </cell>
          <cell r="V55">
            <v>70.187519452225331</v>
          </cell>
          <cell r="W55">
            <v>72.090141976962229</v>
          </cell>
          <cell r="X55">
            <v>80.624706434945978</v>
          </cell>
          <cell r="Z55">
            <v>90.013440440096275</v>
          </cell>
          <cell r="AA55">
            <v>86.004806803475702</v>
          </cell>
          <cell r="AB55">
            <v>73.329449036815859</v>
          </cell>
          <cell r="AC55">
            <v>75.164052246734585</v>
          </cell>
          <cell r="AD55">
            <v>82.256894049346883</v>
          </cell>
          <cell r="AF55">
            <v>89.111815088583839</v>
          </cell>
          <cell r="AG55">
            <v>86.401058512202297</v>
          </cell>
          <cell r="AH55">
            <v>73.741962538440035</v>
          </cell>
          <cell r="AI55">
            <v>75.691403379867737</v>
          </cell>
          <cell r="AJ55">
            <v>82.632009451967647</v>
          </cell>
          <cell r="AL55">
            <v>87.66278454208576</v>
          </cell>
          <cell r="AM55">
            <v>75.134652138300766</v>
          </cell>
          <cell r="AN55">
            <v>73.94202449232678</v>
          </cell>
          <cell r="AO55">
            <v>76.111836546585764</v>
          </cell>
          <cell r="AP55">
            <v>82.170638012823133</v>
          </cell>
          <cell r="AR55">
            <v>87.66278454208576</v>
          </cell>
          <cell r="AS55">
            <v>75.134652138300766</v>
          </cell>
          <cell r="AT55">
            <v>81.197402297967187</v>
          </cell>
          <cell r="AV55">
            <v>84.355555555555554</v>
          </cell>
          <cell r="AW55">
            <v>75.116474096161014</v>
          </cell>
          <cell r="AX55">
            <v>76.895748926649333</v>
          </cell>
          <cell r="AZ55">
            <v>75.586956521739125</v>
          </cell>
          <cell r="BA55">
            <v>81.437413296339784</v>
          </cell>
          <cell r="BC55">
            <v>76.433333333333337</v>
          </cell>
          <cell r="BD55">
            <v>79.717153062960165</v>
          </cell>
          <cell r="BF55">
            <v>76.428571428571416</v>
          </cell>
          <cell r="BG55">
            <v>82.039325842696627</v>
          </cell>
          <cell r="BI55">
            <v>78.268987341772146</v>
          </cell>
          <cell r="BJ55">
            <v>78.847222222222229</v>
          </cell>
          <cell r="BK55">
            <v>79.485148514851488</v>
          </cell>
          <cell r="BL55">
            <v>80.484090909090909</v>
          </cell>
          <cell r="BP55">
            <v>75.533971232622278</v>
          </cell>
          <cell r="BQ55">
            <v>82.025638072753964</v>
          </cell>
          <cell r="BS55">
            <v>75.944734800538967</v>
          </cell>
          <cell r="BT55">
            <v>80.194096446473054</v>
          </cell>
          <cell r="BV55">
            <v>79.370394736842115</v>
          </cell>
          <cell r="BX55">
            <v>72.898032200357775</v>
          </cell>
          <cell r="BY55">
            <v>81.975128648301208</v>
          </cell>
          <cell r="CA55">
            <v>75.613288424510444</v>
          </cell>
          <cell r="CB55">
            <v>79.909184685446661</v>
          </cell>
          <cell r="CD55">
            <v>79.690807799442908</v>
          </cell>
        </row>
        <row r="56">
          <cell r="A56" t="str">
            <v>Operating expenses</v>
          </cell>
        </row>
        <row r="57">
          <cell r="A57" t="str">
            <v xml:space="preserve">  Sales &amp; mkting</v>
          </cell>
          <cell r="B57">
            <v>47.14946070878274</v>
          </cell>
          <cell r="C57">
            <v>47.871978209056856</v>
          </cell>
          <cell r="D57">
            <v>38.888888888888893</v>
          </cell>
          <cell r="E57">
            <v>39.56218274111675</v>
          </cell>
          <cell r="F57">
            <v>42.54447748734804</v>
          </cell>
          <cell r="H57">
            <v>45.185185185185183</v>
          </cell>
          <cell r="I57">
            <v>44.492879976750942</v>
          </cell>
          <cell r="J57">
            <v>38.834951456310684</v>
          </cell>
          <cell r="K57">
            <v>41.067578013751572</v>
          </cell>
          <cell r="L57">
            <v>43.755817385184692</v>
          </cell>
          <cell r="N57">
            <v>46.802667712828558</v>
          </cell>
          <cell r="O57">
            <v>41.572493387833617</v>
          </cell>
          <cell r="P57">
            <v>33.75</v>
          </cell>
          <cell r="Q57">
            <v>35.372563308435048</v>
          </cell>
          <cell r="R57">
            <v>39.841254092667924</v>
          </cell>
          <cell r="T57">
            <v>46.210268948655255</v>
          </cell>
          <cell r="U57">
            <v>45.144241356529392</v>
          </cell>
          <cell r="V57">
            <v>31.166355431061309</v>
          </cell>
          <cell r="W57">
            <v>32.614519153495849</v>
          </cell>
          <cell r="X57">
            <v>39.148029049391198</v>
          </cell>
          <cell r="Z57">
            <v>45.059856843684557</v>
          </cell>
          <cell r="AA57">
            <v>43.908300979848406</v>
          </cell>
          <cell r="AB57">
            <v>32.518844907323114</v>
          </cell>
          <cell r="AC57">
            <v>34.310355602774827</v>
          </cell>
          <cell r="AD57">
            <v>39.929410212429076</v>
          </cell>
          <cell r="AF57">
            <v>43.857796550510386</v>
          </cell>
          <cell r="AG57">
            <v>41.296677447809465</v>
          </cell>
          <cell r="AH57">
            <v>31.468409281520831</v>
          </cell>
          <cell r="AI57">
            <v>33.445995591476859</v>
          </cell>
          <cell r="AJ57">
            <v>39.074191887061104</v>
          </cell>
          <cell r="AL57">
            <v>40.13234515616729</v>
          </cell>
          <cell r="AM57">
            <v>33.262180744123704</v>
          </cell>
          <cell r="AN57">
            <v>31.278871492791815</v>
          </cell>
          <cell r="AO57">
            <v>33.023529712983581</v>
          </cell>
          <cell r="AP57">
            <v>38.072974340045661</v>
          </cell>
          <cell r="AR57">
            <v>40.13234515616729</v>
          </cell>
          <cell r="AS57">
            <v>33.262180744123704</v>
          </cell>
          <cell r="AT57">
            <v>36.586865465165438</v>
          </cell>
          <cell r="AV57">
            <v>48.888888888888886</v>
          </cell>
          <cell r="AW57">
            <v>33.733227730152812</v>
          </cell>
          <cell r="AX57">
            <v>43.1426498155651</v>
          </cell>
          <cell r="AZ57">
            <v>32.200000000000003</v>
          </cell>
          <cell r="BA57">
            <v>54.672660335076294</v>
          </cell>
          <cell r="BC57">
            <v>32.04</v>
          </cell>
          <cell r="BD57">
            <v>41.46599275872962</v>
          </cell>
          <cell r="BF57">
            <v>32.04</v>
          </cell>
          <cell r="BG57">
            <v>41.573033707865171</v>
          </cell>
          <cell r="BI57">
            <v>39.493670886075947</v>
          </cell>
          <cell r="BJ57">
            <v>38.888888888888893</v>
          </cell>
          <cell r="BK57">
            <v>37.821782178217823</v>
          </cell>
          <cell r="BL57">
            <v>36</v>
          </cell>
          <cell r="BP57">
            <v>33.471827643372563</v>
          </cell>
          <cell r="BQ57">
            <v>38.298400679459313</v>
          </cell>
          <cell r="BS57">
            <v>32.477951084071698</v>
          </cell>
          <cell r="BT57">
            <v>45.020517121073418</v>
          </cell>
          <cell r="BV57">
            <v>37.894736842105267</v>
          </cell>
          <cell r="BX57">
            <v>31.599670279560836</v>
          </cell>
          <cell r="BY57">
            <v>39.006400081519722</v>
          </cell>
          <cell r="CA57">
            <v>32.757398025713449</v>
          </cell>
          <cell r="CB57">
            <v>43.85437707924946</v>
          </cell>
          <cell r="CD57">
            <v>39.387186629526468</v>
          </cell>
        </row>
        <row r="58">
          <cell r="A58" t="str">
            <v xml:space="preserve">   R &amp; D</v>
          </cell>
          <cell r="B58">
            <v>18.335901386748844</v>
          </cell>
          <cell r="C58">
            <v>19.475655430711608</v>
          </cell>
          <cell r="D58">
            <v>16.161616161616163</v>
          </cell>
          <cell r="E58">
            <v>18.342095721537344</v>
          </cell>
          <cell r="F58">
            <v>18.826629102102569</v>
          </cell>
          <cell r="H58">
            <v>17.821350762527231</v>
          </cell>
          <cell r="I58">
            <v>16.419645451903516</v>
          </cell>
          <cell r="J58">
            <v>15.256588072122051</v>
          </cell>
          <cell r="K58">
            <v>14.589690386101955</v>
          </cell>
          <cell r="L58">
            <v>16.245544734273199</v>
          </cell>
          <cell r="N58">
            <v>18.203216947822671</v>
          </cell>
          <cell r="O58">
            <v>15.003606636210629</v>
          </cell>
          <cell r="P58">
            <v>16.666666666666664</v>
          </cell>
          <cell r="Q58">
            <v>16.902896702495902</v>
          </cell>
          <cell r="R58">
            <v>17.321162813771203</v>
          </cell>
          <cell r="T58">
            <v>18.127837932238911</v>
          </cell>
          <cell r="U58">
            <v>17.264919621228803</v>
          </cell>
          <cell r="V58">
            <v>15.985838779956426</v>
          </cell>
          <cell r="W58">
            <v>15.84851326011251</v>
          </cell>
          <cell r="X58">
            <v>16.932832315641143</v>
          </cell>
          <cell r="Z58">
            <v>17.644484731034911</v>
          </cell>
          <cell r="AA58">
            <v>17.618783508966537</v>
          </cell>
          <cell r="AB58">
            <v>16.368668293215833</v>
          </cell>
          <cell r="AC58">
            <v>16.495844009749387</v>
          </cell>
          <cell r="AD58">
            <v>17.266459955139201</v>
          </cell>
          <cell r="AF58">
            <v>16.713598498181391</v>
          </cell>
          <cell r="AG58">
            <v>17.921199647162599</v>
          </cell>
          <cell r="AH58">
            <v>15.585686329326251</v>
          </cell>
          <cell r="AI58">
            <v>15.908890521675239</v>
          </cell>
          <cell r="AJ58">
            <v>16.749977278923929</v>
          </cell>
          <cell r="AL58">
            <v>16.585494970884067</v>
          </cell>
          <cell r="AM58">
            <v>15.535257762664747</v>
          </cell>
          <cell r="AN58">
            <v>14.844210199968996</v>
          </cell>
          <cell r="AO58">
            <v>15.380085516040658</v>
          </cell>
          <cell r="AP58">
            <v>16.001585804317216</v>
          </cell>
          <cell r="AR58">
            <v>16.585494970884067</v>
          </cell>
          <cell r="AS58">
            <v>15.535257762664747</v>
          </cell>
          <cell r="AT58">
            <v>16.04349998078623</v>
          </cell>
          <cell r="AV58">
            <v>24.444444444444443</v>
          </cell>
          <cell r="AW58">
            <v>15.3</v>
          </cell>
          <cell r="AX58">
            <v>20.392150934268614</v>
          </cell>
          <cell r="AZ58">
            <v>15.21</v>
          </cell>
          <cell r="BA58">
            <v>23.3299541137552</v>
          </cell>
          <cell r="BC58">
            <v>15.04</v>
          </cell>
          <cell r="BD58">
            <v>18.06551162734187</v>
          </cell>
          <cell r="BF58">
            <v>15.04</v>
          </cell>
          <cell r="BG58">
            <v>19.101123595505616</v>
          </cell>
          <cell r="BI58">
            <v>19.240506329113924</v>
          </cell>
          <cell r="BJ58">
            <v>19.166666666666668</v>
          </cell>
          <cell r="BK58">
            <v>18.316831683168317</v>
          </cell>
          <cell r="BL58">
            <v>17.909090909090907</v>
          </cell>
          <cell r="BP58">
            <v>15.792478658347839</v>
          </cell>
          <cell r="BQ58">
            <v>16.467171462708912</v>
          </cell>
          <cell r="BS58">
            <v>15.206300273569884</v>
          </cell>
          <cell r="BT58">
            <v>20.116381048709755</v>
          </cell>
          <cell r="BV58">
            <v>18.592105263157897</v>
          </cell>
          <cell r="BX58">
            <v>15.654705531586515</v>
          </cell>
          <cell r="BY58">
            <v>16.697824442589351</v>
          </cell>
          <cell r="CA58">
            <v>15.331517004500133</v>
          </cell>
          <cell r="CB58">
            <v>19.361440308334249</v>
          </cell>
          <cell r="CD58">
            <v>18.927576601671309</v>
          </cell>
        </row>
        <row r="59">
          <cell r="A59" t="str">
            <v xml:space="preserve">   G &amp; A</v>
          </cell>
          <cell r="B59">
            <v>9.5531587057010796</v>
          </cell>
          <cell r="C59">
            <v>16.649642492339119</v>
          </cell>
          <cell r="D59">
            <v>8.5858585858585847</v>
          </cell>
          <cell r="E59">
            <v>9.9392675852066716</v>
          </cell>
          <cell r="F59">
            <v>9.738091511451973</v>
          </cell>
          <cell r="H59">
            <v>10.283224400871459</v>
          </cell>
          <cell r="I59">
            <v>16.652136006974715</v>
          </cell>
          <cell r="J59">
            <v>9.7087378640776709</v>
          </cell>
          <cell r="K59">
            <v>10.403189714797184</v>
          </cell>
          <cell r="L59">
            <v>10.027469409067177</v>
          </cell>
          <cell r="N59">
            <v>8.0031384856806582</v>
          </cell>
          <cell r="O59">
            <v>15.364270257273386</v>
          </cell>
          <cell r="P59">
            <v>8.3333333333333321</v>
          </cell>
          <cell r="Q59">
            <v>8.7083257423938782</v>
          </cell>
          <cell r="R59">
            <v>9.4255382478420469</v>
          </cell>
          <cell r="T59">
            <v>8.1732448480614721</v>
          </cell>
          <cell r="U59">
            <v>10.856639506716581</v>
          </cell>
          <cell r="V59">
            <v>8.9013383131030182</v>
          </cell>
          <cell r="W59">
            <v>9.1950174122689514</v>
          </cell>
          <cell r="X59">
            <v>8.6461682985872734</v>
          </cell>
          <cell r="Z59">
            <v>7.842340511986996</v>
          </cell>
          <cell r="AA59">
            <v>11.185061933814014</v>
          </cell>
          <cell r="AB59">
            <v>8.7360256363570166</v>
          </cell>
          <cell r="AC59">
            <v>9.0369351915505263</v>
          </cell>
          <cell r="AD59">
            <v>8.6291067423142884</v>
          </cell>
          <cell r="AF59">
            <v>8.1397395283350935</v>
          </cell>
          <cell r="AG59">
            <v>12.319905910026462</v>
          </cell>
          <cell r="AH59">
            <v>9.2186189544310881</v>
          </cell>
          <cell r="AI59">
            <v>9.5312270389419549</v>
          </cell>
          <cell r="AJ59">
            <v>8.712775303705051</v>
          </cell>
          <cell r="AL59">
            <v>7.0222339862361043</v>
          </cell>
          <cell r="AM59">
            <v>8.141179974682915</v>
          </cell>
          <cell r="AN59">
            <v>9.6977212835219344</v>
          </cell>
          <cell r="AO59">
            <v>10.154389738075121</v>
          </cell>
          <cell r="AP59">
            <v>9.2154369847844801</v>
          </cell>
          <cell r="AR59">
            <v>7.0222339862361043</v>
          </cell>
          <cell r="AS59">
            <v>8.141179974682915</v>
          </cell>
          <cell r="AT59">
            <v>7.5996874559684384</v>
          </cell>
          <cell r="AV59">
            <v>12.444444444444445</v>
          </cell>
          <cell r="AW59">
            <v>7.79</v>
          </cell>
          <cell r="AX59">
            <v>10.459877849670436</v>
          </cell>
          <cell r="AZ59">
            <v>7.45</v>
          </cell>
          <cell r="BA59">
            <v>10.940668018354497</v>
          </cell>
          <cell r="BC59">
            <v>7.2</v>
          </cell>
          <cell r="BD59">
            <v>8.2545622433358439</v>
          </cell>
          <cell r="BF59">
            <v>7</v>
          </cell>
          <cell r="BG59">
            <v>7.8651685393258424</v>
          </cell>
          <cell r="BI59">
            <v>8.8607594936708853</v>
          </cell>
          <cell r="BJ59">
            <v>8.2222222222222232</v>
          </cell>
          <cell r="BK59">
            <v>7.5247524752475243</v>
          </cell>
          <cell r="BL59">
            <v>7.0909090909090908</v>
          </cell>
          <cell r="BP59">
            <v>9.2045978276571301</v>
          </cell>
          <cell r="BQ59">
            <v>8.5141146155728613</v>
          </cell>
          <cell r="BS59">
            <v>7.6512800620636146</v>
          </cell>
          <cell r="BT59">
            <v>9.2551100754748372</v>
          </cell>
          <cell r="BV59">
            <v>7.8421052631578947</v>
          </cell>
          <cell r="BX59">
            <v>9.1664035918481872</v>
          </cell>
          <cell r="BY59">
            <v>8.8225496074904086</v>
          </cell>
          <cell r="CA59">
            <v>7.9631777246319713</v>
          </cell>
          <cell r="CB59">
            <v>9.2367599696176672</v>
          </cell>
          <cell r="CD59">
            <v>8.0779944289693599</v>
          </cell>
        </row>
        <row r="60">
          <cell r="A60" t="str">
            <v>Net income</v>
          </cell>
          <cell r="B60">
            <v>12.691319979455567</v>
          </cell>
          <cell r="C60">
            <v>1.8352059925093742</v>
          </cell>
          <cell r="D60">
            <v>4.5959595959595925</v>
          </cell>
          <cell r="E60">
            <v>2.7157360406091389</v>
          </cell>
          <cell r="F60">
            <v>7.0777899514791169</v>
          </cell>
          <cell r="H60">
            <v>13.938997821350771</v>
          </cell>
          <cell r="I60">
            <v>5.8791049113629761</v>
          </cell>
          <cell r="J60">
            <v>7.0226537216828495</v>
          </cell>
          <cell r="K60">
            <v>6.6984010740876441</v>
          </cell>
          <cell r="L60">
            <v>9.3473177597675239</v>
          </cell>
          <cell r="N60">
            <v>14.472342094939197</v>
          </cell>
          <cell r="O60">
            <v>9.7619620100985731</v>
          </cell>
          <cell r="P60">
            <v>10.499999999999996</v>
          </cell>
          <cell r="Q60">
            <v>10.378210967389322</v>
          </cell>
          <cell r="R60">
            <v>11.999801567615846</v>
          </cell>
          <cell r="T60">
            <v>14.22982885085575</v>
          </cell>
          <cell r="U60">
            <v>14.159876679145581</v>
          </cell>
          <cell r="V60">
            <v>11.704793028322435</v>
          </cell>
          <cell r="W60">
            <v>11.860433967318512</v>
          </cell>
          <cell r="X60">
            <v>13.063193265166021</v>
          </cell>
          <cell r="Z60">
            <v>14.496921201512835</v>
          </cell>
          <cell r="AA60">
            <v>13.680902200036984</v>
          </cell>
          <cell r="AB60">
            <v>12.352791231200614</v>
          </cell>
          <cell r="AC60">
            <v>12.60921192425474</v>
          </cell>
          <cell r="AD60">
            <v>13.47308352025334</v>
          </cell>
          <cell r="AF60">
            <v>14.760999648011264</v>
          </cell>
          <cell r="AG60">
            <v>13.878271096736261</v>
          </cell>
          <cell r="AH60">
            <v>13.906555772994128</v>
          </cell>
          <cell r="AI60">
            <v>13.870683321087437</v>
          </cell>
          <cell r="AJ60">
            <v>15.919900633160665</v>
          </cell>
          <cell r="AL60">
            <v>17.429857067231342</v>
          </cell>
          <cell r="AM60">
            <v>16.8931966541736</v>
          </cell>
          <cell r="AN60">
            <v>16.92977832894125</v>
          </cell>
          <cell r="AO60">
            <v>17.512097703356638</v>
          </cell>
          <cell r="AP60">
            <v>16.229914284542506</v>
          </cell>
          <cell r="AR60">
            <v>17.429857067231342</v>
          </cell>
          <cell r="AS60">
            <v>16.8931966541736</v>
          </cell>
          <cell r="AT60">
            <v>17.152903201014478</v>
          </cell>
          <cell r="AV60">
            <v>3.0444444444444474</v>
          </cell>
          <cell r="AW60">
            <v>16.989610510622427</v>
          </cell>
          <cell r="AX60">
            <v>6.8827477777105823</v>
          </cell>
          <cell r="AZ60">
            <v>18.769739130434786</v>
          </cell>
          <cell r="BA60">
            <v>-0.85062960196349824</v>
          </cell>
          <cell r="BC60">
            <v>19.48772549019607</v>
          </cell>
          <cell r="BD60">
            <v>12.596894515588183</v>
          </cell>
          <cell r="BF60">
            <v>19.321999999999999</v>
          </cell>
          <cell r="BG60">
            <v>12.124157303370788</v>
          </cell>
          <cell r="BI60">
            <v>10.573101265822791</v>
          </cell>
          <cell r="BJ60">
            <v>11.598611111111113</v>
          </cell>
          <cell r="BK60">
            <v>13.639603960396041</v>
          </cell>
          <cell r="BL60">
            <v>16.057045454545452</v>
          </cell>
          <cell r="BP60">
            <v>15.408982410764033</v>
          </cell>
          <cell r="BQ60">
            <v>15.814026804094045</v>
          </cell>
          <cell r="BS60">
            <v>18.72444979788494</v>
          </cell>
          <cell r="BT60">
            <v>8.0255551785725832</v>
          </cell>
          <cell r="BV60">
            <v>13.218486842105268</v>
          </cell>
          <cell r="BX60">
            <v>13.891227331719822</v>
          </cell>
          <cell r="BY60">
            <v>14.807593875047505</v>
          </cell>
          <cell r="CA60">
            <v>18.129377361736132</v>
          </cell>
          <cell r="CB60">
            <v>9.1791131410224498</v>
          </cell>
          <cell r="CD60">
            <v>12.077437325905297</v>
          </cell>
        </row>
        <row r="62">
          <cell r="A62" t="str">
            <v>Year Over Year Growth</v>
          </cell>
        </row>
        <row r="63">
          <cell r="A63" t="str">
            <v>Revenues</v>
          </cell>
        </row>
        <row r="64">
          <cell r="A64" t="str">
            <v xml:space="preserve">  License</v>
          </cell>
          <cell r="AB64">
            <v>50.434782608695649</v>
          </cell>
          <cell r="AD64">
            <v>61.111774302654112</v>
          </cell>
          <cell r="AH64">
            <v>29.219088937093261</v>
          </cell>
          <cell r="AJ64">
            <v>44.824866925149507</v>
          </cell>
          <cell r="AN64">
            <v>39.771812080536904</v>
          </cell>
          <cell r="AP64">
            <v>45.960756584762244</v>
          </cell>
          <cell r="AS64">
            <v>30.936257121358679</v>
          </cell>
          <cell r="AT64">
            <v>36.583145947103525</v>
          </cell>
          <cell r="AW64">
            <v>36.283142309016661</v>
          </cell>
          <cell r="AX64">
            <v>-5.2705673145792886</v>
          </cell>
          <cell r="AZ64">
            <v>40.370578326782706</v>
          </cell>
          <cell r="BA64">
            <v>4.9437335511389513</v>
          </cell>
          <cell r="BC64">
            <v>32.641516794756747</v>
          </cell>
          <cell r="BD64">
            <v>-2.3596140648338815</v>
          </cell>
          <cell r="BF64">
            <v>51.87587226007718</v>
          </cell>
          <cell r="BG64">
            <v>-4.3118654697971159E-2</v>
          </cell>
          <cell r="BI64">
            <v>22.539434232824938</v>
          </cell>
          <cell r="BJ64">
            <v>18.906064209274675</v>
          </cell>
          <cell r="BK64">
            <v>28.170673722944617</v>
          </cell>
          <cell r="BL64">
            <v>35.294117647058833</v>
          </cell>
          <cell r="BP64">
            <v>63.874542042712903</v>
          </cell>
          <cell r="BS64">
            <v>40.360539172919196</v>
          </cell>
          <cell r="BT64">
            <v>-0.6190278130384641</v>
          </cell>
          <cell r="BV64">
            <v>26.642135414685054</v>
          </cell>
          <cell r="CA64">
            <v>61.829006441538127</v>
          </cell>
          <cell r="CB64">
            <v>7.3146976315589862</v>
          </cell>
          <cell r="CD64">
            <v>16.844650960571727</v>
          </cell>
        </row>
        <row r="65">
          <cell r="A65" t="str">
            <v xml:space="preserve">  Consult/support</v>
          </cell>
          <cell r="AB65">
            <v>22.421686746987945</v>
          </cell>
          <cell r="AD65">
            <v>52.563811255017811</v>
          </cell>
          <cell r="AH65">
            <v>37.756410256410255</v>
          </cell>
          <cell r="AJ65">
            <v>61.160484759456502</v>
          </cell>
          <cell r="AN65">
            <v>25.593406593406609</v>
          </cell>
          <cell r="AP65">
            <v>43.481431957697644</v>
          </cell>
          <cell r="AS65">
            <v>41.472730502753606</v>
          </cell>
          <cell r="AT65">
            <v>50.277808645405052</v>
          </cell>
          <cell r="AW65">
            <v>30.412062023472981</v>
          </cell>
          <cell r="AX65">
            <v>37.978454053517339</v>
          </cell>
          <cell r="AZ65">
            <v>26.452224768829542</v>
          </cell>
          <cell r="BA65">
            <v>30.858627290128517</v>
          </cell>
          <cell r="BC65">
            <v>26.638855780691305</v>
          </cell>
          <cell r="BD65">
            <v>43.741263184648616</v>
          </cell>
          <cell r="BF65">
            <v>19.294280153198972</v>
          </cell>
          <cell r="BG65">
            <v>40.496173327910689</v>
          </cell>
          <cell r="BI65">
            <v>15.136904976073119</v>
          </cell>
          <cell r="BJ65">
            <v>21.89600529376936</v>
          </cell>
          <cell r="BK65">
            <v>14.932366722659363</v>
          </cell>
          <cell r="BL65">
            <v>7.8947368421052655</v>
          </cell>
          <cell r="BP65">
            <v>52.582506609056537</v>
          </cell>
          <cell r="BS65">
            <v>25.23613465730201</v>
          </cell>
          <cell r="BT65">
            <v>38.495131498075217</v>
          </cell>
          <cell r="BV65">
            <v>14.451218087963946</v>
          </cell>
          <cell r="CA65">
            <v>51.604669849222496</v>
          </cell>
          <cell r="CB65">
            <v>40.382363484287232</v>
          </cell>
          <cell r="CD65">
            <v>22.567795311781836</v>
          </cell>
        </row>
        <row r="66">
          <cell r="A66" t="str">
            <v>Total revenues</v>
          </cell>
          <cell r="AB66">
            <v>38.69191919191919</v>
          </cell>
          <cell r="AD66">
            <v>58.167684040277564</v>
          </cell>
          <cell r="AH66">
            <v>32.297734627831723</v>
          </cell>
          <cell r="AJ66">
            <v>49.874003950146452</v>
          </cell>
          <cell r="AN66">
            <v>34.395833333333336</v>
          </cell>
          <cell r="AP66">
            <v>45.151304692925876</v>
          </cell>
          <cell r="AS66">
            <v>33</v>
          </cell>
          <cell r="AT66">
            <v>41.035878165986176</v>
          </cell>
          <cell r="AW66">
            <v>33.5</v>
          </cell>
          <cell r="AX66">
            <v>9.0975062673175788</v>
          </cell>
          <cell r="AZ66">
            <v>34</v>
          </cell>
          <cell r="BA66">
            <v>13.556908721863747</v>
          </cell>
          <cell r="BC66">
            <v>34.5</v>
          </cell>
          <cell r="BD66">
            <v>12.51828459719202</v>
          </cell>
          <cell r="BF66">
            <v>35</v>
          </cell>
          <cell r="BG66">
            <v>14.001716430337275</v>
          </cell>
          <cell r="BI66">
            <v>19.429158855898908</v>
          </cell>
          <cell r="BJ66">
            <v>20.051221854657975</v>
          </cell>
          <cell r="BK66">
            <v>22.712803440818409</v>
          </cell>
          <cell r="BL66">
            <v>23.595505617977519</v>
          </cell>
          <cell r="BP66">
            <v>59.515658261461127</v>
          </cell>
          <cell r="BS66">
            <v>34.776058827980449</v>
          </cell>
          <cell r="BT66">
            <v>12.435400981761124</v>
          </cell>
          <cell r="BV66">
            <v>21.63035893759082</v>
          </cell>
          <cell r="CA66">
            <v>58.035181872391163</v>
          </cell>
          <cell r="CB66">
            <v>18.160868184971378</v>
          </cell>
          <cell r="CD66">
            <v>19.07486458965608</v>
          </cell>
        </row>
        <row r="67">
          <cell r="A67" t="str">
            <v>Operating expenses</v>
          </cell>
        </row>
        <row r="68">
          <cell r="A68" t="str">
            <v xml:space="preserve">  Sales &amp; mkting</v>
          </cell>
          <cell r="AB68">
            <v>15.974025974025974</v>
          </cell>
          <cell r="AD68">
            <v>48.445643509718586</v>
          </cell>
          <cell r="AH68">
            <v>7.202380952380949</v>
          </cell>
          <cell r="AJ68">
            <v>33.838331430943235</v>
          </cell>
          <cell r="AN68">
            <v>24.555555555555575</v>
          </cell>
          <cell r="AP68">
            <v>28.518689432395018</v>
          </cell>
          <cell r="AS68">
            <v>37.587268993839842</v>
          </cell>
          <cell r="AT68">
            <v>31.808952468850936</v>
          </cell>
          <cell r="AW68">
            <v>31.885245901639347</v>
          </cell>
          <cell r="AX68">
            <v>17.876910367616695</v>
          </cell>
          <cell r="AZ68">
            <v>30.158172231985937</v>
          </cell>
          <cell r="BA68">
            <v>58.888975034889143</v>
          </cell>
          <cell r="BC68">
            <v>26.689409210730332</v>
          </cell>
          <cell r="BD68">
            <v>22.545780969479345</v>
          </cell>
          <cell r="BF68">
            <v>34.318334452652799</v>
          </cell>
          <cell r="BG68">
            <v>29.538213773063049</v>
          </cell>
          <cell r="BI68">
            <v>9.3279136589810019</v>
          </cell>
          <cell r="BJ68">
            <v>-14.607070534559741</v>
          </cell>
          <cell r="BK68">
            <v>11.928272143924534</v>
          </cell>
          <cell r="BL68">
            <v>7.0270270270270219</v>
          </cell>
          <cell r="BP68">
            <v>51.063301356679382</v>
          </cell>
          <cell r="BS68">
            <v>30.774163053083715</v>
          </cell>
          <cell r="BT68">
            <v>32.170007235550038</v>
          </cell>
          <cell r="BV68">
            <v>2.378887198373314</v>
          </cell>
          <cell r="CA68">
            <v>63.825169973636761</v>
          </cell>
          <cell r="CB68">
            <v>32.84669332636696</v>
          </cell>
          <cell r="CD68">
            <v>6.9454003645522233</v>
          </cell>
        </row>
        <row r="69">
          <cell r="A69" t="str">
            <v xml:space="preserve">  R &amp; D</v>
          </cell>
          <cell r="AB69">
            <v>40.468749999999986</v>
          </cell>
          <cell r="AD69">
            <v>45.060274352223949</v>
          </cell>
          <cell r="AH69">
            <v>35.151515151515156</v>
          </cell>
          <cell r="AJ69">
            <v>54.527669088876472</v>
          </cell>
          <cell r="AN69">
            <v>19.700000000000006</v>
          </cell>
          <cell r="AP69">
            <v>24.87997439453753</v>
          </cell>
          <cell r="AS69">
            <v>32.241707162476253</v>
          </cell>
          <cell r="AT69">
            <v>33.628507414915191</v>
          </cell>
          <cell r="AW69">
            <v>26.993748816063643</v>
          </cell>
          <cell r="AX69">
            <v>28.847072308720989</v>
          </cell>
          <cell r="AZ69">
            <v>29.25549602808055</v>
          </cell>
          <cell r="BA69">
            <v>58.166033640803015</v>
          </cell>
          <cell r="BC69">
            <v>27.691027135009151</v>
          </cell>
          <cell r="BD69">
            <v>27.031183255019208</v>
          </cell>
          <cell r="BF69">
            <v>34.564626937210406</v>
          </cell>
          <cell r="BG69">
            <v>35.728542914171648</v>
          </cell>
          <cell r="BI69">
            <v>12.684409518867223</v>
          </cell>
          <cell r="BJ69">
            <v>-1.3722126929674006</v>
          </cell>
          <cell r="BK69">
            <v>24.419934091061933</v>
          </cell>
          <cell r="BL69">
            <v>15.882352941176459</v>
          </cell>
          <cell r="BP69">
            <v>57.149702238346237</v>
          </cell>
          <cell r="BS69">
            <v>29.773499433748583</v>
          </cell>
          <cell r="BT69">
            <v>37.351662040780639</v>
          </cell>
          <cell r="BV69">
            <v>12.414078411405317</v>
          </cell>
          <cell r="CA69">
            <v>54.772574501456425</v>
          </cell>
          <cell r="CB69">
            <v>37.009740640769849</v>
          </cell>
          <cell r="CD69">
            <v>16.40655782639233</v>
          </cell>
        </row>
        <row r="70">
          <cell r="A70" t="str">
            <v xml:space="preserve">  G &amp; A</v>
          </cell>
          <cell r="AB70">
            <v>41.117647058823522</v>
          </cell>
          <cell r="AD70">
            <v>40.155371015269203</v>
          </cell>
          <cell r="AH70">
            <v>25.619047619047606</v>
          </cell>
          <cell r="AJ70">
            <v>30.224134027620565</v>
          </cell>
          <cell r="AN70">
            <v>56.400000000000006</v>
          </cell>
          <cell r="AP70">
            <v>40.848307563727545</v>
          </cell>
          <cell r="AS70">
            <v>19.446467589220685</v>
          </cell>
          <cell r="AT70">
            <v>23.965733389051415</v>
          </cell>
          <cell r="AW70">
            <v>37.344398340248965</v>
          </cell>
          <cell r="AX70">
            <v>32.243883792048948</v>
          </cell>
          <cell r="AZ70">
            <v>5.6737588652482351</v>
          </cell>
          <cell r="BA70">
            <v>42.593880389429771</v>
          </cell>
          <cell r="BC70">
            <v>-7.413010590015146</v>
          </cell>
          <cell r="BD70">
            <v>0.78623349651387731</v>
          </cell>
          <cell r="BF70">
            <v>19.512195121951216</v>
          </cell>
          <cell r="BG70">
            <v>17.984156413281639</v>
          </cell>
          <cell r="BI70">
            <v>1.1706894059835271</v>
          </cell>
          <cell r="BJ70">
            <v>-9.7781029017312786</v>
          </cell>
          <cell r="BK70">
            <v>11.863408890197235</v>
          </cell>
          <cell r="BL70">
            <v>11.428571428571432</v>
          </cell>
          <cell r="BP70">
            <v>65.44263105835806</v>
          </cell>
          <cell r="BS70">
            <v>12.031985651296617</v>
          </cell>
          <cell r="BT70">
            <v>22.220813255558379</v>
          </cell>
          <cell r="BV70">
            <v>3.0606951409303251</v>
          </cell>
          <cell r="CA70">
            <v>37.290729933990249</v>
          </cell>
          <cell r="CB70">
            <v>23.708409222158068</v>
          </cell>
          <cell r="CD70">
            <v>4.1367423154266003</v>
          </cell>
        </row>
        <row r="71">
          <cell r="A71" t="str">
            <v>Operating income</v>
          </cell>
          <cell r="AB71">
            <v>292.09090909090946</v>
          </cell>
          <cell r="AD71">
            <v>206.83708038189059</v>
          </cell>
          <cell r="AH71">
            <v>182.42937853107341</v>
          </cell>
          <cell r="AJ71">
            <v>148.46089850249632</v>
          </cell>
          <cell r="AN71">
            <v>63.93939393939403</v>
          </cell>
          <cell r="AP71">
            <v>56.943181818181834</v>
          </cell>
          <cell r="AS71">
            <v>56.171693735498863</v>
          </cell>
          <cell r="AT71">
            <v>79.193181818181799</v>
          </cell>
          <cell r="AW71">
            <v>44.5849479910257</v>
          </cell>
          <cell r="AX71">
            <v>-80.738733313259132</v>
          </cell>
          <cell r="AZ71">
            <v>56.250437215809754</v>
          </cell>
          <cell r="BA71">
            <v>-147.10363301523515</v>
          </cell>
          <cell r="BC71">
            <v>56.041423570594958</v>
          </cell>
          <cell r="BD71">
            <v>-28.897255810585666</v>
          </cell>
          <cell r="BF71">
            <v>76.164017233694764</v>
          </cell>
          <cell r="BG71">
            <v>-27.611135772718587</v>
          </cell>
          <cell r="BI71">
            <v>308.15528921313336</v>
          </cell>
          <cell r="BJ71">
            <v>-290.37675493158019</v>
          </cell>
          <cell r="BK71">
            <v>56.619144602851136</v>
          </cell>
          <cell r="BL71">
            <v>82.501095050372271</v>
          </cell>
          <cell r="BP71">
            <v>146.94481281240394</v>
          </cell>
          <cell r="BS71">
            <v>59.365499008592252</v>
          </cell>
          <cell r="BT71">
            <v>-65.959719551748861</v>
          </cell>
          <cell r="BV71">
            <v>212.41798368231804</v>
          </cell>
          <cell r="CA71">
            <v>82.253336965404358</v>
          </cell>
          <cell r="CB71">
            <v>-50.851302785265041</v>
          </cell>
          <cell r="CD71">
            <v>107.21173620949705</v>
          </cell>
        </row>
        <row r="72">
          <cell r="A72" t="str">
            <v>Pro forma</v>
          </cell>
        </row>
        <row r="73">
          <cell r="A73" t="str">
            <v>Net income</v>
          </cell>
          <cell r="AB73">
            <v>272.76923076923111</v>
          </cell>
          <cell r="AD73">
            <v>201.08359133126902</v>
          </cell>
          <cell r="AH73">
            <v>161.98156682027647</v>
          </cell>
          <cell r="AJ73">
            <v>155.25817263321557</v>
          </cell>
          <cell r="AN73">
            <v>116.69444444444457</v>
          </cell>
          <cell r="AP73">
            <v>96.319349131016963</v>
          </cell>
          <cell r="AS73">
            <v>92.154150197628496</v>
          </cell>
          <cell r="AT73">
            <v>85.190153505739104</v>
          </cell>
          <cell r="AW73">
            <v>80.741970658207535</v>
          </cell>
          <cell r="AX73">
            <v>-44.267352185090061</v>
          </cell>
          <cell r="AZ73">
            <v>82.944803474944393</v>
          </cell>
          <cell r="BA73">
            <v>-106.06755470980013</v>
          </cell>
          <cell r="BC73">
            <v>45.309589601883005</v>
          </cell>
          <cell r="BD73">
            <v>-12.668610733472384</v>
          </cell>
          <cell r="BF73">
            <v>58.979738763755975</v>
          </cell>
          <cell r="BG73">
            <v>-19.420361284733822</v>
          </cell>
          <cell r="BI73">
            <v>83.464022140221658</v>
          </cell>
          <cell r="BJ73">
            <v>-1736.9374313940846</v>
          </cell>
          <cell r="BK73">
            <v>32.870370370370217</v>
          </cell>
          <cell r="BL73">
            <v>63.687966266623363</v>
          </cell>
          <cell r="BP73">
            <v>181.49819040916802</v>
          </cell>
          <cell r="BS73">
            <v>63.775094305930736</v>
          </cell>
          <cell r="BT73">
            <v>-42.939484940644604</v>
          </cell>
          <cell r="BV73">
            <v>100.33122487397077</v>
          </cell>
          <cell r="CA73">
            <v>106.25099425541298</v>
          </cell>
          <cell r="CB73">
            <v>-26.752989914250158</v>
          </cell>
          <cell r="CD73">
            <v>56.673002290942584</v>
          </cell>
        </row>
        <row r="74">
          <cell r="A74" t="str">
            <v>EPS</v>
          </cell>
          <cell r="AB74">
            <v>187.67731050428074</v>
          </cell>
          <cell r="AD74">
            <v>151.90426074770943</v>
          </cell>
          <cell r="AH74">
            <v>133.92469524052441</v>
          </cell>
          <cell r="AJ74">
            <v>127.04164633629462</v>
          </cell>
          <cell r="AN74">
            <v>76.010203567001483</v>
          </cell>
          <cell r="AP74">
            <v>73.063869282321647</v>
          </cell>
          <cell r="AS74">
            <v>59.230366600790553</v>
          </cell>
          <cell r="AT74">
            <v>68.387947523242758</v>
          </cell>
          <cell r="AW74">
            <v>59.826750812531706</v>
          </cell>
          <cell r="AX74">
            <v>-46.296103181052608</v>
          </cell>
          <cell r="AZ74">
            <v>64.882224991009736</v>
          </cell>
          <cell r="BA74">
            <v>-105.8570264188033</v>
          </cell>
          <cell r="BC74">
            <v>43.789302551632268</v>
          </cell>
          <cell r="BD74">
            <v>-15.601485392955961</v>
          </cell>
          <cell r="BF74">
            <v>59.61312417715736</v>
          </cell>
          <cell r="BG74">
            <v>-22.068128954256427</v>
          </cell>
          <cell r="BI74">
            <v>73.677269221462936</v>
          </cell>
          <cell r="BJ74">
            <v>-1653.9327694757339</v>
          </cell>
          <cell r="BK74">
            <v>30.610709407889324</v>
          </cell>
          <cell r="BL74">
            <v>61.047837778452021</v>
          </cell>
          <cell r="BP74">
            <v>127.6917393554136</v>
          </cell>
          <cell r="BS74">
            <v>54.738992239858788</v>
          </cell>
          <cell r="BT74">
            <v>-44.89984849526153</v>
          </cell>
          <cell r="BV74">
            <v>93.478331725745306</v>
          </cell>
          <cell r="CA74">
            <v>56.515302617578513</v>
          </cell>
          <cell r="CB74">
            <v>-30.333067732949271</v>
          </cell>
          <cell r="CD74">
            <v>50.64866714755378</v>
          </cell>
        </row>
        <row r="75">
          <cell r="A75" t="str">
            <v>Avg. shares out</v>
          </cell>
          <cell r="AB75">
            <v>29.578947368421062</v>
          </cell>
          <cell r="AH75">
            <v>11.993975903614462</v>
          </cell>
          <cell r="AN75">
            <v>23.114705882352936</v>
          </cell>
          <cell r="AS75">
            <v>20.676824590488941</v>
          </cell>
          <cell r="AW75">
            <v>13.08618221877531</v>
          </cell>
          <cell r="AZ75">
            <v>10.954836693233316</v>
          </cell>
          <cell r="BC75">
            <v>1.0573019155613705</v>
          </cell>
          <cell r="BF75">
            <v>-0.39682539682538431</v>
          </cell>
          <cell r="BJ75">
            <v>5.3415864282439385</v>
          </cell>
          <cell r="BK75">
            <v>1.7300732633065641</v>
          </cell>
          <cell r="BL75">
            <v>1.6393442622950838</v>
          </cell>
          <cell r="BP75">
            <v>23.63127059685095</v>
          </cell>
          <cell r="BS75">
            <v>5.8395766543866356</v>
          </cell>
          <cell r="BT75">
            <v>3.557818810077773</v>
          </cell>
          <cell r="BV75">
            <v>3.5419434760991297</v>
          </cell>
          <cell r="CA75">
            <v>31.776887503042484</v>
          </cell>
          <cell r="CB75">
            <v>5.1388480907639034</v>
          </cell>
          <cell r="CD75">
            <v>3.9989302643402835</v>
          </cell>
        </row>
      </sheetData>
      <sheetData sheetId="1" refreshError="1">
        <row r="38">
          <cell r="BC38">
            <v>0.63585757558438549</v>
          </cell>
          <cell r="BD38">
            <v>0.9082975388598975</v>
          </cell>
        </row>
      </sheetData>
      <sheetData sheetId="2"/>
      <sheetData sheetId="3"/>
      <sheetData sheetId="4"/>
      <sheetData sheetId="5"/>
      <sheetData sheetId="6"/>
      <sheetData sheetId="7"/>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FAME Persistence"/>
      <sheetName val="Q4 - 98"/>
      <sheetName val="Q3 - 98"/>
      <sheetName val="Pre annc."/>
      <sheetName val="Q2 - 98"/>
      <sheetName val="Pre-Talkdown"/>
      <sheetName val="Q1 - 98"/>
      <sheetName val="Q4 - 97"/>
      <sheetName val="Q3 - 97"/>
      <sheetName val="Q2 - 97"/>
      <sheetName val="Q1 - 97"/>
      <sheetName val="Evolution exhibit"/>
      <sheetName val="Valuation"/>
      <sheetName val="Q4 - 96"/>
      <sheetName val="Q1 - 99"/>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Exhibit list"/>
      <sheetName val="initiation charts"/>
      <sheetName val="Exhibits"/>
      <sheetName val="QUICK SUMMARY"/>
      <sheetName val="SENSITIVITY"/>
      <sheetName val="peak and trough"/>
      <sheetName val="Job posting"/>
      <sheetName val="Recent Acquisition"/>
      <sheetName val="Disclosure"/>
      <sheetName val="COMP"/>
      <sheetName val="CF COMP"/>
      <sheetName val="LINKS&amp;INPUTS"/>
      <sheetName val="Earnings Cheat Sheet"/>
      <sheetName val="Upside_Downside"/>
      <sheetName val="RBC TDC Model"/>
    </sheetNames>
    <sheetDataSet>
      <sheetData sheetId="0"/>
      <sheetData sheetId="1" refreshError="1">
        <row r="8">
          <cell r="A8" t="str">
            <v>Consulting services and other revenues</v>
          </cell>
          <cell r="Z8">
            <v>0</v>
          </cell>
          <cell r="AA8">
            <v>0</v>
          </cell>
          <cell r="AB8">
            <v>0</v>
          </cell>
          <cell r="AC8">
            <v>0</v>
          </cell>
          <cell r="AD8">
            <v>104</v>
          </cell>
          <cell r="AE8">
            <v>109</v>
          </cell>
          <cell r="AF8">
            <v>110</v>
          </cell>
          <cell r="AG8">
            <v>117</v>
          </cell>
          <cell r="AH8">
            <v>112</v>
          </cell>
          <cell r="AI8">
            <v>115</v>
          </cell>
          <cell r="AJ8">
            <v>115</v>
          </cell>
          <cell r="AK8">
            <v>125</v>
          </cell>
          <cell r="AL8">
            <v>126</v>
          </cell>
          <cell r="AM8">
            <v>135</v>
          </cell>
          <cell r="AN8">
            <v>139</v>
          </cell>
          <cell r="AO8">
            <v>145</v>
          </cell>
          <cell r="AP8">
            <v>140</v>
          </cell>
          <cell r="AQ8">
            <v>151</v>
          </cell>
          <cell r="AR8">
            <v>147</v>
          </cell>
          <cell r="AS8">
            <v>153.70000000000002</v>
          </cell>
          <cell r="AT8">
            <v>149.99999999999997</v>
          </cell>
          <cell r="AU8">
            <v>160</v>
          </cell>
          <cell r="AV8">
            <v>161.70000000000002</v>
          </cell>
          <cell r="AW8">
            <v>169.07000000000002</v>
          </cell>
          <cell r="AX8">
            <v>164.99999999999997</v>
          </cell>
          <cell r="AY8">
            <v>176</v>
          </cell>
          <cell r="AZ8">
            <v>177.87000000000003</v>
          </cell>
          <cell r="BA8">
            <v>185.97700000000003</v>
          </cell>
          <cell r="BW8">
            <v>0</v>
          </cell>
          <cell r="BX8">
            <v>0</v>
          </cell>
          <cell r="BY8">
            <v>440</v>
          </cell>
          <cell r="BZ8">
            <v>467</v>
          </cell>
          <cell r="CA8">
            <v>545</v>
          </cell>
          <cell r="CB8">
            <v>591.70000000000005</v>
          </cell>
          <cell r="CC8">
            <v>640.7700000000001</v>
          </cell>
          <cell r="CD8">
            <v>704.84699999999998</v>
          </cell>
        </row>
        <row r="26">
          <cell r="A26" t="str">
            <v>Earnings per Share (U.S.$)</v>
          </cell>
          <cell r="Z26">
            <v>0.24684585847504112</v>
          </cell>
          <cell r="AA26">
            <v>0.39735099337748347</v>
          </cell>
          <cell r="AB26">
            <v>0.38461538461538458</v>
          </cell>
          <cell r="AC26">
            <v>0.47132311186825671</v>
          </cell>
          <cell r="AD26">
            <v>0.27538726333907054</v>
          </cell>
          <cell r="AE26">
            <v>0.37952846463484763</v>
          </cell>
          <cell r="AF26">
            <v>0.40206777713957498</v>
          </cell>
          <cell r="AG26">
            <v>0.50230946882217098</v>
          </cell>
          <cell r="AH26">
            <v>0.41055718475073316</v>
          </cell>
          <cell r="AI26">
            <v>0.45936395759717313</v>
          </cell>
          <cell r="AJ26">
            <v>0.46443268665490889</v>
          </cell>
          <cell r="AK26">
            <v>0.52631578947368418</v>
          </cell>
          <cell r="AL26">
            <v>0.47729918509895225</v>
          </cell>
          <cell r="AM26">
            <v>0.59744779582366592</v>
          </cell>
          <cell r="AN26">
            <v>0.58823529411764708</v>
          </cell>
          <cell r="AO26">
            <v>0.65966141272621126</v>
          </cell>
          <cell r="AP26">
            <v>0.60023310023310028</v>
          </cell>
          <cell r="AQ26">
            <v>0.76610562971561225</v>
          </cell>
          <cell r="AR26">
            <v>0.69025522041763343</v>
          </cell>
          <cell r="AS26">
            <v>0.73977744779582377</v>
          </cell>
          <cell r="AT26">
            <v>0.67523261112709043</v>
          </cell>
          <cell r="AU26">
            <v>0.77604232074625457</v>
          </cell>
          <cell r="AV26">
            <v>0.76977264893748132</v>
          </cell>
          <cell r="AW26">
            <v>0.8816189416081075</v>
          </cell>
          <cell r="AX26">
            <v>0.80487043268343939</v>
          </cell>
          <cell r="AY26">
            <v>0.87606083796925283</v>
          </cell>
          <cell r="AZ26">
            <v>0.86039277777138712</v>
          </cell>
          <cell r="BA26">
            <v>1.0289307968501953</v>
          </cell>
          <cell r="BB26" t="e">
            <v>#REF!</v>
          </cell>
          <cell r="BC26" t="e">
            <v>#REF!</v>
          </cell>
          <cell r="BD26" t="e">
            <v>#REF!</v>
          </cell>
          <cell r="BE26" t="e">
            <v>#REF!</v>
          </cell>
          <cell r="BF26" t="e">
            <v>#REF!</v>
          </cell>
          <cell r="BG26" t="e">
            <v>#REF!</v>
          </cell>
          <cell r="BH26" t="e">
            <v>#REF!</v>
          </cell>
          <cell r="BI26" t="e">
            <v>#REF!</v>
          </cell>
          <cell r="BJ26" t="e">
            <v>#REF!</v>
          </cell>
          <cell r="BK26" t="e">
            <v>#REF!</v>
          </cell>
          <cell r="BL26" t="e">
            <v>#REF!</v>
          </cell>
          <cell r="BM26" t="e">
            <v>#REF!</v>
          </cell>
          <cell r="BN26" t="e">
            <v>#REF!</v>
          </cell>
          <cell r="BO26" t="e">
            <v>#REF!</v>
          </cell>
          <cell r="BP26" t="e">
            <v>#REF!</v>
          </cell>
          <cell r="BQ26" t="e">
            <v>#REF!</v>
          </cell>
          <cell r="BR26" t="e">
            <v>#REF!</v>
          </cell>
          <cell r="BS26" t="e">
            <v>#REF!</v>
          </cell>
          <cell r="BT26" t="e">
            <v>#REF!</v>
          </cell>
          <cell r="BU26" t="e">
            <v>#REF!</v>
          </cell>
          <cell r="BV26" t="e">
            <v>#REF!</v>
          </cell>
          <cell r="BW26">
            <v>0</v>
          </cell>
          <cell r="BX26">
            <v>1.4965229485396383</v>
          </cell>
          <cell r="BY26">
            <v>1.5585909417685118</v>
          </cell>
          <cell r="BZ26">
            <v>1.8331646667630475</v>
          </cell>
          <cell r="CA26">
            <v>2.3224679860302677</v>
          </cell>
          <cell r="CB26">
            <v>2.7967918222738497</v>
          </cell>
          <cell r="CC26">
            <v>3.102666522418934</v>
          </cell>
          <cell r="CD26">
            <v>3.5702548452742748</v>
          </cell>
          <cell r="CE26">
            <v>0</v>
          </cell>
          <cell r="CF26">
            <v>0</v>
          </cell>
          <cell r="CG26">
            <v>0</v>
          </cell>
          <cell r="CH26">
            <v>0</v>
          </cell>
          <cell r="CK26">
            <v>0.14130329070965897</v>
          </cell>
          <cell r="CW26" t="str">
            <v xml:space="preserve">      % of Revenue</v>
          </cell>
          <cell r="CZ26">
            <v>0.29081334113516677</v>
          </cell>
          <cell r="DA26">
            <v>0.27685950413223143</v>
          </cell>
          <cell r="DB26">
            <v>0.29164918170373477</v>
          </cell>
          <cell r="DC26">
            <v>0.29003169332930878</v>
          </cell>
          <cell r="DD26">
            <v>0.29275445165936975</v>
          </cell>
          <cell r="DE26">
            <v>0.28344851098542417</v>
          </cell>
        </row>
        <row r="546">
          <cell r="A546" t="str">
            <v>Proceeds from sales and maturities of short-term investments</v>
          </cell>
          <cell r="Z546">
            <v>0</v>
          </cell>
          <cell r="AA546">
            <v>0</v>
          </cell>
          <cell r="AB546">
            <v>0</v>
          </cell>
          <cell r="AC546">
            <v>50</v>
          </cell>
          <cell r="AD546">
            <v>0</v>
          </cell>
          <cell r="AE546">
            <v>65</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X546">
            <v>50</v>
          </cell>
          <cell r="BY546">
            <v>65</v>
          </cell>
          <cell r="BZ546">
            <v>0</v>
          </cell>
          <cell r="CA546">
            <v>0</v>
          </cell>
          <cell r="CB546">
            <v>0</v>
          </cell>
          <cell r="CC546">
            <v>0</v>
          </cell>
          <cell r="CD546">
            <v>0</v>
          </cell>
          <cell r="CE546">
            <v>0</v>
          </cell>
          <cell r="CF546">
            <v>0</v>
          </cell>
          <cell r="CG546">
            <v>0</v>
          </cell>
          <cell r="CH546">
            <v>0</v>
          </cell>
        </row>
      </sheetData>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iesLines"/>
      <sheetName val="Input"/>
      <sheetName val="DebtInput"/>
      <sheetName val="IncStatement"/>
      <sheetName val="BalanceSheet"/>
      <sheetName val="CashFlow"/>
      <sheetName val="DebtSchedule"/>
      <sheetName val="NWI"/>
      <sheetName val="OperatingRatios"/>
      <sheetName val="CreditRatios"/>
      <sheetName val="IncStat(PctofSales)"/>
      <sheetName val="Reconciliations"/>
      <sheetName val="ValuationInput"/>
      <sheetName val="Valuation"/>
      <sheetName val="ValuationSummary"/>
      <sheetName val="Storage"/>
      <sheetName val="XLMMacros"/>
      <sheetName val="DialogBanner"/>
      <sheetName val="DialogCheck"/>
      <sheetName val="DialogExport"/>
      <sheetName val="DialogGoTo"/>
      <sheetName val="DialogImbalance"/>
      <sheetName val="DialogImport"/>
      <sheetName val="DialogPrint"/>
      <sheetName val="DialogPrintAlert"/>
      <sheetName val="DialogSettings"/>
      <sheetName val="DialogSkipFactor"/>
      <sheetName val="DialogTV"/>
      <sheetName val="DialogWarning"/>
      <sheetName val="DialogWelcome"/>
      <sheetName val="ProImportExport"/>
      <sheetName val="ProSetPeriods"/>
      <sheetName val="ProTV"/>
      <sheetName val="ProUtil"/>
      <sheetName val="ProPrint"/>
    </sheetNames>
    <sheetDataSet>
      <sheetData sheetId="0" refreshError="1"/>
      <sheetData sheetId="1" refreshError="1">
        <row r="1">
          <cell r="C1" t="str">
            <v>Anyco</v>
          </cell>
        </row>
        <row r="4">
          <cell r="C4" t="str">
            <v>$ millions</v>
          </cell>
        </row>
      </sheetData>
      <sheetData sheetId="2"/>
      <sheetData sheetId="3"/>
      <sheetData sheetId="4"/>
      <sheetData sheetId="5"/>
      <sheetData sheetId="6" refreshError="1"/>
      <sheetData sheetId="7" refreshError="1"/>
      <sheetData sheetId="8" refreshError="1"/>
      <sheetData sheetId="9"/>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Model"/>
      <sheetName val="Revs"/>
      <sheetName val="LaRonde"/>
      <sheetName val="Valuation-NAV"/>
      <sheetName val="PubFin"/>
      <sheetName val="Charts"/>
      <sheetName val="Vezza"/>
      <sheetName val="Goldex"/>
      <sheetName val="DS_Key_Information"/>
      <sheetName val="DS_Quarterly_Estimates_Data"/>
      <sheetName val="DS_Valuation_Measures"/>
      <sheetName val="DS_Income_Statement"/>
      <sheetName val="DS_Cash_Flow"/>
      <sheetName val="DS_Balance_Sheet"/>
      <sheetName val="DS_Industry_Specif"/>
      <sheetName val="RBCGold"/>
    </sheetNames>
    <sheetDataSet>
      <sheetData sheetId="0"/>
      <sheetData sheetId="1" refreshError="1">
        <row r="57">
          <cell r="AR57">
            <v>149.82123199764209</v>
          </cell>
          <cell r="AS57">
            <v>149.82123199764209</v>
          </cell>
          <cell r="AT57">
            <v>187.87848333938368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 Sum"/>
      <sheetName val="OnePager"/>
      <sheetName val="Output"/>
      <sheetName val="EPS Model"/>
      <sheetName val="xPeers"/>
      <sheetName val="exhibits"/>
      <sheetName val="Long Canyon"/>
      <sheetName val="Investments"/>
      <sheetName val="Michelin"/>
      <sheetName val="AuCu Val"/>
      <sheetName val="Val Detail"/>
      <sheetName val="OptionsWarrants"/>
      <sheetName val="LC Val"/>
      <sheetName val="AXU Target Price"/>
      <sheetName val="XAU Acq"/>
      <sheetName val="Nthblnd"/>
      <sheetName val="Cu Comps"/>
      <sheetName val="Halilaga"/>
      <sheetName val="FinStat"/>
      <sheetName val="Output for T&amp;V"/>
      <sheetName val="Output for Cheat Sheet"/>
      <sheetName val="RBCCM_Key_Information"/>
      <sheetName val="RBCCM_Valuation_Measures"/>
      <sheetName val="RBCCM_Quarterly_Estimates_Data"/>
      <sheetName val="RBCCM_Income_Statement"/>
      <sheetName val="RBCCM_Cash_Flow"/>
      <sheetName val="RBCCM_Balance_Sheet"/>
      <sheetName val="RBCCM_Industry_Specif"/>
      <sheetName val="GoldCompSheet"/>
    </sheetNames>
    <sheetDataSet>
      <sheetData sheetId="0"/>
      <sheetData sheetId="1"/>
      <sheetData sheetId="2" refreshError="1">
        <row r="13">
          <cell r="Q13">
            <v>14.54</v>
          </cell>
        </row>
      </sheetData>
      <sheetData sheetId="3" refreshError="1">
        <row r="17">
          <cell r="H17">
            <v>48975467</v>
          </cell>
          <cell r="I17">
            <v>55038852</v>
          </cell>
          <cell r="J17">
            <v>59530825</v>
          </cell>
          <cell r="K17">
            <v>60423304</v>
          </cell>
          <cell r="L17">
            <v>55944336</v>
          </cell>
          <cell r="M17">
            <v>62795316</v>
          </cell>
          <cell r="N17">
            <v>67795165</v>
          </cell>
          <cell r="O17">
            <v>68847806</v>
          </cell>
          <cell r="P17">
            <v>70692759</v>
          </cell>
          <cell r="Q17">
            <v>67532761.5</v>
          </cell>
          <cell r="R17">
            <v>83186606</v>
          </cell>
          <cell r="S17">
            <v>83208907</v>
          </cell>
          <cell r="T17">
            <v>83226050</v>
          </cell>
          <cell r="U17">
            <v>83275668</v>
          </cell>
          <cell r="V17">
            <v>83224307.75</v>
          </cell>
          <cell r="W17">
            <v>100903019</v>
          </cell>
          <cell r="X17">
            <v>117554000</v>
          </cell>
          <cell r="Y17">
            <v>118765666</v>
          </cell>
          <cell r="Z17">
            <v>119248025</v>
          </cell>
          <cell r="AA17">
            <v>112383585</v>
          </cell>
          <cell r="AB17">
            <v>119823959</v>
          </cell>
          <cell r="AC17">
            <v>120244000</v>
          </cell>
          <cell r="AD17">
            <v>120665914</v>
          </cell>
          <cell r="AE17">
            <v>135635856</v>
          </cell>
          <cell r="AF17">
            <v>124092432.25</v>
          </cell>
          <cell r="AG17">
            <v>150567856</v>
          </cell>
          <cell r="AH17">
            <v>150567856</v>
          </cell>
          <cell r="AI17">
            <v>150567856</v>
          </cell>
          <cell r="AJ17">
            <v>150567856</v>
          </cell>
          <cell r="AK17">
            <v>150567856</v>
          </cell>
          <cell r="AL17">
            <v>150567856</v>
          </cell>
          <cell r="AM17">
            <v>150567856</v>
          </cell>
          <cell r="AN17">
            <v>150567856</v>
          </cell>
          <cell r="AO17">
            <v>150567856</v>
          </cell>
          <cell r="AP17">
            <v>150567856</v>
          </cell>
          <cell r="AQ17">
            <v>150567856</v>
          </cell>
          <cell r="AR17">
            <v>150567856</v>
          </cell>
          <cell r="AS17">
            <v>150567856</v>
          </cell>
          <cell r="AT17">
            <v>150567856</v>
          </cell>
          <cell r="AU17">
            <v>150567856</v>
          </cell>
        </row>
        <row r="18">
          <cell r="H18">
            <v>54534498</v>
          </cell>
          <cell r="I18">
            <v>55038852</v>
          </cell>
          <cell r="J18">
            <v>59530825</v>
          </cell>
          <cell r="K18">
            <v>66547881.5</v>
          </cell>
          <cell r="L18">
            <v>59991201</v>
          </cell>
          <cell r="M18">
            <v>65971831</v>
          </cell>
          <cell r="N18">
            <v>67795165</v>
          </cell>
          <cell r="O18">
            <v>68847806</v>
          </cell>
          <cell r="P18">
            <v>73245070</v>
          </cell>
          <cell r="Q18">
            <v>68964968</v>
          </cell>
          <cell r="R18">
            <v>83186606</v>
          </cell>
          <cell r="S18">
            <v>83208907</v>
          </cell>
          <cell r="T18">
            <v>83226050</v>
          </cell>
          <cell r="U18">
            <v>83275668</v>
          </cell>
          <cell r="V18">
            <v>83224307.75</v>
          </cell>
          <cell r="W18">
            <v>106624919</v>
          </cell>
          <cell r="X18">
            <v>122272000</v>
          </cell>
          <cell r="Y18">
            <v>126257407</v>
          </cell>
          <cell r="Z18">
            <v>126666008.5</v>
          </cell>
          <cell r="AA18">
            <v>113854359</v>
          </cell>
          <cell r="AB18">
            <v>127595864</v>
          </cell>
          <cell r="AC18">
            <v>120244000</v>
          </cell>
          <cell r="AD18">
            <v>120665914</v>
          </cell>
          <cell r="AE18">
            <v>148983660</v>
          </cell>
          <cell r="AF18">
            <v>129372359.5</v>
          </cell>
          <cell r="AG18">
            <v>163915660</v>
          </cell>
          <cell r="AH18">
            <v>163915660</v>
          </cell>
          <cell r="AI18">
            <v>163915660</v>
          </cell>
          <cell r="AJ18">
            <v>163915660</v>
          </cell>
          <cell r="AK18">
            <v>163915660</v>
          </cell>
          <cell r="AL18">
            <v>163915660</v>
          </cell>
          <cell r="AM18">
            <v>163915660</v>
          </cell>
          <cell r="AN18">
            <v>163915660</v>
          </cell>
          <cell r="AO18">
            <v>163915660</v>
          </cell>
          <cell r="AP18">
            <v>163915660</v>
          </cell>
          <cell r="AQ18">
            <v>163915660</v>
          </cell>
          <cell r="AR18">
            <v>163915660</v>
          </cell>
          <cell r="AS18">
            <v>163915660</v>
          </cell>
          <cell r="AT18">
            <v>163915660</v>
          </cell>
          <cell r="AU18">
            <v>163915660</v>
          </cell>
        </row>
      </sheetData>
      <sheetData sheetId="4"/>
      <sheetData sheetId="5"/>
      <sheetData sheetId="6" refreshError="1">
        <row r="7">
          <cell r="F7">
            <v>31.103000000000002</v>
          </cell>
        </row>
        <row r="10">
          <cell r="H10">
            <v>-4</v>
          </cell>
          <cell r="I10">
            <v>-3</v>
          </cell>
          <cell r="J10">
            <v>-2</v>
          </cell>
          <cell r="K10">
            <v>-1</v>
          </cell>
          <cell r="L10">
            <v>1</v>
          </cell>
          <cell r="M10">
            <v>2</v>
          </cell>
          <cell r="N10">
            <v>3</v>
          </cell>
          <cell r="O10">
            <v>4</v>
          </cell>
          <cell r="P10">
            <v>5</v>
          </cell>
          <cell r="Q10">
            <v>6</v>
          </cell>
          <cell r="R10">
            <v>7</v>
          </cell>
          <cell r="S10">
            <v>8</v>
          </cell>
          <cell r="T10">
            <v>9</v>
          </cell>
          <cell r="U10">
            <v>10</v>
          </cell>
          <cell r="V10">
            <v>11</v>
          </cell>
          <cell r="W10">
            <v>12</v>
          </cell>
        </row>
        <row r="12">
          <cell r="E12">
            <v>1.5</v>
          </cell>
        </row>
      </sheetData>
      <sheetData sheetId="7"/>
      <sheetData sheetId="8" refreshError="1">
        <row r="13">
          <cell r="L13">
            <v>0.06</v>
          </cell>
          <cell r="M13">
            <v>0.06</v>
          </cell>
          <cell r="N13">
            <v>0.06</v>
          </cell>
          <cell r="O13">
            <v>0.06</v>
          </cell>
          <cell r="P13">
            <v>0.06</v>
          </cell>
          <cell r="Q13">
            <v>0.06</v>
          </cell>
          <cell r="R13">
            <v>0.06</v>
          </cell>
          <cell r="S13">
            <v>0.06</v>
          </cell>
          <cell r="T13">
            <v>0.06</v>
          </cell>
          <cell r="U13">
            <v>0.06</v>
          </cell>
          <cell r="V13">
            <v>0.06</v>
          </cell>
          <cell r="W13">
            <v>3.2500000000000001E-2</v>
          </cell>
          <cell r="X13">
            <v>2.75E-2</v>
          </cell>
          <cell r="Y13">
            <v>2.8000000000000001E-2</v>
          </cell>
          <cell r="Z13">
            <v>2.7601000000000001E-2</v>
          </cell>
          <cell r="AA13">
            <v>2.8900249999999999E-2</v>
          </cell>
          <cell r="AB13">
            <v>1.2404399999999999E-2</v>
          </cell>
          <cell r="AC13">
            <v>8.4042000000000006E-3</v>
          </cell>
          <cell r="AD13">
            <v>4.1380999999999996E-3</v>
          </cell>
          <cell r="AE13">
            <v>2.6832000000000002E-3</v>
          </cell>
          <cell r="AF13">
            <v>6.9074749999999997E-3</v>
          </cell>
          <cell r="AG13">
            <v>3.4600500000000001E-3</v>
          </cell>
          <cell r="AH13">
            <v>8.0000000000000002E-3</v>
          </cell>
          <cell r="AI13">
            <v>8.0000000000000002E-3</v>
          </cell>
          <cell r="AJ13">
            <v>8.0000000000000002E-3</v>
          </cell>
          <cell r="AK13">
            <v>8.0000000000000002E-3</v>
          </cell>
          <cell r="AL13">
            <v>8.0000000000000002E-3</v>
          </cell>
          <cell r="AM13">
            <v>8.0000000000000002E-3</v>
          </cell>
          <cell r="AN13">
            <v>8.0000000000000002E-3</v>
          </cell>
          <cell r="AO13">
            <v>8.0000000000000002E-3</v>
          </cell>
          <cell r="AP13">
            <v>8.0000000000000002E-3</v>
          </cell>
          <cell r="AQ13">
            <v>8.0000000000000002E-3</v>
          </cell>
          <cell r="AR13">
            <v>8.0000000000000002E-3</v>
          </cell>
          <cell r="AS13">
            <v>8.0000000000000002E-3</v>
          </cell>
          <cell r="AT13">
            <v>8.0000000000000002E-3</v>
          </cell>
          <cell r="AU13">
            <v>8.0000000000000002E-3</v>
          </cell>
          <cell r="AV13">
            <v>8.0000000000000002E-3</v>
          </cell>
          <cell r="AW13">
            <v>8.0000000000000002E-3</v>
          </cell>
          <cell r="AX13">
            <v>8.0000000000000002E-3</v>
          </cell>
          <cell r="AY13">
            <v>8.0000000000000002E-3</v>
          </cell>
          <cell r="AZ13">
            <v>8.0000000000000002E-3</v>
          </cell>
          <cell r="BA13">
            <v>8.0000000000000002E-3</v>
          </cell>
        </row>
        <row r="25">
          <cell r="L25">
            <v>0.82589999999999997</v>
          </cell>
          <cell r="M25">
            <v>0.86639999999999995</v>
          </cell>
          <cell r="N25">
            <v>0.89102604289470866</v>
          </cell>
          <cell r="O25">
            <v>0.89180000000000004</v>
          </cell>
          <cell r="P25">
            <v>0.87771757607958556</v>
          </cell>
          <cell r="Q25">
            <v>0.88173590474357355</v>
          </cell>
          <cell r="R25">
            <v>0.85341999999999996</v>
          </cell>
          <cell r="S25">
            <v>0.91090000000000004</v>
          </cell>
          <cell r="T25">
            <v>0.95679999999999998</v>
          </cell>
          <cell r="U25">
            <v>1.0190999999999999</v>
          </cell>
          <cell r="V25">
            <v>0.93505499999999997</v>
          </cell>
          <cell r="W25">
            <v>0.995</v>
          </cell>
          <cell r="X25">
            <v>0.99</v>
          </cell>
          <cell r="Y25">
            <v>0.96</v>
          </cell>
          <cell r="Z25">
            <v>0.81499999999999995</v>
          </cell>
          <cell r="AA25">
            <v>0.94</v>
          </cell>
          <cell r="AB25">
            <v>0.8037541652123994</v>
          </cell>
          <cell r="AC25">
            <v>0.85667759167531898</v>
          </cell>
          <cell r="AD25">
            <v>0.91149765509665293</v>
          </cell>
          <cell r="AE25">
            <v>0.94688764953479931</v>
          </cell>
          <cell r="AF25">
            <v>0.87629961183151672</v>
          </cell>
          <cell r="AG25">
            <v>0.96970000000000001</v>
          </cell>
          <cell r="AH25">
            <v>0.97370000000000001</v>
          </cell>
          <cell r="AI25">
            <v>0.96097577000000001</v>
          </cell>
          <cell r="AJ25">
            <v>0.94348670999999984</v>
          </cell>
          <cell r="AK25">
            <v>0.93468892999999997</v>
          </cell>
          <cell r="AL25">
            <v>0.82000000000000006</v>
          </cell>
          <cell r="AM25">
            <v>0.82000000000000006</v>
          </cell>
          <cell r="AN25">
            <v>0.82000000000000006</v>
          </cell>
          <cell r="AO25">
            <v>0.82000000000000006</v>
          </cell>
          <cell r="AP25">
            <v>0.82000000000000006</v>
          </cell>
          <cell r="AQ25">
            <v>0.82000000000000006</v>
          </cell>
          <cell r="AR25">
            <v>0.82000000000000006</v>
          </cell>
          <cell r="AS25">
            <v>0.82000000000000006</v>
          </cell>
          <cell r="AT25">
            <v>0.82000000000000006</v>
          </cell>
          <cell r="AU25">
            <v>0.82000000000000006</v>
          </cell>
          <cell r="AV25">
            <v>0.82000000000000006</v>
          </cell>
          <cell r="AW25">
            <v>0.82000000000000006</v>
          </cell>
          <cell r="AX25">
            <v>0.82000000000000006</v>
          </cell>
          <cell r="AY25">
            <v>0.82000000000000006</v>
          </cell>
          <cell r="AZ25">
            <v>0.82000000000000006</v>
          </cell>
          <cell r="BA25">
            <v>0.82000000000000006</v>
          </cell>
          <cell r="BB25">
            <v>0.82000000000000006</v>
          </cell>
          <cell r="BC25">
            <v>0.82000000000000006</v>
          </cell>
          <cell r="BD25">
            <v>0.82000000000000006</v>
          </cell>
          <cell r="BE25">
            <v>0.82000000000000006</v>
          </cell>
          <cell r="BF25">
            <v>0.82000000000000006</v>
          </cell>
          <cell r="BG25">
            <v>0.82000000000000006</v>
          </cell>
          <cell r="BH25">
            <v>0.82000000000000006</v>
          </cell>
          <cell r="BI25">
            <v>0.82000000000000006</v>
          </cell>
          <cell r="BJ25">
            <v>0.82000000000000006</v>
          </cell>
          <cell r="BK25">
            <v>0.82000000000000006</v>
          </cell>
          <cell r="BL25">
            <v>0.82000000000000006</v>
          </cell>
          <cell r="BM25">
            <v>0.82000000000000006</v>
          </cell>
        </row>
        <row r="29">
          <cell r="A29" t="str">
            <v>MICHELIN/JACQUES LAKE, LABRADOR</v>
          </cell>
        </row>
        <row r="43">
          <cell r="E43">
            <v>2017</v>
          </cell>
        </row>
        <row r="45">
          <cell r="Q45">
            <v>-11</v>
          </cell>
          <cell r="R45">
            <v>-10</v>
          </cell>
          <cell r="S45">
            <v>-10</v>
          </cell>
          <cell r="T45">
            <v>-10</v>
          </cell>
          <cell r="U45">
            <v>-10</v>
          </cell>
          <cell r="V45">
            <v>-10</v>
          </cell>
          <cell r="W45">
            <v>-9</v>
          </cell>
          <cell r="X45">
            <v>-9</v>
          </cell>
          <cell r="Y45">
            <v>-9</v>
          </cell>
          <cell r="Z45">
            <v>-9</v>
          </cell>
          <cell r="AA45">
            <v>-9</v>
          </cell>
          <cell r="AB45">
            <v>-8</v>
          </cell>
          <cell r="AC45">
            <v>-8</v>
          </cell>
          <cell r="AD45">
            <v>-8</v>
          </cell>
          <cell r="AE45">
            <v>-8</v>
          </cell>
          <cell r="AF45">
            <v>-8</v>
          </cell>
          <cell r="AG45">
            <v>-7</v>
          </cell>
          <cell r="AH45">
            <v>-6</v>
          </cell>
          <cell r="AI45">
            <v>-5</v>
          </cell>
          <cell r="AJ45">
            <v>-4</v>
          </cell>
          <cell r="AK45">
            <v>-3</v>
          </cell>
          <cell r="AL45">
            <v>-2</v>
          </cell>
          <cell r="AM45">
            <v>-1</v>
          </cell>
          <cell r="AN45">
            <v>1</v>
          </cell>
          <cell r="AO45">
            <v>2</v>
          </cell>
          <cell r="AP45">
            <v>3</v>
          </cell>
          <cell r="AQ45">
            <v>4</v>
          </cell>
          <cell r="AR45">
            <v>5</v>
          </cell>
          <cell r="AS45">
            <v>6</v>
          </cell>
          <cell r="AT45">
            <v>7</v>
          </cell>
          <cell r="AU45">
            <v>8</v>
          </cell>
          <cell r="AV45">
            <v>9</v>
          </cell>
          <cell r="AW45">
            <v>10</v>
          </cell>
          <cell r="AX45">
            <v>11</v>
          </cell>
          <cell r="AY45">
            <v>12</v>
          </cell>
          <cell r="AZ45">
            <v>13</v>
          </cell>
          <cell r="BA45">
            <v>14</v>
          </cell>
          <cell r="BB45">
            <v>15</v>
          </cell>
          <cell r="BC45">
            <v>16</v>
          </cell>
          <cell r="BD45">
            <v>17</v>
          </cell>
          <cell r="BE45">
            <v>18</v>
          </cell>
          <cell r="BF45">
            <v>19</v>
          </cell>
          <cell r="BG45">
            <v>20</v>
          </cell>
          <cell r="BH45">
            <v>21</v>
          </cell>
          <cell r="BI45">
            <v>22</v>
          </cell>
          <cell r="BJ45">
            <v>23</v>
          </cell>
          <cell r="BK45">
            <v>24</v>
          </cell>
          <cell r="BL45">
            <v>25</v>
          </cell>
          <cell r="BM45">
            <v>26</v>
          </cell>
        </row>
        <row r="60">
          <cell r="Q60">
            <v>0</v>
          </cell>
        </row>
        <row r="64">
          <cell r="E64">
            <v>0.35</v>
          </cell>
        </row>
        <row r="65">
          <cell r="E65">
            <v>6</v>
          </cell>
        </row>
        <row r="75">
          <cell r="F75">
            <v>0</v>
          </cell>
        </row>
        <row r="110">
          <cell r="Q110">
            <v>14534.07</v>
          </cell>
        </row>
        <row r="185">
          <cell r="Q185">
            <v>0</v>
          </cell>
        </row>
        <row r="186">
          <cell r="Q186">
            <v>0</v>
          </cell>
        </row>
        <row r="188">
          <cell r="Q188">
            <v>0</v>
          </cell>
        </row>
        <row r="266">
          <cell r="M266">
            <v>53494.444000000003</v>
          </cell>
          <cell r="N266">
            <v>60732.892999999996</v>
          </cell>
          <cell r="O266">
            <v>60868.84</v>
          </cell>
          <cell r="P266">
            <v>63186.481500000002</v>
          </cell>
          <cell r="Q266">
            <v>54632.56</v>
          </cell>
          <cell r="R266">
            <v>65644.013000000006</v>
          </cell>
          <cell r="S266">
            <v>66068.909</v>
          </cell>
          <cell r="T266">
            <v>66167.574999999997</v>
          </cell>
          <cell r="U266">
            <v>69640.794999999998</v>
          </cell>
          <cell r="V266">
            <v>66880.323000000004</v>
          </cell>
          <cell r="W266">
            <v>73182.554000000004</v>
          </cell>
          <cell r="X266">
            <v>73182.554000000004</v>
          </cell>
          <cell r="Y266">
            <v>73182.554000000004</v>
          </cell>
          <cell r="Z266">
            <v>73182.554000000004</v>
          </cell>
          <cell r="AA266">
            <v>73182.554000000004</v>
          </cell>
          <cell r="AB266">
            <v>73182.554000000004</v>
          </cell>
          <cell r="AC266">
            <v>73182.554000000004</v>
          </cell>
          <cell r="AD266">
            <v>73182.554000000004</v>
          </cell>
          <cell r="AE266">
            <v>73182.554000000004</v>
          </cell>
          <cell r="AF266">
            <v>73182.554000000004</v>
          </cell>
          <cell r="AG266">
            <v>73182.554000000004</v>
          </cell>
          <cell r="AH266">
            <v>187861.4530825688</v>
          </cell>
          <cell r="AI266">
            <v>302540.35216513759</v>
          </cell>
          <cell r="AJ266">
            <v>302540.35216513759</v>
          </cell>
          <cell r="AK266">
            <v>302540.35216513759</v>
          </cell>
          <cell r="AL266">
            <v>302540.35216513759</v>
          </cell>
          <cell r="AM266">
            <v>302540.35216513759</v>
          </cell>
          <cell r="AN266">
            <v>302540.35216513759</v>
          </cell>
          <cell r="AO266">
            <v>302540.35216513759</v>
          </cell>
          <cell r="AP266">
            <v>302540.35216513759</v>
          </cell>
          <cell r="AQ266">
            <v>302540.35216513759</v>
          </cell>
          <cell r="AR266">
            <v>302540.35216513759</v>
          </cell>
          <cell r="AS266">
            <v>302540.35216513759</v>
          </cell>
          <cell r="AT266">
            <v>302540.35216513759</v>
          </cell>
          <cell r="AU266">
            <v>302540.35216513759</v>
          </cell>
          <cell r="AV266">
            <v>302540.35216513759</v>
          </cell>
          <cell r="AW266">
            <v>302540.35216513759</v>
          </cell>
          <cell r="AX266">
            <v>302540.35216513759</v>
          </cell>
          <cell r="AY266">
            <v>302540.35216513759</v>
          </cell>
          <cell r="AZ266">
            <v>302540.35216513759</v>
          </cell>
          <cell r="BA266">
            <v>302540.35216513759</v>
          </cell>
          <cell r="BB266">
            <v>302540.35216513759</v>
          </cell>
          <cell r="BC266">
            <v>302540.35216513759</v>
          </cell>
          <cell r="BD266">
            <v>302540.35216513759</v>
          </cell>
          <cell r="BE266">
            <v>302540.35216513759</v>
          </cell>
          <cell r="BF266">
            <v>302540.35216513759</v>
          </cell>
          <cell r="BG266">
            <v>302540.35216513759</v>
          </cell>
          <cell r="BH266">
            <v>302540.35216513759</v>
          </cell>
          <cell r="BI266">
            <v>302540.35216513759</v>
          </cell>
          <cell r="BJ266">
            <v>302540.35216513759</v>
          </cell>
          <cell r="BK266">
            <v>302540.35216513759</v>
          </cell>
          <cell r="BL266">
            <v>302540.35216513759</v>
          </cell>
          <cell r="BM266">
            <v>302540.35216513759</v>
          </cell>
          <cell r="BN266" t="str">
            <v>.</v>
          </cell>
        </row>
        <row r="267">
          <cell r="M267">
            <v>53494.444000000003</v>
          </cell>
          <cell r="N267">
            <v>60732.892999999996</v>
          </cell>
          <cell r="O267">
            <v>60868.84</v>
          </cell>
          <cell r="P267">
            <v>63186.481500000002</v>
          </cell>
          <cell r="Q267">
            <v>54632.56</v>
          </cell>
          <cell r="R267">
            <v>65644.013000000006</v>
          </cell>
          <cell r="S267">
            <v>66068.909</v>
          </cell>
          <cell r="T267">
            <v>66167.574999999997</v>
          </cell>
          <cell r="U267">
            <v>74073.63</v>
          </cell>
          <cell r="V267">
            <v>67988.531750000009</v>
          </cell>
          <cell r="W267">
            <v>73182.554000000004</v>
          </cell>
          <cell r="X267">
            <v>73182.554000000004</v>
          </cell>
          <cell r="Y267">
            <v>77207.38900000001</v>
          </cell>
          <cell r="Z267">
            <v>77207.38900000001</v>
          </cell>
          <cell r="AA267">
            <v>75194.971500000014</v>
          </cell>
          <cell r="AB267">
            <v>77207.38900000001</v>
          </cell>
          <cell r="AC267">
            <v>77207.38900000001</v>
          </cell>
          <cell r="AD267">
            <v>77207.38900000001</v>
          </cell>
          <cell r="AE267">
            <v>77207.38900000001</v>
          </cell>
          <cell r="AF267">
            <v>77207.38900000001</v>
          </cell>
          <cell r="AG267">
            <v>77207.38900000001</v>
          </cell>
          <cell r="AH267">
            <v>191886.28808256882</v>
          </cell>
          <cell r="AI267">
            <v>306565.18716513761</v>
          </cell>
          <cell r="AJ267">
            <v>306565.18716513761</v>
          </cell>
          <cell r="AK267">
            <v>306565.18716513761</v>
          </cell>
          <cell r="AL267">
            <v>306565.18716513761</v>
          </cell>
          <cell r="AM267">
            <v>306565.18716513761</v>
          </cell>
          <cell r="AN267">
            <v>306565.18716513761</v>
          </cell>
          <cell r="AO267">
            <v>306565.18716513761</v>
          </cell>
          <cell r="AP267">
            <v>306565.18716513761</v>
          </cell>
          <cell r="AQ267">
            <v>306565.18716513761</v>
          </cell>
          <cell r="AR267">
            <v>306565.18716513761</v>
          </cell>
          <cell r="AS267">
            <v>306565.18716513761</v>
          </cell>
          <cell r="AT267">
            <v>306565.18716513761</v>
          </cell>
          <cell r="AU267">
            <v>306565.18716513761</v>
          </cell>
          <cell r="AV267">
            <v>306565.18716513761</v>
          </cell>
          <cell r="AW267">
            <v>306565.18716513761</v>
          </cell>
          <cell r="AX267">
            <v>306565.18716513761</v>
          </cell>
          <cell r="AY267">
            <v>306565.18716513761</v>
          </cell>
          <cell r="AZ267">
            <v>306565.18716513761</v>
          </cell>
          <cell r="BA267">
            <v>306565.18716513761</v>
          </cell>
          <cell r="BB267">
            <v>306565.18716513761</v>
          </cell>
          <cell r="BC267">
            <v>306565.18716513761</v>
          </cell>
          <cell r="BD267">
            <v>306565.18716513761</v>
          </cell>
          <cell r="BE267">
            <v>306565.18716513761</v>
          </cell>
          <cell r="BF267">
            <v>306565.18716513761</v>
          </cell>
          <cell r="BG267">
            <v>306565.18716513761</v>
          </cell>
          <cell r="BH267">
            <v>306565.18716513761</v>
          </cell>
          <cell r="BI267">
            <v>306565.18716513761</v>
          </cell>
          <cell r="BJ267">
            <v>306565.18716513761</v>
          </cell>
          <cell r="BK267">
            <v>306565.18716513761</v>
          </cell>
          <cell r="BL267">
            <v>306565.18716513761</v>
          </cell>
          <cell r="BM267">
            <v>306565.18716513761</v>
          </cell>
          <cell r="BN267" t="str">
            <v>.</v>
          </cell>
        </row>
        <row r="365">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-290.89971219502155</v>
          </cell>
          <cell r="AR365">
            <v>-60428.597279703681</v>
          </cell>
          <cell r="AS365">
            <v>-62027.58987460965</v>
          </cell>
          <cell r="AT365">
            <v>-63462.188170025009</v>
          </cell>
          <cell r="AU365">
            <v>-64748.831595898853</v>
          </cell>
          <cell r="AV365">
            <v>-65902.315639185297</v>
          </cell>
          <cell r="AW365">
            <v>-66935.956238143102</v>
          </cell>
          <cell r="AX365">
            <v>-67861.737737205127</v>
          </cell>
          <cell r="AY365">
            <v>-68690.446046360943</v>
          </cell>
          <cell r="AZ365">
            <v>-69431.788484601158</v>
          </cell>
          <cell r="BA365">
            <v>-70094.501639017399</v>
          </cell>
          <cell r="BB365">
            <v>-70686.448437991989</v>
          </cell>
          <cell r="BC365">
            <v>-27120.937450200076</v>
          </cell>
          <cell r="BD365">
            <v>0</v>
          </cell>
          <cell r="BE365">
            <v>0</v>
          </cell>
          <cell r="BF365">
            <v>0</v>
          </cell>
          <cell r="BG365">
            <v>0</v>
          </cell>
          <cell r="BH365">
            <v>0</v>
          </cell>
          <cell r="BI365">
            <v>0</v>
          </cell>
          <cell r="BJ365">
            <v>0</v>
          </cell>
          <cell r="BK365">
            <v>0</v>
          </cell>
          <cell r="BL365">
            <v>0</v>
          </cell>
          <cell r="BM365">
            <v>0</v>
          </cell>
        </row>
        <row r="669">
          <cell r="F669">
            <v>5</v>
          </cell>
        </row>
        <row r="673">
          <cell r="F673">
            <v>0.05</v>
          </cell>
        </row>
        <row r="677">
          <cell r="F677">
            <v>0</v>
          </cell>
        </row>
        <row r="681">
          <cell r="F681">
            <v>0</v>
          </cell>
        </row>
        <row r="683">
          <cell r="F683">
            <v>0</v>
          </cell>
        </row>
      </sheetData>
      <sheetData sheetId="9"/>
      <sheetData sheetId="10" refreshError="1">
        <row r="5">
          <cell r="F5">
            <v>950</v>
          </cell>
        </row>
        <row r="6">
          <cell r="F6">
            <v>12</v>
          </cell>
        </row>
        <row r="71">
          <cell r="F71">
            <v>1</v>
          </cell>
        </row>
        <row r="129">
          <cell r="F129">
            <v>0.4</v>
          </cell>
        </row>
        <row r="187">
          <cell r="F187">
            <v>1</v>
          </cell>
        </row>
      </sheetData>
      <sheetData sheetId="11" refreshError="1">
        <row r="4">
          <cell r="B4">
            <v>10.7</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Upside_Downside"/>
      <sheetName val="Earnings Summary"/>
      <sheetName val="guidance range"/>
      <sheetName val="BMTemplate"/>
      <sheetName val="Pointsec"/>
      <sheetName val="job postings"/>
      <sheetName val="SENSITIVITY"/>
      <sheetName val="__FDSCACHE__"/>
      <sheetName val="MULTIPLES"/>
      <sheetName val="MULTIPLES - CHARTS"/>
      <sheetName val="LINKS"/>
      <sheetName val="Def Rev 1"/>
      <sheetName val="Def Rev 2"/>
    </sheetNames>
    <sheetDataSet>
      <sheetData sheetId="0" refreshError="1">
        <row r="55">
          <cell r="A55" t="str">
            <v>Delta</v>
          </cell>
        </row>
        <row r="67">
          <cell r="A67" t="str">
            <v>% Lic Rev from emerging products</v>
          </cell>
          <cell r="AH67">
            <v>8.5836909871244635E-2</v>
          </cell>
          <cell r="AI67">
            <v>0.10040527218956516</v>
          </cell>
          <cell r="AJ67">
            <v>0.11102475852115021</v>
          </cell>
          <cell r="AK67">
            <v>0.1348735362254451</v>
          </cell>
          <cell r="AL67">
            <v>0.17457823485533813</v>
          </cell>
          <cell r="AM67">
            <v>0.25037187587446058</v>
          </cell>
          <cell r="AN67">
            <v>0.2365918937702397</v>
          </cell>
          <cell r="AO67">
            <v>0.246299032952218</v>
          </cell>
          <cell r="AP67">
            <v>0.28000000000000003</v>
          </cell>
          <cell r="AQ67">
            <v>0.3</v>
          </cell>
          <cell r="AR67">
            <v>0.3</v>
          </cell>
          <cell r="AS67">
            <v>0.3</v>
          </cell>
          <cell r="AT67">
            <v>0.3</v>
          </cell>
          <cell r="AU67">
            <v>0.3</v>
          </cell>
          <cell r="AV67">
            <v>0.3</v>
          </cell>
          <cell r="AW67">
            <v>0.3</v>
          </cell>
          <cell r="AX67">
            <v>0.31</v>
          </cell>
          <cell r="AY67">
            <v>0.31</v>
          </cell>
          <cell r="AZ67">
            <v>0.32</v>
          </cell>
          <cell r="BA67">
            <v>0.33</v>
          </cell>
          <cell r="BB67">
            <v>0.34</v>
          </cell>
          <cell r="BC67">
            <v>0.34</v>
          </cell>
          <cell r="BD67">
            <v>0.34</v>
          </cell>
          <cell r="BE67">
            <v>0.35</v>
          </cell>
          <cell r="BF67">
            <v>0.34</v>
          </cell>
          <cell r="BG67">
            <v>0.34</v>
          </cell>
          <cell r="BH67">
            <v>0.34</v>
          </cell>
          <cell r="BI67">
            <v>0.35</v>
          </cell>
          <cell r="BJ67">
            <v>0.34</v>
          </cell>
          <cell r="BK67">
            <v>0.34</v>
          </cell>
          <cell r="BL67">
            <v>0.34</v>
          </cell>
          <cell r="BM67">
            <v>0.35</v>
          </cell>
          <cell r="BN67">
            <v>0.34</v>
          </cell>
          <cell r="BO67">
            <v>0.34</v>
          </cell>
          <cell r="BP67">
            <v>0.34</v>
          </cell>
          <cell r="BQ67">
            <v>0.35</v>
          </cell>
          <cell r="BR67">
            <v>0.34</v>
          </cell>
          <cell r="BS67">
            <v>0.34</v>
          </cell>
          <cell r="BT67">
            <v>0.34</v>
          </cell>
          <cell r="BU67">
            <v>0.35</v>
          </cell>
          <cell r="BV67">
            <v>0.34</v>
          </cell>
          <cell r="BW67">
            <v>0.34</v>
          </cell>
          <cell r="BX67">
            <v>0.34</v>
          </cell>
          <cell r="BY67">
            <v>0.35</v>
          </cell>
          <cell r="BZ67">
            <v>0.34</v>
          </cell>
          <cell r="CA67">
            <v>0.34</v>
          </cell>
          <cell r="CB67">
            <v>0.34</v>
          </cell>
          <cell r="CC67">
            <v>0.35</v>
          </cell>
        </row>
        <row r="68">
          <cell r="A68" t="str">
            <v>Revenue p/Gateway ($K)</v>
          </cell>
          <cell r="K68">
            <v>693.07692307692309</v>
          </cell>
          <cell r="L68">
            <v>729.5</v>
          </cell>
          <cell r="M68">
            <v>784.48717948717945</v>
          </cell>
          <cell r="N68">
            <v>710.13333333333333</v>
          </cell>
          <cell r="O68">
            <v>671.98039215686276</v>
          </cell>
          <cell r="P68">
            <v>596.96610169491521</v>
          </cell>
          <cell r="Q68">
            <v>604.37313432835822</v>
          </cell>
          <cell r="R68">
            <v>607.94444444444446</v>
          </cell>
          <cell r="S68">
            <v>625.63750000000005</v>
          </cell>
          <cell r="T68">
            <v>577.99</v>
          </cell>
          <cell r="U68">
            <v>617.68181818181813</v>
          </cell>
          <cell r="V68">
            <v>625.32799999999997</v>
          </cell>
          <cell r="W68">
            <v>634.04195804195808</v>
          </cell>
          <cell r="X68">
            <v>716.1358024691358</v>
          </cell>
          <cell r="Y68">
            <v>755.02688172043008</v>
          </cell>
          <cell r="Z68">
            <v>763.21052631578948</v>
          </cell>
          <cell r="AA68">
            <v>717.530303030303</v>
          </cell>
          <cell r="AB68">
            <v>587.22388059701495</v>
          </cell>
          <cell r="AC68">
            <v>575.25821596244134</v>
          </cell>
          <cell r="AD68">
            <v>464.81333333333333</v>
          </cell>
          <cell r="AE68">
            <v>460.11440677966101</v>
          </cell>
          <cell r="AF68">
            <v>419.26720647773277</v>
          </cell>
          <cell r="AG68">
            <v>417.65151515151513</v>
          </cell>
          <cell r="AH68">
            <v>384.05494505494505</v>
          </cell>
          <cell r="AI68">
            <v>376.25177304964541</v>
          </cell>
          <cell r="AJ68">
            <v>360.4135593220339</v>
          </cell>
          <cell r="AK68">
            <v>369.55128205128204</v>
          </cell>
          <cell r="AL68">
            <v>350.64048338368576</v>
          </cell>
          <cell r="AM68">
            <v>363.66475644699142</v>
          </cell>
          <cell r="AN68">
            <v>353.36065573770486</v>
          </cell>
          <cell r="AO68">
            <v>370.59326424870466</v>
          </cell>
          <cell r="AP68">
            <v>342.44029850746267</v>
          </cell>
          <cell r="AQ68">
            <v>344.19761904761913</v>
          </cell>
          <cell r="AR68">
            <v>320.60909090909087</v>
          </cell>
          <cell r="AS68">
            <v>339.25652173913045</v>
          </cell>
          <cell r="AT68">
            <v>278.31666666666672</v>
          </cell>
          <cell r="AU68">
            <v>277.87200000000001</v>
          </cell>
          <cell r="AV68">
            <v>269.92045454545456</v>
          </cell>
          <cell r="AW68">
            <v>287.94064748201441</v>
          </cell>
          <cell r="AX68">
            <v>285.16347826086957</v>
          </cell>
          <cell r="AY68">
            <v>295.62416107382552</v>
          </cell>
          <cell r="AZ68">
            <v>298.23662884927069</v>
          </cell>
          <cell r="BA68" t="e">
            <v>#DIV/0!</v>
          </cell>
          <cell r="BB68" t="e">
            <v>#DIV/0!</v>
          </cell>
          <cell r="BC68" t="e">
            <v>#DIV/0!</v>
          </cell>
          <cell r="BD68" t="e">
            <v>#DIV/0!</v>
          </cell>
          <cell r="BE68" t="e">
            <v>#DIV/0!</v>
          </cell>
          <cell r="BF68" t="e">
            <v>#DIV/0!</v>
          </cell>
          <cell r="BG68" t="e">
            <v>#DIV/0!</v>
          </cell>
          <cell r="BH68" t="e">
            <v>#DIV/0!</v>
          </cell>
          <cell r="BI68" t="e">
            <v>#DIV/0!</v>
          </cell>
          <cell r="BJ68" t="e">
            <v>#DIV/0!</v>
          </cell>
          <cell r="BK68" t="e">
            <v>#DIV/0!</v>
          </cell>
          <cell r="BL68" t="e">
            <v>#DIV/0!</v>
          </cell>
          <cell r="BM68" t="e">
            <v>#DIV/0!</v>
          </cell>
          <cell r="BN68" t="e">
            <v>#DIV/0!</v>
          </cell>
          <cell r="BO68" t="e">
            <v>#DIV/0!</v>
          </cell>
          <cell r="BP68" t="e">
            <v>#DIV/0!</v>
          </cell>
          <cell r="BQ68" t="e">
            <v>#DIV/0!</v>
          </cell>
          <cell r="BR68" t="e">
            <v>#DIV/0!</v>
          </cell>
          <cell r="BS68" t="e">
            <v>#DIV/0!</v>
          </cell>
          <cell r="BT68" t="e">
            <v>#DIV/0!</v>
          </cell>
          <cell r="BU68" t="e">
            <v>#DIV/0!</v>
          </cell>
          <cell r="BV68" t="e">
            <v>#DIV/0!</v>
          </cell>
          <cell r="BW68" t="e">
            <v>#DIV/0!</v>
          </cell>
          <cell r="BX68" t="e">
            <v>#DIV/0!</v>
          </cell>
          <cell r="BY68" t="e">
            <v>#DIV/0!</v>
          </cell>
          <cell r="BZ68" t="e">
            <v>#DIV/0!</v>
          </cell>
          <cell r="CA68" t="e">
            <v>#DIV/0!</v>
          </cell>
          <cell r="CB68" t="e">
            <v>#DIV/0!</v>
          </cell>
          <cell r="CC68" t="e">
            <v>#DIV/0!</v>
          </cell>
        </row>
        <row r="254">
          <cell r="A254" t="str">
            <v>SecuRemote VPN Clients (Mil)</v>
          </cell>
          <cell r="T254">
            <v>10</v>
          </cell>
          <cell r="U254">
            <v>20</v>
          </cell>
          <cell r="V254">
            <v>28</v>
          </cell>
          <cell r="W254">
            <v>37</v>
          </cell>
          <cell r="X254">
            <v>42</v>
          </cell>
          <cell r="Y254">
            <v>63</v>
          </cell>
          <cell r="Z254">
            <v>70</v>
          </cell>
          <cell r="AA254">
            <v>83</v>
          </cell>
          <cell r="AB254">
            <v>93</v>
          </cell>
          <cell r="AC254">
            <v>100</v>
          </cell>
          <cell r="AD254">
            <v>107</v>
          </cell>
          <cell r="AE254">
            <v>109</v>
          </cell>
        </row>
      </sheetData>
      <sheetData sheetId="1"/>
      <sheetData sheetId="2"/>
      <sheetData sheetId="3"/>
      <sheetData sheetId="4"/>
      <sheetData sheetId="5"/>
      <sheetData sheetId="6"/>
      <sheetData sheetId="7"/>
      <sheetData sheetId="8"/>
      <sheetData sheetId="9" refreshError="1">
        <row r="2046">
          <cell r="S2046">
            <v>6.2637393842934808</v>
          </cell>
          <cell r="U2046">
            <v>3.1106662720653042</v>
          </cell>
          <cell r="X2046">
            <v>5.8556770466960009</v>
          </cell>
          <cell r="Z2046">
            <v>2.8710077440420929</v>
          </cell>
        </row>
        <row r="2050">
          <cell r="S2050">
            <v>36.261189297029517</v>
          </cell>
          <cell r="U2050">
            <v>20.510002934322952</v>
          </cell>
          <cell r="X2050">
            <v>84.955154232902942</v>
          </cell>
          <cell r="Z2050">
            <v>48.052214954390266</v>
          </cell>
        </row>
        <row r="2051">
          <cell r="S2051">
            <v>5.6977966221597667</v>
          </cell>
          <cell r="U2051">
            <v>2.8296106670854377</v>
          </cell>
          <cell r="X2051">
            <v>5.3266036228750764</v>
          </cell>
          <cell r="Z2051">
            <v>2.6116058192358396</v>
          </cell>
        </row>
        <row r="2052">
          <cell r="S2052">
            <v>11.130951053191325</v>
          </cell>
          <cell r="U2052">
            <v>5.6352297558290365</v>
          </cell>
          <cell r="X2052">
            <v>13.65355232082578</v>
          </cell>
          <cell r="Z2052">
            <v>7.1185639797364404</v>
          </cell>
        </row>
        <row r="2055">
          <cell r="S2055">
            <v>11.322046042226104</v>
          </cell>
          <cell r="U2055">
            <v>6.0612464864793445</v>
          </cell>
          <cell r="X2055">
            <v>25.215051541191986</v>
          </cell>
          <cell r="Z2055">
            <v>14.265389126557524</v>
          </cell>
        </row>
      </sheetData>
      <sheetData sheetId="10"/>
      <sheetData sheetId="11"/>
      <sheetData sheetId="12"/>
      <sheetData sheetId="1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1.Map"/>
      <sheetName val="2.Abitibi"/>
      <sheetName val="3.Camps"/>
      <sheetName val="4.Camps.Table"/>
      <sheetName val="5&amp;6.Production"/>
      <sheetName val="7.Distribution"/>
      <sheetName val="8.Histogram"/>
      <sheetName val="9-33.Tables&amp;FrontPgData"/>
      <sheetName val="10-32.AMCperOZ"/>
      <sheetName val="14.NoResource"/>
      <sheetName val="Appendix.Big.Table"/>
      <sheetName val="Co.Data"/>
      <sheetName val="Project.Data"/>
      <sheetName val="xMEG"/>
      <sheetName val="other.resource.table"/>
    </sheetNames>
    <sheetDataSet>
      <sheetData sheetId="0"/>
      <sheetData sheetId="1"/>
      <sheetData sheetId="2"/>
      <sheetData sheetId="3"/>
      <sheetData sheetId="4"/>
      <sheetData sheetId="5"/>
      <sheetData sheetId="6"/>
      <sheetData sheetId="7"/>
      <sheetData sheetId="8"/>
      <sheetData sheetId="9" refreshError="1">
        <row r="25">
          <cell r="J25" t="str">
            <v>KGI-T</v>
          </cell>
        </row>
        <row r="51">
          <cell r="L51" t="str">
            <v>KGI</v>
          </cell>
        </row>
      </sheetData>
      <sheetData sheetId="10"/>
      <sheetData sheetId="11"/>
      <sheetData sheetId="12" refreshError="1">
        <row r="6">
          <cell r="A6" t="str">
            <v>Thompson Ticker</v>
          </cell>
          <cell r="B6" t="str">
            <v>Ticker to Publish</v>
          </cell>
          <cell r="C6" t="str">
            <v>Short Ticker</v>
          </cell>
          <cell r="D6" t="str">
            <v>Company Name</v>
          </cell>
          <cell r="E6" t="str">
            <v>Shares O.S.</v>
          </cell>
          <cell r="F6" t="str">
            <v>Options O/S:</v>
          </cell>
          <cell r="G6" t="str">
            <v>Weighted Avg Price</v>
          </cell>
          <cell r="H6" t="str">
            <v>Warrants O/S:</v>
          </cell>
          <cell r="I6" t="str">
            <v>Weighted Avg Price</v>
          </cell>
          <cell r="J6" t="str">
            <v>Last Financing:</v>
          </cell>
          <cell r="K6" t="str">
            <v>Size / Price:</v>
          </cell>
          <cell r="L6" t="str">
            <v>Cash</v>
          </cell>
          <cell r="M6" t="str">
            <v>LT Debt</v>
          </cell>
          <cell r="N6" t="str">
            <v>Working Cap</v>
          </cell>
          <cell r="O6" t="str">
            <v>Mines</v>
          </cell>
          <cell r="P6" t="str">
            <v>Mine Locations</v>
          </cell>
          <cell r="Q6" t="str">
            <v>Major Shareholder #11</v>
          </cell>
          <cell r="R6" t="str">
            <v>Major Shareholder #21</v>
          </cell>
          <cell r="S6" t="str">
            <v>Major Shareholder #31</v>
          </cell>
          <cell r="T6" t="str">
            <v>Major Shareholder #41</v>
          </cell>
          <cell r="U6" t="str">
            <v>Major Shareholder #11 to Publish</v>
          </cell>
          <cell r="V6" t="str">
            <v>Major Shareholder #21 to Publish</v>
          </cell>
          <cell r="W6" t="str">
            <v>Major Shareholder #31 to Publish</v>
          </cell>
          <cell r="X6" t="str">
            <v>Major Shareholder #41 to Publish</v>
          </cell>
          <cell r="Y6" t="str">
            <v>Price</v>
          </cell>
          <cell r="Z6" t="str">
            <v>52-week low</v>
          </cell>
          <cell r="AA6" t="str">
            <v>52-week high</v>
          </cell>
          <cell r="AB6" t="str">
            <v>Market Cap</v>
          </cell>
          <cell r="AC6" t="str">
            <v>2P Reserves (000 oz)</v>
          </cell>
          <cell r="AD6" t="str">
            <v>M&amp;I Resources (000 oz)</v>
          </cell>
          <cell r="AE6" t="str">
            <v>Inferred Resources (000 oz)</v>
          </cell>
          <cell r="AF6" t="str">
            <v>Fully Diluted Shares Outstanding</v>
          </cell>
          <cell r="AG6" t="str">
            <v>AMC (US$)</v>
          </cell>
          <cell r="AH6" t="str">
            <v>Total Resources (000 oz)</v>
          </cell>
          <cell r="AI6" t="str">
            <v>AMC/2P</v>
          </cell>
          <cell r="AJ6" t="str">
            <v>AMC/M&amp;I</v>
          </cell>
          <cell r="AK6" t="str">
            <v>AMC/Total</v>
          </cell>
        </row>
        <row r="7">
          <cell r="A7" t="str">
            <v>AEM-N</v>
          </cell>
          <cell r="B7" t="str">
            <v>NYSE: AEM</v>
          </cell>
          <cell r="C7" t="str">
            <v>AEM</v>
          </cell>
          <cell r="D7" t="str">
            <v>Agnico Eagle</v>
          </cell>
          <cell r="Y7">
            <v>69.12</v>
          </cell>
          <cell r="Z7">
            <v>49.64</v>
          </cell>
          <cell r="AA7">
            <v>88.2</v>
          </cell>
          <cell r="AB7">
            <v>11661</v>
          </cell>
          <cell r="AF7">
            <v>0</v>
          </cell>
          <cell r="AG7">
            <v>11644674600</v>
          </cell>
          <cell r="AH7">
            <v>0</v>
          </cell>
          <cell r="AI7" t="str">
            <v>n.m.</v>
          </cell>
          <cell r="AJ7" t="str">
            <v>n.m.</v>
          </cell>
          <cell r="AK7" t="str">
            <v>n.m.</v>
          </cell>
        </row>
        <row r="8">
          <cell r="A8" t="str">
            <v>ARZ-T</v>
          </cell>
          <cell r="B8" t="str">
            <v>TSX: ARZ</v>
          </cell>
          <cell r="C8" t="str">
            <v>ARZ</v>
          </cell>
          <cell r="D8" t="str">
            <v>Aurizon Mines</v>
          </cell>
          <cell r="E8">
            <v>161363482</v>
          </cell>
          <cell r="F8">
            <v>7953000</v>
          </cell>
          <cell r="G8">
            <v>4.18</v>
          </cell>
          <cell r="H8">
            <v>0</v>
          </cell>
          <cell r="I8">
            <v>0</v>
          </cell>
          <cell r="J8" t="str">
            <v>April, 2010</v>
          </cell>
          <cell r="K8" t="str">
            <v>$50.0MM @ $5.15</v>
          </cell>
          <cell r="L8">
            <v>131866000</v>
          </cell>
          <cell r="M8">
            <v>0</v>
          </cell>
          <cell r="N8">
            <v>131513000</v>
          </cell>
          <cell r="O8" t="str">
            <v>Casa Berardi, Joanna</v>
          </cell>
          <cell r="P8" t="str">
            <v>QC</v>
          </cell>
          <cell r="Q8" t="str">
            <v>Van Eck Associates - 7.4%</v>
          </cell>
          <cell r="R8" t="str">
            <v>Goodman &amp; Company - 6.9%</v>
          </cell>
          <cell r="U8" t="str">
            <v>Inst. #1 - 7.4%</v>
          </cell>
          <cell r="V8" t="str">
            <v>Inst. #2 - 6.9%</v>
          </cell>
          <cell r="Y8">
            <v>6.38</v>
          </cell>
          <cell r="Z8">
            <v>3.81</v>
          </cell>
          <cell r="AA8">
            <v>8.41</v>
          </cell>
          <cell r="AB8">
            <v>1034</v>
          </cell>
          <cell r="AC8">
            <v>2032.6</v>
          </cell>
          <cell r="AD8">
            <v>5272.6</v>
          </cell>
          <cell r="AE8">
            <v>2301</v>
          </cell>
          <cell r="AF8">
            <v>164105895.79310346</v>
          </cell>
          <cell r="AG8">
            <v>901223518.20000005</v>
          </cell>
          <cell r="AH8">
            <v>7573.6</v>
          </cell>
          <cell r="AI8">
            <v>443.38459027846113</v>
          </cell>
          <cell r="AJ8">
            <v>170.92582752342298</v>
          </cell>
          <cell r="AK8">
            <v>118.99539429069399</v>
          </cell>
        </row>
        <row r="9">
          <cell r="A9" t="str">
            <v>ABX-T</v>
          </cell>
          <cell r="B9" t="str">
            <v>TSX: ABX</v>
          </cell>
          <cell r="C9" t="str">
            <v>ABX</v>
          </cell>
          <cell r="D9" t="str">
            <v>Barrick Gold</v>
          </cell>
          <cell r="Y9">
            <v>47.39</v>
          </cell>
          <cell r="Z9">
            <v>36.01</v>
          </cell>
          <cell r="AA9">
            <v>55.99</v>
          </cell>
          <cell r="AB9">
            <v>47319</v>
          </cell>
          <cell r="AF9">
            <v>0</v>
          </cell>
          <cell r="AG9">
            <v>47252753400</v>
          </cell>
          <cell r="AH9">
            <v>0</v>
          </cell>
          <cell r="AI9" t="str">
            <v>n.m.</v>
          </cell>
          <cell r="AJ9" t="str">
            <v>n.m.</v>
          </cell>
          <cell r="AK9" t="str">
            <v>n.m.</v>
          </cell>
        </row>
        <row r="10">
          <cell r="A10" t="str">
            <v>BRD-A</v>
          </cell>
          <cell r="B10" t="str">
            <v>AMX: BRD</v>
          </cell>
          <cell r="C10" t="str">
            <v>BRD</v>
          </cell>
          <cell r="D10" t="str">
            <v>Brigus Gold</v>
          </cell>
          <cell r="E10">
            <v>178826672</v>
          </cell>
          <cell r="F10">
            <v>9715109</v>
          </cell>
          <cell r="G10">
            <v>1.57</v>
          </cell>
          <cell r="H10">
            <v>37926221</v>
          </cell>
          <cell r="I10">
            <v>1.3974279810266359</v>
          </cell>
          <cell r="J10" t="str">
            <v>December, 2010</v>
          </cell>
          <cell r="K10" t="str">
            <v>$4.0MM @ $2.07</v>
          </cell>
          <cell r="L10">
            <v>6539000</v>
          </cell>
          <cell r="M10">
            <v>35811000</v>
          </cell>
          <cell r="N10">
            <v>-24941000</v>
          </cell>
          <cell r="O10" t="str">
            <v>Black Fox, Goldfields</v>
          </cell>
          <cell r="P10" t="str">
            <v>ON, SK</v>
          </cell>
          <cell r="Q10" t="str">
            <v>Sprott Asset Management - 11.1%</v>
          </cell>
          <cell r="R10" t="str">
            <v>Wellington - 11.0%</v>
          </cell>
          <cell r="S10" t="str">
            <v>Linear Gold Corp - 8.8%</v>
          </cell>
          <cell r="U10" t="str">
            <v>Inst. #1 - 11.1%</v>
          </cell>
          <cell r="V10" t="str">
            <v>Inst. #2 - 11.0%</v>
          </cell>
          <cell r="W10" t="str">
            <v>Corp. #1 - 8.8%</v>
          </cell>
          <cell r="Y10">
            <v>1.6</v>
          </cell>
          <cell r="Z10">
            <v>1.05</v>
          </cell>
          <cell r="AA10">
            <v>2.23</v>
          </cell>
          <cell r="AB10">
            <v>292</v>
          </cell>
          <cell r="AC10">
            <v>2360.4</v>
          </cell>
          <cell r="AD10">
            <v>2545.7876157909018</v>
          </cell>
          <cell r="AE10">
            <v>901.62258371089024</v>
          </cell>
          <cell r="AF10">
            <v>183810574.76874998</v>
          </cell>
          <cell r="AG10">
            <v>352258147.19999999</v>
          </cell>
          <cell r="AH10">
            <v>3447.4101995017918</v>
          </cell>
          <cell r="AI10">
            <v>149.23663243518047</v>
          </cell>
          <cell r="AJ10">
            <v>138.36902380034704</v>
          </cell>
          <cell r="AK10">
            <v>102.18051430343485</v>
          </cell>
        </row>
        <row r="11">
          <cell r="A11" t="str">
            <v>CRSEF-5</v>
          </cell>
          <cell r="B11" t="str">
            <v>PINK: CRSEF</v>
          </cell>
          <cell r="C11" t="str">
            <v>CRSEF</v>
          </cell>
          <cell r="D11" t="str">
            <v>Carlisle Gold</v>
          </cell>
          <cell r="Y11">
            <v>0.25130000000000002</v>
          </cell>
          <cell r="Z11">
            <v>7.0300000000000001E-2</v>
          </cell>
          <cell r="AA11">
            <v>0.25800000000000001</v>
          </cell>
          <cell r="AB11">
            <v>18</v>
          </cell>
          <cell r="AF11">
            <v>0</v>
          </cell>
          <cell r="AG11">
            <v>17974800</v>
          </cell>
          <cell r="AH11">
            <v>0</v>
          </cell>
          <cell r="AI11" t="str">
            <v>n.m.</v>
          </cell>
          <cell r="AJ11" t="str">
            <v>n.m.</v>
          </cell>
          <cell r="AK11" t="str">
            <v>n.m.</v>
          </cell>
        </row>
        <row r="12">
          <cell r="A12" t="str">
            <v>CRJ-T</v>
          </cell>
          <cell r="B12" t="str">
            <v>TSX: CRJ</v>
          </cell>
          <cell r="C12" t="str">
            <v>CRJ</v>
          </cell>
          <cell r="D12" t="str">
            <v>Claude Resources</v>
          </cell>
          <cell r="E12">
            <v>132132364</v>
          </cell>
          <cell r="F12">
            <v>3904578</v>
          </cell>
          <cell r="G12">
            <v>1.1200000000000001</v>
          </cell>
          <cell r="H12">
            <v>7809500</v>
          </cell>
          <cell r="I12">
            <v>1.0031613790170897</v>
          </cell>
          <cell r="J12" t="str">
            <v>December, 2009</v>
          </cell>
          <cell r="K12" t="str">
            <v>$13.8MM @ $1.15 (special warrants)</v>
          </cell>
          <cell r="L12">
            <v>2477000</v>
          </cell>
          <cell r="M12">
            <v>9300000</v>
          </cell>
          <cell r="N12">
            <v>21144000</v>
          </cell>
          <cell r="O12" t="str">
            <v>Madsen, Seabee</v>
          </cell>
          <cell r="P12" t="str">
            <v>ON, SK</v>
          </cell>
          <cell r="Q12" t="str">
            <v>Bob Buchan - 6.7%</v>
          </cell>
          <cell r="U12" t="str">
            <v>B. Buchan - 6.7%</v>
          </cell>
          <cell r="Y12">
            <v>1.97</v>
          </cell>
          <cell r="Z12">
            <v>0.94</v>
          </cell>
          <cell r="AA12">
            <v>2.42</v>
          </cell>
          <cell r="AB12">
            <v>274</v>
          </cell>
          <cell r="AC12">
            <v>208.178</v>
          </cell>
          <cell r="AD12">
            <v>1343.3920000000001</v>
          </cell>
          <cell r="AE12">
            <v>616.98299999999995</v>
          </cell>
          <cell r="AF12">
            <v>137649834.81754622</v>
          </cell>
          <cell r="AG12">
            <v>261788981.60000002</v>
          </cell>
          <cell r="AH12">
            <v>1960.375</v>
          </cell>
          <cell r="AI12">
            <v>1257.5247221128075</v>
          </cell>
          <cell r="AJ12">
            <v>194.87162466353828</v>
          </cell>
          <cell r="AK12">
            <v>133.54025714467898</v>
          </cell>
        </row>
        <row r="13">
          <cell r="A13" t="str">
            <v>DGC-T</v>
          </cell>
          <cell r="B13" t="str">
            <v>TSX: DGC</v>
          </cell>
          <cell r="C13" t="str">
            <v>DGC</v>
          </cell>
          <cell r="D13" t="str">
            <v>Detour Gold</v>
          </cell>
          <cell r="L13">
            <v>527668000</v>
          </cell>
          <cell r="M13">
            <v>0</v>
          </cell>
          <cell r="N13">
            <v>519998000</v>
          </cell>
          <cell r="Y13">
            <v>26.58</v>
          </cell>
          <cell r="Z13">
            <v>13.99</v>
          </cell>
          <cell r="AA13">
            <v>33.47</v>
          </cell>
          <cell r="AB13">
            <v>2217</v>
          </cell>
          <cell r="AD13">
            <v>17670</v>
          </cell>
          <cell r="AF13">
            <v>0</v>
          </cell>
          <cell r="AG13">
            <v>1694626197.2</v>
          </cell>
          <cell r="AH13">
            <v>17670</v>
          </cell>
          <cell r="AI13" t="str">
            <v>n.m.</v>
          </cell>
          <cell r="AJ13">
            <v>95.904142456140349</v>
          </cell>
          <cell r="AK13">
            <v>95.904142456140349</v>
          </cell>
        </row>
        <row r="14">
          <cell r="A14" t="str">
            <v>GG-N</v>
          </cell>
          <cell r="B14" t="str">
            <v>NYSE: GG</v>
          </cell>
          <cell r="C14" t="str">
            <v>GG</v>
          </cell>
          <cell r="D14" t="str">
            <v>Goldcorp</v>
          </cell>
          <cell r="Y14">
            <v>40.74</v>
          </cell>
          <cell r="Z14">
            <v>32.840000000000003</v>
          </cell>
          <cell r="AA14">
            <v>48.94</v>
          </cell>
          <cell r="AB14">
            <v>32526.000000000004</v>
          </cell>
          <cell r="AF14">
            <v>0</v>
          </cell>
          <cell r="AG14">
            <v>32480463600.000004</v>
          </cell>
          <cell r="AH14">
            <v>0</v>
          </cell>
          <cell r="AI14" t="str">
            <v>n.m.</v>
          </cell>
          <cell r="AJ14" t="str">
            <v>n.m.</v>
          </cell>
          <cell r="AK14" t="str">
            <v>n.m.</v>
          </cell>
        </row>
        <row r="15">
          <cell r="A15" t="str">
            <v>GCU-V</v>
          </cell>
          <cell r="B15" t="str">
            <v>TSX-V: GCU</v>
          </cell>
          <cell r="C15" t="str">
            <v>GCU</v>
          </cell>
          <cell r="D15" t="str">
            <v>Gold Canyon</v>
          </cell>
          <cell r="E15">
            <v>88658445</v>
          </cell>
          <cell r="F15">
            <v>5630000</v>
          </cell>
          <cell r="G15">
            <v>0.2024866785079929</v>
          </cell>
          <cell r="H15">
            <v>13410716</v>
          </cell>
          <cell r="I15">
            <v>0.36732357951655975</v>
          </cell>
          <cell r="J15" t="str">
            <v>October, 2010</v>
          </cell>
          <cell r="K15" t="str">
            <v>$6.0MM @ $1.00</v>
          </cell>
          <cell r="L15">
            <v>7404497</v>
          </cell>
          <cell r="M15">
            <v>0</v>
          </cell>
          <cell r="N15">
            <v>7057503</v>
          </cell>
          <cell r="O15" t="str">
            <v>Springpole</v>
          </cell>
          <cell r="P15" t="str">
            <v>ON</v>
          </cell>
          <cell r="Q15" t="str">
            <v>Pinetree Capital - 8.7%</v>
          </cell>
          <cell r="R15" t="str">
            <v>Sprott Asset Management - 7.9%</v>
          </cell>
          <cell r="U15" t="str">
            <v>Inst. #1 - 8.7%</v>
          </cell>
          <cell r="V15" t="str">
            <v>Inst. #2 - 7.9%</v>
          </cell>
          <cell r="Y15">
            <v>2.4</v>
          </cell>
          <cell r="Z15">
            <v>0.18</v>
          </cell>
          <cell r="AA15">
            <v>2.76</v>
          </cell>
          <cell r="AB15">
            <v>218</v>
          </cell>
          <cell r="AC15">
            <v>0</v>
          </cell>
          <cell r="AD15">
            <v>45.5</v>
          </cell>
          <cell r="AE15">
            <v>197.1</v>
          </cell>
          <cell r="AF15">
            <v>105171630.91458333</v>
          </cell>
          <cell r="AG15">
            <v>210647177.50420001</v>
          </cell>
          <cell r="AH15">
            <v>242.6</v>
          </cell>
          <cell r="AI15" t="str">
            <v>n.m.</v>
          </cell>
          <cell r="AJ15">
            <v>4629.6082967956045</v>
          </cell>
          <cell r="AK15">
            <v>868.29009688458382</v>
          </cell>
        </row>
        <row r="16">
          <cell r="A16" t="str">
            <v>GRC-T</v>
          </cell>
          <cell r="B16" t="str">
            <v>TSX: GRC</v>
          </cell>
          <cell r="C16" t="str">
            <v>GRC</v>
          </cell>
          <cell r="D16" t="str">
            <v>Goldstone Resources</v>
          </cell>
          <cell r="E16">
            <v>103843272</v>
          </cell>
          <cell r="F16">
            <v>2451000</v>
          </cell>
          <cell r="G16">
            <v>0.79400000000000004</v>
          </cell>
          <cell r="H16">
            <v>5524243</v>
          </cell>
          <cell r="I16">
            <v>1.198</v>
          </cell>
          <cell r="J16" t="str">
            <v>November, 2010</v>
          </cell>
          <cell r="K16" t="str">
            <v>$6.5M @ $1.15</v>
          </cell>
          <cell r="L16">
            <v>9922234.0999999996</v>
          </cell>
          <cell r="M16">
            <v>0</v>
          </cell>
          <cell r="N16">
            <v>9505411.0999999996</v>
          </cell>
          <cell r="O16" t="str">
            <v>Brookbank, Hardrock, Northern Empire</v>
          </cell>
          <cell r="P16" t="str">
            <v>ON</v>
          </cell>
          <cell r="Q16" t="str">
            <v>Bendigo Mining - 14.7%</v>
          </cell>
          <cell r="U16" t="str">
            <v>Inst. #1 - 14.7%</v>
          </cell>
          <cell r="Y16">
            <v>0.83</v>
          </cell>
          <cell r="Z16">
            <v>0.37</v>
          </cell>
          <cell r="AA16">
            <v>1.2</v>
          </cell>
          <cell r="AB16">
            <v>87</v>
          </cell>
          <cell r="AC16">
            <v>0</v>
          </cell>
          <cell r="AD16">
            <v>664.60699999999997</v>
          </cell>
          <cell r="AE16">
            <v>569.61900000000003</v>
          </cell>
          <cell r="AF16">
            <v>103949580.43373494</v>
          </cell>
          <cell r="AG16">
            <v>77386096.475540012</v>
          </cell>
          <cell r="AH16">
            <v>1234.2260000000001</v>
          </cell>
          <cell r="AI16" t="str">
            <v>n.m.</v>
          </cell>
          <cell r="AJ16">
            <v>116.43888264123009</v>
          </cell>
          <cell r="AK16">
            <v>62.700102311521555</v>
          </cell>
        </row>
        <row r="17">
          <cell r="A17" t="str">
            <v>IAG-T</v>
          </cell>
          <cell r="B17" t="str">
            <v>TSX: IAG</v>
          </cell>
          <cell r="C17" t="str">
            <v>IAG</v>
          </cell>
          <cell r="D17" t="str">
            <v>IAMGOLD</v>
          </cell>
          <cell r="Y17">
            <v>36.700000000000003</v>
          </cell>
          <cell r="Z17">
            <v>29.69</v>
          </cell>
          <cell r="AA17">
            <v>37.4</v>
          </cell>
          <cell r="AB17">
            <v>3079</v>
          </cell>
          <cell r="AF17">
            <v>0</v>
          </cell>
          <cell r="AG17">
            <v>3074689400</v>
          </cell>
          <cell r="AH17">
            <v>0</v>
          </cell>
          <cell r="AI17" t="str">
            <v>n.m.</v>
          </cell>
          <cell r="AJ17" t="str">
            <v>n.m.</v>
          </cell>
          <cell r="AK17" t="str">
            <v>n.m.</v>
          </cell>
        </row>
        <row r="18">
          <cell r="A18" t="str">
            <v>KGI-T</v>
          </cell>
          <cell r="B18" t="str">
            <v>TSX: KGI</v>
          </cell>
          <cell r="C18" t="str">
            <v>KGI</v>
          </cell>
          <cell r="D18" t="str">
            <v>Kirkland Lake Gold</v>
          </cell>
          <cell r="E18">
            <v>67730634</v>
          </cell>
          <cell r="F18">
            <v>945250</v>
          </cell>
          <cell r="G18">
            <v>7.74</v>
          </cell>
          <cell r="H18">
            <v>3537936</v>
          </cell>
          <cell r="I18">
            <v>9.7200000000000006</v>
          </cell>
          <cell r="J18" t="str">
            <v>February, 2010</v>
          </cell>
          <cell r="K18" t="str">
            <v>$32.0MM @ $8.25</v>
          </cell>
          <cell r="L18">
            <v>48607767</v>
          </cell>
          <cell r="M18">
            <v>0</v>
          </cell>
          <cell r="N18">
            <v>46767143</v>
          </cell>
          <cell r="O18" t="str">
            <v>Main Break, South Mine Complex</v>
          </cell>
          <cell r="P18" t="str">
            <v>ON</v>
          </cell>
          <cell r="Q18" t="str">
            <v>JPMorgan Asset Management - 5.8%</v>
          </cell>
          <cell r="R18" t="str">
            <v>D Harold W Dobson - 5.5%</v>
          </cell>
          <cell r="U18" t="str">
            <v>Inst. #1 - 5.8%</v>
          </cell>
          <cell r="V18" t="str">
            <v>DHW Dobson - 5.5%</v>
          </cell>
          <cell r="Y18">
            <v>13.78</v>
          </cell>
          <cell r="Z18">
            <v>6.25</v>
          </cell>
          <cell r="AA18">
            <v>17.62</v>
          </cell>
          <cell r="AB18">
            <v>944</v>
          </cell>
          <cell r="AC18">
            <v>1036.5</v>
          </cell>
          <cell r="AD18">
            <v>2057.5</v>
          </cell>
          <cell r="AE18">
            <v>663.5</v>
          </cell>
          <cell r="AF18">
            <v>69187334.301886782</v>
          </cell>
          <cell r="AG18">
            <v>895976731.00020003</v>
          </cell>
          <cell r="AH18">
            <v>2721</v>
          </cell>
          <cell r="AI18">
            <v>864.42521080578877</v>
          </cell>
          <cell r="AJ18">
            <v>435.46864204140951</v>
          </cell>
          <cell r="AK18">
            <v>329.28215031245867</v>
          </cell>
        </row>
        <row r="19">
          <cell r="A19" t="str">
            <v>LSG-T</v>
          </cell>
          <cell r="B19" t="str">
            <v>TSX: LSG</v>
          </cell>
          <cell r="C19" t="str">
            <v>LSG</v>
          </cell>
          <cell r="D19" t="str">
            <v>Lake Shore Gold</v>
          </cell>
          <cell r="Y19">
            <v>3.73</v>
          </cell>
          <cell r="Z19">
            <v>2.48</v>
          </cell>
          <cell r="AA19">
            <v>4.32</v>
          </cell>
          <cell r="AB19">
            <v>1415</v>
          </cell>
          <cell r="AF19">
            <v>0</v>
          </cell>
          <cell r="AG19">
            <v>1413019000</v>
          </cell>
          <cell r="AH19">
            <v>0</v>
          </cell>
          <cell r="AI19" t="str">
            <v>n.m.</v>
          </cell>
          <cell r="AJ19" t="str">
            <v>n.m.</v>
          </cell>
          <cell r="AK19" t="str">
            <v>n.m.</v>
          </cell>
        </row>
        <row r="20">
          <cell r="A20" t="str">
            <v>MAO-V</v>
          </cell>
          <cell r="B20" t="str">
            <v>TSX-V: MAO</v>
          </cell>
          <cell r="C20" t="str">
            <v>MAO</v>
          </cell>
          <cell r="D20" t="str">
            <v>Maudore Minerals</v>
          </cell>
          <cell r="E20">
            <v>22774347</v>
          </cell>
          <cell r="F20">
            <v>1269500</v>
          </cell>
          <cell r="G20">
            <v>1.54</v>
          </cell>
          <cell r="H20">
            <v>0</v>
          </cell>
          <cell r="I20">
            <v>0</v>
          </cell>
          <cell r="J20" t="str">
            <v>December, 2010</v>
          </cell>
          <cell r="K20" t="str">
            <v>$5.0MM @ $8.00 (special units)</v>
          </cell>
          <cell r="L20">
            <v>3645084</v>
          </cell>
          <cell r="M20">
            <v>0</v>
          </cell>
          <cell r="N20">
            <v>6307441</v>
          </cell>
          <cell r="O20" t="str">
            <v>Comtois</v>
          </cell>
          <cell r="P20" t="str">
            <v>QC</v>
          </cell>
          <cell r="Y20">
            <v>6.04</v>
          </cell>
          <cell r="Z20">
            <v>3.05</v>
          </cell>
          <cell r="AA20">
            <v>6.65</v>
          </cell>
          <cell r="AB20">
            <v>137</v>
          </cell>
          <cell r="AC20">
            <v>0</v>
          </cell>
          <cell r="AD20">
            <v>0</v>
          </cell>
          <cell r="AE20">
            <v>1212.7929999999999</v>
          </cell>
          <cell r="AF20">
            <v>23720166.53642384</v>
          </cell>
          <cell r="AG20">
            <v>130509589.4174</v>
          </cell>
          <cell r="AH20">
            <v>1212.7929999999999</v>
          </cell>
          <cell r="AI20" t="str">
            <v>n.m.</v>
          </cell>
          <cell r="AJ20" t="str">
            <v>n.m.</v>
          </cell>
          <cell r="AK20">
            <v>107.61077068996936</v>
          </cell>
        </row>
        <row r="21">
          <cell r="A21" t="str">
            <v>PDL-T</v>
          </cell>
          <cell r="B21" t="str">
            <v>TSX: PDL</v>
          </cell>
          <cell r="C21" t="str">
            <v>PDL</v>
          </cell>
          <cell r="D21" t="str">
            <v>N.A. Palladium</v>
          </cell>
          <cell r="Y21">
            <v>6.55</v>
          </cell>
          <cell r="Z21">
            <v>3.06</v>
          </cell>
          <cell r="AA21">
            <v>7.92</v>
          </cell>
          <cell r="AB21">
            <v>1012.9999999999999</v>
          </cell>
          <cell r="AF21">
            <v>0</v>
          </cell>
          <cell r="AG21">
            <v>1011581799.9999999</v>
          </cell>
          <cell r="AH21">
            <v>0</v>
          </cell>
          <cell r="AI21" t="str">
            <v>n.m.</v>
          </cell>
          <cell r="AJ21" t="str">
            <v>n.m.</v>
          </cell>
          <cell r="AK21" t="str">
            <v>n.m.</v>
          </cell>
        </row>
        <row r="22">
          <cell r="A22" t="str">
            <v>NGM-V</v>
          </cell>
          <cell r="B22" t="str">
            <v>TSX-V: NGM</v>
          </cell>
          <cell r="C22" t="str">
            <v>NGM</v>
          </cell>
          <cell r="D22" t="str">
            <v>Northern Gold</v>
          </cell>
          <cell r="E22">
            <v>88686188</v>
          </cell>
          <cell r="F22">
            <v>6575000</v>
          </cell>
          <cell r="G22">
            <v>0.31</v>
          </cell>
          <cell r="H22">
            <v>31602511</v>
          </cell>
          <cell r="I22">
            <v>0.25041052165127009</v>
          </cell>
          <cell r="J22" t="str">
            <v>November, 2010</v>
          </cell>
          <cell r="K22" t="str">
            <v>$3.1M @ $0.40 (HDUs) &amp; $1.9M @ $0.45 (FTUs)</v>
          </cell>
          <cell r="L22">
            <v>6660492</v>
          </cell>
          <cell r="M22">
            <v>0</v>
          </cell>
          <cell r="N22">
            <v>6699003</v>
          </cell>
          <cell r="O22" t="str">
            <v>Garrison</v>
          </cell>
          <cell r="P22" t="str">
            <v>ON</v>
          </cell>
          <cell r="Q22" t="str">
            <v>Sprott Asset Management - 7.7%</v>
          </cell>
          <cell r="U22" t="str">
            <v>Sprott Asset Management - 7.7%</v>
          </cell>
          <cell r="Y22">
            <v>0.42499999999999999</v>
          </cell>
          <cell r="Z22">
            <v>0.105</v>
          </cell>
          <cell r="AA22">
            <v>0.48</v>
          </cell>
          <cell r="AB22">
            <v>38</v>
          </cell>
          <cell r="AC22">
            <v>0</v>
          </cell>
          <cell r="AD22">
            <v>165.76</v>
          </cell>
          <cell r="AE22">
            <v>621.23199999999997</v>
          </cell>
          <cell r="AF22">
            <v>103447578.3764706</v>
          </cell>
          <cell r="AG22">
            <v>31257175.604200002</v>
          </cell>
          <cell r="AH22">
            <v>786.99199999999996</v>
          </cell>
          <cell r="AI22" t="str">
            <v>n.m.</v>
          </cell>
          <cell r="AJ22">
            <v>188.5688682685811</v>
          </cell>
          <cell r="AK22">
            <v>39.717272353721519</v>
          </cell>
        </row>
        <row r="23">
          <cell r="A23" t="str">
            <v>NGX-T</v>
          </cell>
          <cell r="B23" t="str">
            <v>TSX: NGX</v>
          </cell>
          <cell r="C23" t="str">
            <v>NGX</v>
          </cell>
          <cell r="D23" t="str">
            <v>Northgate Minerals</v>
          </cell>
          <cell r="E23">
            <v>291080975</v>
          </cell>
          <cell r="F23">
            <v>6325850</v>
          </cell>
          <cell r="G23">
            <v>2.4900000000000002</v>
          </cell>
          <cell r="H23">
            <v>0</v>
          </cell>
          <cell r="I23">
            <v>0</v>
          </cell>
          <cell r="J23" t="str">
            <v>October, 2010</v>
          </cell>
          <cell r="K23" t="str">
            <v>$163.5MM 3.5% senior converts</v>
          </cell>
          <cell r="L23">
            <v>168174000</v>
          </cell>
          <cell r="M23">
            <v>0</v>
          </cell>
          <cell r="N23">
            <v>127457000</v>
          </cell>
          <cell r="O23" t="str">
            <v>Foserville, Kemess, Stawell, Young-Davidson</v>
          </cell>
          <cell r="P23" t="str">
            <v>BC, ON</v>
          </cell>
          <cell r="Q23" t="str">
            <v>Van Eck Associates - 9.8%</v>
          </cell>
          <cell r="R23" t="str">
            <v>Renaissance Technologies #1 - 5.3%</v>
          </cell>
          <cell r="U23" t="str">
            <v>Inst. #1 - 9.8%</v>
          </cell>
          <cell r="V23" t="str">
            <v>Corp. #1 - 5.3%</v>
          </cell>
          <cell r="Y23">
            <v>2.65</v>
          </cell>
          <cell r="Z23">
            <v>2.42</v>
          </cell>
          <cell r="AA23">
            <v>3.62</v>
          </cell>
          <cell r="AB23">
            <v>771</v>
          </cell>
          <cell r="AC23">
            <v>3754.2959999999998</v>
          </cell>
          <cell r="AD23">
            <v>11602.602999999999</v>
          </cell>
          <cell r="AE23">
            <v>1552.85</v>
          </cell>
          <cell r="AF23">
            <v>291462913.11320752</v>
          </cell>
          <cell r="AG23">
            <v>642642039.80000007</v>
          </cell>
          <cell r="AH23">
            <v>13155.453</v>
          </cell>
          <cell r="AI23">
            <v>171.17511240456267</v>
          </cell>
          <cell r="AJ23">
            <v>55.387747025387327</v>
          </cell>
          <cell r="AK23">
            <v>48.849860191055377</v>
          </cell>
        </row>
        <row r="24">
          <cell r="A24" t="str">
            <v>OSK-T</v>
          </cell>
          <cell r="B24" t="str">
            <v>TSX: OSK</v>
          </cell>
          <cell r="C24" t="str">
            <v>OSK</v>
          </cell>
          <cell r="D24" t="str">
            <v>Osisko</v>
          </cell>
          <cell r="L24">
            <v>427470000</v>
          </cell>
          <cell r="M24">
            <v>172709000</v>
          </cell>
          <cell r="N24">
            <v>385047000</v>
          </cell>
          <cell r="Y24">
            <v>13.3</v>
          </cell>
          <cell r="Z24">
            <v>7.8</v>
          </cell>
          <cell r="AA24">
            <v>16.39</v>
          </cell>
          <cell r="AB24">
            <v>5077</v>
          </cell>
          <cell r="AF24">
            <v>0</v>
          </cell>
          <cell r="AG24">
            <v>4857851473.1999998</v>
          </cell>
          <cell r="AH24">
            <v>0</v>
          </cell>
          <cell r="AI24" t="str">
            <v>n.m.</v>
          </cell>
          <cell r="AJ24" t="str">
            <v>n.m.</v>
          </cell>
          <cell r="AK24" t="str">
            <v>n.m.</v>
          </cell>
        </row>
        <row r="25">
          <cell r="A25" t="str">
            <v>PG-T</v>
          </cell>
          <cell r="B25" t="str">
            <v>TSX: PG</v>
          </cell>
          <cell r="C25" t="str">
            <v>PG</v>
          </cell>
          <cell r="D25" t="str">
            <v>Premier Gold</v>
          </cell>
          <cell r="Y25">
            <v>6.46</v>
          </cell>
          <cell r="Z25">
            <v>3.4</v>
          </cell>
          <cell r="AA25">
            <v>7.75</v>
          </cell>
          <cell r="AB25">
            <v>673</v>
          </cell>
          <cell r="AF25">
            <v>0</v>
          </cell>
          <cell r="AG25">
            <v>672057800</v>
          </cell>
          <cell r="AH25">
            <v>0</v>
          </cell>
          <cell r="AI25" t="str">
            <v>n.m.</v>
          </cell>
          <cell r="AJ25" t="str">
            <v>n.m.</v>
          </cell>
          <cell r="AK25" t="str">
            <v>n.m.</v>
          </cell>
        </row>
        <row r="26">
          <cell r="A26" t="str">
            <v>PDG-V</v>
          </cell>
          <cell r="B26" t="str">
            <v>TSX-V: PDG</v>
          </cell>
          <cell r="C26" t="str">
            <v>PDG</v>
          </cell>
          <cell r="D26" t="str">
            <v>Prodigy Gold</v>
          </cell>
          <cell r="Y26">
            <v>0.26</v>
          </cell>
          <cell r="Z26">
            <v>0.19</v>
          </cell>
          <cell r="AA26">
            <v>0.51</v>
          </cell>
          <cell r="AB26">
            <v>46</v>
          </cell>
          <cell r="AF26">
            <v>0</v>
          </cell>
          <cell r="AG26">
            <v>45935600</v>
          </cell>
          <cell r="AH26">
            <v>0</v>
          </cell>
          <cell r="AI26" t="str">
            <v>n.m.</v>
          </cell>
          <cell r="AJ26" t="str">
            <v>n.m.</v>
          </cell>
          <cell r="AK26" t="str">
            <v>n.m.</v>
          </cell>
        </row>
        <row r="27">
          <cell r="A27" t="str">
            <v>QMI-T</v>
          </cell>
          <cell r="B27" t="str">
            <v>TSX: QMI</v>
          </cell>
          <cell r="C27" t="str">
            <v>QMI</v>
          </cell>
          <cell r="D27" t="str">
            <v>Queenston Mining</v>
          </cell>
          <cell r="E27">
            <v>77756628</v>
          </cell>
          <cell r="F27">
            <v>5605500</v>
          </cell>
          <cell r="G27">
            <v>3.03</v>
          </cell>
          <cell r="H27">
            <v>2709081</v>
          </cell>
          <cell r="I27">
            <v>6.9925234793644044</v>
          </cell>
          <cell r="J27" t="str">
            <v>November, 2010</v>
          </cell>
          <cell r="K27" t="str">
            <v>$20.1MM @ $6.70</v>
          </cell>
          <cell r="L27">
            <v>54322473</v>
          </cell>
          <cell r="M27">
            <v>0</v>
          </cell>
          <cell r="N27">
            <v>53201991</v>
          </cell>
          <cell r="O27" t="str">
            <v>Anoki, McBean, South Mine Complex, Upper Beaver</v>
          </cell>
          <cell r="P27" t="str">
            <v>ON</v>
          </cell>
          <cell r="Q27" t="str">
            <v>Pinetree Capital - 11.1%</v>
          </cell>
          <cell r="R27" t="str">
            <v>Agnico-Eagle - 8.5%</v>
          </cell>
          <cell r="S27" t="str">
            <v>Ned Goodman Investment Counsel - 8.3%</v>
          </cell>
          <cell r="U27" t="str">
            <v>Inst. #1 - 11.1%</v>
          </cell>
          <cell r="V27" t="str">
            <v>Corp. #1 - 8.5%</v>
          </cell>
          <cell r="W27" t="str">
            <v>Inst. #2 - 8.4%</v>
          </cell>
          <cell r="Y27">
            <v>5.45</v>
          </cell>
          <cell r="Z27">
            <v>3.2</v>
          </cell>
          <cell r="AA27">
            <v>6.55</v>
          </cell>
          <cell r="AB27">
            <v>424</v>
          </cell>
          <cell r="AC27">
            <v>0</v>
          </cell>
          <cell r="AD27">
            <v>657.2</v>
          </cell>
          <cell r="AE27">
            <v>582.5</v>
          </cell>
          <cell r="AF27">
            <v>80245675.706422016</v>
          </cell>
          <cell r="AG27">
            <v>370278891.78740001</v>
          </cell>
          <cell r="AH27">
            <v>1239.7</v>
          </cell>
          <cell r="AI27" t="str">
            <v>n.m.</v>
          </cell>
          <cell r="AJ27">
            <v>563.41888586031644</v>
          </cell>
          <cell r="AK27">
            <v>298.68427182979752</v>
          </cell>
        </row>
        <row r="28">
          <cell r="A28" t="str">
            <v>RR-V</v>
          </cell>
          <cell r="B28" t="str">
            <v>TSX-V: RR</v>
          </cell>
          <cell r="C28" t="str">
            <v>RR</v>
          </cell>
          <cell r="D28" t="str">
            <v>Rainy River</v>
          </cell>
          <cell r="L28">
            <v>613955199</v>
          </cell>
          <cell r="M28">
            <v>0</v>
          </cell>
          <cell r="N28">
            <v>59638088</v>
          </cell>
          <cell r="Y28">
            <v>11.65</v>
          </cell>
          <cell r="Z28">
            <v>4.3</v>
          </cell>
          <cell r="AA28">
            <v>13.5</v>
          </cell>
          <cell r="AB28">
            <v>958</v>
          </cell>
          <cell r="AF28">
            <v>0</v>
          </cell>
          <cell r="AG28">
            <v>897104205.32319999</v>
          </cell>
          <cell r="AH28">
            <v>0</v>
          </cell>
          <cell r="AI28" t="str">
            <v>n.m.</v>
          </cell>
          <cell r="AJ28" t="str">
            <v>n.m.</v>
          </cell>
          <cell r="AK28" t="str">
            <v>n.m.</v>
          </cell>
        </row>
        <row r="29">
          <cell r="A29" t="str">
            <v>RIC-T</v>
          </cell>
          <cell r="B29" t="str">
            <v>TSX: RIC</v>
          </cell>
          <cell r="C29" t="str">
            <v>RIC</v>
          </cell>
          <cell r="D29" t="str">
            <v>Richmont Mines</v>
          </cell>
          <cell r="Y29">
            <v>4.45</v>
          </cell>
          <cell r="Z29">
            <v>3.7800000000000002</v>
          </cell>
          <cell r="AA29">
            <v>5.71</v>
          </cell>
          <cell r="AB29">
            <v>139</v>
          </cell>
          <cell r="AF29">
            <v>0</v>
          </cell>
          <cell r="AG29">
            <v>138805400</v>
          </cell>
          <cell r="AH29">
            <v>0</v>
          </cell>
          <cell r="AI29" t="str">
            <v>n.m.</v>
          </cell>
          <cell r="AJ29" t="str">
            <v>n.m.</v>
          </cell>
          <cell r="AK29" t="str">
            <v>n.m.</v>
          </cell>
        </row>
        <row r="30">
          <cell r="A30" t="str">
            <v>RLL-V</v>
          </cell>
          <cell r="B30" t="str">
            <v>TSX-V: RLL</v>
          </cell>
          <cell r="C30" t="str">
            <v>RLL</v>
          </cell>
          <cell r="D30" t="str">
            <v>Rolling Rock</v>
          </cell>
          <cell r="Y30" t="str">
            <v>#NT/FND</v>
          </cell>
          <cell r="Z30" t="str">
            <v>#NT/FND</v>
          </cell>
          <cell r="AA30" t="str">
            <v>#NT/FND</v>
          </cell>
          <cell r="AB30" t="e">
            <v>#VALUE!</v>
          </cell>
          <cell r="AF30" t="e">
            <v>#VALUE!</v>
          </cell>
          <cell r="AG30" t="e">
            <v>#VALUE!</v>
          </cell>
          <cell r="AH30">
            <v>0</v>
          </cell>
          <cell r="AI30" t="str">
            <v>n.m.</v>
          </cell>
          <cell r="AJ30" t="str">
            <v>n.m.</v>
          </cell>
          <cell r="AK30" t="str">
            <v>n.m.</v>
          </cell>
        </row>
        <row r="31">
          <cell r="A31" t="str">
            <v>RMX-T</v>
          </cell>
          <cell r="B31" t="str">
            <v>TSX: RMX</v>
          </cell>
          <cell r="C31" t="str">
            <v>RMX</v>
          </cell>
          <cell r="D31" t="str">
            <v>Rubicon Minerals</v>
          </cell>
          <cell r="E31">
            <v>213569174</v>
          </cell>
          <cell r="F31">
            <v>8520500</v>
          </cell>
          <cell r="G31">
            <v>2.7</v>
          </cell>
          <cell r="H31">
            <v>0</v>
          </cell>
          <cell r="I31">
            <v>0</v>
          </cell>
          <cell r="J31" t="str">
            <v>October, 2010</v>
          </cell>
          <cell r="K31" t="str">
            <v>$190.2MM @ $4.16</v>
          </cell>
          <cell r="L31">
            <v>85661049</v>
          </cell>
          <cell r="M31">
            <v>0</v>
          </cell>
          <cell r="N31">
            <v>77988534</v>
          </cell>
          <cell r="O31" t="str">
            <v>Pheonix Gold</v>
          </cell>
          <cell r="P31" t="str">
            <v>ON</v>
          </cell>
          <cell r="Q31" t="str">
            <v>Oppenheimer Funds - 5.2%</v>
          </cell>
          <cell r="U31" t="str">
            <v>Inst. #1 - 5.2%</v>
          </cell>
          <cell r="Y31">
            <v>4.99</v>
          </cell>
          <cell r="Z31">
            <v>3.24</v>
          </cell>
          <cell r="AA31">
            <v>6.5</v>
          </cell>
          <cell r="AB31">
            <v>1069</v>
          </cell>
          <cell r="AC31">
            <v>0</v>
          </cell>
          <cell r="AD31">
            <v>0</v>
          </cell>
          <cell r="AE31">
            <v>4007</v>
          </cell>
          <cell r="AF31">
            <v>217479383.41883767</v>
          </cell>
          <cell r="AG31">
            <v>989624049.94760001</v>
          </cell>
          <cell r="AH31">
            <v>4007</v>
          </cell>
          <cell r="AI31" t="str">
            <v>n.m.</v>
          </cell>
          <cell r="AJ31" t="str">
            <v>n.m.</v>
          </cell>
          <cell r="AK31">
            <v>246.97380832233591</v>
          </cell>
        </row>
        <row r="32">
          <cell r="A32" t="str">
            <v>SGR-T</v>
          </cell>
          <cell r="B32" t="str">
            <v>TSX: SGR</v>
          </cell>
          <cell r="C32" t="str">
            <v>SGR</v>
          </cell>
          <cell r="D32" t="str">
            <v>San Gold</v>
          </cell>
          <cell r="E32">
            <v>300408146</v>
          </cell>
          <cell r="F32">
            <v>13837685</v>
          </cell>
          <cell r="G32">
            <v>2.06</v>
          </cell>
          <cell r="H32">
            <v>0</v>
          </cell>
          <cell r="I32">
            <v>0</v>
          </cell>
          <cell r="J32" t="str">
            <v>August, 2010</v>
          </cell>
          <cell r="K32" t="str">
            <v>$80.0MM @ $4.00</v>
          </cell>
          <cell r="L32">
            <v>75698516</v>
          </cell>
          <cell r="M32">
            <v>1633025</v>
          </cell>
          <cell r="N32">
            <v>87558272</v>
          </cell>
          <cell r="O32" t="str">
            <v>Rice Lake, Tully Gold Property</v>
          </cell>
          <cell r="P32" t="str">
            <v>MB, ON</v>
          </cell>
          <cell r="Q32" t="str">
            <v>Goodman &amp; Company - 8.5%</v>
          </cell>
          <cell r="R32" t="str">
            <v>Fidelity - 6.3%</v>
          </cell>
          <cell r="S32" t="str">
            <v>Van Eck Associates Corp - 5.2%</v>
          </cell>
          <cell r="U32" t="str">
            <v>Inst. #1 - 8.5%</v>
          </cell>
          <cell r="V32" t="str">
            <v>Inst. #2 - 6.3%</v>
          </cell>
          <cell r="W32" t="str">
            <v>Inst. #3 - 5.2%</v>
          </cell>
          <cell r="Y32">
            <v>3.04</v>
          </cell>
          <cell r="Z32">
            <v>2.63</v>
          </cell>
          <cell r="AA32">
            <v>5</v>
          </cell>
          <cell r="AB32">
            <v>913</v>
          </cell>
          <cell r="AC32">
            <v>767.125</v>
          </cell>
          <cell r="AD32">
            <v>1625.9649999999999</v>
          </cell>
          <cell r="AE32">
            <v>1884.81</v>
          </cell>
          <cell r="AF32">
            <v>304868978.66447371</v>
          </cell>
          <cell r="AG32">
            <v>825916848.34580004</v>
          </cell>
          <cell r="AH32">
            <v>3510.7749999999996</v>
          </cell>
          <cell r="AI32">
            <v>1076.6392026668407</v>
          </cell>
          <cell r="AJ32">
            <v>507.95487501010177</v>
          </cell>
          <cell r="AK32">
            <v>235.25200229174473</v>
          </cell>
        </row>
        <row r="33">
          <cell r="A33" t="str">
            <v>SAS-T</v>
          </cell>
          <cell r="B33" t="str">
            <v>TSX: SAS</v>
          </cell>
          <cell r="C33" t="str">
            <v>SAS</v>
          </cell>
          <cell r="D33" t="str">
            <v>St. Andrew Goldfields</v>
          </cell>
          <cell r="E33">
            <v>360528090</v>
          </cell>
          <cell r="F33">
            <v>14879167</v>
          </cell>
          <cell r="G33">
            <v>0.81</v>
          </cell>
          <cell r="H33">
            <v>16839389</v>
          </cell>
          <cell r="I33">
            <v>0.44</v>
          </cell>
          <cell r="J33" t="str">
            <v>August, 2010</v>
          </cell>
          <cell r="K33" t="str">
            <v>$28.9MM @ $1.25 (special units)</v>
          </cell>
          <cell r="L33">
            <v>33954000</v>
          </cell>
          <cell r="M33">
            <v>15556000</v>
          </cell>
          <cell r="N33">
            <v>29546000</v>
          </cell>
          <cell r="O33" t="str">
            <v>Aquarius, Clavos, Hislop, Holloway, Holt, Taylor</v>
          </cell>
          <cell r="P33" t="str">
            <v>ON</v>
          </cell>
          <cell r="Q33" t="str">
            <v>Randall Abramson - 24.8%</v>
          </cell>
          <cell r="R33" t="str">
            <v>2187791 Ontario Inc - 11.5%</v>
          </cell>
          <cell r="S33" t="str">
            <v>2187793 Ontario Inc - 10.9%</v>
          </cell>
          <cell r="T33" t="str">
            <v>Herbert Abramson - 8.2%</v>
          </cell>
          <cell r="U33" t="str">
            <v>R. Abramson - 24.8%</v>
          </cell>
          <cell r="V33" t="str">
            <v>Corp. #1 - 11.5%</v>
          </cell>
          <cell r="W33" t="str">
            <v>Corp. #2 - 10.9%</v>
          </cell>
          <cell r="X33" t="str">
            <v>H. Abramson - 8.2%</v>
          </cell>
          <cell r="Y33">
            <v>1.37</v>
          </cell>
          <cell r="Z33">
            <v>0.67</v>
          </cell>
          <cell r="AA33">
            <v>1.71</v>
          </cell>
          <cell r="AB33">
            <v>502</v>
          </cell>
          <cell r="AC33">
            <v>749</v>
          </cell>
          <cell r="AD33">
            <v>3532.8</v>
          </cell>
          <cell r="AE33">
            <v>1079</v>
          </cell>
          <cell r="AF33">
            <v>378041203.35036498</v>
          </cell>
          <cell r="AG33">
            <v>487326786</v>
          </cell>
          <cell r="AH33">
            <v>4611.8</v>
          </cell>
          <cell r="AI33">
            <v>650.63656341789056</v>
          </cell>
          <cell r="AJ33">
            <v>137.94349694293479</v>
          </cell>
          <cell r="AK33">
            <v>105.66954030964048</v>
          </cell>
        </row>
        <row r="34">
          <cell r="A34" t="str">
            <v>TME-V</v>
          </cell>
          <cell r="B34" t="str">
            <v>TSX-V: TME</v>
          </cell>
          <cell r="C34" t="str">
            <v>TME</v>
          </cell>
          <cell r="D34" t="str">
            <v>Temex Resources</v>
          </cell>
          <cell r="Y34">
            <v>0.42499999999999999</v>
          </cell>
          <cell r="Z34">
            <v>0.17</v>
          </cell>
          <cell r="AA34">
            <v>0.48</v>
          </cell>
          <cell r="AB34">
            <v>45</v>
          </cell>
          <cell r="AC34">
            <v>0</v>
          </cell>
          <cell r="AD34">
            <v>614</v>
          </cell>
          <cell r="AE34">
            <v>602</v>
          </cell>
          <cell r="AF34">
            <v>0</v>
          </cell>
          <cell r="AG34">
            <v>44937000</v>
          </cell>
          <cell r="AH34">
            <v>1216</v>
          </cell>
          <cell r="AI34" t="str">
            <v>n.m.</v>
          </cell>
          <cell r="AJ34">
            <v>73.187296416938111</v>
          </cell>
          <cell r="AK34">
            <v>36.954769736842103</v>
          </cell>
        </row>
        <row r="35">
          <cell r="A35" t="str">
            <v>TWD-V</v>
          </cell>
          <cell r="B35" t="str">
            <v>TSX-V: TWD</v>
          </cell>
          <cell r="C35" t="str">
            <v>TWD</v>
          </cell>
          <cell r="D35" t="str">
            <v>Trade Winds Ventures</v>
          </cell>
          <cell r="Y35">
            <v>0.33</v>
          </cell>
          <cell r="Z35">
            <v>0.105</v>
          </cell>
          <cell r="AA35">
            <v>0.47499999999999998</v>
          </cell>
          <cell r="AB35">
            <v>54</v>
          </cell>
          <cell r="AC35">
            <v>0</v>
          </cell>
          <cell r="AD35">
            <v>962</v>
          </cell>
          <cell r="AE35">
            <v>381</v>
          </cell>
          <cell r="AF35">
            <v>0</v>
          </cell>
          <cell r="AG35">
            <v>53924400</v>
          </cell>
          <cell r="AH35">
            <v>1343</v>
          </cell>
          <cell r="AI35" t="str">
            <v>n.m.</v>
          </cell>
          <cell r="AJ35">
            <v>56.054469854469858</v>
          </cell>
          <cell r="AK35">
            <v>40.152196574832466</v>
          </cell>
        </row>
        <row r="36">
          <cell r="A36" t="str">
            <v>TRR-V</v>
          </cell>
          <cell r="B36" t="str">
            <v>TSX-V: TRR</v>
          </cell>
          <cell r="C36" t="str">
            <v>TRR</v>
          </cell>
          <cell r="D36" t="str">
            <v>Trelawney</v>
          </cell>
          <cell r="E36">
            <v>120608877</v>
          </cell>
          <cell r="F36">
            <v>6954000</v>
          </cell>
          <cell r="G36">
            <v>0.55000000000000004</v>
          </cell>
          <cell r="H36">
            <v>6791224</v>
          </cell>
          <cell r="I36">
            <v>0.98890852370647764</v>
          </cell>
          <cell r="J36" t="str">
            <v>December, 2010</v>
          </cell>
          <cell r="K36" t="str">
            <v>$57.1M @ $2.50</v>
          </cell>
          <cell r="L36">
            <v>64398292</v>
          </cell>
          <cell r="M36">
            <v>0</v>
          </cell>
          <cell r="N36">
            <v>62663377</v>
          </cell>
          <cell r="O36" t="str">
            <v>Chester</v>
          </cell>
          <cell r="P36" t="str">
            <v>ON</v>
          </cell>
          <cell r="Q36" t="str">
            <v>Libra Advisors - 10.7%</v>
          </cell>
          <cell r="R36" t="str">
            <v>Metallum Resources - 5.4%</v>
          </cell>
          <cell r="U36" t="str">
            <v>Inst. #1 - 10.7%</v>
          </cell>
          <cell r="V36" t="str">
            <v>Corp. #1 - 5.4%</v>
          </cell>
          <cell r="Y36">
            <v>3.12</v>
          </cell>
          <cell r="Z36">
            <v>0.45</v>
          </cell>
          <cell r="AA36">
            <v>3.4</v>
          </cell>
          <cell r="AB36">
            <v>376.29969624</v>
          </cell>
          <cell r="AC36">
            <v>0</v>
          </cell>
          <cell r="AD36">
            <v>0</v>
          </cell>
          <cell r="AE36">
            <v>0</v>
          </cell>
          <cell r="AF36">
            <v>130975703.78846154</v>
          </cell>
          <cell r="AG36">
            <v>313197228.39306402</v>
          </cell>
          <cell r="AH36">
            <v>0</v>
          </cell>
          <cell r="AI36" t="str">
            <v>n.m.</v>
          </cell>
          <cell r="AJ36" t="str">
            <v>n.m.</v>
          </cell>
          <cell r="AK36" t="str">
            <v>n.m.</v>
          </cell>
        </row>
        <row r="37">
          <cell r="A37" t="str">
            <v>VIO-V</v>
          </cell>
          <cell r="B37" t="str">
            <v>TSX-V: VIO</v>
          </cell>
          <cell r="C37" t="str">
            <v>VIO</v>
          </cell>
          <cell r="D37" t="str">
            <v>Vior</v>
          </cell>
          <cell r="Y37">
            <v>0.13500000000000001</v>
          </cell>
          <cell r="Z37">
            <v>7.0000000000000007E-2</v>
          </cell>
          <cell r="AA37">
            <v>0.20499999999999999</v>
          </cell>
          <cell r="AB37">
            <v>13</v>
          </cell>
          <cell r="AF37">
            <v>0</v>
          </cell>
          <cell r="AG37">
            <v>12981800</v>
          </cell>
          <cell r="AH37">
            <v>0</v>
          </cell>
          <cell r="AI37" t="str">
            <v>n.m.</v>
          </cell>
          <cell r="AJ37" t="str">
            <v>n.m.</v>
          </cell>
          <cell r="AK37" t="str">
            <v>n.m.</v>
          </cell>
        </row>
        <row r="38">
          <cell r="A38" t="str">
            <v>WDO-T</v>
          </cell>
          <cell r="B38" t="str">
            <v>TSX: WDO</v>
          </cell>
          <cell r="C38" t="str">
            <v>WDO</v>
          </cell>
          <cell r="D38" t="str">
            <v>Wesdome Gold Mines</v>
          </cell>
          <cell r="E38">
            <v>100957909</v>
          </cell>
          <cell r="F38">
            <v>1995250</v>
          </cell>
          <cell r="G38">
            <v>1.88</v>
          </cell>
          <cell r="H38">
            <v>0</v>
          </cell>
          <cell r="I38">
            <v>0</v>
          </cell>
          <cell r="J38" t="str">
            <v>December, 2008</v>
          </cell>
          <cell r="K38" t="str">
            <v>$1.7MM @ $1.15</v>
          </cell>
          <cell r="L38">
            <v>21538000</v>
          </cell>
          <cell r="M38">
            <v>9916000</v>
          </cell>
          <cell r="N38">
            <v>31924000</v>
          </cell>
          <cell r="O38" t="str">
            <v>Eagle River, Kiena, Mishi, Wesdome</v>
          </cell>
          <cell r="P38" t="str">
            <v>ON, QC</v>
          </cell>
          <cell r="Q38" t="str">
            <v>Sprott Asset Management - 11.8%</v>
          </cell>
          <cell r="R38" t="str">
            <v>AGF Investments - 10.5%</v>
          </cell>
          <cell r="S38" t="str">
            <v>Alexander Christ - 9.9%</v>
          </cell>
          <cell r="U38" t="str">
            <v>Inst. #1 - 11.8%</v>
          </cell>
          <cell r="V38" t="str">
            <v>Inst. #2 - 10.5%</v>
          </cell>
          <cell r="W38" t="str">
            <v>A. Christ - 9.9%</v>
          </cell>
          <cell r="Y38">
            <v>2.7199999999999998</v>
          </cell>
          <cell r="Z38">
            <v>2</v>
          </cell>
          <cell r="AA38">
            <v>3.1</v>
          </cell>
          <cell r="AB38">
            <v>275</v>
          </cell>
          <cell r="AC38">
            <v>188</v>
          </cell>
          <cell r="AD38">
            <v>829</v>
          </cell>
          <cell r="AE38">
            <v>595</v>
          </cell>
          <cell r="AF38">
            <v>101574089.14705883</v>
          </cell>
          <cell r="AG38">
            <v>252637811.20000002</v>
          </cell>
          <cell r="AH38">
            <v>1424</v>
          </cell>
          <cell r="AI38">
            <v>1343.8181446808512</v>
          </cell>
          <cell r="AJ38">
            <v>304.75007382388424</v>
          </cell>
          <cell r="AK38">
            <v>177.41419325842699</v>
          </cell>
        </row>
      </sheetData>
      <sheetData sheetId="13" refreshError="1">
        <row r="4">
          <cell r="D4" t="str">
            <v>Location</v>
          </cell>
          <cell r="H4" t="str">
            <v>Reserves (P&amp;P) - 100%</v>
          </cell>
          <cell r="K4" t="str">
            <v>M&amp;I Resources - 100%1</v>
          </cell>
          <cell r="N4" t="str">
            <v>Inferred Resources - 100%</v>
          </cell>
          <cell r="Q4" t="str">
            <v>Reserves (P&amp;P) - % Owned</v>
          </cell>
          <cell r="T4" t="str">
            <v>M&amp;I Resources - % Owned1</v>
          </cell>
          <cell r="W4" t="str">
            <v>Inferred Resources - % Owned</v>
          </cell>
          <cell r="Z4" t="str">
            <v>State/Province</v>
          </cell>
          <cell r="AB4" t="str">
            <v>tonnes/ton</v>
          </cell>
          <cell r="AC4">
            <v>0.90718474000000004</v>
          </cell>
        </row>
        <row r="5">
          <cell r="A5" t="str">
            <v>Project</v>
          </cell>
          <cell r="B5" t="str">
            <v>Company</v>
          </cell>
          <cell r="C5" t="str">
            <v>Ownership</v>
          </cell>
          <cell r="D5" t="str">
            <v>Country</v>
          </cell>
          <cell r="E5" t="str">
            <v>State/Province</v>
          </cell>
          <cell r="F5" t="str">
            <v>County/District</v>
          </cell>
          <cell r="G5" t="str">
            <v>Town</v>
          </cell>
          <cell r="H5" t="str">
            <v>Tonnes</v>
          </cell>
          <cell r="I5" t="str">
            <v>Grade (g Au/t)</v>
          </cell>
          <cell r="J5" t="str">
            <v>Total (oz Au)</v>
          </cell>
          <cell r="K5" t="str">
            <v>Tonnes</v>
          </cell>
          <cell r="L5" t="str">
            <v>Grade (g Au/t)</v>
          </cell>
          <cell r="M5" t="str">
            <v>Total (oz Au)</v>
          </cell>
          <cell r="N5" t="str">
            <v>Tonnes</v>
          </cell>
          <cell r="O5" t="str">
            <v>Grade (g Au/t)</v>
          </cell>
          <cell r="P5" t="str">
            <v>Total (oz Au)</v>
          </cell>
          <cell r="Q5" t="str">
            <v>Tonnes</v>
          </cell>
          <cell r="R5" t="str">
            <v>Grade (g Au/t)</v>
          </cell>
          <cell r="S5" t="str">
            <v>Total (oz Au)</v>
          </cell>
          <cell r="T5" t="str">
            <v>Tonnes</v>
          </cell>
          <cell r="U5" t="str">
            <v>Grade (g Au/t)</v>
          </cell>
          <cell r="V5" t="str">
            <v>Total (oz Au)</v>
          </cell>
          <cell r="W5" t="str">
            <v>Tonnes</v>
          </cell>
          <cell r="X5" t="str">
            <v>Grade (g Au/t)</v>
          </cell>
          <cell r="Y5" t="str">
            <v>Total (oz Au)</v>
          </cell>
          <cell r="Z5" t="str">
            <v>To Publish</v>
          </cell>
        </row>
        <row r="6">
          <cell r="A6" t="str">
            <v>Goldex</v>
          </cell>
          <cell r="B6" t="str">
            <v>Agnico Eagle</v>
          </cell>
          <cell r="C6">
            <v>1</v>
          </cell>
          <cell r="D6" t="str">
            <v>Canada</v>
          </cell>
          <cell r="E6" t="str">
            <v>Quebec</v>
          </cell>
          <cell r="F6" t="str">
            <v>Dubuisson</v>
          </cell>
          <cell r="G6" t="str">
            <v>Val d'Or</v>
          </cell>
          <cell r="H6">
            <v>24741000</v>
          </cell>
          <cell r="I6">
            <v>2.0515654177276588</v>
          </cell>
          <cell r="J6">
            <v>1630000</v>
          </cell>
          <cell r="K6">
            <v>24961000</v>
          </cell>
          <cell r="L6">
            <v>2.0492600456712475</v>
          </cell>
          <cell r="M6">
            <v>1643000</v>
          </cell>
          <cell r="N6">
            <v>10540000</v>
          </cell>
          <cell r="O6">
            <v>2.37</v>
          </cell>
          <cell r="P6">
            <v>802000</v>
          </cell>
          <cell r="Q6">
            <v>24741000</v>
          </cell>
          <cell r="R6">
            <v>2.0515654177276588</v>
          </cell>
          <cell r="S6">
            <v>1630000</v>
          </cell>
          <cell r="T6">
            <v>24961000</v>
          </cell>
          <cell r="U6">
            <v>2.0492600456712475</v>
          </cell>
          <cell r="V6">
            <v>1643000</v>
          </cell>
          <cell r="W6">
            <v>10540000</v>
          </cell>
          <cell r="X6">
            <v>2.37</v>
          </cell>
          <cell r="Y6">
            <v>802000</v>
          </cell>
          <cell r="Z6" t="str">
            <v>QC</v>
          </cell>
        </row>
        <row r="7">
          <cell r="A7" t="str">
            <v>Lapa</v>
          </cell>
          <cell r="B7" t="str">
            <v>Agnico Eagle</v>
          </cell>
          <cell r="C7">
            <v>1</v>
          </cell>
          <cell r="D7" t="str">
            <v>Canada</v>
          </cell>
          <cell r="E7" t="str">
            <v>Quebec</v>
          </cell>
          <cell r="F7" t="str">
            <v>Abitibi</v>
          </cell>
          <cell r="G7" t="str">
            <v>Cadillac</v>
          </cell>
          <cell r="H7">
            <v>3216000</v>
          </cell>
          <cell r="I7">
            <v>8.1569402985074628</v>
          </cell>
          <cell r="J7">
            <v>843000</v>
          </cell>
          <cell r="K7">
            <v>4888000</v>
          </cell>
          <cell r="L7">
            <v>6.9505073649754499</v>
          </cell>
          <cell r="M7">
            <v>1092000</v>
          </cell>
          <cell r="N7">
            <v>383000</v>
          </cell>
          <cell r="O7">
            <v>7.9</v>
          </cell>
          <cell r="P7">
            <v>100000</v>
          </cell>
          <cell r="Q7">
            <v>3216000</v>
          </cell>
          <cell r="R7">
            <v>8.1569402985074628</v>
          </cell>
          <cell r="S7">
            <v>843000</v>
          </cell>
          <cell r="T7">
            <v>4888000</v>
          </cell>
          <cell r="U7">
            <v>6.9505073649754499</v>
          </cell>
          <cell r="V7">
            <v>1092000</v>
          </cell>
          <cell r="W7">
            <v>383000</v>
          </cell>
          <cell r="X7">
            <v>7.9</v>
          </cell>
          <cell r="Y7">
            <v>100000</v>
          </cell>
          <cell r="Z7" t="str">
            <v>QC</v>
          </cell>
        </row>
        <row r="8">
          <cell r="A8" t="str">
            <v>LaRonde</v>
          </cell>
          <cell r="B8" t="str">
            <v>Agnico Eagle</v>
          </cell>
          <cell r="C8">
            <v>1</v>
          </cell>
          <cell r="D8" t="str">
            <v>Canada</v>
          </cell>
          <cell r="E8" t="str">
            <v>Quebec</v>
          </cell>
          <cell r="F8" t="str">
            <v>Bousquet</v>
          </cell>
          <cell r="G8" t="str">
            <v>Cadillac</v>
          </cell>
          <cell r="H8">
            <v>29629755</v>
          </cell>
          <cell r="I8">
            <v>4.3908289703315884</v>
          </cell>
          <cell r="J8">
            <v>4850000</v>
          </cell>
          <cell r="K8">
            <v>36111755</v>
          </cell>
          <cell r="L8">
            <v>3.9347543933499556</v>
          </cell>
          <cell r="M8">
            <v>5236000</v>
          </cell>
          <cell r="N8">
            <v>10942000</v>
          </cell>
          <cell r="O8">
            <v>3.93</v>
          </cell>
          <cell r="P8">
            <v>1384000</v>
          </cell>
          <cell r="Q8">
            <v>29629755</v>
          </cell>
          <cell r="R8">
            <v>4.3908289703315884</v>
          </cell>
          <cell r="S8">
            <v>4850000</v>
          </cell>
          <cell r="T8">
            <v>36111755</v>
          </cell>
          <cell r="U8">
            <v>3.9347543933499556</v>
          </cell>
          <cell r="V8">
            <v>5236000</v>
          </cell>
          <cell r="W8">
            <v>10942000</v>
          </cell>
          <cell r="X8">
            <v>3.93</v>
          </cell>
          <cell r="Y8">
            <v>1384000</v>
          </cell>
          <cell r="Z8" t="str">
            <v>QC</v>
          </cell>
        </row>
        <row r="9">
          <cell r="A9" t="str">
            <v>Casa Berardi</v>
          </cell>
          <cell r="B9" t="str">
            <v>Aurizon Mines</v>
          </cell>
          <cell r="C9">
            <v>1</v>
          </cell>
          <cell r="D9" t="str">
            <v>Canada</v>
          </cell>
          <cell r="E9" t="str">
            <v>Quebec</v>
          </cell>
          <cell r="F9" t="str">
            <v>Casa Berardi</v>
          </cell>
          <cell r="G9" t="str">
            <v>La Sarre</v>
          </cell>
          <cell r="H9">
            <v>4433000</v>
          </cell>
          <cell r="I9">
            <v>7.1</v>
          </cell>
          <cell r="J9">
            <v>1010000</v>
          </cell>
          <cell r="K9">
            <v>12953000</v>
          </cell>
          <cell r="L9">
            <v>8.8105674361151856</v>
          </cell>
          <cell r="M9">
            <v>2248000</v>
          </cell>
          <cell r="N9">
            <v>4621000</v>
          </cell>
          <cell r="O9">
            <v>4.3921168578229821</v>
          </cell>
          <cell r="P9">
            <v>861000</v>
          </cell>
          <cell r="Q9">
            <v>4433000</v>
          </cell>
          <cell r="R9">
            <v>7.1</v>
          </cell>
          <cell r="S9">
            <v>1010000</v>
          </cell>
          <cell r="T9">
            <v>12953000</v>
          </cell>
          <cell r="U9">
            <v>8.8105674361151856</v>
          </cell>
          <cell r="V9">
            <v>2248000</v>
          </cell>
          <cell r="W9">
            <v>4621000</v>
          </cell>
          <cell r="X9">
            <v>4.3921168578229821</v>
          </cell>
          <cell r="Y9">
            <v>861000</v>
          </cell>
          <cell r="Z9" t="str">
            <v>QC</v>
          </cell>
        </row>
        <row r="10">
          <cell r="A10" t="str">
            <v>Joanna</v>
          </cell>
          <cell r="B10" t="str">
            <v>Aurizon Mines</v>
          </cell>
          <cell r="C10">
            <v>1</v>
          </cell>
          <cell r="D10" t="str">
            <v>Canada</v>
          </cell>
          <cell r="E10" t="str">
            <v>Quebec</v>
          </cell>
          <cell r="F10" t="str">
            <v>NW Quebec</v>
          </cell>
          <cell r="G10" t="str">
            <v>Rouyn-Noranda</v>
          </cell>
          <cell r="H10">
            <v>26050000</v>
          </cell>
          <cell r="I10">
            <v>1.22</v>
          </cell>
          <cell r="J10">
            <v>1022600</v>
          </cell>
          <cell r="K10">
            <v>71000000</v>
          </cell>
          <cell r="L10">
            <v>1.3276267605633802</v>
          </cell>
          <cell r="M10">
            <v>3024600</v>
          </cell>
          <cell r="N10">
            <v>33270000</v>
          </cell>
          <cell r="O10">
            <v>1.35</v>
          </cell>
          <cell r="P10">
            <v>1440000</v>
          </cell>
          <cell r="Q10">
            <v>26050000</v>
          </cell>
          <cell r="R10">
            <v>1.22</v>
          </cell>
          <cell r="S10">
            <v>1022600</v>
          </cell>
          <cell r="T10">
            <v>71000000</v>
          </cell>
          <cell r="U10">
            <v>1.3276267605633802</v>
          </cell>
          <cell r="V10">
            <v>3024600</v>
          </cell>
          <cell r="W10">
            <v>33270000</v>
          </cell>
          <cell r="X10">
            <v>1.35</v>
          </cell>
          <cell r="Y10">
            <v>1440000</v>
          </cell>
          <cell r="Z10" t="str">
            <v>QC</v>
          </cell>
        </row>
        <row r="11">
          <cell r="A11" t="str">
            <v>Hemlo</v>
          </cell>
          <cell r="B11" t="str">
            <v>Barrick Gold</v>
          </cell>
          <cell r="C11">
            <v>1</v>
          </cell>
          <cell r="D11" t="str">
            <v>Canada</v>
          </cell>
          <cell r="E11" t="str">
            <v>Ontario</v>
          </cell>
          <cell r="F11" t="str">
            <v>Hemlo</v>
          </cell>
          <cell r="G11" t="str">
            <v>Marathon</v>
          </cell>
          <cell r="I11">
            <v>2.3638644800000002</v>
          </cell>
          <cell r="J11">
            <v>1325000</v>
          </cell>
          <cell r="L11">
            <v>2.3401702849588428</v>
          </cell>
          <cell r="M11">
            <v>1504000</v>
          </cell>
          <cell r="O11">
            <v>0</v>
          </cell>
          <cell r="P11">
            <v>0</v>
          </cell>
          <cell r="Q11">
            <v>0</v>
          </cell>
          <cell r="R11">
            <v>2.3638644800000002</v>
          </cell>
          <cell r="S11">
            <v>1325000</v>
          </cell>
          <cell r="T11">
            <v>0</v>
          </cell>
          <cell r="U11">
            <v>2.3401702849588428</v>
          </cell>
          <cell r="V11">
            <v>1504000</v>
          </cell>
          <cell r="W11">
            <v>0</v>
          </cell>
          <cell r="X11">
            <v>0</v>
          </cell>
          <cell r="Y11">
            <v>0</v>
          </cell>
          <cell r="Z11" t="str">
            <v>ON</v>
          </cell>
        </row>
        <row r="12">
          <cell r="A12" t="str">
            <v>Black Fox</v>
          </cell>
          <cell r="B12" t="str">
            <v>Brigus Gold</v>
          </cell>
          <cell r="C12">
            <v>1</v>
          </cell>
          <cell r="D12" t="str">
            <v>Canada</v>
          </cell>
          <cell r="E12" t="str">
            <v>Ontario</v>
          </cell>
          <cell r="F12" t="str">
            <v>Beatty</v>
          </cell>
          <cell r="G12" t="str">
            <v>Matheson</v>
          </cell>
          <cell r="I12">
            <v>6.4</v>
          </cell>
          <cell r="J12">
            <v>1330000</v>
          </cell>
          <cell r="L12">
            <v>6.4</v>
          </cell>
          <cell r="M12">
            <v>1425680.611944387</v>
          </cell>
          <cell r="O12">
            <v>6.6</v>
          </cell>
          <cell r="P12">
            <v>744804.11838160874</v>
          </cell>
          <cell r="Q12">
            <v>0</v>
          </cell>
          <cell r="R12">
            <v>6.4</v>
          </cell>
          <cell r="S12">
            <v>1330000</v>
          </cell>
          <cell r="T12">
            <v>0</v>
          </cell>
          <cell r="U12">
            <v>6.4</v>
          </cell>
          <cell r="V12">
            <v>1425680.611944387</v>
          </cell>
          <cell r="W12">
            <v>0</v>
          </cell>
          <cell r="X12">
            <v>6.6</v>
          </cell>
          <cell r="Y12">
            <v>744804.11838160874</v>
          </cell>
          <cell r="Z12" t="str">
            <v>ON</v>
          </cell>
        </row>
        <row r="13">
          <cell r="A13" t="str">
            <v>Goldfields</v>
          </cell>
          <cell r="B13" t="str">
            <v>Brigus Gold</v>
          </cell>
          <cell r="C13">
            <v>1</v>
          </cell>
          <cell r="D13" t="str">
            <v>Canada</v>
          </cell>
          <cell r="E13" t="str">
            <v>Saskatchewan</v>
          </cell>
          <cell r="F13" t="str">
            <v>Beaverlodge</v>
          </cell>
          <cell r="G13" t="str">
            <v>Uranium City</v>
          </cell>
          <cell r="I13">
            <v>1.2348548698357686</v>
          </cell>
          <cell r="J13">
            <v>1030400</v>
          </cell>
          <cell r="L13">
            <v>1.4</v>
          </cell>
          <cell r="M13">
            <v>1120107.003846515</v>
          </cell>
          <cell r="O13">
            <v>0.82559241706161135</v>
          </cell>
          <cell r="P13">
            <v>156818.46532928149</v>
          </cell>
          <cell r="Q13">
            <v>0</v>
          </cell>
          <cell r="R13">
            <v>1.2348548698357686</v>
          </cell>
          <cell r="S13">
            <v>1030400</v>
          </cell>
          <cell r="T13">
            <v>0</v>
          </cell>
          <cell r="U13">
            <v>1.4</v>
          </cell>
          <cell r="V13">
            <v>1120107.003846515</v>
          </cell>
          <cell r="W13">
            <v>0</v>
          </cell>
          <cell r="X13">
            <v>0.82559241706161135</v>
          </cell>
          <cell r="Y13">
            <v>156818.46532928149</v>
          </cell>
          <cell r="Z13" t="str">
            <v>SK</v>
          </cell>
        </row>
        <row r="14">
          <cell r="A14" t="str">
            <v>Lynn Lake</v>
          </cell>
          <cell r="B14" t="str">
            <v>Carlisle Gold</v>
          </cell>
          <cell r="C14">
            <v>1</v>
          </cell>
          <cell r="D14" t="str">
            <v>Canada</v>
          </cell>
          <cell r="E14" t="str">
            <v>Manitoba</v>
          </cell>
          <cell r="H14">
            <v>0</v>
          </cell>
          <cell r="I14">
            <v>0</v>
          </cell>
          <cell r="J14">
            <v>0</v>
          </cell>
          <cell r="K14">
            <v>5314000</v>
          </cell>
          <cell r="L14">
            <v>3.59</v>
          </cell>
          <cell r="M14">
            <v>612600</v>
          </cell>
          <cell r="N14">
            <v>4428000</v>
          </cell>
          <cell r="O14">
            <v>2.97</v>
          </cell>
          <cell r="P14">
            <v>422600</v>
          </cell>
          <cell r="Q14">
            <v>0</v>
          </cell>
          <cell r="R14">
            <v>0</v>
          </cell>
          <cell r="S14">
            <v>0</v>
          </cell>
          <cell r="T14">
            <v>5314000</v>
          </cell>
          <cell r="U14">
            <v>3.59</v>
          </cell>
          <cell r="V14">
            <v>612600</v>
          </cell>
          <cell r="W14">
            <v>4428000</v>
          </cell>
          <cell r="X14">
            <v>2.97</v>
          </cell>
          <cell r="Y14">
            <v>422600</v>
          </cell>
          <cell r="Z14" t="str">
            <v>MB</v>
          </cell>
        </row>
        <row r="15">
          <cell r="A15" t="str">
            <v>Madsen</v>
          </cell>
          <cell r="B15" t="str">
            <v>Claude Resources</v>
          </cell>
          <cell r="C15">
            <v>1</v>
          </cell>
          <cell r="D15" t="str">
            <v>Canada</v>
          </cell>
          <cell r="E15" t="str">
            <v>Ontario</v>
          </cell>
          <cell r="F15" t="str">
            <v>Red Lake</v>
          </cell>
          <cell r="G15" t="str">
            <v>Madsen</v>
          </cell>
          <cell r="H15">
            <v>0</v>
          </cell>
          <cell r="I15">
            <v>0</v>
          </cell>
          <cell r="J15">
            <v>0</v>
          </cell>
          <cell r="K15">
            <v>3236000</v>
          </cell>
          <cell r="L15">
            <v>8.93</v>
          </cell>
          <cell r="M15">
            <v>928000</v>
          </cell>
          <cell r="N15">
            <v>788000</v>
          </cell>
          <cell r="O15">
            <v>11.74</v>
          </cell>
          <cell r="P15">
            <v>297000</v>
          </cell>
          <cell r="Q15">
            <v>0</v>
          </cell>
          <cell r="R15">
            <v>0</v>
          </cell>
          <cell r="S15">
            <v>0</v>
          </cell>
          <cell r="T15">
            <v>3236000</v>
          </cell>
          <cell r="U15">
            <v>8.93</v>
          </cell>
          <cell r="V15">
            <v>928000</v>
          </cell>
          <cell r="W15">
            <v>788000</v>
          </cell>
          <cell r="X15">
            <v>11.74</v>
          </cell>
          <cell r="Y15">
            <v>297000</v>
          </cell>
          <cell r="Z15" t="str">
            <v>ON</v>
          </cell>
        </row>
        <row r="16">
          <cell r="A16" t="str">
            <v>Seabee</v>
          </cell>
          <cell r="B16" t="str">
            <v>Claude Resources</v>
          </cell>
          <cell r="C16">
            <v>1</v>
          </cell>
          <cell r="D16" t="str">
            <v>Canada</v>
          </cell>
          <cell r="E16" t="str">
            <v>Saskatchewan</v>
          </cell>
          <cell r="F16" t="str">
            <v>Peninsula at NE end of Laonil Lake</v>
          </cell>
          <cell r="G16" t="str">
            <v>La Ronge</v>
          </cell>
          <cell r="H16">
            <v>949637</v>
          </cell>
          <cell r="I16">
            <v>6.82</v>
          </cell>
          <cell r="J16">
            <v>208178</v>
          </cell>
          <cell r="K16">
            <v>1768170</v>
          </cell>
          <cell r="L16">
            <v>7.3060729737525243</v>
          </cell>
          <cell r="M16">
            <v>415392</v>
          </cell>
          <cell r="N16">
            <v>1250982</v>
          </cell>
          <cell r="O16">
            <v>7.96</v>
          </cell>
          <cell r="P16">
            <v>319983</v>
          </cell>
          <cell r="Q16">
            <v>949637</v>
          </cell>
          <cell r="R16">
            <v>6.82</v>
          </cell>
          <cell r="S16">
            <v>208178</v>
          </cell>
          <cell r="T16">
            <v>1768170</v>
          </cell>
          <cell r="U16">
            <v>7.3060729737525243</v>
          </cell>
          <cell r="V16">
            <v>415392</v>
          </cell>
          <cell r="W16">
            <v>1250982</v>
          </cell>
          <cell r="X16">
            <v>7.96</v>
          </cell>
          <cell r="Y16">
            <v>319983</v>
          </cell>
          <cell r="Z16" t="str">
            <v>SK</v>
          </cell>
        </row>
        <row r="17">
          <cell r="A17" t="str">
            <v>Detour Lake</v>
          </cell>
          <cell r="B17" t="str">
            <v>Detour Gold</v>
          </cell>
          <cell r="C17">
            <v>1</v>
          </cell>
          <cell r="D17" t="str">
            <v>Canada</v>
          </cell>
          <cell r="E17" t="str">
            <v>Ontario</v>
          </cell>
          <cell r="H17">
            <v>347500000</v>
          </cell>
          <cell r="I17">
            <v>1.02</v>
          </cell>
          <cell r="J17">
            <v>11389000</v>
          </cell>
          <cell r="K17">
            <v>510000000</v>
          </cell>
          <cell r="L17">
            <v>1.08</v>
          </cell>
          <cell r="M17">
            <v>17670000</v>
          </cell>
          <cell r="N17">
            <v>133600000</v>
          </cell>
          <cell r="O17">
            <v>0.8</v>
          </cell>
          <cell r="P17">
            <v>3430000</v>
          </cell>
          <cell r="Q17">
            <v>347500000</v>
          </cell>
          <cell r="R17">
            <v>1.02</v>
          </cell>
          <cell r="S17">
            <v>11389000</v>
          </cell>
          <cell r="T17">
            <v>510000000</v>
          </cell>
          <cell r="U17">
            <v>1.08</v>
          </cell>
          <cell r="V17">
            <v>17670000</v>
          </cell>
          <cell r="W17">
            <v>133600000</v>
          </cell>
          <cell r="X17">
            <v>0.8</v>
          </cell>
          <cell r="Y17">
            <v>3430000</v>
          </cell>
          <cell r="Z17" t="str">
            <v>ON</v>
          </cell>
        </row>
        <row r="18">
          <cell r="A18" t="str">
            <v>Springpole</v>
          </cell>
          <cell r="B18" t="str">
            <v>Gold Canyon</v>
          </cell>
          <cell r="C18">
            <v>1</v>
          </cell>
          <cell r="D18" t="str">
            <v>Canada</v>
          </cell>
          <cell r="E18" t="str">
            <v>Ontario</v>
          </cell>
          <cell r="F18" t="str">
            <v>Red Lake</v>
          </cell>
          <cell r="G18" t="str">
            <v>Casummit Lake</v>
          </cell>
          <cell r="H18">
            <v>0</v>
          </cell>
          <cell r="I18">
            <v>0</v>
          </cell>
          <cell r="J18">
            <v>0</v>
          </cell>
          <cell r="K18">
            <v>249000</v>
          </cell>
          <cell r="L18">
            <v>5.66</v>
          </cell>
          <cell r="M18">
            <v>45500</v>
          </cell>
          <cell r="N18">
            <v>1353000</v>
          </cell>
          <cell r="O18">
            <v>4.53</v>
          </cell>
          <cell r="P18">
            <v>197100</v>
          </cell>
          <cell r="Q18">
            <v>0</v>
          </cell>
          <cell r="R18">
            <v>0</v>
          </cell>
          <cell r="S18">
            <v>0</v>
          </cell>
          <cell r="T18">
            <v>249000</v>
          </cell>
          <cell r="U18">
            <v>5.66</v>
          </cell>
          <cell r="V18">
            <v>45500</v>
          </cell>
          <cell r="W18">
            <v>1353000</v>
          </cell>
          <cell r="X18">
            <v>4.53</v>
          </cell>
          <cell r="Y18">
            <v>197100</v>
          </cell>
          <cell r="Z18" t="str">
            <v>ON</v>
          </cell>
        </row>
        <row r="19">
          <cell r="A19" t="str">
            <v>Eleonore</v>
          </cell>
          <cell r="B19" t="str">
            <v>Goldcorp</v>
          </cell>
          <cell r="C19">
            <v>1</v>
          </cell>
          <cell r="D19" t="str">
            <v>Canada</v>
          </cell>
          <cell r="E19" t="str">
            <v>Quebec</v>
          </cell>
          <cell r="F19" t="str">
            <v>Opinace Area, James Bay</v>
          </cell>
          <cell r="I19" t="str">
            <v>-</v>
          </cell>
          <cell r="J19">
            <v>0</v>
          </cell>
          <cell r="L19">
            <v>11.92</v>
          </cell>
          <cell r="M19">
            <v>3150000</v>
          </cell>
          <cell r="O19">
            <v>12.93</v>
          </cell>
          <cell r="P19">
            <v>6250000</v>
          </cell>
          <cell r="Q19">
            <v>0</v>
          </cell>
          <cell r="R19" t="str">
            <v>-</v>
          </cell>
          <cell r="S19">
            <v>0</v>
          </cell>
          <cell r="T19">
            <v>0</v>
          </cell>
          <cell r="U19">
            <v>11.92</v>
          </cell>
          <cell r="V19">
            <v>3150000</v>
          </cell>
          <cell r="W19">
            <v>0</v>
          </cell>
          <cell r="X19">
            <v>12.93</v>
          </cell>
          <cell r="Y19">
            <v>6250000</v>
          </cell>
          <cell r="Z19" t="str">
            <v>QC</v>
          </cell>
        </row>
        <row r="20">
          <cell r="A20" t="str">
            <v>Musselwhite</v>
          </cell>
          <cell r="B20" t="str">
            <v>Goldcorp</v>
          </cell>
          <cell r="C20">
            <v>1</v>
          </cell>
          <cell r="D20" t="str">
            <v>Canada</v>
          </cell>
          <cell r="E20" t="str">
            <v>Ontario</v>
          </cell>
          <cell r="F20" t="str">
            <v>Thunder Bay North</v>
          </cell>
          <cell r="G20" t="str">
            <v>Pickle Lake</v>
          </cell>
          <cell r="I20">
            <v>6.29</v>
          </cell>
          <cell r="J20">
            <v>2110000</v>
          </cell>
          <cell r="L20">
            <v>6.1947058823529408</v>
          </cell>
          <cell r="M20">
            <v>2380000</v>
          </cell>
          <cell r="O20">
            <v>5.92</v>
          </cell>
          <cell r="P20">
            <v>750000</v>
          </cell>
          <cell r="Q20">
            <v>0</v>
          </cell>
          <cell r="R20">
            <v>6.29</v>
          </cell>
          <cell r="S20">
            <v>2110000</v>
          </cell>
          <cell r="T20">
            <v>0</v>
          </cell>
          <cell r="U20">
            <v>6.1947058823529408</v>
          </cell>
          <cell r="V20">
            <v>2380000</v>
          </cell>
          <cell r="W20">
            <v>0</v>
          </cell>
          <cell r="X20">
            <v>5.92</v>
          </cell>
          <cell r="Y20">
            <v>750000</v>
          </cell>
          <cell r="Z20" t="str">
            <v>ON</v>
          </cell>
        </row>
        <row r="21">
          <cell r="A21" t="str">
            <v>Porcupine</v>
          </cell>
          <cell r="B21" t="str">
            <v>Goldcorp</v>
          </cell>
          <cell r="C21">
            <v>1</v>
          </cell>
          <cell r="D21" t="str">
            <v>Canada</v>
          </cell>
          <cell r="E21" t="str">
            <v>Ontario</v>
          </cell>
          <cell r="F21" t="str">
            <v>Hoyle</v>
          </cell>
          <cell r="G21" t="str">
            <v>Timmins</v>
          </cell>
          <cell r="I21">
            <v>1.5</v>
          </cell>
          <cell r="J21">
            <v>2729000</v>
          </cell>
          <cell r="L21">
            <v>1.3959866649570458</v>
          </cell>
          <cell r="M21">
            <v>7799000</v>
          </cell>
          <cell r="O21">
            <v>3.66</v>
          </cell>
          <cell r="P21">
            <v>840000</v>
          </cell>
          <cell r="Q21">
            <v>0</v>
          </cell>
          <cell r="R21">
            <v>1.5</v>
          </cell>
          <cell r="S21">
            <v>2729000</v>
          </cell>
          <cell r="T21">
            <v>0</v>
          </cell>
          <cell r="U21">
            <v>1.3959866649570458</v>
          </cell>
          <cell r="V21">
            <v>7799000</v>
          </cell>
          <cell r="W21">
            <v>0</v>
          </cell>
          <cell r="X21">
            <v>3.66</v>
          </cell>
          <cell r="Y21">
            <v>840000</v>
          </cell>
          <cell r="Z21" t="str">
            <v>ON</v>
          </cell>
        </row>
        <row r="22">
          <cell r="A22" t="str">
            <v>Red Lake</v>
          </cell>
          <cell r="B22" t="str">
            <v>Goldcorp</v>
          </cell>
          <cell r="C22">
            <v>1</v>
          </cell>
          <cell r="D22" t="str">
            <v>Canada</v>
          </cell>
          <cell r="E22" t="str">
            <v>Ontario</v>
          </cell>
          <cell r="F22" t="str">
            <v>Balmer</v>
          </cell>
          <cell r="G22" t="str">
            <v>Red Lake</v>
          </cell>
          <cell r="I22">
            <v>12.58</v>
          </cell>
          <cell r="J22">
            <v>3420000</v>
          </cell>
          <cell r="L22">
            <v>13.843065693430656</v>
          </cell>
          <cell r="M22">
            <v>5480000</v>
          </cell>
          <cell r="O22">
            <v>19.39</v>
          </cell>
          <cell r="P22">
            <v>2160000</v>
          </cell>
          <cell r="Q22">
            <v>0</v>
          </cell>
          <cell r="R22">
            <v>12.58</v>
          </cell>
          <cell r="S22">
            <v>3420000</v>
          </cell>
          <cell r="T22">
            <v>0</v>
          </cell>
          <cell r="U22">
            <v>13.843065693430656</v>
          </cell>
          <cell r="V22">
            <v>5480000</v>
          </cell>
          <cell r="W22">
            <v>0</v>
          </cell>
          <cell r="X22">
            <v>19.39</v>
          </cell>
          <cell r="Y22">
            <v>2160000</v>
          </cell>
          <cell r="Z22" t="str">
            <v>ON</v>
          </cell>
        </row>
        <row r="23">
          <cell r="A23" t="str">
            <v>Brookbank</v>
          </cell>
          <cell r="B23" t="str">
            <v>Goldstone Resources</v>
          </cell>
          <cell r="C23">
            <v>1</v>
          </cell>
          <cell r="D23" t="str">
            <v>Canada</v>
          </cell>
          <cell r="E23" t="str">
            <v>Ontario</v>
          </cell>
          <cell r="F23" t="str">
            <v>Irwin, Sandra</v>
          </cell>
          <cell r="G23" t="str">
            <v>Beardmore</v>
          </cell>
          <cell r="H23">
            <v>0</v>
          </cell>
          <cell r="I23">
            <v>0</v>
          </cell>
          <cell r="J23">
            <v>0</v>
          </cell>
          <cell r="K23">
            <v>1840300</v>
          </cell>
          <cell r="L23">
            <v>7.3</v>
          </cell>
          <cell r="M23">
            <v>432300</v>
          </cell>
          <cell r="N23">
            <v>2655600</v>
          </cell>
          <cell r="O23">
            <v>4.9000000000000004</v>
          </cell>
          <cell r="P23">
            <v>421400</v>
          </cell>
          <cell r="Q23">
            <v>0</v>
          </cell>
          <cell r="R23">
            <v>0</v>
          </cell>
          <cell r="S23">
            <v>0</v>
          </cell>
          <cell r="T23">
            <v>1840300</v>
          </cell>
          <cell r="U23">
            <v>7.3</v>
          </cell>
          <cell r="V23">
            <v>432300</v>
          </cell>
          <cell r="W23">
            <v>2655600</v>
          </cell>
          <cell r="X23">
            <v>4.9000000000000004</v>
          </cell>
          <cell r="Y23">
            <v>421400</v>
          </cell>
          <cell r="Z23" t="str">
            <v>ON</v>
          </cell>
        </row>
        <row r="24">
          <cell r="A24" t="str">
            <v>Hardrock</v>
          </cell>
          <cell r="B24" t="str">
            <v>Goldstone Resources</v>
          </cell>
          <cell r="C24">
            <v>0.3</v>
          </cell>
          <cell r="D24" t="str">
            <v>Canada</v>
          </cell>
          <cell r="E24" t="str">
            <v>Ontario</v>
          </cell>
          <cell r="F24" t="str">
            <v>Thunder Bay</v>
          </cell>
          <cell r="G24" t="str">
            <v>Geraldton</v>
          </cell>
          <cell r="H24">
            <v>0</v>
          </cell>
          <cell r="I24">
            <v>0</v>
          </cell>
          <cell r="J24">
            <v>0</v>
          </cell>
          <cell r="K24">
            <v>11600000</v>
          </cell>
          <cell r="L24">
            <v>1.82</v>
          </cell>
          <cell r="M24">
            <v>675000</v>
          </cell>
          <cell r="N24">
            <v>7300000</v>
          </cell>
          <cell r="O24">
            <v>1.81</v>
          </cell>
          <cell r="P24">
            <v>425000</v>
          </cell>
          <cell r="Q24">
            <v>0</v>
          </cell>
          <cell r="R24">
            <v>0</v>
          </cell>
          <cell r="S24">
            <v>0</v>
          </cell>
          <cell r="T24">
            <v>3480000</v>
          </cell>
          <cell r="U24">
            <v>1.82</v>
          </cell>
          <cell r="V24">
            <v>202500</v>
          </cell>
          <cell r="W24">
            <v>2190000</v>
          </cell>
          <cell r="X24">
            <v>1.81</v>
          </cell>
          <cell r="Y24">
            <v>127500</v>
          </cell>
          <cell r="Z24" t="str">
            <v>ON</v>
          </cell>
        </row>
        <row r="25">
          <cell r="A25" t="str">
            <v>Northern Empire</v>
          </cell>
          <cell r="B25" t="str">
            <v>Goldstone Resources</v>
          </cell>
          <cell r="C25">
            <v>1</v>
          </cell>
          <cell r="D25" t="str">
            <v>Canada</v>
          </cell>
          <cell r="E25" t="str">
            <v>Ontario</v>
          </cell>
          <cell r="G25" t="str">
            <v>Beardmore</v>
          </cell>
          <cell r="H25">
            <v>0</v>
          </cell>
          <cell r="I25">
            <v>0</v>
          </cell>
          <cell r="J25">
            <v>0</v>
          </cell>
          <cell r="K25">
            <v>78609.372090479999</v>
          </cell>
          <cell r="L25">
            <v>10.7</v>
          </cell>
          <cell r="M25">
            <v>29807</v>
          </cell>
          <cell r="N25">
            <v>58738.397545520005</v>
          </cell>
          <cell r="O25">
            <v>9.9499999999999993</v>
          </cell>
          <cell r="P25">
            <v>20719</v>
          </cell>
          <cell r="Q25">
            <v>0</v>
          </cell>
          <cell r="R25">
            <v>0</v>
          </cell>
          <cell r="S25">
            <v>0</v>
          </cell>
          <cell r="T25">
            <v>78609.372090479999</v>
          </cell>
          <cell r="U25">
            <v>10.7</v>
          </cell>
          <cell r="V25">
            <v>29807</v>
          </cell>
          <cell r="W25">
            <v>58738.397545520005</v>
          </cell>
          <cell r="X25">
            <v>9.9499999999999993</v>
          </cell>
          <cell r="Y25">
            <v>20719</v>
          </cell>
          <cell r="Z25" t="str">
            <v>ON</v>
          </cell>
        </row>
        <row r="26">
          <cell r="A26" t="str">
            <v>Doyon</v>
          </cell>
          <cell r="B26" t="str">
            <v>IAMGOLD</v>
          </cell>
          <cell r="C26">
            <v>1</v>
          </cell>
          <cell r="D26" t="str">
            <v>Canada</v>
          </cell>
          <cell r="E26" t="str">
            <v>Quebec</v>
          </cell>
          <cell r="F26" t="str">
            <v>Bousquet</v>
          </cell>
          <cell r="G26" t="str">
            <v>Cadillac</v>
          </cell>
          <cell r="I26">
            <v>13.740336134453781</v>
          </cell>
          <cell r="J26">
            <v>53000</v>
          </cell>
          <cell r="L26">
            <v>6.3603942685721737</v>
          </cell>
          <cell r="M26">
            <v>451000</v>
          </cell>
          <cell r="O26">
            <v>5.3</v>
          </cell>
          <cell r="P26">
            <v>633000</v>
          </cell>
          <cell r="Q26">
            <v>0</v>
          </cell>
          <cell r="R26">
            <v>13.740336134453781</v>
          </cell>
          <cell r="S26">
            <v>53000</v>
          </cell>
          <cell r="T26">
            <v>0</v>
          </cell>
          <cell r="U26">
            <v>6.3603942685721737</v>
          </cell>
          <cell r="V26">
            <v>451000</v>
          </cell>
          <cell r="W26">
            <v>0</v>
          </cell>
          <cell r="X26">
            <v>5.3</v>
          </cell>
          <cell r="Y26">
            <v>633000</v>
          </cell>
          <cell r="Z26" t="str">
            <v>QC</v>
          </cell>
        </row>
        <row r="27">
          <cell r="A27" t="str">
            <v>Main Break</v>
          </cell>
          <cell r="B27" t="str">
            <v>Kirkland Lake Gold</v>
          </cell>
          <cell r="C27">
            <v>1</v>
          </cell>
          <cell r="D27" t="str">
            <v>Canada</v>
          </cell>
          <cell r="E27" t="str">
            <v>Ontario</v>
          </cell>
          <cell r="G27" t="str">
            <v>Kirkland Lake</v>
          </cell>
          <cell r="H27">
            <v>1385271.0979800001</v>
          </cell>
          <cell r="I27">
            <v>15.185405557114789</v>
          </cell>
          <cell r="J27">
            <v>676000</v>
          </cell>
          <cell r="K27">
            <v>3139766.3851399999</v>
          </cell>
          <cell r="L27">
            <v>14.363346679324719</v>
          </cell>
          <cell r="M27">
            <v>1451000</v>
          </cell>
          <cell r="N27">
            <v>768385.47478000005</v>
          </cell>
          <cell r="O27">
            <v>12.130355952</v>
          </cell>
          <cell r="P27">
            <v>325000</v>
          </cell>
          <cell r="Q27">
            <v>1385271.0979800001</v>
          </cell>
          <cell r="R27">
            <v>15.185405557114789</v>
          </cell>
          <cell r="S27">
            <v>676000</v>
          </cell>
          <cell r="T27">
            <v>3139766.3851399999</v>
          </cell>
          <cell r="U27">
            <v>14.363346679324719</v>
          </cell>
          <cell r="V27">
            <v>1451000</v>
          </cell>
          <cell r="W27">
            <v>768385.47478000005</v>
          </cell>
          <cell r="X27">
            <v>12.130355952</v>
          </cell>
          <cell r="Y27">
            <v>325000</v>
          </cell>
          <cell r="Z27" t="str">
            <v>ON</v>
          </cell>
        </row>
        <row r="28">
          <cell r="A28" t="str">
            <v>South Mine Complex - KGI</v>
          </cell>
          <cell r="B28" t="str">
            <v>Kirkland Lake Gold</v>
          </cell>
          <cell r="C28">
            <v>0.5</v>
          </cell>
          <cell r="D28" t="str">
            <v>Canada</v>
          </cell>
          <cell r="E28" t="str">
            <v>Ontario</v>
          </cell>
          <cell r="G28" t="str">
            <v>Teck</v>
          </cell>
          <cell r="H28">
            <v>865454.24196000001</v>
          </cell>
          <cell r="I28">
            <v>25.806648697214737</v>
          </cell>
          <cell r="J28">
            <v>721000</v>
          </cell>
          <cell r="K28">
            <v>1553100.2748799999</v>
          </cell>
          <cell r="L28">
            <v>24.210881174899868</v>
          </cell>
          <cell r="M28">
            <v>1213000</v>
          </cell>
          <cell r="N28">
            <v>810115.97282000002</v>
          </cell>
          <cell r="O28">
            <v>23.638642367999999</v>
          </cell>
          <cell r="P28">
            <v>677000</v>
          </cell>
          <cell r="Q28">
            <v>432727.12098000001</v>
          </cell>
          <cell r="R28">
            <v>25.806648697214737</v>
          </cell>
          <cell r="S28">
            <v>360500</v>
          </cell>
          <cell r="T28">
            <v>776550.13743999996</v>
          </cell>
          <cell r="U28">
            <v>24.210881174899868</v>
          </cell>
          <cell r="V28">
            <v>606500</v>
          </cell>
          <cell r="W28">
            <v>405057.98641000001</v>
          </cell>
          <cell r="X28">
            <v>23.638642367999999</v>
          </cell>
          <cell r="Y28">
            <v>338500</v>
          </cell>
          <cell r="Z28" t="str">
            <v>ON</v>
          </cell>
          <cell r="AB28" t="str">
            <v>grams/oz</v>
          </cell>
          <cell r="AC28">
            <v>31.103476799999999</v>
          </cell>
        </row>
        <row r="29">
          <cell r="A29" t="str">
            <v>Bell Creek Mine</v>
          </cell>
          <cell r="B29" t="str">
            <v>Lake Shore Gold</v>
          </cell>
          <cell r="C29">
            <v>1</v>
          </cell>
          <cell r="D29" t="str">
            <v>Canada</v>
          </cell>
          <cell r="E29" t="str">
            <v>Ontario</v>
          </cell>
          <cell r="G29" t="str">
            <v>Timmins</v>
          </cell>
          <cell r="H29">
            <v>0</v>
          </cell>
          <cell r="I29">
            <v>0</v>
          </cell>
          <cell r="J29">
            <v>0</v>
          </cell>
          <cell r="K29">
            <v>1790000</v>
          </cell>
          <cell r="L29">
            <v>4.3600000000000003</v>
          </cell>
          <cell r="M29">
            <v>251200</v>
          </cell>
          <cell r="N29">
            <v>8427000</v>
          </cell>
          <cell r="O29">
            <v>4.4000000000000004</v>
          </cell>
          <cell r="P29">
            <v>1192900</v>
          </cell>
          <cell r="Q29">
            <v>0</v>
          </cell>
          <cell r="R29">
            <v>0</v>
          </cell>
          <cell r="S29">
            <v>0</v>
          </cell>
          <cell r="T29">
            <v>1790000</v>
          </cell>
          <cell r="U29">
            <v>4.3600000000000003</v>
          </cell>
          <cell r="V29">
            <v>251200</v>
          </cell>
          <cell r="W29">
            <v>8427000</v>
          </cell>
          <cell r="X29">
            <v>4.4000000000000004</v>
          </cell>
          <cell r="Y29">
            <v>1192900</v>
          </cell>
          <cell r="Z29" t="str">
            <v>ON</v>
          </cell>
        </row>
        <row r="30">
          <cell r="A30" t="str">
            <v>Thorne Property</v>
          </cell>
          <cell r="B30" t="str">
            <v>Lake Shore Gold</v>
          </cell>
          <cell r="C30">
            <v>1</v>
          </cell>
          <cell r="D30" t="str">
            <v>Canada</v>
          </cell>
          <cell r="E30" t="str">
            <v>Ontario</v>
          </cell>
          <cell r="G30" t="str">
            <v>Timmins</v>
          </cell>
          <cell r="H30">
            <v>0</v>
          </cell>
          <cell r="I30">
            <v>0</v>
          </cell>
          <cell r="J30">
            <v>0</v>
          </cell>
          <cell r="K30">
            <v>0</v>
          </cell>
          <cell r="L30">
            <v>0</v>
          </cell>
          <cell r="M30">
            <v>0</v>
          </cell>
          <cell r="N30">
            <v>4000000</v>
          </cell>
          <cell r="O30">
            <v>3</v>
          </cell>
          <cell r="P30">
            <v>400000</v>
          </cell>
          <cell r="Q30">
            <v>0</v>
          </cell>
          <cell r="R30">
            <v>0</v>
          </cell>
          <cell r="S30">
            <v>0</v>
          </cell>
          <cell r="T30">
            <v>0</v>
          </cell>
          <cell r="U30">
            <v>0</v>
          </cell>
          <cell r="V30">
            <v>0</v>
          </cell>
          <cell r="W30">
            <v>4000000</v>
          </cell>
          <cell r="X30">
            <v>3</v>
          </cell>
          <cell r="Y30">
            <v>400000</v>
          </cell>
          <cell r="Z30" t="str">
            <v>ON</v>
          </cell>
        </row>
        <row r="31">
          <cell r="A31" t="str">
            <v>Timmins Mine</v>
          </cell>
          <cell r="B31" t="str">
            <v>Lake Shore Gold</v>
          </cell>
          <cell r="C31">
            <v>1</v>
          </cell>
          <cell r="D31" t="str">
            <v>Canada</v>
          </cell>
          <cell r="E31" t="str">
            <v>Ontario</v>
          </cell>
          <cell r="G31" t="str">
            <v>Timmins</v>
          </cell>
          <cell r="H31">
            <v>3400000</v>
          </cell>
          <cell r="I31">
            <v>7.52</v>
          </cell>
          <cell r="J31">
            <v>812000</v>
          </cell>
          <cell r="K31">
            <v>3200000</v>
          </cell>
          <cell r="L31">
            <v>8.56</v>
          </cell>
          <cell r="M31">
            <v>893000</v>
          </cell>
          <cell r="N31">
            <v>890000</v>
          </cell>
          <cell r="O31">
            <v>5.74</v>
          </cell>
          <cell r="P31">
            <v>165000</v>
          </cell>
          <cell r="Q31">
            <v>3400000</v>
          </cell>
          <cell r="R31">
            <v>7.52</v>
          </cell>
          <cell r="S31">
            <v>812000</v>
          </cell>
          <cell r="T31">
            <v>3200000</v>
          </cell>
          <cell r="U31">
            <v>8.56</v>
          </cell>
          <cell r="V31">
            <v>893000</v>
          </cell>
          <cell r="W31">
            <v>890000</v>
          </cell>
          <cell r="X31">
            <v>5.74</v>
          </cell>
          <cell r="Y31">
            <v>165000</v>
          </cell>
          <cell r="Z31" t="str">
            <v>ON</v>
          </cell>
        </row>
        <row r="32">
          <cell r="A32" t="str">
            <v>Comtois</v>
          </cell>
          <cell r="B32" t="str">
            <v>Maudore Minerals</v>
          </cell>
          <cell r="C32">
            <v>1</v>
          </cell>
          <cell r="D32" t="str">
            <v>Canada</v>
          </cell>
          <cell r="E32" t="str">
            <v>Quebec</v>
          </cell>
          <cell r="H32">
            <v>0</v>
          </cell>
          <cell r="I32">
            <v>0</v>
          </cell>
          <cell r="J32">
            <v>0</v>
          </cell>
          <cell r="K32">
            <v>0</v>
          </cell>
          <cell r="L32">
            <v>0</v>
          </cell>
          <cell r="M32">
            <v>0</v>
          </cell>
          <cell r="N32">
            <v>8126000</v>
          </cell>
          <cell r="O32">
            <v>4.6398227910411025</v>
          </cell>
          <cell r="P32">
            <v>1212793</v>
          </cell>
          <cell r="Q32">
            <v>0</v>
          </cell>
          <cell r="R32">
            <v>0</v>
          </cell>
          <cell r="S32">
            <v>0</v>
          </cell>
          <cell r="T32">
            <v>0</v>
          </cell>
          <cell r="U32">
            <v>0</v>
          </cell>
          <cell r="V32">
            <v>0</v>
          </cell>
          <cell r="W32">
            <v>8126000</v>
          </cell>
          <cell r="X32">
            <v>4.6398227910411025</v>
          </cell>
          <cell r="Y32">
            <v>1212793</v>
          </cell>
          <cell r="Z32" t="str">
            <v>QC</v>
          </cell>
        </row>
        <row r="33">
          <cell r="A33" t="str">
            <v>Sleeping Giant</v>
          </cell>
          <cell r="B33" t="str">
            <v>N.A. Palladium</v>
          </cell>
          <cell r="C33">
            <v>1</v>
          </cell>
          <cell r="D33" t="str">
            <v>Canada</v>
          </cell>
          <cell r="E33" t="str">
            <v>Quebec</v>
          </cell>
          <cell r="F33" t="str">
            <v>Soissons and Chaste</v>
          </cell>
          <cell r="G33" t="str">
            <v>Amos</v>
          </cell>
          <cell r="I33">
            <v>9.3617647058823525</v>
          </cell>
          <cell r="J33">
            <v>56000</v>
          </cell>
          <cell r="L33">
            <v>8.8362727745965639</v>
          </cell>
          <cell r="M33">
            <v>113000</v>
          </cell>
          <cell r="O33">
            <v>12.9</v>
          </cell>
          <cell r="P33">
            <v>101000</v>
          </cell>
          <cell r="Q33">
            <v>0</v>
          </cell>
          <cell r="R33">
            <v>9.3617647058823525</v>
          </cell>
          <cell r="S33">
            <v>56000</v>
          </cell>
          <cell r="T33">
            <v>0</v>
          </cell>
          <cell r="U33">
            <v>8.8362727745965639</v>
          </cell>
          <cell r="V33">
            <v>113000</v>
          </cell>
          <cell r="W33">
            <v>0</v>
          </cell>
          <cell r="X33">
            <v>12.9</v>
          </cell>
          <cell r="Y33">
            <v>101000</v>
          </cell>
          <cell r="Z33" t="str">
            <v>QC</v>
          </cell>
        </row>
        <row r="34">
          <cell r="A34" t="str">
            <v>Garrison</v>
          </cell>
          <cell r="B34" t="str">
            <v>Northern Gold</v>
          </cell>
          <cell r="C34">
            <v>0.8</v>
          </cell>
          <cell r="D34" t="str">
            <v>Canada</v>
          </cell>
          <cell r="E34" t="str">
            <v>Ontario</v>
          </cell>
          <cell r="F34" t="str">
            <v>Garrison</v>
          </cell>
          <cell r="G34" t="str">
            <v>Matheson</v>
          </cell>
          <cell r="H34">
            <v>0</v>
          </cell>
          <cell r="I34" t="str">
            <v>-</v>
          </cell>
          <cell r="J34">
            <v>0</v>
          </cell>
          <cell r="K34">
            <v>4033100</v>
          </cell>
          <cell r="L34">
            <v>1.6123049267312985</v>
          </cell>
          <cell r="M34">
            <v>207200</v>
          </cell>
          <cell r="N34">
            <v>20055800</v>
          </cell>
          <cell r="O34">
            <v>1.2126214860539095</v>
          </cell>
          <cell r="P34">
            <v>776540</v>
          </cell>
          <cell r="Q34">
            <v>0</v>
          </cell>
          <cell r="R34" t="str">
            <v>-</v>
          </cell>
          <cell r="S34">
            <v>0</v>
          </cell>
          <cell r="T34">
            <v>3226480</v>
          </cell>
          <cell r="U34">
            <v>1.6123049267312985</v>
          </cell>
          <cell r="V34">
            <v>165760</v>
          </cell>
          <cell r="W34">
            <v>16044640</v>
          </cell>
          <cell r="X34">
            <v>1.2126214860539095</v>
          </cell>
          <cell r="Y34">
            <v>621232</v>
          </cell>
          <cell r="Z34" t="str">
            <v>ON</v>
          </cell>
        </row>
        <row r="35">
          <cell r="A35" t="str">
            <v>Fosterville</v>
          </cell>
          <cell r="B35" t="str">
            <v>Northgate Minerals Corporation</v>
          </cell>
          <cell r="C35">
            <v>1</v>
          </cell>
          <cell r="D35" t="str">
            <v>Australia</v>
          </cell>
          <cell r="E35" t="str">
            <v>Victoria</v>
          </cell>
          <cell r="F35" t="str">
            <v>Murray Region</v>
          </cell>
          <cell r="G35" t="str">
            <v>Bendigo</v>
          </cell>
          <cell r="H35">
            <v>3287000</v>
          </cell>
          <cell r="I35">
            <v>4.75</v>
          </cell>
          <cell r="J35">
            <v>502000</v>
          </cell>
          <cell r="K35">
            <v>12492000</v>
          </cell>
          <cell r="L35">
            <v>2.7899215497918668</v>
          </cell>
          <cell r="M35">
            <v>1121000</v>
          </cell>
          <cell r="N35">
            <v>6506000</v>
          </cell>
          <cell r="O35">
            <v>3.5372640639409774</v>
          </cell>
          <cell r="P35">
            <v>739000</v>
          </cell>
          <cell r="Q35">
            <v>3287000</v>
          </cell>
          <cell r="R35">
            <v>4.75</v>
          </cell>
          <cell r="S35">
            <v>502000</v>
          </cell>
          <cell r="T35">
            <v>12492000</v>
          </cell>
          <cell r="U35">
            <v>2.7899215497918668</v>
          </cell>
          <cell r="V35">
            <v>1121000</v>
          </cell>
          <cell r="W35">
            <v>6506000</v>
          </cell>
          <cell r="X35">
            <v>3.5372640639409774</v>
          </cell>
          <cell r="Y35">
            <v>739000</v>
          </cell>
          <cell r="Z35" t="str">
            <v>Other</v>
          </cell>
        </row>
        <row r="36">
          <cell r="A36" t="str">
            <v>Kemess North</v>
          </cell>
          <cell r="B36" t="str">
            <v>Northgate Minerals Corporation</v>
          </cell>
          <cell r="C36">
            <v>1</v>
          </cell>
          <cell r="D36" t="str">
            <v>Canada</v>
          </cell>
          <cell r="E36" t="str">
            <v>British Columbia</v>
          </cell>
          <cell r="F36" t="str">
            <v>Toodoggone</v>
          </cell>
          <cell r="G36" t="str">
            <v>McConnell Creek</v>
          </cell>
          <cell r="H36">
            <v>0</v>
          </cell>
          <cell r="I36">
            <v>0</v>
          </cell>
          <cell r="J36">
            <v>0</v>
          </cell>
          <cell r="K36">
            <v>719190000</v>
          </cell>
          <cell r="L36">
            <v>0.3</v>
          </cell>
          <cell r="M36">
            <v>6939000</v>
          </cell>
          <cell r="N36">
            <v>0</v>
          </cell>
          <cell r="O36">
            <v>0</v>
          </cell>
          <cell r="P36">
            <v>0</v>
          </cell>
          <cell r="Q36">
            <v>0</v>
          </cell>
          <cell r="R36">
            <v>0</v>
          </cell>
          <cell r="S36">
            <v>0</v>
          </cell>
          <cell r="T36">
            <v>719190000</v>
          </cell>
          <cell r="U36">
            <v>0.3</v>
          </cell>
          <cell r="V36">
            <v>6939000</v>
          </cell>
          <cell r="W36">
            <v>0</v>
          </cell>
          <cell r="X36">
            <v>0</v>
          </cell>
          <cell r="Y36">
            <v>0</v>
          </cell>
          <cell r="Z36" t="str">
            <v>BC</v>
          </cell>
        </row>
        <row r="37">
          <cell r="A37" t="str">
            <v>Kemess South</v>
          </cell>
          <cell r="B37" t="str">
            <v>Northgate Minerals Corporation</v>
          </cell>
          <cell r="C37">
            <v>1</v>
          </cell>
          <cell r="D37" t="str">
            <v>Canada</v>
          </cell>
          <cell r="E37" t="str">
            <v>British Columbia</v>
          </cell>
          <cell r="F37" t="str">
            <v>Toodoggone</v>
          </cell>
          <cell r="G37" t="str">
            <v>McConnell Creek</v>
          </cell>
          <cell r="H37">
            <v>22662000</v>
          </cell>
          <cell r="I37">
            <v>0.28000000000000003</v>
          </cell>
          <cell r="J37">
            <v>207296</v>
          </cell>
          <cell r="K37">
            <v>24387000</v>
          </cell>
          <cell r="L37">
            <v>0.27221921515561576</v>
          </cell>
          <cell r="M37">
            <v>216503</v>
          </cell>
          <cell r="N37">
            <v>0</v>
          </cell>
          <cell r="O37">
            <v>0</v>
          </cell>
          <cell r="P37">
            <v>0</v>
          </cell>
          <cell r="Q37">
            <v>22662000</v>
          </cell>
          <cell r="R37">
            <v>0.28000000000000003</v>
          </cell>
          <cell r="S37">
            <v>207296</v>
          </cell>
          <cell r="T37">
            <v>24387000</v>
          </cell>
          <cell r="U37">
            <v>0.27221921515561576</v>
          </cell>
          <cell r="V37">
            <v>216503</v>
          </cell>
          <cell r="W37">
            <v>0</v>
          </cell>
          <cell r="X37">
            <v>0</v>
          </cell>
          <cell r="Y37">
            <v>0</v>
          </cell>
          <cell r="Z37" t="str">
            <v>BC</v>
          </cell>
        </row>
        <row r="38">
          <cell r="A38" t="str">
            <v>Stawell</v>
          </cell>
          <cell r="B38" t="str">
            <v>Northgate Minerals Corporation</v>
          </cell>
          <cell r="C38">
            <v>1</v>
          </cell>
          <cell r="D38" t="str">
            <v>Australia</v>
          </cell>
          <cell r="E38" t="str">
            <v>Victoria</v>
          </cell>
          <cell r="F38" t="str">
            <v>Central Victoria</v>
          </cell>
          <cell r="G38" t="str">
            <v>Stawell</v>
          </cell>
          <cell r="H38">
            <v>2290000</v>
          </cell>
          <cell r="I38">
            <v>3.9</v>
          </cell>
          <cell r="J38">
            <v>287000</v>
          </cell>
          <cell r="K38">
            <v>5649000</v>
          </cell>
          <cell r="L38">
            <v>3.0615878916622412</v>
          </cell>
          <cell r="M38">
            <v>555000</v>
          </cell>
          <cell r="N38">
            <v>943000</v>
          </cell>
          <cell r="O38">
            <v>5.3685153764581122</v>
          </cell>
          <cell r="P38">
            <v>163000</v>
          </cell>
          <cell r="Q38">
            <v>2290000</v>
          </cell>
          <cell r="R38">
            <v>3.9</v>
          </cell>
          <cell r="S38">
            <v>287000</v>
          </cell>
          <cell r="T38">
            <v>5649000</v>
          </cell>
          <cell r="U38">
            <v>3.0615878916622412</v>
          </cell>
          <cell r="V38">
            <v>555000</v>
          </cell>
          <cell r="W38">
            <v>943000</v>
          </cell>
          <cell r="X38">
            <v>5.3685153764581122</v>
          </cell>
          <cell r="Y38">
            <v>163000</v>
          </cell>
          <cell r="Z38" t="str">
            <v>Other</v>
          </cell>
        </row>
        <row r="39">
          <cell r="A39" t="str">
            <v>Young-Davidson</v>
          </cell>
          <cell r="B39" t="str">
            <v>Northgate Minerals Corporation</v>
          </cell>
          <cell r="C39">
            <v>1</v>
          </cell>
          <cell r="D39" t="str">
            <v>Canada</v>
          </cell>
          <cell r="E39" t="str">
            <v>Ontario</v>
          </cell>
          <cell r="F39" t="str">
            <v>Powell &amp; Cairo Townships</v>
          </cell>
          <cell r="G39" t="str">
            <v>Matachewan</v>
          </cell>
          <cell r="H39">
            <v>31148000</v>
          </cell>
          <cell r="I39">
            <v>2.75</v>
          </cell>
          <cell r="J39">
            <v>2758000</v>
          </cell>
          <cell r="K39">
            <v>31280000</v>
          </cell>
          <cell r="L39">
            <v>2.7513925831202046</v>
          </cell>
          <cell r="M39">
            <v>2771100</v>
          </cell>
          <cell r="N39">
            <v>5965000</v>
          </cell>
          <cell r="O39">
            <v>3.4</v>
          </cell>
          <cell r="P39">
            <v>650850</v>
          </cell>
          <cell r="Q39">
            <v>31148000</v>
          </cell>
          <cell r="R39">
            <v>2.75</v>
          </cell>
          <cell r="S39">
            <v>2758000</v>
          </cell>
          <cell r="T39">
            <v>31280000</v>
          </cell>
          <cell r="U39">
            <v>2.7513925831202046</v>
          </cell>
          <cell r="V39">
            <v>2771100</v>
          </cell>
          <cell r="W39">
            <v>5965000</v>
          </cell>
          <cell r="X39">
            <v>3.4</v>
          </cell>
          <cell r="Y39">
            <v>650850</v>
          </cell>
          <cell r="Z39" t="str">
            <v>ON</v>
          </cell>
        </row>
        <row r="40">
          <cell r="A40" t="str">
            <v>Hammond</v>
          </cell>
          <cell r="B40" t="str">
            <v>Osisko</v>
          </cell>
          <cell r="C40">
            <v>1</v>
          </cell>
          <cell r="D40" t="str">
            <v>Canada</v>
          </cell>
          <cell r="E40" t="str">
            <v>Quebec</v>
          </cell>
          <cell r="H40">
            <v>0</v>
          </cell>
          <cell r="I40">
            <v>0</v>
          </cell>
          <cell r="J40">
            <v>0</v>
          </cell>
          <cell r="K40">
            <v>0</v>
          </cell>
          <cell r="L40">
            <v>0</v>
          </cell>
          <cell r="M40">
            <v>0</v>
          </cell>
          <cell r="N40">
            <v>259400000</v>
          </cell>
          <cell r="O40">
            <v>0.8</v>
          </cell>
          <cell r="P40">
            <v>6700000</v>
          </cell>
          <cell r="Q40">
            <v>0</v>
          </cell>
          <cell r="R40">
            <v>0</v>
          </cell>
          <cell r="S40">
            <v>0</v>
          </cell>
          <cell r="T40">
            <v>0</v>
          </cell>
          <cell r="U40">
            <v>0</v>
          </cell>
          <cell r="V40">
            <v>0</v>
          </cell>
          <cell r="W40">
            <v>259400000</v>
          </cell>
          <cell r="X40">
            <v>0.8</v>
          </cell>
          <cell r="Y40">
            <v>6700000</v>
          </cell>
          <cell r="Z40" t="str">
            <v>QC</v>
          </cell>
        </row>
        <row r="41">
          <cell r="A41" t="str">
            <v>Malartic</v>
          </cell>
          <cell r="B41" t="str">
            <v>Osisko</v>
          </cell>
          <cell r="C41">
            <v>1</v>
          </cell>
          <cell r="D41" t="str">
            <v>Canada</v>
          </cell>
          <cell r="E41" t="str">
            <v>Quebec</v>
          </cell>
          <cell r="H41">
            <v>245800000</v>
          </cell>
          <cell r="I41">
            <v>1.1299999999999999</v>
          </cell>
          <cell r="J41">
            <v>8970000</v>
          </cell>
          <cell r="K41">
            <v>316200000</v>
          </cell>
          <cell r="L41">
            <v>1.0988298545224542</v>
          </cell>
          <cell r="M41">
            <v>11200000</v>
          </cell>
          <cell r="N41">
            <v>20000000</v>
          </cell>
          <cell r="O41">
            <v>0.73</v>
          </cell>
          <cell r="P41">
            <v>470000</v>
          </cell>
          <cell r="Q41">
            <v>245800000</v>
          </cell>
          <cell r="R41">
            <v>1.1299999999999999</v>
          </cell>
          <cell r="S41">
            <v>8970000</v>
          </cell>
          <cell r="T41">
            <v>316200000</v>
          </cell>
          <cell r="U41">
            <v>1.0988298545224542</v>
          </cell>
          <cell r="V41">
            <v>11200000</v>
          </cell>
          <cell r="W41">
            <v>20000000</v>
          </cell>
          <cell r="X41">
            <v>0.73</v>
          </cell>
          <cell r="Y41">
            <v>470000</v>
          </cell>
          <cell r="Z41" t="str">
            <v>QC</v>
          </cell>
        </row>
        <row r="42">
          <cell r="A42" t="str">
            <v>Hardrock</v>
          </cell>
          <cell r="B42" t="str">
            <v>Premier Gold</v>
          </cell>
          <cell r="C42">
            <v>0.7</v>
          </cell>
          <cell r="D42" t="str">
            <v>Canada</v>
          </cell>
          <cell r="E42" t="str">
            <v>Ontario</v>
          </cell>
          <cell r="F42" t="str">
            <v>East Bay</v>
          </cell>
          <cell r="G42" t="str">
            <v>Rahill-Bonanza</v>
          </cell>
          <cell r="H42">
            <v>0</v>
          </cell>
          <cell r="I42">
            <v>0</v>
          </cell>
          <cell r="J42">
            <v>0</v>
          </cell>
          <cell r="K42">
            <v>22900000</v>
          </cell>
          <cell r="L42">
            <v>1.3</v>
          </cell>
          <cell r="M42">
            <v>955000</v>
          </cell>
          <cell r="N42">
            <v>16100000</v>
          </cell>
          <cell r="O42">
            <v>1.25</v>
          </cell>
          <cell r="P42">
            <v>645000</v>
          </cell>
          <cell r="Q42">
            <v>0</v>
          </cell>
          <cell r="R42">
            <v>0</v>
          </cell>
          <cell r="S42">
            <v>0</v>
          </cell>
          <cell r="T42">
            <v>16029999.999999998</v>
          </cell>
          <cell r="U42">
            <v>1.3</v>
          </cell>
          <cell r="V42">
            <v>668500</v>
          </cell>
          <cell r="W42">
            <v>11270000</v>
          </cell>
          <cell r="X42">
            <v>1.25</v>
          </cell>
          <cell r="Y42">
            <v>451500</v>
          </cell>
          <cell r="Z42" t="str">
            <v>ON</v>
          </cell>
        </row>
        <row r="43">
          <cell r="A43" t="str">
            <v>Magino</v>
          </cell>
          <cell r="B43" t="str">
            <v>Prodigy Gold</v>
          </cell>
          <cell r="C43">
            <v>1</v>
          </cell>
          <cell r="D43" t="str">
            <v>Canada</v>
          </cell>
          <cell r="E43" t="str">
            <v>Quebec</v>
          </cell>
          <cell r="H43">
            <v>0</v>
          </cell>
          <cell r="I43">
            <v>0</v>
          </cell>
          <cell r="J43">
            <v>0</v>
          </cell>
          <cell r="K43">
            <v>2091900</v>
          </cell>
          <cell r="L43">
            <v>6.74</v>
          </cell>
          <cell r="M43">
            <v>454189</v>
          </cell>
          <cell r="N43">
            <v>5828800</v>
          </cell>
          <cell r="O43">
            <v>6.29</v>
          </cell>
          <cell r="P43">
            <v>1178124</v>
          </cell>
          <cell r="Q43">
            <v>0</v>
          </cell>
          <cell r="R43">
            <v>0</v>
          </cell>
          <cell r="S43">
            <v>0</v>
          </cell>
          <cell r="T43">
            <v>2091900</v>
          </cell>
          <cell r="U43">
            <v>6.74</v>
          </cell>
          <cell r="V43">
            <v>454189</v>
          </cell>
          <cell r="W43">
            <v>5828800</v>
          </cell>
          <cell r="X43">
            <v>6.29</v>
          </cell>
          <cell r="Y43">
            <v>1178124</v>
          </cell>
          <cell r="Z43" t="str">
            <v>QC</v>
          </cell>
        </row>
        <row r="44">
          <cell r="A44" t="str">
            <v>Anoki</v>
          </cell>
          <cell r="B44" t="str">
            <v>Queenston Mining</v>
          </cell>
          <cell r="C44">
            <v>1</v>
          </cell>
          <cell r="D44" t="str">
            <v>Canada</v>
          </cell>
          <cell r="E44" t="str">
            <v>Ontario</v>
          </cell>
          <cell r="G44" t="str">
            <v>Kirkland Lake</v>
          </cell>
          <cell r="H44">
            <v>0</v>
          </cell>
          <cell r="I44">
            <v>0</v>
          </cell>
          <cell r="J44">
            <v>0</v>
          </cell>
          <cell r="K44">
            <v>729700</v>
          </cell>
          <cell r="L44">
            <v>4.8</v>
          </cell>
          <cell r="M44">
            <v>111200</v>
          </cell>
          <cell r="N44">
            <v>337200</v>
          </cell>
          <cell r="O44">
            <v>4.8</v>
          </cell>
          <cell r="P44">
            <v>52000</v>
          </cell>
          <cell r="Q44">
            <v>0</v>
          </cell>
          <cell r="R44">
            <v>0</v>
          </cell>
          <cell r="S44">
            <v>0</v>
          </cell>
          <cell r="T44">
            <v>729700</v>
          </cell>
          <cell r="U44">
            <v>4.8</v>
          </cell>
          <cell r="V44">
            <v>111200</v>
          </cell>
          <cell r="W44">
            <v>337200</v>
          </cell>
          <cell r="X44">
            <v>4.8</v>
          </cell>
          <cell r="Y44">
            <v>52000</v>
          </cell>
          <cell r="Z44" t="str">
            <v>ON</v>
          </cell>
        </row>
        <row r="45">
          <cell r="A45" t="str">
            <v>McBean</v>
          </cell>
          <cell r="B45" t="str">
            <v>Queenston Mining</v>
          </cell>
          <cell r="C45">
            <v>1</v>
          </cell>
          <cell r="D45" t="str">
            <v>Canada</v>
          </cell>
          <cell r="E45" t="str">
            <v>Ontario</v>
          </cell>
          <cell r="G45" t="str">
            <v>Kirkland Lake</v>
          </cell>
          <cell r="H45">
            <v>0</v>
          </cell>
          <cell r="I45">
            <v>0</v>
          </cell>
          <cell r="J45">
            <v>0</v>
          </cell>
          <cell r="K45">
            <v>705300</v>
          </cell>
          <cell r="L45">
            <v>4.7</v>
          </cell>
          <cell r="M45">
            <v>105000</v>
          </cell>
          <cell r="N45">
            <v>1220800</v>
          </cell>
          <cell r="O45">
            <v>4.7</v>
          </cell>
          <cell r="P45">
            <v>185000</v>
          </cell>
          <cell r="Q45">
            <v>0</v>
          </cell>
          <cell r="R45">
            <v>0</v>
          </cell>
          <cell r="S45">
            <v>0</v>
          </cell>
          <cell r="T45">
            <v>705300</v>
          </cell>
          <cell r="U45">
            <v>4.7</v>
          </cell>
          <cell r="V45">
            <v>105000</v>
          </cell>
          <cell r="W45">
            <v>1220800</v>
          </cell>
          <cell r="X45">
            <v>4.7</v>
          </cell>
          <cell r="Y45">
            <v>185000</v>
          </cell>
          <cell r="Z45" t="str">
            <v>ON</v>
          </cell>
        </row>
        <row r="46">
          <cell r="A46" t="str">
            <v>South Mine Complex - QMI</v>
          </cell>
          <cell r="B46" t="str">
            <v>Queenston Mining</v>
          </cell>
          <cell r="C46">
            <v>0.5</v>
          </cell>
          <cell r="D46" t="str">
            <v>Canada</v>
          </cell>
          <cell r="E46" t="str">
            <v>Ontario</v>
          </cell>
          <cell r="G46" t="str">
            <v>Teck</v>
          </cell>
          <cell r="H46">
            <v>0</v>
          </cell>
          <cell r="I46">
            <v>0</v>
          </cell>
          <cell r="J46">
            <v>0</v>
          </cell>
          <cell r="K46">
            <v>88000</v>
          </cell>
          <cell r="L46">
            <v>47</v>
          </cell>
          <cell r="M46">
            <v>132000</v>
          </cell>
          <cell r="N46">
            <v>120000</v>
          </cell>
          <cell r="O46">
            <v>42.5</v>
          </cell>
          <cell r="P46">
            <v>165000</v>
          </cell>
          <cell r="Q46">
            <v>0</v>
          </cell>
          <cell r="R46">
            <v>0</v>
          </cell>
          <cell r="S46">
            <v>0</v>
          </cell>
          <cell r="T46">
            <v>44000</v>
          </cell>
          <cell r="U46">
            <v>47</v>
          </cell>
          <cell r="V46">
            <v>66000</v>
          </cell>
          <cell r="W46">
            <v>60000</v>
          </cell>
          <cell r="X46">
            <v>42.5</v>
          </cell>
          <cell r="Y46">
            <v>82500</v>
          </cell>
          <cell r="Z46" t="str">
            <v>ON</v>
          </cell>
        </row>
        <row r="47">
          <cell r="A47" t="str">
            <v>Upper Beaver</v>
          </cell>
          <cell r="B47" t="str">
            <v>Queenston Mining</v>
          </cell>
          <cell r="C47">
            <v>1</v>
          </cell>
          <cell r="D47" t="str">
            <v>Canada</v>
          </cell>
          <cell r="E47" t="str">
            <v>Ontario</v>
          </cell>
          <cell r="G47" t="str">
            <v>Kirkland Lake</v>
          </cell>
          <cell r="H47">
            <v>0</v>
          </cell>
          <cell r="I47">
            <v>0</v>
          </cell>
          <cell r="J47">
            <v>0</v>
          </cell>
          <cell r="K47">
            <v>1373500</v>
          </cell>
          <cell r="L47">
            <v>8.5</v>
          </cell>
          <cell r="M47">
            <v>375000</v>
          </cell>
          <cell r="N47">
            <v>1061300</v>
          </cell>
          <cell r="O47">
            <v>7.7</v>
          </cell>
          <cell r="P47">
            <v>263000</v>
          </cell>
          <cell r="Q47">
            <v>0</v>
          </cell>
          <cell r="R47">
            <v>0</v>
          </cell>
          <cell r="S47">
            <v>0</v>
          </cell>
          <cell r="T47">
            <v>1373500</v>
          </cell>
          <cell r="U47">
            <v>8.5</v>
          </cell>
          <cell r="V47">
            <v>375000</v>
          </cell>
          <cell r="W47">
            <v>1061300</v>
          </cell>
          <cell r="X47">
            <v>7.7</v>
          </cell>
          <cell r="Y47">
            <v>263000</v>
          </cell>
          <cell r="Z47" t="str">
            <v>ON</v>
          </cell>
        </row>
        <row r="48">
          <cell r="A48" t="str">
            <v>Rainy River</v>
          </cell>
          <cell r="B48" t="str">
            <v>Rainy River</v>
          </cell>
          <cell r="C48">
            <v>1</v>
          </cell>
          <cell r="D48" t="str">
            <v>Canada</v>
          </cell>
          <cell r="E48" t="str">
            <v>Ontario</v>
          </cell>
          <cell r="H48">
            <v>0</v>
          </cell>
          <cell r="I48">
            <v>0</v>
          </cell>
          <cell r="J48">
            <v>0</v>
          </cell>
          <cell r="K48">
            <v>56833000</v>
          </cell>
          <cell r="L48">
            <v>1.3</v>
          </cell>
          <cell r="M48">
            <v>2370000</v>
          </cell>
          <cell r="N48">
            <v>68930000</v>
          </cell>
          <cell r="O48">
            <v>1.2</v>
          </cell>
          <cell r="P48">
            <v>2659000</v>
          </cell>
          <cell r="Q48">
            <v>0</v>
          </cell>
          <cell r="R48">
            <v>0</v>
          </cell>
          <cell r="S48">
            <v>0</v>
          </cell>
          <cell r="T48">
            <v>56833000</v>
          </cell>
          <cell r="U48">
            <v>1.3</v>
          </cell>
          <cell r="V48">
            <v>2370000</v>
          </cell>
          <cell r="W48">
            <v>68930000</v>
          </cell>
          <cell r="X48">
            <v>1.2</v>
          </cell>
          <cell r="Y48">
            <v>2659000</v>
          </cell>
          <cell r="Z48" t="str">
            <v>ON</v>
          </cell>
        </row>
        <row r="49">
          <cell r="A49" t="str">
            <v>Beaufor</v>
          </cell>
          <cell r="B49" t="str">
            <v>Richmont Mines</v>
          </cell>
          <cell r="C49">
            <v>1</v>
          </cell>
          <cell r="D49" t="str">
            <v>Canada</v>
          </cell>
          <cell r="E49" t="str">
            <v>Quebec</v>
          </cell>
          <cell r="F49" t="str">
            <v>Pascalis</v>
          </cell>
          <cell r="G49" t="str">
            <v>Perron</v>
          </cell>
          <cell r="H49">
            <v>0</v>
          </cell>
          <cell r="I49">
            <v>8.3776747847804973</v>
          </cell>
          <cell r="J49">
            <v>44637</v>
          </cell>
          <cell r="L49">
            <v>6.8851743648100179</v>
          </cell>
          <cell r="M49">
            <v>216009</v>
          </cell>
          <cell r="O49">
            <v>6.74</v>
          </cell>
          <cell r="P49">
            <v>199256</v>
          </cell>
          <cell r="Q49">
            <v>0</v>
          </cell>
          <cell r="R49">
            <v>8.3776747847804973</v>
          </cell>
          <cell r="S49">
            <v>44637</v>
          </cell>
          <cell r="T49">
            <v>0</v>
          </cell>
          <cell r="U49">
            <v>6.8851743648100179</v>
          </cell>
          <cell r="V49">
            <v>216009</v>
          </cell>
          <cell r="W49">
            <v>0</v>
          </cell>
          <cell r="X49">
            <v>6.74</v>
          </cell>
          <cell r="Y49">
            <v>199256</v>
          </cell>
          <cell r="Z49" t="str">
            <v>QC</v>
          </cell>
        </row>
        <row r="50">
          <cell r="A50" t="str">
            <v>Francoeur</v>
          </cell>
          <cell r="B50" t="str">
            <v>Richmont Mines</v>
          </cell>
          <cell r="C50">
            <v>1</v>
          </cell>
          <cell r="D50" t="str">
            <v>Canada</v>
          </cell>
          <cell r="E50" t="str">
            <v>Quebec</v>
          </cell>
          <cell r="F50" t="str">
            <v>Beauchastel</v>
          </cell>
          <cell r="G50" t="str">
            <v>Rouyn Noranda</v>
          </cell>
          <cell r="H50">
            <v>0</v>
          </cell>
          <cell r="I50">
            <v>6.91</v>
          </cell>
          <cell r="J50">
            <v>136749</v>
          </cell>
          <cell r="L50">
            <v>6.9852194603644788</v>
          </cell>
          <cell r="M50">
            <v>155290</v>
          </cell>
          <cell r="O50">
            <v>5.95</v>
          </cell>
          <cell r="P50">
            <v>38706</v>
          </cell>
          <cell r="Q50">
            <v>0</v>
          </cell>
          <cell r="R50">
            <v>6.91</v>
          </cell>
          <cell r="S50">
            <v>136749</v>
          </cell>
          <cell r="T50">
            <v>0</v>
          </cell>
          <cell r="U50">
            <v>6.9852194603644788</v>
          </cell>
          <cell r="V50">
            <v>155290</v>
          </cell>
          <cell r="W50">
            <v>0</v>
          </cell>
          <cell r="X50">
            <v>5.95</v>
          </cell>
          <cell r="Y50">
            <v>38706</v>
          </cell>
          <cell r="Z50" t="str">
            <v>QC</v>
          </cell>
        </row>
        <row r="51">
          <cell r="A51" t="str">
            <v>Island Gold</v>
          </cell>
          <cell r="B51" t="str">
            <v>Richmont Mines</v>
          </cell>
          <cell r="C51">
            <v>1</v>
          </cell>
          <cell r="D51" t="str">
            <v>Canada</v>
          </cell>
          <cell r="E51" t="str">
            <v>Ontario</v>
          </cell>
          <cell r="F51" t="str">
            <v>Timmins</v>
          </cell>
          <cell r="G51" t="str">
            <v>Dubreuilville</v>
          </cell>
          <cell r="H51">
            <v>0</v>
          </cell>
          <cell r="I51">
            <v>8.8560268049265325</v>
          </cell>
          <cell r="J51">
            <v>264085</v>
          </cell>
          <cell r="L51">
            <v>9.482071981195956</v>
          </cell>
          <cell r="M51">
            <v>418898</v>
          </cell>
          <cell r="O51">
            <v>9.69</v>
          </cell>
          <cell r="P51">
            <v>199569</v>
          </cell>
          <cell r="Q51">
            <v>0</v>
          </cell>
          <cell r="R51">
            <v>8.8560268049265325</v>
          </cell>
          <cell r="S51">
            <v>264085</v>
          </cell>
          <cell r="T51">
            <v>0</v>
          </cell>
          <cell r="U51">
            <v>9.482071981195956</v>
          </cell>
          <cell r="V51">
            <v>418898</v>
          </cell>
          <cell r="W51">
            <v>0</v>
          </cell>
          <cell r="X51">
            <v>9.69</v>
          </cell>
          <cell r="Y51">
            <v>199569</v>
          </cell>
          <cell r="Z51" t="str">
            <v>ON</v>
          </cell>
        </row>
        <row r="52">
          <cell r="A52" t="str">
            <v>Wasamac</v>
          </cell>
          <cell r="B52" t="str">
            <v>Richmont Mines</v>
          </cell>
          <cell r="C52">
            <v>1</v>
          </cell>
          <cell r="D52" t="str">
            <v>Canada</v>
          </cell>
          <cell r="E52" t="str">
            <v>Quebec</v>
          </cell>
          <cell r="F52" t="str">
            <v>Beauchastel</v>
          </cell>
          <cell r="G52" t="str">
            <v>Arntfield</v>
          </cell>
          <cell r="H52">
            <v>0</v>
          </cell>
          <cell r="I52">
            <v>0</v>
          </cell>
          <cell r="J52">
            <v>0</v>
          </cell>
          <cell r="L52">
            <v>0</v>
          </cell>
          <cell r="M52">
            <v>0</v>
          </cell>
          <cell r="O52">
            <v>6.92</v>
          </cell>
          <cell r="P52">
            <v>285200</v>
          </cell>
          <cell r="Q52">
            <v>0</v>
          </cell>
          <cell r="R52">
            <v>0</v>
          </cell>
          <cell r="S52">
            <v>0</v>
          </cell>
          <cell r="T52">
            <v>0</v>
          </cell>
          <cell r="U52">
            <v>0</v>
          </cell>
          <cell r="V52">
            <v>0</v>
          </cell>
          <cell r="W52">
            <v>0</v>
          </cell>
          <cell r="X52">
            <v>6.92</v>
          </cell>
          <cell r="Y52">
            <v>285200</v>
          </cell>
          <cell r="Z52" t="str">
            <v>QC</v>
          </cell>
        </row>
        <row r="53">
          <cell r="A53" t="str">
            <v>Monument Bay</v>
          </cell>
          <cell r="B53" t="str">
            <v>Rolling Rock</v>
          </cell>
          <cell r="C53">
            <v>1</v>
          </cell>
          <cell r="D53" t="str">
            <v>Canada</v>
          </cell>
          <cell r="E53" t="str">
            <v>Manitoba</v>
          </cell>
          <cell r="H53">
            <v>0</v>
          </cell>
          <cell r="I53">
            <v>0</v>
          </cell>
          <cell r="J53">
            <v>0</v>
          </cell>
          <cell r="K53">
            <v>0</v>
          </cell>
          <cell r="L53">
            <v>0</v>
          </cell>
          <cell r="M53">
            <v>0</v>
          </cell>
          <cell r="N53">
            <v>0</v>
          </cell>
          <cell r="O53">
            <v>5.98</v>
          </cell>
          <cell r="P53">
            <v>1212000</v>
          </cell>
          <cell r="Q53">
            <v>0</v>
          </cell>
          <cell r="R53">
            <v>0</v>
          </cell>
          <cell r="S53">
            <v>0</v>
          </cell>
          <cell r="T53">
            <v>0</v>
          </cell>
          <cell r="U53">
            <v>0</v>
          </cell>
          <cell r="V53">
            <v>0</v>
          </cell>
          <cell r="W53">
            <v>0</v>
          </cell>
          <cell r="X53">
            <v>5.98</v>
          </cell>
          <cell r="Y53">
            <v>1212000</v>
          </cell>
          <cell r="Z53" t="str">
            <v>MB</v>
          </cell>
        </row>
        <row r="54">
          <cell r="A54" t="str">
            <v>Pheonix Gold</v>
          </cell>
          <cell r="B54" t="str">
            <v>Rubicon Minerals</v>
          </cell>
          <cell r="C54">
            <v>1</v>
          </cell>
          <cell r="D54" t="str">
            <v>Canada</v>
          </cell>
          <cell r="E54" t="str">
            <v>Ontario</v>
          </cell>
          <cell r="H54">
            <v>0</v>
          </cell>
          <cell r="I54">
            <v>0</v>
          </cell>
          <cell r="J54">
            <v>0</v>
          </cell>
          <cell r="K54">
            <v>0</v>
          </cell>
          <cell r="L54">
            <v>0</v>
          </cell>
          <cell r="M54">
            <v>0</v>
          </cell>
          <cell r="N54">
            <v>6200000</v>
          </cell>
          <cell r="O54">
            <v>20.100000000000001</v>
          </cell>
          <cell r="P54">
            <v>4007000</v>
          </cell>
          <cell r="Q54">
            <v>0</v>
          </cell>
          <cell r="R54">
            <v>0</v>
          </cell>
          <cell r="S54">
            <v>0</v>
          </cell>
          <cell r="T54">
            <v>0</v>
          </cell>
          <cell r="U54">
            <v>0</v>
          </cell>
          <cell r="V54">
            <v>0</v>
          </cell>
          <cell r="W54">
            <v>6200000</v>
          </cell>
          <cell r="X54">
            <v>20.100000000000001</v>
          </cell>
          <cell r="Y54">
            <v>4007000</v>
          </cell>
          <cell r="Z54" t="str">
            <v>ON</v>
          </cell>
        </row>
        <row r="55">
          <cell r="A55" t="str">
            <v>Rice Lake</v>
          </cell>
          <cell r="B55" t="str">
            <v>San Gold</v>
          </cell>
          <cell r="C55">
            <v>1</v>
          </cell>
          <cell r="D55" t="str">
            <v>Canada</v>
          </cell>
          <cell r="E55" t="str">
            <v>Manitoba</v>
          </cell>
          <cell r="F55" t="str">
            <v>Rice Lake Greenstone Belt</v>
          </cell>
          <cell r="G55" t="str">
            <v>Bissett</v>
          </cell>
          <cell r="H55">
            <v>2372337.9902607002</v>
          </cell>
          <cell r="I55">
            <v>9.9</v>
          </cell>
          <cell r="J55">
            <v>767125</v>
          </cell>
          <cell r="K55">
            <v>4579164.6606321</v>
          </cell>
          <cell r="L55">
            <v>10.574698895429867</v>
          </cell>
          <cell r="M55">
            <v>1579395</v>
          </cell>
          <cell r="N55">
            <v>5635123.1620684005</v>
          </cell>
          <cell r="O55">
            <v>9.9</v>
          </cell>
          <cell r="P55">
            <v>1814870</v>
          </cell>
          <cell r="Q55">
            <v>2372337.9902607002</v>
          </cell>
          <cell r="R55">
            <v>9.9</v>
          </cell>
          <cell r="S55">
            <v>767125</v>
          </cell>
          <cell r="T55">
            <v>4579164.6606321</v>
          </cell>
          <cell r="U55">
            <v>10.574698895429867</v>
          </cell>
          <cell r="V55">
            <v>1579395</v>
          </cell>
          <cell r="W55">
            <v>5635123.1620684005</v>
          </cell>
          <cell r="X55">
            <v>9.9</v>
          </cell>
          <cell r="Y55">
            <v>1814870</v>
          </cell>
          <cell r="Z55" t="str">
            <v>MB</v>
          </cell>
        </row>
        <row r="56">
          <cell r="A56" t="str">
            <v>Tully Gold Property</v>
          </cell>
          <cell r="B56" t="str">
            <v>San Gold</v>
          </cell>
          <cell r="C56">
            <v>0.5</v>
          </cell>
          <cell r="D56" t="str">
            <v>Canada</v>
          </cell>
          <cell r="E56" t="str">
            <v>Ontario</v>
          </cell>
          <cell r="F56" t="str">
            <v>Tully Township/Archean Abitibi Greenstone Belt</v>
          </cell>
          <cell r="G56" t="str">
            <v>Timmins</v>
          </cell>
          <cell r="H56">
            <v>0</v>
          </cell>
          <cell r="I56">
            <v>0</v>
          </cell>
          <cell r="J56">
            <v>0</v>
          </cell>
          <cell r="K56">
            <v>362090</v>
          </cell>
          <cell r="L56">
            <v>8</v>
          </cell>
          <cell r="M56">
            <v>93140</v>
          </cell>
          <cell r="N56">
            <v>592070</v>
          </cell>
          <cell r="O56">
            <v>7.3</v>
          </cell>
          <cell r="P56">
            <v>139880</v>
          </cell>
          <cell r="Q56">
            <v>0</v>
          </cell>
          <cell r="R56">
            <v>0</v>
          </cell>
          <cell r="S56">
            <v>0</v>
          </cell>
          <cell r="T56">
            <v>181045</v>
          </cell>
          <cell r="U56">
            <v>8</v>
          </cell>
          <cell r="V56">
            <v>46570</v>
          </cell>
          <cell r="W56">
            <v>296035</v>
          </cell>
          <cell r="X56">
            <v>7.3</v>
          </cell>
          <cell r="Y56">
            <v>69940</v>
          </cell>
          <cell r="Z56" t="str">
            <v>ON</v>
          </cell>
        </row>
        <row r="57">
          <cell r="A57" t="str">
            <v>Aquarius</v>
          </cell>
          <cell r="B57" t="str">
            <v>St. Andrew Goldfields Ltd.</v>
          </cell>
          <cell r="C57">
            <v>1</v>
          </cell>
          <cell r="D57" t="str">
            <v>Canada</v>
          </cell>
          <cell r="E57" t="str">
            <v>Ontario</v>
          </cell>
          <cell r="F57" t="str">
            <v>Maklem/Timmins</v>
          </cell>
          <cell r="G57" t="str">
            <v>Porcupine</v>
          </cell>
          <cell r="H57">
            <v>0</v>
          </cell>
          <cell r="I57">
            <v>0</v>
          </cell>
          <cell r="J57">
            <v>0</v>
          </cell>
          <cell r="K57">
            <v>23112000</v>
          </cell>
          <cell r="L57">
            <v>1.5</v>
          </cell>
          <cell r="M57">
            <v>1106000</v>
          </cell>
          <cell r="N57">
            <v>502000</v>
          </cell>
          <cell r="O57">
            <v>0.83299999999999996</v>
          </cell>
          <cell r="P57">
            <v>14000</v>
          </cell>
          <cell r="Q57">
            <v>0</v>
          </cell>
          <cell r="R57">
            <v>0</v>
          </cell>
          <cell r="S57">
            <v>0</v>
          </cell>
          <cell r="T57">
            <v>23112000</v>
          </cell>
          <cell r="U57">
            <v>1.5</v>
          </cell>
          <cell r="V57">
            <v>1106000</v>
          </cell>
          <cell r="W57">
            <v>502000</v>
          </cell>
          <cell r="X57">
            <v>0.83299999999999996</v>
          </cell>
          <cell r="Y57">
            <v>14000</v>
          </cell>
          <cell r="Z57" t="str">
            <v>ON</v>
          </cell>
        </row>
        <row r="58">
          <cell r="A58" t="str">
            <v>Clavos</v>
          </cell>
          <cell r="B58" t="str">
            <v>St. Andrew Goldfields Ltd.</v>
          </cell>
          <cell r="C58">
            <v>0.4</v>
          </cell>
          <cell r="D58" t="str">
            <v>Canada</v>
          </cell>
          <cell r="E58" t="str">
            <v>Ontario</v>
          </cell>
          <cell r="G58" t="str">
            <v>Timmins</v>
          </cell>
          <cell r="H58">
            <v>0</v>
          </cell>
          <cell r="I58">
            <v>0</v>
          </cell>
          <cell r="J58">
            <v>0</v>
          </cell>
          <cell r="K58">
            <v>143000</v>
          </cell>
          <cell r="L58">
            <v>8</v>
          </cell>
          <cell r="M58">
            <v>37000</v>
          </cell>
          <cell r="N58">
            <v>529000</v>
          </cell>
          <cell r="O58">
            <v>6.5</v>
          </cell>
          <cell r="P58">
            <v>110000</v>
          </cell>
          <cell r="Q58">
            <v>0</v>
          </cell>
          <cell r="R58">
            <v>0</v>
          </cell>
          <cell r="S58">
            <v>0</v>
          </cell>
          <cell r="T58">
            <v>57200</v>
          </cell>
          <cell r="U58">
            <v>8</v>
          </cell>
          <cell r="V58">
            <v>14800</v>
          </cell>
          <cell r="W58">
            <v>211600</v>
          </cell>
          <cell r="X58">
            <v>6.5</v>
          </cell>
          <cell r="Y58">
            <v>44000</v>
          </cell>
          <cell r="Z58" t="str">
            <v>ON</v>
          </cell>
        </row>
        <row r="59">
          <cell r="A59" t="str">
            <v>Hislop</v>
          </cell>
          <cell r="B59" t="str">
            <v>St. Andrew Goldfields Ltd.</v>
          </cell>
          <cell r="C59">
            <v>1</v>
          </cell>
          <cell r="D59" t="str">
            <v>Canada</v>
          </cell>
          <cell r="E59" t="str">
            <v>Ontario</v>
          </cell>
          <cell r="F59" t="str">
            <v>Cochrane</v>
          </cell>
          <cell r="G59" t="str">
            <v>Matheson</v>
          </cell>
          <cell r="H59">
            <v>1912000</v>
          </cell>
          <cell r="I59">
            <v>2.2999999999999998</v>
          </cell>
          <cell r="J59">
            <v>142000</v>
          </cell>
          <cell r="K59">
            <v>8573000</v>
          </cell>
          <cell r="L59">
            <v>2.0669077335821764</v>
          </cell>
          <cell r="M59">
            <v>567000</v>
          </cell>
          <cell r="N59">
            <v>5338000</v>
          </cell>
          <cell r="O59">
            <v>1.8</v>
          </cell>
          <cell r="P59">
            <v>309000</v>
          </cell>
          <cell r="Q59">
            <v>1912000</v>
          </cell>
          <cell r="R59">
            <v>2.2999999999999998</v>
          </cell>
          <cell r="S59">
            <v>142000</v>
          </cell>
          <cell r="T59">
            <v>8573000</v>
          </cell>
          <cell r="U59">
            <v>2.0669077335821764</v>
          </cell>
          <cell r="V59">
            <v>567000</v>
          </cell>
          <cell r="W59">
            <v>5338000</v>
          </cell>
          <cell r="X59">
            <v>1.8</v>
          </cell>
          <cell r="Y59">
            <v>309000</v>
          </cell>
          <cell r="Z59" t="str">
            <v>ON</v>
          </cell>
        </row>
        <row r="60">
          <cell r="A60" t="str">
            <v>Holloway</v>
          </cell>
          <cell r="B60" t="str">
            <v>St. Andrew Goldfields Ltd.</v>
          </cell>
          <cell r="C60">
            <v>1</v>
          </cell>
          <cell r="D60" t="str">
            <v>Canada</v>
          </cell>
          <cell r="E60" t="str">
            <v>Ontario</v>
          </cell>
          <cell r="F60" t="str">
            <v>Harker-Holloway</v>
          </cell>
          <cell r="G60" t="str">
            <v>Timmins</v>
          </cell>
          <cell r="H60">
            <v>639000</v>
          </cell>
          <cell r="I60">
            <v>5.9</v>
          </cell>
          <cell r="J60">
            <v>121000</v>
          </cell>
          <cell r="K60">
            <v>1495000</v>
          </cell>
          <cell r="L60">
            <v>6.4725752508361207</v>
          </cell>
          <cell r="M60">
            <v>311000</v>
          </cell>
          <cell r="N60">
            <v>1194000</v>
          </cell>
          <cell r="O60">
            <v>6</v>
          </cell>
          <cell r="P60">
            <v>231000</v>
          </cell>
          <cell r="Q60">
            <v>639000</v>
          </cell>
          <cell r="R60">
            <v>5.9</v>
          </cell>
          <cell r="S60">
            <v>121000</v>
          </cell>
          <cell r="T60">
            <v>1495000</v>
          </cell>
          <cell r="U60">
            <v>6.4725752508361207</v>
          </cell>
          <cell r="V60">
            <v>311000</v>
          </cell>
          <cell r="W60">
            <v>1194000</v>
          </cell>
          <cell r="X60">
            <v>6</v>
          </cell>
          <cell r="Y60">
            <v>231000</v>
          </cell>
          <cell r="Z60" t="str">
            <v>ON</v>
          </cell>
        </row>
        <row r="61">
          <cell r="A61" t="str">
            <v>Holt</v>
          </cell>
          <cell r="B61" t="str">
            <v>St. Andrew Goldfields Ltd.</v>
          </cell>
          <cell r="C61">
            <v>1</v>
          </cell>
          <cell r="D61" t="str">
            <v>Canada</v>
          </cell>
          <cell r="E61" t="str">
            <v>Ontario</v>
          </cell>
          <cell r="F61" t="str">
            <v>Harker-Holloway</v>
          </cell>
          <cell r="G61" t="str">
            <v>Kirkland Lake</v>
          </cell>
          <cell r="H61">
            <v>2675000</v>
          </cell>
          <cell r="I61">
            <v>5.6</v>
          </cell>
          <cell r="J61">
            <v>486000</v>
          </cell>
          <cell r="K61">
            <v>5912000</v>
          </cell>
          <cell r="L61">
            <v>6.2022834912043301</v>
          </cell>
          <cell r="M61">
            <v>1191000</v>
          </cell>
          <cell r="N61">
            <v>1066000</v>
          </cell>
          <cell r="O61">
            <v>7.7</v>
          </cell>
          <cell r="P61">
            <v>265000</v>
          </cell>
          <cell r="Q61">
            <v>2675000</v>
          </cell>
          <cell r="R61">
            <v>5.6</v>
          </cell>
          <cell r="S61">
            <v>486000</v>
          </cell>
          <cell r="T61">
            <v>5912000</v>
          </cell>
          <cell r="U61">
            <v>6.2022834912043301</v>
          </cell>
          <cell r="V61">
            <v>1191000</v>
          </cell>
          <cell r="W61">
            <v>1066000</v>
          </cell>
          <cell r="X61">
            <v>7.7</v>
          </cell>
          <cell r="Y61">
            <v>265000</v>
          </cell>
          <cell r="Z61" t="str">
            <v>ON</v>
          </cell>
        </row>
        <row r="62">
          <cell r="A62" t="str">
            <v>Taylor</v>
          </cell>
          <cell r="B62" t="str">
            <v>St. Andrew Goldfields Ltd.</v>
          </cell>
          <cell r="C62">
            <v>1</v>
          </cell>
          <cell r="D62" t="str">
            <v>Canada</v>
          </cell>
          <cell r="E62" t="str">
            <v>Ontario</v>
          </cell>
          <cell r="F62" t="str">
            <v>Taylor/Timmins</v>
          </cell>
          <cell r="G62" t="str">
            <v>Matheson</v>
          </cell>
          <cell r="H62">
            <v>0</v>
          </cell>
          <cell r="I62">
            <v>0</v>
          </cell>
          <cell r="J62">
            <v>0</v>
          </cell>
          <cell r="K62">
            <v>1405000</v>
          </cell>
          <cell r="L62">
            <v>7.6</v>
          </cell>
          <cell r="M62">
            <v>343000</v>
          </cell>
          <cell r="N62">
            <v>737000</v>
          </cell>
          <cell r="O62">
            <v>9.1</v>
          </cell>
          <cell r="P62">
            <v>216000</v>
          </cell>
          <cell r="Q62">
            <v>0</v>
          </cell>
          <cell r="R62">
            <v>0</v>
          </cell>
          <cell r="S62">
            <v>0</v>
          </cell>
          <cell r="T62">
            <v>1405000</v>
          </cell>
          <cell r="U62">
            <v>7.6</v>
          </cell>
          <cell r="V62">
            <v>343000</v>
          </cell>
          <cell r="W62">
            <v>737000</v>
          </cell>
          <cell r="X62">
            <v>9.1</v>
          </cell>
          <cell r="Y62">
            <v>216000</v>
          </cell>
          <cell r="Z62" t="str">
            <v>ON</v>
          </cell>
        </row>
        <row r="63">
          <cell r="A63" t="str">
            <v>Juby</v>
          </cell>
          <cell r="B63" t="str">
            <v>Temex Resources</v>
          </cell>
          <cell r="C63">
            <v>1</v>
          </cell>
          <cell r="D63" t="str">
            <v>Canada</v>
          </cell>
          <cell r="E63" t="str">
            <v>Ontario</v>
          </cell>
          <cell r="H63">
            <v>0</v>
          </cell>
          <cell r="I63">
            <v>0</v>
          </cell>
          <cell r="J63">
            <v>0</v>
          </cell>
          <cell r="K63">
            <v>14100000</v>
          </cell>
          <cell r="L63">
            <v>1.36</v>
          </cell>
          <cell r="M63">
            <v>614000</v>
          </cell>
          <cell r="N63">
            <v>18300000</v>
          </cell>
          <cell r="O63">
            <v>1.1399999999999999</v>
          </cell>
          <cell r="P63">
            <v>602000</v>
          </cell>
          <cell r="Q63">
            <v>0</v>
          </cell>
          <cell r="R63">
            <v>0</v>
          </cell>
          <cell r="S63">
            <v>0</v>
          </cell>
          <cell r="T63">
            <v>14100000</v>
          </cell>
          <cell r="U63">
            <v>1.36</v>
          </cell>
          <cell r="V63">
            <v>614000</v>
          </cell>
          <cell r="W63">
            <v>18300000</v>
          </cell>
          <cell r="X63">
            <v>1.1399999999999999</v>
          </cell>
          <cell r="Y63">
            <v>602000</v>
          </cell>
          <cell r="Z63" t="str">
            <v>ON</v>
          </cell>
        </row>
        <row r="64">
          <cell r="A64" t="str">
            <v>Block A</v>
          </cell>
          <cell r="B64" t="str">
            <v>Trade Winds Ventures</v>
          </cell>
          <cell r="C64">
            <v>0.5</v>
          </cell>
          <cell r="D64" t="str">
            <v>Canada</v>
          </cell>
          <cell r="E64" t="str">
            <v>Ontario</v>
          </cell>
          <cell r="H64">
            <v>0</v>
          </cell>
          <cell r="I64">
            <v>0</v>
          </cell>
          <cell r="J64">
            <v>0</v>
          </cell>
          <cell r="K64">
            <v>70800000</v>
          </cell>
          <cell r="L64">
            <v>0.85</v>
          </cell>
          <cell r="M64">
            <v>1924000</v>
          </cell>
          <cell r="N64">
            <v>27300000</v>
          </cell>
          <cell r="O64">
            <v>0.87</v>
          </cell>
          <cell r="P64">
            <v>762000</v>
          </cell>
          <cell r="Q64">
            <v>0</v>
          </cell>
          <cell r="R64">
            <v>0</v>
          </cell>
          <cell r="S64">
            <v>0</v>
          </cell>
          <cell r="T64">
            <v>35400000</v>
          </cell>
          <cell r="U64">
            <v>0.85</v>
          </cell>
          <cell r="V64">
            <v>962000</v>
          </cell>
          <cell r="W64">
            <v>13650000</v>
          </cell>
          <cell r="X64">
            <v>0.87</v>
          </cell>
          <cell r="Y64">
            <v>381000</v>
          </cell>
          <cell r="Z64" t="str">
            <v>ON</v>
          </cell>
        </row>
        <row r="65">
          <cell r="A65" t="str">
            <v>Chester</v>
          </cell>
          <cell r="B65" t="str">
            <v>Trelawney</v>
          </cell>
          <cell r="C65">
            <v>1</v>
          </cell>
          <cell r="D65" t="str">
            <v>Canada</v>
          </cell>
          <cell r="E65" t="str">
            <v>Ontario</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t="str">
            <v>ON</v>
          </cell>
        </row>
        <row r="66">
          <cell r="A66" t="str">
            <v>Cote Lake</v>
          </cell>
          <cell r="B66" t="str">
            <v>Trelawney</v>
          </cell>
          <cell r="C66">
            <v>1</v>
          </cell>
          <cell r="D66" t="str">
            <v>Canada</v>
          </cell>
          <cell r="E66" t="str">
            <v>Ontario</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t="str">
            <v>ON</v>
          </cell>
        </row>
        <row r="67">
          <cell r="A67" t="str">
            <v>Douay</v>
          </cell>
          <cell r="B67" t="str">
            <v>Vior</v>
          </cell>
          <cell r="C67">
            <v>1</v>
          </cell>
          <cell r="D67" t="str">
            <v>Canada</v>
          </cell>
          <cell r="E67" t="str">
            <v>Quebec</v>
          </cell>
          <cell r="H67">
            <v>0</v>
          </cell>
          <cell r="I67">
            <v>0</v>
          </cell>
          <cell r="J67">
            <v>0</v>
          </cell>
          <cell r="K67">
            <v>2900000</v>
          </cell>
          <cell r="L67">
            <v>2.88</v>
          </cell>
          <cell r="M67">
            <v>268000</v>
          </cell>
          <cell r="N67">
            <v>4488000</v>
          </cell>
          <cell r="O67">
            <v>1.31</v>
          </cell>
          <cell r="P67">
            <v>1885000</v>
          </cell>
          <cell r="Q67">
            <v>0</v>
          </cell>
          <cell r="R67">
            <v>0</v>
          </cell>
          <cell r="S67">
            <v>0</v>
          </cell>
          <cell r="T67">
            <v>2900000</v>
          </cell>
          <cell r="U67">
            <v>2.88</v>
          </cell>
          <cell r="V67">
            <v>268000</v>
          </cell>
          <cell r="W67">
            <v>4488000</v>
          </cell>
          <cell r="X67">
            <v>1.31</v>
          </cell>
          <cell r="Y67">
            <v>1885000</v>
          </cell>
          <cell r="Z67" t="str">
            <v>QC</v>
          </cell>
        </row>
        <row r="68">
          <cell r="A68" t="str">
            <v>Eagle River</v>
          </cell>
          <cell r="B68" t="str">
            <v>Wesdome Gold Mines</v>
          </cell>
          <cell r="C68">
            <v>1</v>
          </cell>
          <cell r="D68" t="str">
            <v>Canada</v>
          </cell>
          <cell r="E68" t="str">
            <v>Ontario</v>
          </cell>
          <cell r="F68" t="str">
            <v>Mishibishu Lake</v>
          </cell>
          <cell r="G68" t="str">
            <v>Wawa</v>
          </cell>
          <cell r="H68">
            <v>400000</v>
          </cell>
          <cell r="I68">
            <v>8.6</v>
          </cell>
          <cell r="J68">
            <v>110000</v>
          </cell>
          <cell r="K68">
            <v>400000</v>
          </cell>
          <cell r="L68">
            <v>8.6</v>
          </cell>
          <cell r="M68">
            <v>110000</v>
          </cell>
          <cell r="N68">
            <v>236000</v>
          </cell>
          <cell r="O68">
            <v>7.2</v>
          </cell>
          <cell r="P68">
            <v>55000</v>
          </cell>
          <cell r="Q68">
            <v>400000</v>
          </cell>
          <cell r="R68">
            <v>8.6</v>
          </cell>
          <cell r="S68">
            <v>110000</v>
          </cell>
          <cell r="T68">
            <v>400000</v>
          </cell>
          <cell r="U68">
            <v>8.6</v>
          </cell>
          <cell r="V68">
            <v>110000</v>
          </cell>
          <cell r="W68">
            <v>236000</v>
          </cell>
          <cell r="X68">
            <v>7.2</v>
          </cell>
          <cell r="Y68">
            <v>55000</v>
          </cell>
          <cell r="Z68" t="str">
            <v>ON</v>
          </cell>
        </row>
        <row r="69">
          <cell r="A69" t="str">
            <v>Kiena</v>
          </cell>
          <cell r="B69" t="str">
            <v>Wesdome Gold Mines</v>
          </cell>
          <cell r="C69">
            <v>1</v>
          </cell>
          <cell r="D69" t="str">
            <v>Canada</v>
          </cell>
          <cell r="E69" t="str">
            <v>Quebec</v>
          </cell>
          <cell r="F69" t="str">
            <v>Lac Demontigny</v>
          </cell>
          <cell r="G69" t="str">
            <v>Val d'Or</v>
          </cell>
          <cell r="H69">
            <v>600000</v>
          </cell>
          <cell r="I69">
            <v>4.0999999999999996</v>
          </cell>
          <cell r="J69">
            <v>78000</v>
          </cell>
          <cell r="K69">
            <v>1811000</v>
          </cell>
          <cell r="L69">
            <v>3.6987852015461069</v>
          </cell>
          <cell r="M69">
            <v>213000</v>
          </cell>
          <cell r="N69">
            <v>0</v>
          </cell>
          <cell r="O69">
            <v>0</v>
          </cell>
          <cell r="P69">
            <v>0</v>
          </cell>
          <cell r="Q69">
            <v>600000</v>
          </cell>
          <cell r="R69">
            <v>4.0999999999999996</v>
          </cell>
          <cell r="S69">
            <v>78000</v>
          </cell>
          <cell r="T69">
            <v>1811000</v>
          </cell>
          <cell r="U69">
            <v>3.6987852015461069</v>
          </cell>
          <cell r="V69">
            <v>213000</v>
          </cell>
          <cell r="W69">
            <v>0</v>
          </cell>
          <cell r="X69">
            <v>0</v>
          </cell>
          <cell r="Y69">
            <v>0</v>
          </cell>
          <cell r="Z69" t="str">
            <v>QC</v>
          </cell>
        </row>
        <row r="70">
          <cell r="A70" t="str">
            <v>Mishi</v>
          </cell>
          <cell r="B70" t="str">
            <v>Wesdome Gold Mines</v>
          </cell>
          <cell r="C70">
            <v>1</v>
          </cell>
          <cell r="D70" t="str">
            <v>Canada</v>
          </cell>
          <cell r="E70" t="str">
            <v>Ontario</v>
          </cell>
          <cell r="F70" t="str">
            <v>Mishibishu Lake</v>
          </cell>
          <cell r="G70" t="str">
            <v>Hemlo</v>
          </cell>
          <cell r="H70">
            <v>0</v>
          </cell>
          <cell r="I70">
            <v>0</v>
          </cell>
          <cell r="J70">
            <v>0</v>
          </cell>
          <cell r="K70">
            <v>5736200</v>
          </cell>
          <cell r="L70">
            <v>2.4</v>
          </cell>
          <cell r="M70">
            <v>438000</v>
          </cell>
          <cell r="N70">
            <v>1201700</v>
          </cell>
          <cell r="O70">
            <v>3.6</v>
          </cell>
          <cell r="P70">
            <v>140000</v>
          </cell>
          <cell r="Q70">
            <v>0</v>
          </cell>
          <cell r="R70">
            <v>0</v>
          </cell>
          <cell r="S70">
            <v>0</v>
          </cell>
          <cell r="T70">
            <v>5736200</v>
          </cell>
          <cell r="U70">
            <v>2.4</v>
          </cell>
          <cell r="V70">
            <v>438000</v>
          </cell>
          <cell r="W70">
            <v>1201700</v>
          </cell>
          <cell r="X70">
            <v>3.6</v>
          </cell>
          <cell r="Y70">
            <v>140000</v>
          </cell>
          <cell r="Z70" t="str">
            <v>ON</v>
          </cell>
        </row>
        <row r="71">
          <cell r="A71" t="str">
            <v>Wesdome Project</v>
          </cell>
          <cell r="B71" t="str">
            <v>Wesdome Gold Mines</v>
          </cell>
          <cell r="C71">
            <v>1</v>
          </cell>
          <cell r="D71" t="str">
            <v>Canada</v>
          </cell>
          <cell r="E71" t="str">
            <v>Quebec</v>
          </cell>
          <cell r="G71" t="str">
            <v>Val d'Or</v>
          </cell>
          <cell r="H71">
            <v>0</v>
          </cell>
          <cell r="I71">
            <v>0</v>
          </cell>
          <cell r="J71">
            <v>0</v>
          </cell>
          <cell r="K71">
            <v>276000</v>
          </cell>
          <cell r="L71">
            <v>7.7</v>
          </cell>
          <cell r="M71">
            <v>68000</v>
          </cell>
          <cell r="N71">
            <v>1563000</v>
          </cell>
          <cell r="O71">
            <v>7.9</v>
          </cell>
          <cell r="P71">
            <v>400000</v>
          </cell>
          <cell r="Q71">
            <v>0</v>
          </cell>
          <cell r="R71">
            <v>0</v>
          </cell>
          <cell r="S71">
            <v>0</v>
          </cell>
          <cell r="T71">
            <v>276000</v>
          </cell>
          <cell r="U71">
            <v>7.7</v>
          </cell>
          <cell r="V71">
            <v>68000</v>
          </cell>
          <cell r="W71">
            <v>1563000</v>
          </cell>
          <cell r="X71">
            <v>7.9</v>
          </cell>
          <cell r="Y71">
            <v>400000</v>
          </cell>
          <cell r="Z71" t="str">
            <v>QC</v>
          </cell>
        </row>
        <row r="72">
          <cell r="A72" t="str">
            <v>Phoenix Gold</v>
          </cell>
          <cell r="B72" t="str">
            <v>Rubicon Minerals</v>
          </cell>
          <cell r="C72">
            <v>1</v>
          </cell>
          <cell r="D72" t="str">
            <v>Canada</v>
          </cell>
          <cell r="E72" t="str">
            <v>Ontario</v>
          </cell>
          <cell r="G72" t="str">
            <v>Red Lake</v>
          </cell>
          <cell r="H72">
            <v>0</v>
          </cell>
          <cell r="I72">
            <v>0</v>
          </cell>
          <cell r="J72">
            <v>0</v>
          </cell>
          <cell r="K72">
            <v>0</v>
          </cell>
          <cell r="L72">
            <v>0</v>
          </cell>
          <cell r="M72">
            <v>0</v>
          </cell>
          <cell r="N72">
            <v>6200000</v>
          </cell>
          <cell r="O72">
            <v>20.100000000000001</v>
          </cell>
          <cell r="P72">
            <v>4007000</v>
          </cell>
          <cell r="Q72">
            <v>0</v>
          </cell>
          <cell r="R72">
            <v>0</v>
          </cell>
          <cell r="S72">
            <v>0</v>
          </cell>
          <cell r="T72">
            <v>0</v>
          </cell>
          <cell r="U72">
            <v>0</v>
          </cell>
          <cell r="V72">
            <v>0</v>
          </cell>
          <cell r="W72">
            <v>6200000</v>
          </cell>
          <cell r="X72">
            <v>20.100000000000001</v>
          </cell>
          <cell r="Y72">
            <v>4007000</v>
          </cell>
          <cell r="Z72" t="str">
            <v>ON</v>
          </cell>
        </row>
        <row r="75">
          <cell r="A75" t="str">
            <v>1Inclusive of reserves</v>
          </cell>
        </row>
      </sheetData>
      <sheetData sheetId="14"/>
      <sheetData sheetId="1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QUICK SUMMARY"/>
      <sheetName val="EXHS"/>
      <sheetName val="Guidance"/>
      <sheetName val="SENSITIVITY"/>
      <sheetName val="MA Multiples"/>
      <sheetName val="COMP"/>
      <sheetName val="CF COMP "/>
      <sheetName val="LINKS&amp;INPUTS"/>
      <sheetName val="Upside_Downside"/>
      <sheetName val="RBC LOCK Model"/>
    </sheetNames>
    <sheetDataSet>
      <sheetData sheetId="0"/>
      <sheetData sheetId="1" refreshError="1">
        <row r="1">
          <cell r="A1" t="str">
            <v>LifeLock</v>
          </cell>
        </row>
        <row r="6">
          <cell r="A6" t="str">
            <v>Consumer Revenue</v>
          </cell>
          <cell r="AL6">
            <v>37.938000000000002</v>
          </cell>
          <cell r="AM6">
            <v>39.935000000000002</v>
          </cell>
          <cell r="AN6">
            <v>41.372</v>
          </cell>
          <cell r="AO6">
            <v>43.033999999999999</v>
          </cell>
          <cell r="AP6">
            <v>43.96</v>
          </cell>
          <cell r="AQ6">
            <v>47.036000000000001</v>
          </cell>
          <cell r="AR6">
            <v>49.997999999999998</v>
          </cell>
          <cell r="AS6">
            <v>52.954999999999998</v>
          </cell>
          <cell r="AT6">
            <v>56.707999999999998</v>
          </cell>
          <cell r="AU6">
            <v>61.616</v>
          </cell>
          <cell r="AV6">
            <v>62.500000000000043</v>
          </cell>
          <cell r="AW6">
            <v>63.750000000000064</v>
          </cell>
          <cell r="AX6">
            <v>66.750000000000028</v>
          </cell>
          <cell r="AY6">
            <v>70.749999999999986</v>
          </cell>
          <cell r="AZ6">
            <v>73.499999999999986</v>
          </cell>
          <cell r="BA6">
            <v>76.249999999999986</v>
          </cell>
          <cell r="BB6">
            <v>79.25</v>
          </cell>
          <cell r="BC6">
            <v>84.5</v>
          </cell>
          <cell r="BD6">
            <v>88.750000000000014</v>
          </cell>
          <cell r="BE6">
            <v>91.249144951140025</v>
          </cell>
          <cell r="BF6">
            <v>93.118750000000006</v>
          </cell>
          <cell r="BG6">
            <v>99.287500000000009</v>
          </cell>
          <cell r="BH6">
            <v>104.28125000000001</v>
          </cell>
          <cell r="BI6">
            <v>107.21774531758953</v>
          </cell>
          <cell r="BJ6">
            <v>107.0865625</v>
          </cell>
          <cell r="BK6">
            <v>114.18062500000001</v>
          </cell>
          <cell r="BL6">
            <v>119.92343750000001</v>
          </cell>
          <cell r="BM6">
            <v>123.30040711522796</v>
          </cell>
          <cell r="BN6">
            <v>120.4723828125</v>
          </cell>
          <cell r="BO6">
            <v>128.45320312500002</v>
          </cell>
          <cell r="BP6">
            <v>134.91386718750002</v>
          </cell>
          <cell r="BQ6">
            <v>138.71295800463145</v>
          </cell>
          <cell r="BX6">
            <v>18.873999999999999</v>
          </cell>
          <cell r="BY6">
            <v>91.253</v>
          </cell>
          <cell r="BZ6">
            <v>131.36799999999999</v>
          </cell>
          <cell r="CA6">
            <v>162.279</v>
          </cell>
          <cell r="CB6">
            <v>193.94900000000001</v>
          </cell>
          <cell r="CC6">
            <v>244.5740000000001</v>
          </cell>
          <cell r="CD6">
            <v>287.25</v>
          </cell>
          <cell r="CE6">
            <v>343.74914495114001</v>
          </cell>
          <cell r="CF6">
            <v>403.90524531758956</v>
          </cell>
          <cell r="CG6">
            <v>464.49103211522799</v>
          </cell>
          <cell r="CH6">
            <v>522.55241112963154</v>
          </cell>
        </row>
        <row r="7">
          <cell r="A7" t="str">
            <v>Enterprise Revenue</v>
          </cell>
          <cell r="AL7">
            <v>0</v>
          </cell>
          <cell r="AM7">
            <v>0</v>
          </cell>
          <cell r="AN7">
            <v>0</v>
          </cell>
          <cell r="AO7">
            <v>0</v>
          </cell>
          <cell r="AP7">
            <v>0</v>
          </cell>
          <cell r="AQ7">
            <v>0</v>
          </cell>
          <cell r="AR7">
            <v>0</v>
          </cell>
          <cell r="AS7">
            <v>0</v>
          </cell>
          <cell r="AT7">
            <v>0.90400000000000003</v>
          </cell>
          <cell r="AU7">
            <v>6.2670000000000003</v>
          </cell>
          <cell r="AV7">
            <v>5.75</v>
          </cell>
          <cell r="AW7">
            <v>7</v>
          </cell>
          <cell r="AX7">
            <v>6.25</v>
          </cell>
          <cell r="AY7">
            <v>7.0000000000000018</v>
          </cell>
          <cell r="AZ7">
            <v>6.7499999999999991</v>
          </cell>
          <cell r="BA7">
            <v>8.75</v>
          </cell>
          <cell r="BB7">
            <v>7.5</v>
          </cell>
          <cell r="BC7">
            <v>8.5000000000000018</v>
          </cell>
          <cell r="BD7">
            <v>8.2500000000000018</v>
          </cell>
          <cell r="BE7">
            <v>9.9999999999999876</v>
          </cell>
          <cell r="BF7">
            <v>8.8125</v>
          </cell>
          <cell r="BG7">
            <v>9.9875000000000025</v>
          </cell>
          <cell r="BH7">
            <v>9.6937500000000032</v>
          </cell>
          <cell r="BI7">
            <v>11.499999999999984</v>
          </cell>
          <cell r="BJ7">
            <v>10.134374999999999</v>
          </cell>
          <cell r="BK7">
            <v>11.485625000000002</v>
          </cell>
          <cell r="BL7">
            <v>11.147812500000002</v>
          </cell>
          <cell r="BM7">
            <v>13.22499999999998</v>
          </cell>
          <cell r="BN7">
            <v>11.401171874999999</v>
          </cell>
          <cell r="BO7">
            <v>12.921328125000002</v>
          </cell>
          <cell r="BP7">
            <v>12.541289062500002</v>
          </cell>
          <cell r="BQ7">
            <v>14.878124999999978</v>
          </cell>
          <cell r="BX7">
            <v>0</v>
          </cell>
          <cell r="BY7">
            <v>0</v>
          </cell>
          <cell r="BZ7">
            <v>0</v>
          </cell>
          <cell r="CA7">
            <v>0</v>
          </cell>
          <cell r="CB7">
            <v>0</v>
          </cell>
          <cell r="CC7">
            <v>19.920999999999999</v>
          </cell>
          <cell r="CD7">
            <v>28.75</v>
          </cell>
          <cell r="CE7">
            <v>34.249999999999986</v>
          </cell>
          <cell r="CF7">
            <v>39.993749999999991</v>
          </cell>
          <cell r="CG7">
            <v>45.992812499999985</v>
          </cell>
          <cell r="CH7">
            <v>51.74191406249998</v>
          </cell>
        </row>
        <row r="428">
          <cell r="A428" t="str">
            <v>Long-term debt, net of current portion</v>
          </cell>
          <cell r="AL428">
            <v>0</v>
          </cell>
          <cell r="AM428">
            <v>0</v>
          </cell>
          <cell r="AN428">
            <v>0</v>
          </cell>
          <cell r="AO428">
            <v>0</v>
          </cell>
          <cell r="AP428">
            <v>0</v>
          </cell>
          <cell r="AQ428">
            <v>0</v>
          </cell>
          <cell r="AR428">
            <v>0</v>
          </cell>
          <cell r="AS428">
            <v>0</v>
          </cell>
          <cell r="AT428">
            <v>54.06</v>
          </cell>
          <cell r="AU428">
            <v>49.81</v>
          </cell>
          <cell r="AV428">
            <v>47.09</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O428">
            <v>0</v>
          </cell>
          <cell r="BP428">
            <v>0</v>
          </cell>
          <cell r="BQ428">
            <v>0</v>
          </cell>
          <cell r="BZ428">
            <v>0</v>
          </cell>
          <cell r="CA428">
            <v>0</v>
          </cell>
          <cell r="CB428">
            <v>0</v>
          </cell>
          <cell r="CC428">
            <v>0</v>
          </cell>
          <cell r="CD428">
            <v>0</v>
          </cell>
          <cell r="CE428">
            <v>0</v>
          </cell>
          <cell r="CF428">
            <v>0</v>
          </cell>
          <cell r="CG428">
            <v>0</v>
          </cell>
          <cell r="CH428">
            <v>0</v>
          </cell>
        </row>
      </sheetData>
      <sheetData sheetId="2"/>
      <sheetData sheetId="3"/>
      <sheetData sheetId="4"/>
      <sheetData sheetId="5"/>
      <sheetData sheetId="6"/>
      <sheetData sheetId="7"/>
      <sheetData sheetId="8"/>
      <sheetData sheetId="9" refreshError="1"/>
      <sheetData sheetId="10"/>
      <sheetData sheetId="1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EARNINGS SUMMARY"/>
      <sheetName val="Exhibits for note"/>
      <sheetName val="SRF MODEL"/>
      <sheetName val="SRF Payback"/>
      <sheetName val="MERGER MODEL"/>
      <sheetName val="SRF v WBSN"/>
      <sheetName val="SENSITIVITY"/>
      <sheetName val="MULTIPLES"/>
      <sheetName val="CHARTS"/>
      <sheetName val="LINKS"/>
      <sheetName val="exhibit templates"/>
      <sheetName val="Pricing Models"/>
      <sheetName val="Model Build"/>
      <sheetName val="DCF"/>
      <sheetName val="Information"/>
      <sheetName val="RBC WBSN Model"/>
      <sheetName val="Q&amp;A"/>
      <sheetName val="UPCOMING EVENTS"/>
      <sheetName val="SENSITIVITY ANALYSIS"/>
      <sheetName val="Comp 2"/>
      <sheetName val="Comp Sheet"/>
      <sheetName val="Comp 4"/>
      <sheetName val="Comp 5"/>
      <sheetName val="FX summary"/>
      <sheetName val="IS"/>
      <sheetName val="BS"/>
      <sheetName val="METS"/>
      <sheetName val="earnings templates"/>
      <sheetName val="graphs"/>
      <sheetName val="Snapshot"/>
      <sheetName val="Sheet8"/>
      <sheetName val="Ownership"/>
      <sheetName val="DCF (2)"/>
      <sheetName val="First Call Consensus Summary"/>
    </sheetNames>
    <sheetDataSet>
      <sheetData sheetId="0"/>
      <sheetData sheetId="1" refreshError="1">
        <row r="284">
          <cell r="A284" t="str">
            <v>Customer Info.</v>
          </cell>
        </row>
        <row r="327">
          <cell r="A327" t="str">
            <v>Bookings / seat / year</v>
          </cell>
          <cell r="B327">
            <v>5.3337142857142856</v>
          </cell>
          <cell r="C327">
            <v>4.1962666666666673</v>
          </cell>
          <cell r="D327">
            <v>3.8057142857142856</v>
          </cell>
          <cell r="E327">
            <v>4.5976650000000001</v>
          </cell>
          <cell r="F327">
            <v>7.4346679999999994</v>
          </cell>
          <cell r="G327">
            <v>4.7777777777777777</v>
          </cell>
          <cell r="H327">
            <v>5.0946666666666669</v>
          </cell>
          <cell r="I327">
            <v>5.6864000000000008</v>
          </cell>
          <cell r="J327">
            <v>5.0117073170731707</v>
          </cell>
          <cell r="K327">
            <v>5.0723595505617975</v>
          </cell>
          <cell r="L327">
            <v>5.916666666666667</v>
          </cell>
          <cell r="M327">
            <v>6.8328571428571436</v>
          </cell>
          <cell r="N327">
            <v>5.2333333333333334</v>
          </cell>
          <cell r="O327">
            <v>5.8239999999999998</v>
          </cell>
          <cell r="P327">
            <v>6.523076923076923</v>
          </cell>
          <cell r="Q327">
            <v>7.7971014492753614</v>
          </cell>
          <cell r="R327">
            <v>5.420289855072463</v>
          </cell>
          <cell r="S327">
            <v>6.88</v>
          </cell>
          <cell r="T327">
            <v>7.1392405063291138</v>
          </cell>
          <cell r="U327">
            <v>9.3658536585365866</v>
          </cell>
          <cell r="V327">
            <v>6.4116985376827893</v>
          </cell>
          <cell r="W327">
            <v>8.022346368715084</v>
          </cell>
          <cell r="X327">
            <v>7.80345945945946</v>
          </cell>
          <cell r="Y327">
            <v>10.464646464646464</v>
          </cell>
          <cell r="Z327">
            <v>6.9897536945812799</v>
          </cell>
          <cell r="AA327">
            <v>8.5122222222222224</v>
          </cell>
          <cell r="AB327">
            <v>8.4285714285714288</v>
          </cell>
          <cell r="AC327">
            <v>11.313807531380753</v>
          </cell>
          <cell r="AD327">
            <v>6.4786721991701235</v>
          </cell>
          <cell r="AE327">
            <v>8.2655601659751028</v>
          </cell>
          <cell r="AF327">
            <v>8.7020408163265301</v>
          </cell>
          <cell r="AG327">
            <v>10.944000000000001</v>
          </cell>
          <cell r="AH327">
            <v>6.666666666666667</v>
          </cell>
          <cell r="AI327">
            <v>8.4496124031007742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rket_Share"/>
      <sheetName val="Trends"/>
    </sheetNames>
    <sheetDataSet>
      <sheetData sheetId="0" refreshError="1"/>
      <sheetData sheetId="1" refreshError="1">
        <row r="12">
          <cell r="A12" t="str">
            <v>1-7</v>
          </cell>
        </row>
      </sheetData>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tzSingleDPmap"/>
      <sheetName val="bltzPeriodicDPmap"/>
      <sheetName val="bltzModelProperties"/>
      <sheetName val="__FDSCACHE__"/>
      <sheetName val="MODEL"/>
      <sheetName val="Upside_Downside"/>
      <sheetName val="CHARTS 2"/>
      <sheetName val="ADBE-OMTR COMBINED"/>
      <sheetName val="SENSITIVITY"/>
      <sheetName val="MULTIPLES"/>
      <sheetName val="job post"/>
      <sheetName val="MULTIPLES PIVOT"/>
      <sheetName val="CHARTS"/>
      <sheetName val="EARNINGS SUMMARY"/>
      <sheetName val="GUIDANCE AND EST."/>
      <sheetName val="LINKS"/>
      <sheetName val="Combined ADBE-MACR"/>
      <sheetName val="cycle multiples"/>
      <sheetName val="RBCCM_Key_Information"/>
      <sheetName val="RBCCM_Valuation_Measures"/>
      <sheetName val="RBCCM_Quarterly_Estimates_Data"/>
      <sheetName val="RBCCM_Income_Statement"/>
      <sheetName val="RBCCM_Cash_Flow"/>
      <sheetName val="RBCCM_Balance_Sheet"/>
      <sheetName val="RBCCM_Industry_Specif"/>
      <sheetName val="RBC ADBE Model"/>
      <sheetName val="MODELEx (2)"/>
      <sheetName val="MODELEx"/>
    </sheetNames>
    <sheetDataSet>
      <sheetData sheetId="0"/>
      <sheetData sheetId="1"/>
      <sheetData sheetId="2"/>
      <sheetData sheetId="3"/>
      <sheetData sheetId="4" refreshError="1">
        <row r="2">
          <cell r="B2" t="str">
            <v>Feb-99A</v>
          </cell>
        </row>
        <row r="8">
          <cell r="A8" t="str">
            <v>Omniture</v>
          </cell>
          <cell r="AP8">
            <v>7.1</v>
          </cell>
          <cell r="AQ8">
            <v>7.6</v>
          </cell>
          <cell r="AR8">
            <v>7.7</v>
          </cell>
          <cell r="AS8">
            <v>34.1</v>
          </cell>
          <cell r="AT8">
            <v>96</v>
          </cell>
          <cell r="AU8">
            <v>91.9</v>
          </cell>
          <cell r="AV8">
            <v>99.8</v>
          </cell>
          <cell r="AW8">
            <v>109</v>
          </cell>
          <cell r="AX8">
            <v>110.9</v>
          </cell>
          <cell r="AY8">
            <v>115.9</v>
          </cell>
          <cell r="AZ8">
            <v>118.2</v>
          </cell>
          <cell r="BA8">
            <v>131.1</v>
          </cell>
          <cell r="BB8">
            <v>133</v>
          </cell>
          <cell r="BC8">
            <v>136</v>
          </cell>
          <cell r="BD8">
            <v>139</v>
          </cell>
          <cell r="BE8">
            <v>143</v>
          </cell>
          <cell r="BF8">
            <v>0</v>
          </cell>
          <cell r="BG8">
            <v>0</v>
          </cell>
          <cell r="BH8">
            <v>0</v>
          </cell>
          <cell r="BI8">
            <v>0</v>
          </cell>
          <cell r="BJ8">
            <v>0</v>
          </cell>
          <cell r="BK8">
            <v>0</v>
          </cell>
          <cell r="BL8">
            <v>0</v>
          </cell>
          <cell r="BM8">
            <v>0</v>
          </cell>
          <cell r="BY8">
            <v>56.5</v>
          </cell>
          <cell r="BZ8">
            <v>396.7</v>
          </cell>
          <cell r="CA8">
            <v>476.1</v>
          </cell>
          <cell r="CB8">
            <v>551</v>
          </cell>
          <cell r="CC8">
            <v>0</v>
          </cell>
          <cell r="CD8">
            <v>0</v>
          </cell>
          <cell r="CG8">
            <v>56.5</v>
          </cell>
          <cell r="CH8">
            <v>396.7</v>
          </cell>
          <cell r="CI8">
            <v>476.1</v>
          </cell>
          <cell r="CJ8">
            <v>551</v>
          </cell>
          <cell r="CK8">
            <v>0</v>
          </cell>
          <cell r="CL8">
            <v>0</v>
          </cell>
          <cell r="CO8">
            <v>4553.5586400000002</v>
          </cell>
          <cell r="CP8">
            <v>4469.2334799999999</v>
          </cell>
        </row>
        <row r="20">
          <cell r="A20" t="str">
            <v>Other Expenses</v>
          </cell>
          <cell r="C20">
            <v>1.534</v>
          </cell>
          <cell r="D20">
            <v>4.4169999999999998</v>
          </cell>
          <cell r="E20">
            <v>25.486999999999998</v>
          </cell>
          <cell r="F20">
            <v>0.53100000000000003</v>
          </cell>
          <cell r="G20">
            <v>7.516</v>
          </cell>
          <cell r="H20">
            <v>1.2150000000000001</v>
          </cell>
          <cell r="I20">
            <v>121.958</v>
          </cell>
          <cell r="J20">
            <v>3.5819999999999999</v>
          </cell>
          <cell r="K20">
            <v>3.581</v>
          </cell>
          <cell r="L20">
            <v>3.5680000000000001</v>
          </cell>
          <cell r="M20">
            <v>15.613000000000001</v>
          </cell>
          <cell r="N20">
            <v>8.9</v>
          </cell>
          <cell r="O20">
            <v>5.556</v>
          </cell>
          <cell r="P20">
            <v>3.5409999999999999</v>
          </cell>
          <cell r="Q20">
            <v>20.893000000000001</v>
          </cell>
          <cell r="BR20">
            <v>38.89</v>
          </cell>
          <cell r="BS20">
            <v>0</v>
          </cell>
          <cell r="BT20">
            <v>0</v>
          </cell>
          <cell r="BU20">
            <v>0</v>
          </cell>
          <cell r="BV20">
            <v>0</v>
          </cell>
          <cell r="BW20">
            <v>0</v>
          </cell>
          <cell r="BX20">
            <v>0</v>
          </cell>
          <cell r="BY20">
            <v>0</v>
          </cell>
          <cell r="BZ20">
            <v>38.89</v>
          </cell>
          <cell r="CA20">
            <v>0</v>
          </cell>
          <cell r="CB20">
            <v>0</v>
          </cell>
          <cell r="CC20">
            <v>0</v>
          </cell>
          <cell r="CD20">
            <v>0</v>
          </cell>
          <cell r="CE20">
            <v>0</v>
          </cell>
          <cell r="CF20">
            <v>0</v>
          </cell>
          <cell r="CG20">
            <v>0</v>
          </cell>
          <cell r="CH20">
            <v>0</v>
          </cell>
          <cell r="CI20">
            <v>0</v>
          </cell>
          <cell r="CJ20">
            <v>0</v>
          </cell>
          <cell r="CK20">
            <v>0</v>
          </cell>
          <cell r="CL20">
            <v>0</v>
          </cell>
        </row>
        <row r="24">
          <cell r="A24" t="str">
            <v>Investment Gain (loss)</v>
          </cell>
          <cell r="B24">
            <v>-0.02</v>
          </cell>
          <cell r="C24">
            <v>14.015000000000001</v>
          </cell>
          <cell r="D24">
            <v>13.151</v>
          </cell>
          <cell r="E24">
            <v>61.744999999999997</v>
          </cell>
          <cell r="F24">
            <v>4.6760000000000002</v>
          </cell>
          <cell r="G24">
            <v>7.6909999999999998</v>
          </cell>
          <cell r="H24">
            <v>9.3970000000000002</v>
          </cell>
          <cell r="I24">
            <v>-7.4169999999999998</v>
          </cell>
          <cell r="J24">
            <v>-17.038</v>
          </cell>
          <cell r="K24">
            <v>-31.030999999999999</v>
          </cell>
          <cell r="L24">
            <v>-39.447000000000003</v>
          </cell>
          <cell r="M24">
            <v>-5.8979999999999997</v>
          </cell>
          <cell r="N24">
            <v>4.5330000000000004</v>
          </cell>
          <cell r="O24">
            <v>-13.728</v>
          </cell>
          <cell r="P24">
            <v>-4.1980000000000004</v>
          </cell>
          <cell r="Q24">
            <v>-3.7919999999999998</v>
          </cell>
          <cell r="BR24">
            <v>-17.185000000000002</v>
          </cell>
          <cell r="BS24">
            <v>0</v>
          </cell>
          <cell r="BT24">
            <v>0</v>
          </cell>
          <cell r="BU24">
            <v>0</v>
          </cell>
          <cell r="BV24">
            <v>0</v>
          </cell>
          <cell r="BW24">
            <v>0</v>
          </cell>
          <cell r="BX24">
            <v>0</v>
          </cell>
          <cell r="BY24">
            <v>0</v>
          </cell>
          <cell r="BZ24">
            <v>-17.185000000000002</v>
          </cell>
          <cell r="CA24">
            <v>0</v>
          </cell>
          <cell r="CB24">
            <v>0</v>
          </cell>
          <cell r="CC24">
            <v>0</v>
          </cell>
          <cell r="CD24">
            <v>0</v>
          </cell>
          <cell r="CE24">
            <v>0</v>
          </cell>
          <cell r="CF24">
            <v>0</v>
          </cell>
          <cell r="CG24">
            <v>0</v>
          </cell>
          <cell r="CH24">
            <v>0</v>
          </cell>
          <cell r="CI24">
            <v>0</v>
          </cell>
          <cell r="CJ24">
            <v>0</v>
          </cell>
          <cell r="CK24">
            <v>0</v>
          </cell>
          <cell r="CL24">
            <v>0</v>
          </cell>
        </row>
        <row r="55">
          <cell r="A55" t="str">
            <v>Revenue upside (downside)</v>
          </cell>
          <cell r="R55" t="str">
            <v>-</v>
          </cell>
          <cell r="S55" t="str">
            <v>-</v>
          </cell>
          <cell r="T55" t="str">
            <v>-</v>
          </cell>
          <cell r="U55" t="str">
            <v>-</v>
          </cell>
          <cell r="V55" t="str">
            <v>-</v>
          </cell>
          <cell r="W55" t="str">
            <v>-</v>
          </cell>
          <cell r="X55" t="str">
            <v>-</v>
          </cell>
          <cell r="Y55" t="str">
            <v>-</v>
          </cell>
          <cell r="Z55" t="str">
            <v>-</v>
          </cell>
          <cell r="AA55" t="str">
            <v>-</v>
          </cell>
          <cell r="AB55" t="str">
            <v>-</v>
          </cell>
          <cell r="AC55" t="str">
            <v>-</v>
          </cell>
          <cell r="AD55" t="str">
            <v>-</v>
          </cell>
          <cell r="AE55" t="str">
            <v>-</v>
          </cell>
          <cell r="AF55" t="str">
            <v>-</v>
          </cell>
          <cell r="AG55" t="str">
            <v>-</v>
          </cell>
          <cell r="AH55" t="str">
            <v>-</v>
          </cell>
          <cell r="AI55" t="str">
            <v>-</v>
          </cell>
          <cell r="AJ55" t="str">
            <v>-</v>
          </cell>
          <cell r="AK55" t="str">
            <v>-</v>
          </cell>
          <cell r="AL55" t="str">
            <v>-</v>
          </cell>
          <cell r="AM55" t="str">
            <v>-</v>
          </cell>
          <cell r="AN55" t="str">
            <v>-</v>
          </cell>
          <cell r="AO55" t="str">
            <v>-</v>
          </cell>
          <cell r="AP55" t="str">
            <v>-</v>
          </cell>
          <cell r="AQ55" t="str">
            <v>-</v>
          </cell>
          <cell r="AR55" t="str">
            <v>-</v>
          </cell>
          <cell r="AS55" t="str">
            <v>-</v>
          </cell>
          <cell r="AT55" t="str">
            <v>-</v>
          </cell>
          <cell r="AU55">
            <v>37.125</v>
          </cell>
          <cell r="AV55">
            <v>5.3190000000000737</v>
          </cell>
          <cell r="AW55">
            <v>19.875999999999863</v>
          </cell>
          <cell r="AX55">
            <v>1.1960000000001401</v>
          </cell>
          <cell r="AY55">
            <v>28.399000000000001</v>
          </cell>
          <cell r="AZ55">
            <v>-13.748000000000047</v>
          </cell>
          <cell r="BA55">
            <v>65.440999999999804</v>
          </cell>
          <cell r="BB55">
            <v>-8.2799999999999727</v>
          </cell>
          <cell r="BC55">
            <v>15.588999999999942</v>
          </cell>
          <cell r="BD55">
            <v>-23.190000000000055</v>
          </cell>
          <cell r="BE55">
            <v>50.857999999999947</v>
          </cell>
          <cell r="BF55">
            <v>21.872999999999934</v>
          </cell>
          <cell r="BG55">
            <v>2.4889999999999191</v>
          </cell>
          <cell r="BH55">
            <v>-11.110000000000014</v>
          </cell>
          <cell r="BI55">
            <v>-8.5399999999999636</v>
          </cell>
          <cell r="BJ55">
            <v>-69.589999999999918</v>
          </cell>
          <cell r="BK55">
            <v>-48.5</v>
          </cell>
          <cell r="BL55">
            <v>-48.089999999999918</v>
          </cell>
          <cell r="BM55">
            <v>-33.069999999999936</v>
          </cell>
          <cell r="BS55">
            <v>0</v>
          </cell>
          <cell r="BT55">
            <v>0</v>
          </cell>
          <cell r="BU55">
            <v>0</v>
          </cell>
          <cell r="BV55">
            <v>0</v>
          </cell>
          <cell r="BW55">
            <v>0</v>
          </cell>
          <cell r="BX55">
            <v>0</v>
          </cell>
          <cell r="BZ55">
            <v>-34.688000000000102</v>
          </cell>
          <cell r="CA55">
            <v>0</v>
          </cell>
          <cell r="CB55">
            <v>0</v>
          </cell>
          <cell r="CC55">
            <v>0</v>
          </cell>
          <cell r="CD55">
            <v>0</v>
          </cell>
          <cell r="CE55">
            <v>0</v>
          </cell>
          <cell r="CF55">
            <v>0</v>
          </cell>
          <cell r="CH55">
            <v>-34.688000000000102</v>
          </cell>
          <cell r="CI55">
            <v>-15.619999999999891</v>
          </cell>
          <cell r="CJ55">
            <v>293.23699999999917</v>
          </cell>
          <cell r="CK55">
            <v>-395.60799999999972</v>
          </cell>
          <cell r="CL55">
            <v>-189.02999999999975</v>
          </cell>
        </row>
        <row r="59">
          <cell r="A59" t="str">
            <v>EPS upside (downside)</v>
          </cell>
          <cell r="R59" t="str">
            <v>-</v>
          </cell>
          <cell r="S59" t="str">
            <v>-</v>
          </cell>
          <cell r="T59" t="str">
            <v>-</v>
          </cell>
          <cell r="U59" t="str">
            <v>-</v>
          </cell>
          <cell r="V59" t="str">
            <v>-</v>
          </cell>
          <cell r="W59" t="str">
            <v>-</v>
          </cell>
          <cell r="X59" t="str">
            <v>-</v>
          </cell>
          <cell r="Y59" t="str">
            <v>-</v>
          </cell>
          <cell r="Z59" t="str">
            <v>-</v>
          </cell>
          <cell r="AA59" t="str">
            <v>-</v>
          </cell>
          <cell r="AB59" t="str">
            <v>-</v>
          </cell>
          <cell r="AC59" t="str">
            <v>-</v>
          </cell>
          <cell r="AD59" t="str">
            <v>-</v>
          </cell>
          <cell r="AE59" t="str">
            <v>-</v>
          </cell>
          <cell r="AF59" t="str">
            <v>-</v>
          </cell>
          <cell r="AG59" t="str">
            <v>-</v>
          </cell>
          <cell r="AH59" t="str">
            <v>-</v>
          </cell>
          <cell r="AI59" t="str">
            <v>-</v>
          </cell>
          <cell r="AJ59" t="str">
            <v>-</v>
          </cell>
          <cell r="AK59" t="str">
            <v>-</v>
          </cell>
          <cell r="AL59" t="str">
            <v>-</v>
          </cell>
          <cell r="AM59" t="str">
            <v>-</v>
          </cell>
          <cell r="AN59" t="str">
            <v>-</v>
          </cell>
          <cell r="AO59" t="str">
            <v>-</v>
          </cell>
          <cell r="AP59" t="str">
            <v>-</v>
          </cell>
          <cell r="AQ59" t="str">
            <v>-</v>
          </cell>
          <cell r="AR59" t="str">
            <v>-</v>
          </cell>
          <cell r="AS59" t="str">
            <v>-</v>
          </cell>
          <cell r="AT59" t="str">
            <v>-</v>
          </cell>
          <cell r="AU59" t="str">
            <v>-</v>
          </cell>
          <cell r="AV59" t="str">
            <v>-</v>
          </cell>
          <cell r="AW59" t="str">
            <v>-</v>
          </cell>
          <cell r="AX59" t="str">
            <v>-</v>
          </cell>
          <cell r="AY59" t="str">
            <v>-</v>
          </cell>
          <cell r="AZ59" t="str">
            <v>-</v>
          </cell>
          <cell r="BA59" t="str">
            <v>-</v>
          </cell>
          <cell r="BB59" t="str">
            <v>-</v>
          </cell>
          <cell r="BC59" t="str">
            <v>-</v>
          </cell>
          <cell r="BD59" t="str">
            <v>-</v>
          </cell>
          <cell r="BE59" t="str">
            <v>-</v>
          </cell>
          <cell r="BF59" t="str">
            <v>-</v>
          </cell>
          <cell r="BG59">
            <v>2.6829792797679886E-2</v>
          </cell>
          <cell r="BH59">
            <v>-2.3202033608378803E-2</v>
          </cell>
          <cell r="BI59">
            <v>1.5899424209875723E-2</v>
          </cell>
          <cell r="BJ59">
            <v>-8.1923849905556956E-2</v>
          </cell>
          <cell r="BK59">
            <v>-3.0207351576142516E-2</v>
          </cell>
          <cell r="BL59">
            <v>-3.2330383154099973E-3</v>
          </cell>
          <cell r="BM59">
            <v>3.9823325578329349E-2</v>
          </cell>
          <cell r="BS59">
            <v>0</v>
          </cell>
          <cell r="BT59">
            <v>0</v>
          </cell>
          <cell r="BU59">
            <v>0</v>
          </cell>
          <cell r="BV59">
            <v>0</v>
          </cell>
          <cell r="BW59">
            <v>0</v>
          </cell>
          <cell r="BX59">
            <v>0</v>
          </cell>
          <cell r="BZ59" t="str">
            <v>-</v>
          </cell>
          <cell r="CA59">
            <v>0</v>
          </cell>
          <cell r="CB59">
            <v>0</v>
          </cell>
          <cell r="CC59">
            <v>0</v>
          </cell>
          <cell r="CD59">
            <v>0</v>
          </cell>
          <cell r="CE59">
            <v>0</v>
          </cell>
          <cell r="CF59">
            <v>0</v>
          </cell>
          <cell r="CH59" t="str">
            <v>-</v>
          </cell>
          <cell r="CI59" t="str">
            <v>-</v>
          </cell>
          <cell r="CJ59">
            <v>0.92164714879069587</v>
          </cell>
          <cell r="CK59">
            <v>-0.30021683046345737</v>
          </cell>
          <cell r="CL59">
            <v>-9.5540914218780193E-2</v>
          </cell>
        </row>
        <row r="167">
          <cell r="A167" t="str">
            <v xml:space="preserve">    % of rev - Service &amp; Support</v>
          </cell>
          <cell r="Q167">
            <v>17</v>
          </cell>
          <cell r="R167">
            <v>2.068071203624177E-2</v>
          </cell>
          <cell r="S167">
            <v>1.8728954914320344E-2</v>
          </cell>
          <cell r="T167">
            <v>2.0333916182525807E-2</v>
          </cell>
          <cell r="U167">
            <v>1.9855766817444071E-2</v>
          </cell>
          <cell r="V167">
            <v>1.7787238264887862E-2</v>
          </cell>
          <cell r="W167">
            <v>1.8366923930404674E-2</v>
          </cell>
          <cell r="X167">
            <v>2.0467510335312463E-2</v>
          </cell>
          <cell r="Y167">
            <v>2.1648327598008856E-2</v>
          </cell>
          <cell r="Z167">
            <v>2.0586531100782013E-2</v>
          </cell>
          <cell r="AA167">
            <v>2.0984660171078709E-2</v>
          </cell>
          <cell r="AB167">
            <v>2.2554661946989872E-2</v>
          </cell>
          <cell r="AC167">
            <v>2.3343802841462386E-2</v>
          </cell>
          <cell r="AD167">
            <v>3.621745704889287E-2</v>
          </cell>
          <cell r="AE167">
            <v>3.8944797031588339E-2</v>
          </cell>
          <cell r="AF167">
            <v>4.1643507662735758E-2</v>
          </cell>
          <cell r="AG167">
            <v>4.9338207162698294E-2</v>
          </cell>
          <cell r="AH167">
            <v>4.9148346834555975E-2</v>
          </cell>
          <cell r="AI167">
            <v>5.2797494109716264E-2</v>
          </cell>
          <cell r="AJ167">
            <v>6.1120619918783654E-2</v>
          </cell>
          <cell r="AK167">
            <v>6.2131632657886918E-2</v>
          </cell>
          <cell r="AL167">
            <v>123</v>
          </cell>
          <cell r="AM167">
            <v>131</v>
          </cell>
          <cell r="BS167">
            <v>1.9884162876356734E-2</v>
          </cell>
          <cell r="BT167">
            <v>1.9574206114194272E-2</v>
          </cell>
          <cell r="BU167">
            <v>2.1890118653058174E-2</v>
          </cell>
          <cell r="BV167">
            <v>3.5176095988816831E-2</v>
          </cell>
          <cell r="BW167">
            <v>4.3813240587596551E-2</v>
          </cell>
          <cell r="BX167">
            <v>5.1215833787025239E-2</v>
          </cell>
          <cell r="CA167">
            <v>1.9884162876356734E-2</v>
          </cell>
          <cell r="CB167">
            <v>1.9574206114194272E-2</v>
          </cell>
          <cell r="CC167">
            <v>2.1890118653058174E-2</v>
          </cell>
          <cell r="CD167">
            <v>3.5176095988816831E-2</v>
          </cell>
          <cell r="CE167">
            <v>4.3813240587596551E-2</v>
          </cell>
          <cell r="CF167">
            <v>5.1215833787025239E-2</v>
          </cell>
        </row>
        <row r="276">
          <cell r="A276" t="str">
            <v># of server transactions over $50K</v>
          </cell>
          <cell r="Z276">
            <v>254.69</v>
          </cell>
          <cell r="AA276">
            <v>288.79199999999997</v>
          </cell>
          <cell r="AB276">
            <v>290.87599999999998</v>
          </cell>
          <cell r="AC276">
            <v>293.94200000000001</v>
          </cell>
          <cell r="AD276">
            <v>113</v>
          </cell>
          <cell r="AE276">
            <v>97</v>
          </cell>
          <cell r="AF276">
            <v>82</v>
          </cell>
          <cell r="AG276">
            <v>104</v>
          </cell>
          <cell r="AH276">
            <v>110</v>
          </cell>
          <cell r="AI276">
            <v>101</v>
          </cell>
          <cell r="AJ276">
            <v>104</v>
          </cell>
          <cell r="AK276">
            <v>154</v>
          </cell>
          <cell r="AL276">
            <v>123</v>
          </cell>
          <cell r="AM276">
            <v>131</v>
          </cell>
          <cell r="AN276">
            <v>163</v>
          </cell>
          <cell r="AO276">
            <v>189</v>
          </cell>
          <cell r="AP276">
            <v>104</v>
          </cell>
          <cell r="AQ276">
            <v>124</v>
          </cell>
          <cell r="AR276">
            <v>139</v>
          </cell>
          <cell r="AS276">
            <v>159</v>
          </cell>
          <cell r="AT276">
            <v>149</v>
          </cell>
          <cell r="AU276">
            <v>124</v>
          </cell>
          <cell r="AV276">
            <v>173</v>
          </cell>
          <cell r="AW276">
            <v>163</v>
          </cell>
          <cell r="AX276">
            <v>761.1</v>
          </cell>
          <cell r="AY276">
            <v>754.1</v>
          </cell>
          <cell r="AZ276">
            <v>745.9</v>
          </cell>
          <cell r="BA276">
            <v>751.90835030549897</v>
          </cell>
          <cell r="BB276">
            <v>730.3</v>
          </cell>
          <cell r="BC276">
            <v>818.4</v>
          </cell>
          <cell r="BD276">
            <v>769.1</v>
          </cell>
          <cell r="BE276">
            <v>810.7</v>
          </cell>
          <cell r="BF276">
            <v>642</v>
          </cell>
          <cell r="BG276">
            <v>696.99999999999989</v>
          </cell>
          <cell r="BH276">
            <v>667</v>
          </cell>
          <cell r="BI276">
            <v>712</v>
          </cell>
          <cell r="BJ276">
            <v>646.99999999999909</v>
          </cell>
          <cell r="BK276">
            <v>707.00000000000011</v>
          </cell>
          <cell r="BL276">
            <v>722</v>
          </cell>
          <cell r="BM276">
            <v>792</v>
          </cell>
          <cell r="BS276">
            <v>0</v>
          </cell>
          <cell r="BT276">
            <v>0</v>
          </cell>
          <cell r="BU276">
            <v>1128.3</v>
          </cell>
          <cell r="BV276">
            <v>1437.9169999999999</v>
          </cell>
          <cell r="BX276">
            <v>0</v>
          </cell>
          <cell r="BY276">
            <v>0</v>
          </cell>
          <cell r="BZ276">
            <v>2834.5999999999995</v>
          </cell>
          <cell r="CA276">
            <v>3013.0083503054989</v>
          </cell>
          <cell r="CB276">
            <v>3128.5</v>
          </cell>
          <cell r="CC276">
            <v>2718</v>
          </cell>
          <cell r="CD276">
            <v>2867.9999999999991</v>
          </cell>
        </row>
        <row r="277">
          <cell r="A277" t="str">
            <v>Digital Marketing</v>
          </cell>
          <cell r="AT277">
            <v>173.1</v>
          </cell>
          <cell r="AU277">
            <v>165.1</v>
          </cell>
          <cell r="AV277">
            <v>190.9</v>
          </cell>
          <cell r="AW277">
            <v>210.2</v>
          </cell>
          <cell r="AX277">
            <v>212.9</v>
          </cell>
          <cell r="AY277">
            <v>215.1</v>
          </cell>
          <cell r="AZ277">
            <v>211.7</v>
          </cell>
          <cell r="BA277">
            <v>269.8</v>
          </cell>
          <cell r="BB277">
            <v>259.89999999999998</v>
          </cell>
          <cell r="BC277">
            <v>250.9</v>
          </cell>
          <cell r="BD277">
            <v>257.10000000000002</v>
          </cell>
          <cell r="BE277">
            <v>290.39999999999998</v>
          </cell>
          <cell r="BF277">
            <v>280</v>
          </cell>
          <cell r="BG277">
            <v>270</v>
          </cell>
          <cell r="BH277">
            <v>280</v>
          </cell>
          <cell r="BI277">
            <v>309.99999999999972</v>
          </cell>
          <cell r="BJ277">
            <v>300</v>
          </cell>
          <cell r="BK277">
            <v>289.99999999999994</v>
          </cell>
          <cell r="BL277">
            <v>299.99999999999994</v>
          </cell>
          <cell r="BM277">
            <v>329.9999999999996</v>
          </cell>
          <cell r="BU277">
            <v>0</v>
          </cell>
          <cell r="BV277">
            <v>0</v>
          </cell>
          <cell r="BX277">
            <v>0</v>
          </cell>
          <cell r="BY277">
            <v>0</v>
          </cell>
          <cell r="BZ277">
            <v>739.3</v>
          </cell>
          <cell r="CA277">
            <v>909.5</v>
          </cell>
          <cell r="CB277">
            <v>1058.3</v>
          </cell>
          <cell r="CC277">
            <v>1139.9999999999998</v>
          </cell>
          <cell r="CD277">
            <v>1219.9999999999995</v>
          </cell>
        </row>
        <row r="278">
          <cell r="A278" t="str">
            <v>New Revenue Breakout and Metrics (As of Q1'12) New Business Segments:  Digital Media - Creative and Interactive, Digital Media and Knowledge Worker.  Digital Marketing - Omniture and Enterprise.  Print and Publishing remains the same.</v>
          </cell>
          <cell r="Z278">
            <v>160.95699999999999</v>
          </cell>
          <cell r="AA278">
            <v>150.11799999999999</v>
          </cell>
          <cell r="AB278">
            <v>135.78100000000001</v>
          </cell>
          <cell r="AC278">
            <v>146.64400000000001</v>
          </cell>
          <cell r="AD278">
            <v>156.19999999999999</v>
          </cell>
          <cell r="AE278">
            <v>151.4</v>
          </cell>
          <cell r="AF278">
            <v>142.30000000000001</v>
          </cell>
          <cell r="AG278">
            <v>169</v>
          </cell>
          <cell r="AH278">
            <v>161.30000000000001</v>
          </cell>
          <cell r="AI278">
            <v>173.1</v>
          </cell>
          <cell r="AJ278">
            <v>165.8</v>
          </cell>
          <cell r="AK278">
            <v>180.1</v>
          </cell>
          <cell r="AT278">
            <v>54.7</v>
          </cell>
          <cell r="AU278">
            <v>56.6</v>
          </cell>
          <cell r="AV278">
            <v>59.8</v>
          </cell>
          <cell r="AW278">
            <v>55</v>
          </cell>
          <cell r="AX278">
            <v>53.7</v>
          </cell>
          <cell r="AY278">
            <v>54</v>
          </cell>
          <cell r="AZ278">
            <v>55.6</v>
          </cell>
          <cell r="BA278">
            <v>55.1</v>
          </cell>
          <cell r="BB278">
            <v>55</v>
          </cell>
          <cell r="BC278">
            <v>55.1</v>
          </cell>
          <cell r="BD278">
            <v>54.4</v>
          </cell>
          <cell r="BE278">
            <v>52.3</v>
          </cell>
          <cell r="BF278">
            <v>53.000000000000007</v>
          </cell>
          <cell r="BG278">
            <v>53</v>
          </cell>
          <cell r="BH278">
            <v>52.999999999999993</v>
          </cell>
          <cell r="BI278">
            <v>53</v>
          </cell>
          <cell r="BJ278">
            <v>52.999999999999993</v>
          </cell>
          <cell r="BK278">
            <v>52.999999999999993</v>
          </cell>
          <cell r="BL278">
            <v>52.999999999999993</v>
          </cell>
          <cell r="BM278">
            <v>53.000000000000014</v>
          </cell>
          <cell r="BS278">
            <v>0</v>
          </cell>
          <cell r="BT278">
            <v>0</v>
          </cell>
          <cell r="BU278">
            <v>593.5</v>
          </cell>
          <cell r="BV278">
            <v>618.90000000000009</v>
          </cell>
          <cell r="BX278">
            <v>0</v>
          </cell>
          <cell r="BY278">
            <v>0</v>
          </cell>
          <cell r="BZ278">
            <v>226.10000000000002</v>
          </cell>
          <cell r="CA278">
            <v>218.4</v>
          </cell>
          <cell r="CB278">
            <v>216.8</v>
          </cell>
          <cell r="CC278">
            <v>212</v>
          </cell>
          <cell r="CD278">
            <v>212</v>
          </cell>
        </row>
        <row r="424">
          <cell r="A424" t="str">
            <v>Introductary Pricing</v>
          </cell>
          <cell r="Z424">
            <v>254.69</v>
          </cell>
          <cell r="AA424">
            <v>288.79199999999997</v>
          </cell>
          <cell r="AB424">
            <v>290.87599999999998</v>
          </cell>
          <cell r="AC424">
            <v>293.94200000000001</v>
          </cell>
          <cell r="AD424">
            <v>382.1</v>
          </cell>
          <cell r="AE424">
            <v>360.12700000000001</v>
          </cell>
          <cell r="AF424">
            <v>331.59</v>
          </cell>
          <cell r="AG424">
            <v>364.1</v>
          </cell>
          <cell r="AH424">
            <v>346.39100000000002</v>
          </cell>
          <cell r="AI424">
            <v>436.61900000000003</v>
          </cell>
          <cell r="AJ424">
            <v>545.45299999999997</v>
          </cell>
          <cell r="AK424">
            <v>570.5</v>
          </cell>
          <cell r="AL424">
            <v>543.5</v>
          </cell>
          <cell r="AM424">
            <v>527.181632653061</v>
          </cell>
          <cell r="AN424">
            <v>493.6</v>
          </cell>
          <cell r="AO424">
            <v>508.7</v>
          </cell>
          <cell r="AP424">
            <v>460.7</v>
          </cell>
          <cell r="AQ424">
            <v>411.7</v>
          </cell>
          <cell r="AR424">
            <v>400.4</v>
          </cell>
          <cell r="AS424">
            <v>429.3</v>
          </cell>
          <cell r="AT424">
            <v>432</v>
          </cell>
          <cell r="AU424">
            <v>532.70000000000005</v>
          </cell>
          <cell r="AV424">
            <v>549.70000000000005</v>
          </cell>
          <cell r="AW424">
            <v>542.1</v>
          </cell>
          <cell r="AX424">
            <v>554.29999999999984</v>
          </cell>
          <cell r="AY424">
            <v>556.49999999999989</v>
          </cell>
          <cell r="AZ424">
            <v>545</v>
          </cell>
          <cell r="BA424">
            <v>563.30000000000018</v>
          </cell>
          <cell r="BB424">
            <v>35</v>
          </cell>
          <cell r="BC424">
            <v>36</v>
          </cell>
          <cell r="BD424">
            <v>37</v>
          </cell>
          <cell r="BE424">
            <v>37</v>
          </cell>
          <cell r="BF424">
            <v>37</v>
          </cell>
          <cell r="BG424">
            <v>37</v>
          </cell>
          <cell r="BH424">
            <v>37</v>
          </cell>
          <cell r="BI424">
            <v>37</v>
          </cell>
          <cell r="BJ424">
            <v>37</v>
          </cell>
          <cell r="BK424">
            <v>37</v>
          </cell>
          <cell r="BL424">
            <v>37</v>
          </cell>
          <cell r="BM424">
            <v>37</v>
          </cell>
          <cell r="BN424">
            <v>37</v>
          </cell>
          <cell r="BO424">
            <v>37</v>
          </cell>
          <cell r="BP424">
            <v>37</v>
          </cell>
          <cell r="BQ424">
            <v>37</v>
          </cell>
          <cell r="BR424">
            <v>37</v>
          </cell>
          <cell r="BS424">
            <v>37</v>
          </cell>
          <cell r="BT424">
            <v>37</v>
          </cell>
          <cell r="BU424">
            <v>37</v>
          </cell>
          <cell r="BV424">
            <v>37</v>
          </cell>
          <cell r="BW424">
            <v>37</v>
          </cell>
          <cell r="BX424">
            <v>37</v>
          </cell>
          <cell r="BY424">
            <v>37</v>
          </cell>
          <cell r="BZ424">
            <v>2056.5</v>
          </cell>
          <cell r="CA424">
            <v>2219.1</v>
          </cell>
          <cell r="CB424">
            <v>2430.3999999999992</v>
          </cell>
          <cell r="CC424">
            <v>2663.3514817088958</v>
          </cell>
          <cell r="CD424">
            <v>2920.3008598869978</v>
          </cell>
        </row>
        <row r="425">
          <cell r="A425" t="str">
            <v>Pricing After One Year</v>
          </cell>
          <cell r="AL425">
            <v>369.58000000000004</v>
          </cell>
          <cell r="AM425">
            <v>358.48351020408148</v>
          </cell>
          <cell r="AN425">
            <v>335.64800000000002</v>
          </cell>
          <cell r="AO425">
            <v>345.916</v>
          </cell>
          <cell r="AP425">
            <v>313.27600000000001</v>
          </cell>
          <cell r="AQ425">
            <v>279.95600000000002</v>
          </cell>
          <cell r="AR425">
            <v>272.27199999999999</v>
          </cell>
          <cell r="AS425">
            <v>291.92400000000004</v>
          </cell>
          <cell r="AT425">
            <v>293.76000000000005</v>
          </cell>
          <cell r="AU425">
            <v>362.23600000000005</v>
          </cell>
          <cell r="AV425">
            <v>373.79600000000005</v>
          </cell>
          <cell r="AW425">
            <v>368.62800000000004</v>
          </cell>
          <cell r="AX425">
            <v>376.92399999999992</v>
          </cell>
          <cell r="AY425">
            <v>378.41999999999996</v>
          </cell>
          <cell r="AZ425">
            <v>370.6</v>
          </cell>
          <cell r="BA425">
            <v>383.04400000000015</v>
          </cell>
          <cell r="BB425">
            <v>0</v>
          </cell>
          <cell r="BC425">
            <v>0</v>
          </cell>
          <cell r="BD425">
            <v>0</v>
          </cell>
          <cell r="BE425">
            <v>0</v>
          </cell>
          <cell r="BF425">
            <v>55</v>
          </cell>
          <cell r="BG425">
            <v>55</v>
          </cell>
          <cell r="BH425">
            <v>55</v>
          </cell>
          <cell r="BI425">
            <v>55</v>
          </cell>
          <cell r="BJ425">
            <v>55</v>
          </cell>
          <cell r="BK425">
            <v>55</v>
          </cell>
          <cell r="BL425">
            <v>55</v>
          </cell>
          <cell r="BM425">
            <v>55</v>
          </cell>
          <cell r="BN425">
            <v>55</v>
          </cell>
          <cell r="BO425">
            <v>55</v>
          </cell>
          <cell r="BP425">
            <v>55</v>
          </cell>
          <cell r="BQ425">
            <v>55</v>
          </cell>
          <cell r="BR425">
            <v>55</v>
          </cell>
          <cell r="BS425">
            <v>55</v>
          </cell>
          <cell r="BT425">
            <v>55</v>
          </cell>
          <cell r="BU425">
            <v>55</v>
          </cell>
          <cell r="BV425">
            <v>55</v>
          </cell>
          <cell r="BW425">
            <v>55</v>
          </cell>
          <cell r="BX425">
            <v>55</v>
          </cell>
          <cell r="BY425">
            <v>55</v>
          </cell>
          <cell r="BZ425">
            <v>1398.42</v>
          </cell>
          <cell r="CA425">
            <v>1508.9880000000001</v>
          </cell>
          <cell r="CB425">
            <v>1652.6719999999996</v>
          </cell>
          <cell r="CC425">
            <v>1811.0790075620496</v>
          </cell>
          <cell r="CD425">
            <v>1985.8045847231583</v>
          </cell>
        </row>
        <row r="426">
          <cell r="A426" t="str">
            <v>Churn</v>
          </cell>
          <cell r="Z426">
            <v>254.69</v>
          </cell>
          <cell r="AA426">
            <v>288.79199999999997</v>
          </cell>
          <cell r="AB426">
            <v>290.87599999999998</v>
          </cell>
          <cell r="AC426">
            <v>293.94200000000001</v>
          </cell>
          <cell r="AD426">
            <v>382.1</v>
          </cell>
          <cell r="AE426">
            <v>360.12700000000001</v>
          </cell>
          <cell r="AF426">
            <v>331.59</v>
          </cell>
          <cell r="AG426">
            <v>364.1</v>
          </cell>
          <cell r="AH426">
            <v>346.39100000000002</v>
          </cell>
          <cell r="AI426">
            <v>436.61900000000003</v>
          </cell>
          <cell r="AJ426">
            <v>545.45299999999997</v>
          </cell>
          <cell r="AK426">
            <v>570.5</v>
          </cell>
          <cell r="AL426">
            <v>173.91999999999996</v>
          </cell>
          <cell r="AM426">
            <v>168.69812244897952</v>
          </cell>
          <cell r="AN426">
            <v>157.952</v>
          </cell>
          <cell r="AO426">
            <v>162.78399999999999</v>
          </cell>
          <cell r="AP426">
            <v>147.42399999999998</v>
          </cell>
          <cell r="AQ426">
            <v>131.74399999999997</v>
          </cell>
          <cell r="AR426">
            <v>128.12799999999999</v>
          </cell>
          <cell r="AS426">
            <v>137.37599999999998</v>
          </cell>
          <cell r="AT426">
            <v>138.23999999999995</v>
          </cell>
          <cell r="AU426">
            <v>170.464</v>
          </cell>
          <cell r="AV426">
            <v>175.904</v>
          </cell>
          <cell r="AW426">
            <v>173.47199999999998</v>
          </cell>
          <cell r="AX426">
            <v>177.37599999999992</v>
          </cell>
          <cell r="AY426">
            <v>178.07999999999993</v>
          </cell>
          <cell r="AZ426">
            <v>174.39999999999998</v>
          </cell>
          <cell r="BA426">
            <v>180.25600000000003</v>
          </cell>
          <cell r="BB426">
            <v>3.15</v>
          </cell>
          <cell r="BC426">
            <v>9.7200000000000006</v>
          </cell>
          <cell r="BD426">
            <v>22.2</v>
          </cell>
          <cell r="BE426">
            <v>38.85</v>
          </cell>
          <cell r="BF426">
            <v>0.1</v>
          </cell>
          <cell r="BG426">
            <v>0.1</v>
          </cell>
          <cell r="BH426">
            <v>0.1</v>
          </cell>
          <cell r="BI426">
            <v>0.1</v>
          </cell>
          <cell r="BJ426">
            <v>0.1</v>
          </cell>
          <cell r="BK426">
            <v>0.1</v>
          </cell>
          <cell r="BL426">
            <v>0.1</v>
          </cell>
          <cell r="BM426">
            <v>0.1</v>
          </cell>
          <cell r="BN426">
            <v>0.1</v>
          </cell>
          <cell r="BO426">
            <v>0.1</v>
          </cell>
          <cell r="BP426">
            <v>0.1</v>
          </cell>
          <cell r="BQ426">
            <v>0.1</v>
          </cell>
          <cell r="BR426">
            <v>0.1</v>
          </cell>
          <cell r="BS426">
            <v>0.1</v>
          </cell>
          <cell r="BT426">
            <v>0.1</v>
          </cell>
          <cell r="BU426">
            <v>0.1</v>
          </cell>
          <cell r="BV426">
            <v>0.1</v>
          </cell>
          <cell r="BW426">
            <v>0.1</v>
          </cell>
          <cell r="BX426">
            <v>0.1</v>
          </cell>
          <cell r="BY426">
            <v>0.1</v>
          </cell>
          <cell r="BZ426">
            <v>658.07999999999993</v>
          </cell>
          <cell r="CA426">
            <v>710.11199999999985</v>
          </cell>
          <cell r="CB426">
            <v>777.72799999999961</v>
          </cell>
          <cell r="CC426">
            <v>852.27247414684666</v>
          </cell>
          <cell r="CD426">
            <v>934.49627516383907</v>
          </cell>
        </row>
        <row r="427">
          <cell r="A427" t="str">
            <v>Digital Enterprise Solutions</v>
          </cell>
          <cell r="AD427">
            <v>204.1</v>
          </cell>
          <cell r="AE427">
            <v>196.2</v>
          </cell>
          <cell r="AF427">
            <v>191.2</v>
          </cell>
          <cell r="AG427">
            <v>224.7</v>
          </cell>
          <cell r="AH427">
            <v>217.3</v>
          </cell>
          <cell r="AI427">
            <v>228.8</v>
          </cell>
          <cell r="AJ427">
            <v>227.4</v>
          </cell>
          <cell r="AK427">
            <v>246.4</v>
          </cell>
          <cell r="AL427">
            <v>369.58000000000004</v>
          </cell>
          <cell r="AM427">
            <v>358.48351020408148</v>
          </cell>
          <cell r="AN427">
            <v>335.64800000000002</v>
          </cell>
          <cell r="AO427">
            <v>345.916</v>
          </cell>
          <cell r="AP427">
            <v>313.27600000000001</v>
          </cell>
          <cell r="AQ427">
            <v>279.95600000000002</v>
          </cell>
          <cell r="AR427">
            <v>272.27199999999999</v>
          </cell>
          <cell r="AS427">
            <v>291.92400000000004</v>
          </cell>
          <cell r="AT427">
            <v>293.76000000000005</v>
          </cell>
          <cell r="AU427">
            <v>362.23600000000005</v>
          </cell>
          <cell r="AV427">
            <v>373.79600000000005</v>
          </cell>
          <cell r="AW427">
            <v>368.62800000000004</v>
          </cell>
          <cell r="AX427">
            <v>376.92399999999992</v>
          </cell>
          <cell r="AY427">
            <v>378.41999999999996</v>
          </cell>
          <cell r="AZ427">
            <v>370.6</v>
          </cell>
          <cell r="BA427">
            <v>383.04400000000015</v>
          </cell>
          <cell r="BB427">
            <v>398.88800000000003</v>
          </cell>
          <cell r="BC427">
            <v>410.584</v>
          </cell>
          <cell r="BD427">
            <v>418.19999999999959</v>
          </cell>
          <cell r="BE427">
            <v>424.99999999999994</v>
          </cell>
          <cell r="BF427">
            <v>422.13187948764227</v>
          </cell>
          <cell r="BG427">
            <v>445.48179550763706</v>
          </cell>
          <cell r="BH427">
            <v>471.91376146788889</v>
          </cell>
          <cell r="BI427">
            <v>471.55157109888131</v>
          </cell>
          <cell r="BJ427">
            <v>446.73021920882383</v>
          </cell>
          <cell r="BK427">
            <v>483.34574685985859</v>
          </cell>
          <cell r="BL427">
            <v>532.52653817018597</v>
          </cell>
          <cell r="BM427">
            <v>523.20208048429015</v>
          </cell>
          <cell r="BU427">
            <v>0</v>
          </cell>
          <cell r="BV427">
            <v>816.2</v>
          </cell>
          <cell r="BW427">
            <v>919.9</v>
          </cell>
          <cell r="BX427">
            <v>1064</v>
          </cell>
          <cell r="BY427">
            <v>858.5</v>
          </cell>
          <cell r="BZ427">
            <v>1009.4</v>
          </cell>
          <cell r="CA427">
            <v>1118.0999999999999</v>
          </cell>
          <cell r="CB427">
            <v>1281.6000000000004</v>
          </cell>
          <cell r="CC427">
            <v>1476.213716029898</v>
          </cell>
          <cell r="CD427">
            <v>1709.0625076594292</v>
          </cell>
        </row>
        <row r="428">
          <cell r="A428" t="str">
            <v>Creative Cloud Quarterly Revenue (M)</v>
          </cell>
          <cell r="Z428">
            <v>160.95699999999999</v>
          </cell>
          <cell r="AA428">
            <v>150.11799999999999</v>
          </cell>
          <cell r="AB428">
            <v>135.78100000000001</v>
          </cell>
          <cell r="AC428">
            <v>146.64400000000001</v>
          </cell>
          <cell r="AD428">
            <v>156.19999999999999</v>
          </cell>
          <cell r="AE428">
            <v>151.4</v>
          </cell>
          <cell r="AF428">
            <v>142.30000000000001</v>
          </cell>
          <cell r="AG428">
            <v>169</v>
          </cell>
          <cell r="AH428">
            <v>161.30000000000001</v>
          </cell>
          <cell r="AI428">
            <v>173.1</v>
          </cell>
          <cell r="AJ428">
            <v>165.8</v>
          </cell>
          <cell r="AK428">
            <v>180.1</v>
          </cell>
          <cell r="AL428">
            <v>173.91999999999996</v>
          </cell>
          <cell r="AM428">
            <v>168.69812244897952</v>
          </cell>
          <cell r="AN428">
            <v>157.952</v>
          </cell>
          <cell r="AO428">
            <v>162.78399999999999</v>
          </cell>
          <cell r="AP428">
            <v>147.42399999999998</v>
          </cell>
          <cell r="AQ428">
            <v>131.74399999999997</v>
          </cell>
          <cell r="AR428">
            <v>128.12799999999999</v>
          </cell>
          <cell r="AS428">
            <v>137.37599999999998</v>
          </cell>
          <cell r="AT428">
            <v>138.23999999999995</v>
          </cell>
          <cell r="AU428">
            <v>170.464</v>
          </cell>
          <cell r="AV428">
            <v>175.904</v>
          </cell>
          <cell r="AW428">
            <v>173.47199999999998</v>
          </cell>
          <cell r="AX428">
            <v>177.37599999999992</v>
          </cell>
          <cell r="AY428">
            <v>178.07999999999993</v>
          </cell>
          <cell r="AZ428">
            <v>174.39999999999998</v>
          </cell>
          <cell r="BA428">
            <v>180.25600000000003</v>
          </cell>
          <cell r="BB428">
            <v>187.71199999999999</v>
          </cell>
          <cell r="BC428">
            <v>193.21599999999995</v>
          </cell>
          <cell r="BD428">
            <v>196.79999999999973</v>
          </cell>
          <cell r="BE428">
            <v>199.99999999999994</v>
          </cell>
          <cell r="BF428">
            <v>198.65029622947867</v>
          </cell>
          <cell r="BG428">
            <v>209.63849200359385</v>
          </cell>
          <cell r="BH428">
            <v>222.07706422018293</v>
          </cell>
          <cell r="BI428">
            <v>221.90662169359115</v>
          </cell>
          <cell r="BJ428">
            <v>210.22598551003472</v>
          </cell>
          <cell r="BK428">
            <v>227.45682205169811</v>
          </cell>
          <cell r="BL428">
            <v>250.60072384479327</v>
          </cell>
          <cell r="BM428">
            <v>246.21274375731298</v>
          </cell>
          <cell r="BS428">
            <v>0</v>
          </cell>
          <cell r="BT428">
            <v>0</v>
          </cell>
          <cell r="BU428">
            <v>0</v>
          </cell>
          <cell r="BV428">
            <v>0</v>
          </cell>
          <cell r="BW428">
            <v>0</v>
          </cell>
          <cell r="BX428">
            <v>663.35412244897952</v>
          </cell>
          <cell r="BY428">
            <v>544.67199999999991</v>
          </cell>
          <cell r="BZ428">
            <v>658.07999999999993</v>
          </cell>
          <cell r="CA428">
            <v>710.11199999999985</v>
          </cell>
          <cell r="CB428">
            <v>777.72799999999961</v>
          </cell>
          <cell r="CC428">
            <v>852.27247414684666</v>
          </cell>
          <cell r="CD428">
            <v>934.49627516383907</v>
          </cell>
        </row>
        <row r="429">
          <cell r="A429" t="str">
            <v>FY'12 Revenue</v>
          </cell>
          <cell r="Z429">
            <v>254.69</v>
          </cell>
          <cell r="AA429">
            <v>288.79199999999997</v>
          </cell>
          <cell r="AB429">
            <v>290.87599999999998</v>
          </cell>
          <cell r="AC429">
            <v>293.94200000000001</v>
          </cell>
          <cell r="AD429">
            <v>47.900000000000006</v>
          </cell>
          <cell r="AE429">
            <v>44.799999999999983</v>
          </cell>
          <cell r="AF429">
            <v>48.899999999999977</v>
          </cell>
          <cell r="AG429">
            <v>55.699999999999989</v>
          </cell>
          <cell r="AH429">
            <v>56</v>
          </cell>
          <cell r="AI429">
            <v>55.7</v>
          </cell>
          <cell r="AJ429">
            <v>61.6</v>
          </cell>
          <cell r="AK429">
            <v>66.3</v>
          </cell>
          <cell r="AL429">
            <v>67.599999999999994</v>
          </cell>
          <cell r="AM429">
            <v>67.400000000000006</v>
          </cell>
          <cell r="AN429">
            <v>79.599999999999994</v>
          </cell>
          <cell r="AO429">
            <v>91.7</v>
          </cell>
          <cell r="AP429">
            <v>77.099999999999994</v>
          </cell>
          <cell r="AQ429">
            <v>71.900000000000006</v>
          </cell>
          <cell r="AR429">
            <v>71.900000000000006</v>
          </cell>
          <cell r="AS429">
            <v>80</v>
          </cell>
          <cell r="AT429">
            <v>79.900000000000006</v>
          </cell>
          <cell r="AU429">
            <v>76.7</v>
          </cell>
          <cell r="AV429">
            <v>94.2</v>
          </cell>
          <cell r="AW429">
            <v>104.2</v>
          </cell>
          <cell r="AX429">
            <v>110</v>
          </cell>
          <cell r="AY429">
            <v>112.00000000000001</v>
          </cell>
          <cell r="AZ429">
            <v>96.999999999999986</v>
          </cell>
          <cell r="BA429">
            <v>110.00000000000003</v>
          </cell>
          <cell r="BB429">
            <v>3.15</v>
          </cell>
          <cell r="BC429">
            <v>9.7200000000000006</v>
          </cell>
          <cell r="BD429">
            <v>22.2</v>
          </cell>
          <cell r="BE429">
            <v>38.85</v>
          </cell>
          <cell r="BF429">
            <v>39.975000000000001</v>
          </cell>
          <cell r="BG429">
            <v>42.225000000000001</v>
          </cell>
          <cell r="BH429">
            <v>46.35</v>
          </cell>
          <cell r="BI429">
            <v>51.975000000000001</v>
          </cell>
          <cell r="BJ429">
            <v>51.529499999999999</v>
          </cell>
          <cell r="BK429">
            <v>50.638500000000001</v>
          </cell>
          <cell r="BL429">
            <v>49.005000000000003</v>
          </cell>
          <cell r="BM429">
            <v>46.777500000000003</v>
          </cell>
          <cell r="BN429">
            <v>46.376550000000002</v>
          </cell>
          <cell r="BO429">
            <v>45.574649999999998</v>
          </cell>
          <cell r="BP429">
            <v>44.104500000000002</v>
          </cell>
          <cell r="BQ429">
            <v>42.09975</v>
          </cell>
          <cell r="BR429">
            <v>112.56003</v>
          </cell>
          <cell r="BS429">
            <v>109.13858999999999</v>
          </cell>
          <cell r="BT429">
            <v>106.318575</v>
          </cell>
          <cell r="BU429">
            <v>103.4451</v>
          </cell>
          <cell r="BV429">
            <v>111.28367249999999</v>
          </cell>
          <cell r="BW429">
            <v>108.1161675</v>
          </cell>
          <cell r="BX429">
            <v>105.2159625</v>
          </cell>
          <cell r="BY429">
            <v>102.5429625</v>
          </cell>
          <cell r="BZ429">
            <v>355</v>
          </cell>
          <cell r="CA429">
            <v>429</v>
          </cell>
          <cell r="CB429">
            <v>504.9000000000002</v>
          </cell>
          <cell r="CC429">
            <v>599.51988472352423</v>
          </cell>
          <cell r="CD429">
            <v>718.08216175493192</v>
          </cell>
        </row>
        <row r="430">
          <cell r="A430" t="str">
            <v>FY'13 Revenue</v>
          </cell>
          <cell r="Z430">
            <v>0</v>
          </cell>
          <cell r="AA430">
            <v>150.11799999999999</v>
          </cell>
          <cell r="AB430">
            <v>135.78100000000001</v>
          </cell>
          <cell r="AC430">
            <v>146.64400000000001</v>
          </cell>
          <cell r="AD430">
            <v>8.6</v>
          </cell>
          <cell r="AE430">
            <v>7.641</v>
          </cell>
          <cell r="AF430">
            <v>9.1440000000000001</v>
          </cell>
          <cell r="AG430">
            <v>12.1</v>
          </cell>
          <cell r="AH430">
            <v>13.733000000000001</v>
          </cell>
          <cell r="AI430">
            <v>12.282999999999999</v>
          </cell>
          <cell r="AJ430">
            <v>12.983000000000001</v>
          </cell>
          <cell r="AK430">
            <v>13.5</v>
          </cell>
          <cell r="AL430">
            <v>15.2</v>
          </cell>
          <cell r="AM430">
            <v>22.2</v>
          </cell>
          <cell r="AN430">
            <v>27.5</v>
          </cell>
          <cell r="AO430">
            <v>48.2</v>
          </cell>
          <cell r="AP430">
            <v>26.1</v>
          </cell>
          <cell r="AQ430">
            <v>8.4</v>
          </cell>
          <cell r="AR430">
            <v>8.4</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19.757999999999999</v>
          </cell>
          <cell r="BG430">
            <v>48.173999999999999</v>
          </cell>
          <cell r="BH430">
            <v>71.594999999999999</v>
          </cell>
          <cell r="BI430">
            <v>95.46</v>
          </cell>
          <cell r="BJ430">
            <v>102.13500000000001</v>
          </cell>
          <cell r="BK430">
            <v>111.735</v>
          </cell>
          <cell r="BL430">
            <v>119.64749999999999</v>
          </cell>
          <cell r="BM430">
            <v>127.71</v>
          </cell>
          <cell r="BN430">
            <v>125.0667</v>
          </cell>
          <cell r="BO430">
            <v>121.2651</v>
          </cell>
          <cell r="BP430">
            <v>118.13175</v>
          </cell>
          <cell r="BQ430">
            <v>114.93899999999999</v>
          </cell>
          <cell r="BR430">
            <v>123.64852500000001</v>
          </cell>
          <cell r="BS430">
            <v>120.129075</v>
          </cell>
          <cell r="BT430">
            <v>116.90662500000001</v>
          </cell>
          <cell r="BU430">
            <v>113.93662500000001</v>
          </cell>
          <cell r="BV430">
            <v>90.584999999999994</v>
          </cell>
          <cell r="BW430">
            <v>87.986249999999998</v>
          </cell>
          <cell r="BX430">
            <v>85.758750000000006</v>
          </cell>
          <cell r="BY430">
            <v>83.53125</v>
          </cell>
          <cell r="BZ430">
            <v>0</v>
          </cell>
          <cell r="CA430">
            <v>0</v>
          </cell>
          <cell r="CB430">
            <v>0</v>
          </cell>
          <cell r="CC430">
            <v>0</v>
          </cell>
          <cell r="CD430">
            <v>0</v>
          </cell>
        </row>
        <row r="431">
          <cell r="A431" t="str">
            <v>FY'14 Revenue</v>
          </cell>
          <cell r="Z431">
            <v>254.69</v>
          </cell>
          <cell r="AA431">
            <v>288.79199999999997</v>
          </cell>
          <cell r="AB431">
            <v>290.87599999999998</v>
          </cell>
          <cell r="AC431">
            <v>293.94200000000001</v>
          </cell>
          <cell r="AD431">
            <v>382.1</v>
          </cell>
          <cell r="AE431">
            <v>360.12700000000001</v>
          </cell>
          <cell r="AF431">
            <v>331.59</v>
          </cell>
          <cell r="AG431">
            <v>364.1</v>
          </cell>
          <cell r="AH431">
            <v>346.39100000000002</v>
          </cell>
          <cell r="AI431">
            <v>436.61900000000003</v>
          </cell>
          <cell r="AJ431">
            <v>545.45299999999997</v>
          </cell>
          <cell r="AK431">
            <v>570.5</v>
          </cell>
          <cell r="AL431">
            <v>543.5</v>
          </cell>
          <cell r="AM431">
            <v>527.181632653061</v>
          </cell>
          <cell r="AN431">
            <v>493.6</v>
          </cell>
          <cell r="AO431">
            <v>508.7</v>
          </cell>
          <cell r="AP431">
            <v>460.7</v>
          </cell>
          <cell r="AQ431">
            <v>411.7</v>
          </cell>
          <cell r="AR431">
            <v>400.4</v>
          </cell>
          <cell r="AS431">
            <v>429.3</v>
          </cell>
          <cell r="AT431">
            <v>432</v>
          </cell>
          <cell r="AU431">
            <v>532.70000000000005</v>
          </cell>
          <cell r="AV431">
            <v>549.70000000000005</v>
          </cell>
          <cell r="AW431">
            <v>542.1</v>
          </cell>
          <cell r="AX431">
            <v>554.29999999999984</v>
          </cell>
          <cell r="AY431">
            <v>556.49999999999989</v>
          </cell>
          <cell r="AZ431">
            <v>545</v>
          </cell>
          <cell r="BA431">
            <v>563.30000000000018</v>
          </cell>
          <cell r="BB431">
            <v>0</v>
          </cell>
          <cell r="BC431">
            <v>0</v>
          </cell>
          <cell r="BD431">
            <v>0</v>
          </cell>
          <cell r="BE431">
            <v>0</v>
          </cell>
          <cell r="BF431">
            <v>0</v>
          </cell>
          <cell r="BG431">
            <v>0</v>
          </cell>
          <cell r="BH431">
            <v>0</v>
          </cell>
          <cell r="BI431">
            <v>0</v>
          </cell>
          <cell r="BJ431">
            <v>22.0335</v>
          </cell>
          <cell r="BK431">
            <v>48.340499999999999</v>
          </cell>
          <cell r="BL431">
            <v>72.427499999999995</v>
          </cell>
          <cell r="BM431">
            <v>94.627499999999998</v>
          </cell>
          <cell r="BN431">
            <v>102.07125000000001</v>
          </cell>
          <cell r="BO431">
            <v>110.95874999999999</v>
          </cell>
          <cell r="BP431">
            <v>119.09625</v>
          </cell>
          <cell r="BQ431">
            <v>126.59625</v>
          </cell>
          <cell r="BR431">
            <v>75</v>
          </cell>
          <cell r="BS431">
            <v>81.5625</v>
          </cell>
          <cell r="BT431">
            <v>87.1875</v>
          </cell>
          <cell r="BU431">
            <v>92.8125</v>
          </cell>
          <cell r="BV431">
            <v>75</v>
          </cell>
          <cell r="BW431">
            <v>81.5625</v>
          </cell>
          <cell r="BX431">
            <v>87.1875</v>
          </cell>
          <cell r="BY431">
            <v>92.8125</v>
          </cell>
          <cell r="BZ431">
            <v>2056.5</v>
          </cell>
          <cell r="CA431">
            <v>2219.1</v>
          </cell>
          <cell r="CB431">
            <v>2430.3999999999992</v>
          </cell>
          <cell r="CC431">
            <v>2663.3514817088958</v>
          </cell>
          <cell r="CD431">
            <v>2920.3008598869978</v>
          </cell>
        </row>
        <row r="432">
          <cell r="A432" t="str">
            <v>FY'15 Revenue</v>
          </cell>
          <cell r="Z432">
            <v>0</v>
          </cell>
          <cell r="AD432">
            <v>13.7</v>
          </cell>
          <cell r="AE432">
            <v>18.100000000000001</v>
          </cell>
          <cell r="AF432">
            <v>17.8</v>
          </cell>
          <cell r="AG432">
            <v>18.5</v>
          </cell>
          <cell r="AH432">
            <v>15.8</v>
          </cell>
          <cell r="AI432">
            <v>18.899999999999999</v>
          </cell>
          <cell r="AJ432">
            <v>18.7</v>
          </cell>
          <cell r="AK432">
            <v>27.5</v>
          </cell>
          <cell r="AL432">
            <v>369.58000000000004</v>
          </cell>
          <cell r="AM432">
            <v>358.48351020408148</v>
          </cell>
          <cell r="AN432">
            <v>335.64800000000002</v>
          </cell>
          <cell r="AO432">
            <v>345.916</v>
          </cell>
          <cell r="AP432">
            <v>313.27600000000001</v>
          </cell>
          <cell r="AQ432">
            <v>279.95600000000002</v>
          </cell>
          <cell r="AR432">
            <v>272.27199999999999</v>
          </cell>
          <cell r="AS432">
            <v>291.92400000000004</v>
          </cell>
          <cell r="AT432">
            <v>293.76000000000005</v>
          </cell>
          <cell r="AU432">
            <v>362.23600000000005</v>
          </cell>
          <cell r="AV432">
            <v>373.79600000000005</v>
          </cell>
          <cell r="AW432">
            <v>368.62800000000004</v>
          </cell>
          <cell r="AX432">
            <v>376.92399999999992</v>
          </cell>
          <cell r="AY432">
            <v>378.41999999999996</v>
          </cell>
          <cell r="AZ432">
            <v>370.6</v>
          </cell>
          <cell r="BA432">
            <v>383.04400000000015</v>
          </cell>
          <cell r="BB432">
            <v>0</v>
          </cell>
          <cell r="BC432">
            <v>0</v>
          </cell>
          <cell r="BD432">
            <v>0</v>
          </cell>
          <cell r="BE432">
            <v>0</v>
          </cell>
          <cell r="BF432">
            <v>0</v>
          </cell>
          <cell r="BG432">
            <v>0</v>
          </cell>
          <cell r="BH432">
            <v>0</v>
          </cell>
          <cell r="BI432">
            <v>0</v>
          </cell>
          <cell r="BJ432">
            <v>0</v>
          </cell>
          <cell r="BK432">
            <v>0</v>
          </cell>
          <cell r="BL432">
            <v>0</v>
          </cell>
          <cell r="BM432">
            <v>0</v>
          </cell>
          <cell r="BN432">
            <v>16.649999999999999</v>
          </cell>
          <cell r="BO432">
            <v>36.075000000000003</v>
          </cell>
          <cell r="BP432">
            <v>52.725000000000001</v>
          </cell>
          <cell r="BQ432">
            <v>69.375</v>
          </cell>
          <cell r="BR432">
            <v>16.649999999999999</v>
          </cell>
          <cell r="BS432">
            <v>36.075000000000003</v>
          </cell>
          <cell r="BT432">
            <v>52.725000000000001</v>
          </cell>
          <cell r="BU432">
            <v>69.375</v>
          </cell>
          <cell r="BV432">
            <v>16.649999999999999</v>
          </cell>
          <cell r="BW432">
            <v>36.075000000000003</v>
          </cell>
          <cell r="BX432">
            <v>52.725000000000001</v>
          </cell>
          <cell r="BY432">
            <v>69.375</v>
          </cell>
          <cell r="BZ432">
            <v>1398.42</v>
          </cell>
          <cell r="CA432">
            <v>1508.9880000000001</v>
          </cell>
          <cell r="CB432">
            <v>1652.6719999999996</v>
          </cell>
          <cell r="CC432">
            <v>1811.0790075620496</v>
          </cell>
          <cell r="CD432">
            <v>1985.8045847231583</v>
          </cell>
        </row>
        <row r="436">
          <cell r="A436" t="str">
            <v>OLD Segments Below As Reported Before Q1'11</v>
          </cell>
          <cell r="AD436">
            <v>47.900000000000006</v>
          </cell>
          <cell r="AE436">
            <v>44.799999999999983</v>
          </cell>
          <cell r="AF436">
            <v>48.899999999999977</v>
          </cell>
          <cell r="AG436">
            <v>55.699999999999989</v>
          </cell>
          <cell r="AH436">
            <v>56</v>
          </cell>
          <cell r="AI436">
            <v>55.7</v>
          </cell>
          <cell r="AJ436">
            <v>61.6</v>
          </cell>
          <cell r="AK436">
            <v>66.3</v>
          </cell>
          <cell r="AL436">
            <v>67.599999999999994</v>
          </cell>
          <cell r="AM436">
            <v>67.400000000000006</v>
          </cell>
          <cell r="AN436">
            <v>79.599999999999994</v>
          </cell>
          <cell r="AO436">
            <v>91.7</v>
          </cell>
          <cell r="AP436">
            <v>77.099999999999994</v>
          </cell>
          <cell r="AQ436">
            <v>71.900000000000006</v>
          </cell>
          <cell r="AR436">
            <v>71.900000000000006</v>
          </cell>
          <cell r="AS436">
            <v>80</v>
          </cell>
          <cell r="AT436">
            <v>79.900000000000006</v>
          </cell>
          <cell r="AU436">
            <v>76.7</v>
          </cell>
          <cell r="AV436">
            <v>94.2</v>
          </cell>
          <cell r="AW436">
            <v>104.2</v>
          </cell>
          <cell r="AX436">
            <v>110</v>
          </cell>
          <cell r="AY436">
            <v>112.00000000000001</v>
          </cell>
          <cell r="AZ436">
            <v>96.999999999999986</v>
          </cell>
          <cell r="BA436">
            <v>110.00000000000003</v>
          </cell>
          <cell r="BB436">
            <v>115</v>
          </cell>
          <cell r="BC436">
            <v>123.20000000000003</v>
          </cell>
          <cell r="BD436">
            <v>127.80000000000011</v>
          </cell>
          <cell r="BE436">
            <v>138.9</v>
          </cell>
          <cell r="BF436">
            <v>120.22727272727272</v>
          </cell>
          <cell r="BG436">
            <v>135.52000000000004</v>
          </cell>
          <cell r="BH436">
            <v>168.3797938144333</v>
          </cell>
          <cell r="BI436">
            <v>175.39281818181814</v>
          </cell>
          <cell r="BJ436">
            <v>125.69214876033057</v>
          </cell>
          <cell r="BK436">
            <v>149.07200000000006</v>
          </cell>
          <cell r="BL436">
            <v>221.84471803592368</v>
          </cell>
          <cell r="BM436">
            <v>221.4732949586776</v>
          </cell>
          <cell r="BU436">
            <v>0</v>
          </cell>
          <cell r="BV436">
            <v>197.29999999999995</v>
          </cell>
          <cell r="BW436">
            <v>239.60000000000002</v>
          </cell>
          <cell r="BX436">
            <v>306.3</v>
          </cell>
          <cell r="BY436">
            <v>300.89999999999998</v>
          </cell>
          <cell r="BZ436">
            <v>355</v>
          </cell>
          <cell r="CA436">
            <v>429</v>
          </cell>
          <cell r="CB436">
            <v>504.9000000000002</v>
          </cell>
          <cell r="CC436">
            <v>599.51988472352423</v>
          </cell>
          <cell r="CD436">
            <v>718.08216175493192</v>
          </cell>
        </row>
        <row r="437">
          <cell r="A437" t="str">
            <v>Revenue by Segment</v>
          </cell>
          <cell r="Z437">
            <v>0</v>
          </cell>
          <cell r="AD437">
            <v>8.6</v>
          </cell>
          <cell r="AE437">
            <v>7.641</v>
          </cell>
          <cell r="AF437">
            <v>9.1440000000000001</v>
          </cell>
          <cell r="AG437">
            <v>12.1</v>
          </cell>
          <cell r="AH437">
            <v>13.733000000000001</v>
          </cell>
          <cell r="AI437">
            <v>12.282999999999999</v>
          </cell>
          <cell r="AJ437">
            <v>12.983000000000001</v>
          </cell>
          <cell r="AK437">
            <v>13.5</v>
          </cell>
          <cell r="AL437">
            <v>15.2</v>
          </cell>
          <cell r="AM437">
            <v>22.2</v>
          </cell>
          <cell r="AN437">
            <v>27.5</v>
          </cell>
          <cell r="AO437">
            <v>48.2</v>
          </cell>
          <cell r="AP437">
            <v>26.1</v>
          </cell>
          <cell r="AQ437">
            <v>8.4</v>
          </cell>
          <cell r="AR437">
            <v>8.4</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cell r="BM437">
            <v>0</v>
          </cell>
          <cell r="BS437">
            <v>0</v>
          </cell>
          <cell r="BT437">
            <v>0</v>
          </cell>
          <cell r="BU437">
            <v>0</v>
          </cell>
          <cell r="BV437">
            <v>37.484999999999999</v>
          </cell>
          <cell r="BW437">
            <v>52.498999999999995</v>
          </cell>
          <cell r="BX437">
            <v>113.10000000000001</v>
          </cell>
          <cell r="BY437">
            <v>42.9</v>
          </cell>
          <cell r="BZ437">
            <v>0</v>
          </cell>
          <cell r="CA437">
            <v>0</v>
          </cell>
          <cell r="CB437">
            <v>0</v>
          </cell>
          <cell r="CC437">
            <v>0</v>
          </cell>
          <cell r="CD437">
            <v>0</v>
          </cell>
        </row>
      </sheetData>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pg"/>
      <sheetName val="Model"/>
      <sheetName val="H1 production contrib graph"/>
      <sheetName val="H1 cashflow contrib graph"/>
      <sheetName val="2004 Contributions"/>
      <sheetName val="Quarter "/>
      <sheetName val="Production Chart"/>
      <sheetName val="PubTables"/>
      <sheetName val="Resources"/>
      <sheetName val="Reserves"/>
      <sheetName val="Pubfin"/>
      <sheetName val="NAV Summary"/>
      <sheetName val="Prod'nSumm"/>
      <sheetName val="SumPage"/>
      <sheetName val="Betze-Post"/>
      <sheetName val="Meikle-Rodeo"/>
      <sheetName val="Veladero"/>
      <sheetName val="Pascua"/>
      <sheetName val="Cowal"/>
      <sheetName val="Bulyanhulu"/>
      <sheetName val="Chicama"/>
      <sheetName val="Pierina"/>
      <sheetName val="Holt"/>
      <sheetName val="Round Mountain"/>
      <sheetName val="Marigold"/>
      <sheetName val="Eskay Creek"/>
      <sheetName val="Williams"/>
      <sheetName val="David Bell"/>
      <sheetName val="Kalgoorlie"/>
      <sheetName val="Plutonic"/>
      <sheetName val="Darlot"/>
      <sheetName val="Lawlers"/>
      <sheetName val="Homestake"/>
      <sheetName val="Bousquet"/>
      <sheetName val="Ruby Hill"/>
      <sheetName val="El Indio-Tambo"/>
      <sheetName val="Agua de la Falda"/>
      <sheetName val="McLaughlin"/>
      <sheetName val="Doyon"/>
      <sheetName val="Bullfrog"/>
      <sheetName val="Pinson"/>
      <sheetName val="Mercur"/>
      <sheetName val="DS_Key_Information"/>
      <sheetName val="DS_Valuation_Measures"/>
      <sheetName val="DS_Quarterly_Estimates_Data"/>
      <sheetName val="DS_Income_Statement"/>
      <sheetName val="DS_Cash_Flow"/>
      <sheetName val="DS_Balance_Sheet"/>
      <sheetName val="DS_Industry_Specif"/>
      <sheetName val="RBCGold"/>
      <sheetName val="2003 Contributions (2)"/>
    </sheetNames>
    <sheetDataSet>
      <sheetData sheetId="0"/>
      <sheetData sheetId="1" refreshError="1">
        <row r="51">
          <cell r="I51">
            <v>0.72675000000000001</v>
          </cell>
        </row>
        <row r="139">
          <cell r="Q139">
            <v>6124771</v>
          </cell>
          <cell r="R139">
            <v>5694877</v>
          </cell>
        </row>
        <row r="336">
          <cell r="K336">
            <v>2.1736073669788909</v>
          </cell>
          <cell r="L336">
            <v>1.4228108318850041</v>
          </cell>
          <cell r="Q336">
            <v>1.348314606741573</v>
          </cell>
          <cell r="R336">
            <v>1.3450346420323325</v>
          </cell>
          <cell r="W336">
            <v>1.2738261273826128</v>
          </cell>
        </row>
      </sheetData>
      <sheetData sheetId="2" refreshError="1"/>
      <sheetData sheetId="3" refreshError="1"/>
      <sheetData sheetId="4"/>
      <sheetData sheetId="5"/>
      <sheetData sheetId="6" refreshError="1"/>
      <sheetData sheetId="7"/>
      <sheetData sheetId="8"/>
      <sheetData sheetId="9"/>
      <sheetData sheetId="10"/>
      <sheetData sheetId="11"/>
      <sheetData sheetId="12"/>
      <sheetData sheetId="13"/>
      <sheetData sheetId="14"/>
      <sheetData sheetId="15" refreshError="1">
        <row r="1">
          <cell r="A1" t="str">
            <v>MEIKLE MINE</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QPL"/>
      <sheetName val="Balance"/>
      <sheetName val="Misc"/>
      <sheetName val="Charts"/>
      <sheetName val="Geographic Analysis"/>
      <sheetName val="Capitalized sw"/>
      <sheetName val="Headcount"/>
      <sheetName val="market share"/>
      <sheetName val="customers"/>
      <sheetName val="Acquisitions"/>
      <sheetName val="mt shr tbl"/>
      <sheetName val="market share analysis"/>
      <sheetName val="Products"/>
      <sheetName val="Module1"/>
      <sheetName val="Module2"/>
      <sheetName val="BAANF"/>
      <sheetName val="BAANFQP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BM"/>
      <sheetName val="MODELEx (2)"/>
      <sheetName val="MODELEx"/>
      <sheetName val="MODEL"/>
      <sheetName val="QUICK SUMMARY"/>
      <sheetName val="Upside_Downside"/>
      <sheetName val="guidance"/>
      <sheetName val="Job postings"/>
      <sheetName val="geographic split"/>
      <sheetName val="SENSITIVITY"/>
      <sheetName val="MULTIPLES PIVOT"/>
      <sheetName val="exhibits"/>
      <sheetName val="DCF"/>
      <sheetName val="LINKS"/>
      <sheetName val="QUICK SUMMARY-1"/>
    </sheetNames>
    <sheetDataSet>
      <sheetData sheetId="0"/>
      <sheetData sheetId="1"/>
      <sheetData sheetId="2"/>
      <sheetData sheetId="3"/>
      <sheetData sheetId="4">
        <row r="9">
          <cell r="A9" t="str">
            <v>Total Revenue</v>
          </cell>
          <cell r="AD9">
            <v>34.600999999999999</v>
          </cell>
          <cell r="AE9">
            <v>38.811</v>
          </cell>
          <cell r="AF9">
            <v>38.333999999999996</v>
          </cell>
          <cell r="AG9">
            <v>43.620000000000005</v>
          </cell>
          <cell r="AH9">
            <v>45.764000000000003</v>
          </cell>
          <cell r="AI9">
            <v>52.546999999999997</v>
          </cell>
          <cell r="AJ9">
            <v>54.413999999999994</v>
          </cell>
          <cell r="AK9">
            <v>59.066000000000003</v>
          </cell>
          <cell r="AL9">
            <v>54.194000000000003</v>
          </cell>
          <cell r="AM9">
            <v>61.344999999999999</v>
          </cell>
          <cell r="AN9">
            <v>65.864000000000004</v>
          </cell>
          <cell r="AO9">
            <v>70.710999999999984</v>
          </cell>
          <cell r="AP9">
            <v>69.795000000000002</v>
          </cell>
          <cell r="AQ9">
            <v>76.331000000000003</v>
          </cell>
          <cell r="AR9">
            <v>84.971000000000004</v>
          </cell>
          <cell r="AS9">
            <v>93.59899999999999</v>
          </cell>
          <cell r="AT9">
            <v>93.266000000000005</v>
          </cell>
          <cell r="AU9">
            <v>103.02300000000001</v>
          </cell>
          <cell r="AV9">
            <v>116.426</v>
          </cell>
          <cell r="AW9">
            <v>120.861</v>
          </cell>
          <cell r="AX9">
            <v>117.247</v>
          </cell>
          <cell r="AY9">
            <v>128.96200000000002</v>
          </cell>
          <cell r="AZ9">
            <v>136.268</v>
          </cell>
          <cell r="BA9">
            <v>151.16199999999998</v>
          </cell>
          <cell r="BB9">
            <v>135.82</v>
          </cell>
          <cell r="BC9">
            <v>147.42800000000003</v>
          </cell>
          <cell r="BD9">
            <v>154.69899999999998</v>
          </cell>
          <cell r="BE9">
            <v>177.35</v>
          </cell>
          <cell r="BF9">
            <v>168.94899999999998</v>
          </cell>
          <cell r="BG9">
            <v>184.09440000000001</v>
          </cell>
          <cell r="BH9">
            <v>193.34800000000001</v>
          </cell>
          <cell r="BI9">
            <v>210.10615384615389</v>
          </cell>
          <cell r="BJ9">
            <v>190.66799999999998</v>
          </cell>
          <cell r="BK9">
            <v>203.71503960396041</v>
          </cell>
          <cell r="BL9">
            <v>223.33236771637596</v>
          </cell>
          <cell r="BM9">
            <v>234.12405866145482</v>
          </cell>
          <cell r="BR9">
            <v>38.732999999999997</v>
          </cell>
          <cell r="BS9">
            <v>79.814999999999998</v>
          </cell>
          <cell r="BT9">
            <v>123.46599999999999</v>
          </cell>
          <cell r="BU9">
            <v>155.36600000000001</v>
          </cell>
          <cell r="BV9">
            <v>211.791</v>
          </cell>
          <cell r="BW9">
            <v>252.114</v>
          </cell>
          <cell r="BX9">
            <v>324.69600000000003</v>
          </cell>
          <cell r="BY9">
            <v>433.57600000000002</v>
          </cell>
          <cell r="BZ9">
            <v>533.6389999999999</v>
          </cell>
          <cell r="CA9">
            <v>615.29700000000003</v>
          </cell>
          <cell r="CB9">
            <v>756.49755384615389</v>
          </cell>
          <cell r="CC9">
            <v>851.83946598179114</v>
          </cell>
          <cell r="CD9">
            <v>1.2294835727236666</v>
          </cell>
          <cell r="DM9" t="str">
            <v>Gross Margin</v>
          </cell>
          <cell r="DN9">
            <v>0.69</v>
          </cell>
          <cell r="DO9">
            <v>0.73</v>
          </cell>
          <cell r="DP9">
            <v>0.72</v>
          </cell>
          <cell r="DQ9">
            <v>0.72</v>
          </cell>
          <cell r="DR9" t="str">
            <v>71% - 74%</v>
          </cell>
        </row>
        <row r="15">
          <cell r="A15" t="str">
            <v>S&amp;M</v>
          </cell>
          <cell r="AD15">
            <v>14.705</v>
          </cell>
          <cell r="AE15">
            <v>16.721</v>
          </cell>
          <cell r="AF15">
            <v>16.762999999999998</v>
          </cell>
          <cell r="AG15">
            <v>20.042000000000002</v>
          </cell>
          <cell r="AH15">
            <v>20.997</v>
          </cell>
          <cell r="AI15">
            <v>22.248999999999999</v>
          </cell>
          <cell r="AJ15">
            <v>20.787000000000003</v>
          </cell>
          <cell r="AK15">
            <v>21.172000000000001</v>
          </cell>
          <cell r="AL15">
            <v>21.119000000000003</v>
          </cell>
          <cell r="AM15">
            <v>23.649000000000001</v>
          </cell>
          <cell r="AN15">
            <v>22.701000000000001</v>
          </cell>
          <cell r="AO15">
            <v>25.800999999999998</v>
          </cell>
          <cell r="AP15">
            <v>25.856999999999999</v>
          </cell>
          <cell r="AQ15">
            <v>26.880000000000003</v>
          </cell>
          <cell r="AR15">
            <v>25.97</v>
          </cell>
          <cell r="AS15">
            <v>29.451000000000001</v>
          </cell>
          <cell r="AT15">
            <v>30.818000000000005</v>
          </cell>
          <cell r="AU15">
            <v>34.215000000000003</v>
          </cell>
          <cell r="AV15">
            <v>34.225999999999999</v>
          </cell>
          <cell r="AW15">
            <v>36.948</v>
          </cell>
          <cell r="AX15">
            <v>38.593000000000004</v>
          </cell>
          <cell r="AY15">
            <v>40.783999999999999</v>
          </cell>
          <cell r="AZ15">
            <v>40.864000000000004</v>
          </cell>
          <cell r="BA15">
            <v>46.121000000000002</v>
          </cell>
          <cell r="BB15">
            <v>45.857999999999997</v>
          </cell>
          <cell r="BC15">
            <v>51.402999999999999</v>
          </cell>
          <cell r="BD15">
            <v>51.471999999999994</v>
          </cell>
          <cell r="BE15">
            <v>56.731999999999999</v>
          </cell>
          <cell r="BF15">
            <v>61.579999999999991</v>
          </cell>
          <cell r="BG15">
            <v>69.069999999999993</v>
          </cell>
          <cell r="BH15">
            <v>73.036000000000001</v>
          </cell>
          <cell r="BI15">
            <v>77.739276923076943</v>
          </cell>
          <cell r="BJ15">
            <v>67.305803999999995</v>
          </cell>
          <cell r="BK15">
            <v>71.707693940594055</v>
          </cell>
          <cell r="BL15">
            <v>78.38966106844795</v>
          </cell>
          <cell r="BM15">
            <v>81.818053756678623</v>
          </cell>
          <cell r="BR15">
            <v>0</v>
          </cell>
          <cell r="BS15">
            <v>0</v>
          </cell>
          <cell r="BT15">
            <v>0</v>
          </cell>
          <cell r="BU15">
            <v>68.230999999999995</v>
          </cell>
          <cell r="BV15">
            <v>85.204999999999998</v>
          </cell>
          <cell r="BW15">
            <v>93.27</v>
          </cell>
          <cell r="BX15">
            <v>108.15799999999999</v>
          </cell>
          <cell r="BY15">
            <v>136.20700000000002</v>
          </cell>
          <cell r="BZ15">
            <v>166.36200000000002</v>
          </cell>
          <cell r="CA15">
            <v>205.465</v>
          </cell>
          <cell r="CB15">
            <v>281.42527692307692</v>
          </cell>
          <cell r="CC15">
            <v>299.22121276572062</v>
          </cell>
        </row>
        <row r="16">
          <cell r="A16" t="str">
            <v>R&amp;D</v>
          </cell>
          <cell r="AD16">
            <v>5.73</v>
          </cell>
          <cell r="AE16">
            <v>6.0550000000000006</v>
          </cell>
          <cell r="AF16">
            <v>6.6379999999999999</v>
          </cell>
          <cell r="AG16">
            <v>7.7139999999999995</v>
          </cell>
          <cell r="AH16">
            <v>8.6179999999999986</v>
          </cell>
          <cell r="AI16">
            <v>9.1829999999999998</v>
          </cell>
          <cell r="AJ16">
            <v>9.6580000000000013</v>
          </cell>
          <cell r="AK16">
            <v>8.527000000000001</v>
          </cell>
          <cell r="AL16">
            <v>9.4979999999999993</v>
          </cell>
          <cell r="AM16">
            <v>10.036000000000001</v>
          </cell>
          <cell r="AN16">
            <v>10.281000000000001</v>
          </cell>
          <cell r="AO16">
            <v>10.417</v>
          </cell>
          <cell r="AP16">
            <v>11.379999999999999</v>
          </cell>
          <cell r="AQ16">
            <v>12.089</v>
          </cell>
          <cell r="AR16">
            <v>11.789</v>
          </cell>
          <cell r="AS16">
            <v>12.204000000000001</v>
          </cell>
          <cell r="AT16">
            <v>13.968</v>
          </cell>
          <cell r="AU16">
            <v>14.957000000000001</v>
          </cell>
          <cell r="AV16">
            <v>15.318</v>
          </cell>
          <cell r="AW16">
            <v>14.642000000000001</v>
          </cell>
          <cell r="AX16">
            <v>17.71</v>
          </cell>
          <cell r="AY16">
            <v>18.096000000000004</v>
          </cell>
          <cell r="AZ16">
            <v>17.973000000000003</v>
          </cell>
          <cell r="BA16">
            <v>18.073</v>
          </cell>
          <cell r="BB16">
            <v>20.568000000000001</v>
          </cell>
          <cell r="BC16">
            <v>21.867000000000001</v>
          </cell>
          <cell r="BD16">
            <v>22.872999999999998</v>
          </cell>
          <cell r="BE16">
            <v>24.081</v>
          </cell>
          <cell r="BF16">
            <v>25.172999999999998</v>
          </cell>
          <cell r="BG16">
            <v>25.766999999999999</v>
          </cell>
          <cell r="BH16">
            <v>26.285</v>
          </cell>
          <cell r="BI16">
            <v>29.414861538461547</v>
          </cell>
          <cell r="BJ16">
            <v>28.523</v>
          </cell>
          <cell r="BK16">
            <v>28.832000000000004</v>
          </cell>
          <cell r="BL16">
            <v>30.979509937086593</v>
          </cell>
          <cell r="BM16">
            <v>31.538408189997831</v>
          </cell>
          <cell r="BR16">
            <v>0</v>
          </cell>
          <cell r="BS16">
            <v>0</v>
          </cell>
          <cell r="BT16">
            <v>0</v>
          </cell>
          <cell r="BU16">
            <v>26.137</v>
          </cell>
          <cell r="BV16">
            <v>35.986000000000004</v>
          </cell>
          <cell r="BW16">
            <v>40.231999999999999</v>
          </cell>
          <cell r="BX16">
            <v>47.462000000000003</v>
          </cell>
          <cell r="BY16">
            <v>58.885000000000005</v>
          </cell>
          <cell r="BZ16">
            <v>71.852000000000004</v>
          </cell>
          <cell r="CA16">
            <v>89.388999999999996</v>
          </cell>
          <cell r="CB16">
            <v>106.63986153846155</v>
          </cell>
          <cell r="CC16">
            <v>119.87291812708443</v>
          </cell>
        </row>
        <row r="17">
          <cell r="A17" t="str">
            <v>G&amp;A</v>
          </cell>
          <cell r="AD17">
            <v>4.0890000000000004</v>
          </cell>
          <cell r="AE17">
            <v>4.3100000000000005</v>
          </cell>
          <cell r="AF17">
            <v>3.9569999999999999</v>
          </cell>
          <cell r="AG17">
            <v>5.2059999999999995</v>
          </cell>
          <cell r="AH17">
            <v>3.6999999999999997</v>
          </cell>
          <cell r="AI17">
            <v>4.1289999999999996</v>
          </cell>
          <cell r="AJ17">
            <v>3.6059999999999999</v>
          </cell>
          <cell r="AK17">
            <v>3.9339999999999997</v>
          </cell>
          <cell r="AL17">
            <v>4.2919999999999998</v>
          </cell>
          <cell r="AM17">
            <v>4.1120000000000001</v>
          </cell>
          <cell r="AN17">
            <v>4.0310000000000006</v>
          </cell>
          <cell r="AO17">
            <v>4.1680000000000001</v>
          </cell>
          <cell r="AP17">
            <v>4.5630000000000006</v>
          </cell>
          <cell r="AQ17">
            <v>5.4130000000000003</v>
          </cell>
          <cell r="AR17">
            <v>5.444</v>
          </cell>
          <cell r="AS17">
            <v>4.8239999999999998</v>
          </cell>
          <cell r="AT17">
            <v>5.2460000000000004</v>
          </cell>
          <cell r="AU17">
            <v>5.5270000000000001</v>
          </cell>
          <cell r="AV17">
            <v>5.0199999999999996</v>
          </cell>
          <cell r="AW17">
            <v>5.1219999999999999</v>
          </cell>
          <cell r="AX17">
            <v>4.7489999999999997</v>
          </cell>
          <cell r="AY17">
            <v>5.1820000000000004</v>
          </cell>
          <cell r="AZ17">
            <v>6.1259999999999994</v>
          </cell>
          <cell r="BA17">
            <v>5.33</v>
          </cell>
          <cell r="BB17">
            <v>7.1639999999999997</v>
          </cell>
          <cell r="BC17">
            <v>7.766</v>
          </cell>
          <cell r="BD17">
            <v>7.7549999999999999</v>
          </cell>
          <cell r="BE17">
            <v>6.7340000000000009</v>
          </cell>
          <cell r="BF17">
            <v>6.6389999999999985</v>
          </cell>
          <cell r="BG17">
            <v>4.3750000000000009</v>
          </cell>
          <cell r="BH17">
            <v>8.6059999999999999</v>
          </cell>
          <cell r="BI17">
            <v>8.6143523076923092</v>
          </cell>
          <cell r="BJ17">
            <v>8.4190000000000005</v>
          </cell>
          <cell r="BK17">
            <v>8.7139999999999986</v>
          </cell>
          <cell r="BL17">
            <v>9.5489729775437358</v>
          </cell>
          <cell r="BM17">
            <v>9.8332104637811035</v>
          </cell>
          <cell r="BR17">
            <v>0</v>
          </cell>
          <cell r="BS17">
            <v>0</v>
          </cell>
          <cell r="BT17">
            <v>0</v>
          </cell>
          <cell r="BU17">
            <v>17.562000000000001</v>
          </cell>
          <cell r="BV17">
            <v>15.368999999999998</v>
          </cell>
          <cell r="BW17">
            <v>16.603000000000002</v>
          </cell>
          <cell r="BX17">
            <v>20.244</v>
          </cell>
          <cell r="BY17">
            <v>20.914999999999999</v>
          </cell>
          <cell r="BZ17">
            <v>21.387</v>
          </cell>
          <cell r="CA17">
            <v>29.419</v>
          </cell>
          <cell r="CB17">
            <v>28.234352307692305</v>
          </cell>
          <cell r="CC17">
            <v>36.515183441324837</v>
          </cell>
        </row>
        <row r="19">
          <cell r="A19" t="str">
            <v>Operating Income</v>
          </cell>
          <cell r="V19">
            <v>0</v>
          </cell>
          <cell r="W19">
            <v>0</v>
          </cell>
          <cell r="X19">
            <v>0</v>
          </cell>
          <cell r="Y19">
            <v>0</v>
          </cell>
          <cell r="Z19">
            <v>0</v>
          </cell>
          <cell r="AA19">
            <v>0</v>
          </cell>
          <cell r="AB19">
            <v>0</v>
          </cell>
          <cell r="AC19">
            <v>0</v>
          </cell>
          <cell r="AD19">
            <v>-0.78000000000000114</v>
          </cell>
          <cell r="AE19">
            <v>-1.222999999999999</v>
          </cell>
          <cell r="AF19">
            <v>-2.9579999999999984</v>
          </cell>
          <cell r="AG19">
            <v>-7.2839999999999989</v>
          </cell>
          <cell r="AH19">
            <v>-2.6009999999999955</v>
          </cell>
          <cell r="AI19">
            <v>0.45700000000000074</v>
          </cell>
          <cell r="AJ19">
            <v>4.6529999999999916</v>
          </cell>
          <cell r="AK19">
            <v>7.7169999999999987</v>
          </cell>
          <cell r="AL19">
            <v>4.7789999999999964</v>
          </cell>
          <cell r="AM19">
            <v>6.7679999999999936</v>
          </cell>
          <cell r="AN19">
            <v>11.612000000000002</v>
          </cell>
          <cell r="AO19">
            <v>11.297999999999988</v>
          </cell>
          <cell r="AP19">
            <v>8.8520000000000039</v>
          </cell>
          <cell r="AQ19">
            <v>12.043999999999997</v>
          </cell>
          <cell r="AR19">
            <v>20.593000000000004</v>
          </cell>
          <cell r="AS19">
            <v>23.166999999999987</v>
          </cell>
          <cell r="AT19">
            <v>20.038000000000004</v>
          </cell>
          <cell r="AU19">
            <v>22.170999999999999</v>
          </cell>
          <cell r="AV19">
            <v>31.350999999999999</v>
          </cell>
          <cell r="AW19">
            <v>32.382999999999996</v>
          </cell>
          <cell r="AX19">
            <v>25.960999999999999</v>
          </cell>
          <cell r="AY19">
            <v>28.802000000000021</v>
          </cell>
          <cell r="AZ19">
            <v>34.599999999999994</v>
          </cell>
          <cell r="BA19">
            <v>41.323999999999984</v>
          </cell>
          <cell r="BB19">
            <v>24.211999999999989</v>
          </cell>
          <cell r="BC19">
            <v>24.360000000000028</v>
          </cell>
          <cell r="BD19">
            <v>30.056999999999988</v>
          </cell>
          <cell r="BE19">
            <v>37.33</v>
          </cell>
          <cell r="BF19">
            <v>26.256000000000014</v>
          </cell>
          <cell r="BG19">
            <v>28.16540000000002</v>
          </cell>
          <cell r="BH19">
            <v>30.118000000000023</v>
          </cell>
          <cell r="BI19">
            <v>34.03075153846153</v>
          </cell>
          <cell r="BJ19">
            <v>31.984325999999996</v>
          </cell>
          <cell r="BK19">
            <v>35.900424821782181</v>
          </cell>
          <cell r="BL19">
            <v>41.913487550547998</v>
          </cell>
          <cell r="BM19">
            <v>45.918852529080752</v>
          </cell>
          <cell r="BR19">
            <v>38.732999999999997</v>
          </cell>
          <cell r="BS19">
            <v>79.814999999999998</v>
          </cell>
          <cell r="BT19">
            <v>123.46599999999999</v>
          </cell>
          <cell r="BU19">
            <v>-12.244999999999976</v>
          </cell>
          <cell r="BV19">
            <v>10.225999999999996</v>
          </cell>
          <cell r="BW19">
            <v>34.456999999999979</v>
          </cell>
          <cell r="BX19">
            <v>64.655999999999992</v>
          </cell>
          <cell r="BY19">
            <v>105.943</v>
          </cell>
          <cell r="BZ19">
            <v>130.68700000000001</v>
          </cell>
          <cell r="CA19">
            <v>115.959</v>
          </cell>
          <cell r="CB19">
            <v>118.57015153846159</v>
          </cell>
          <cell r="CC19">
            <v>155.71709090141093</v>
          </cell>
          <cell r="DN19">
            <v>0.2298058188372607</v>
          </cell>
        </row>
        <row r="20">
          <cell r="A20" t="str">
            <v>Interest Income</v>
          </cell>
          <cell r="AD20">
            <v>0.52300000000000002</v>
          </cell>
          <cell r="AE20">
            <v>0.27800000000000002</v>
          </cell>
          <cell r="AF20">
            <v>0.35299999999999998</v>
          </cell>
          <cell r="AG20">
            <v>0.36199999999999999</v>
          </cell>
          <cell r="AH20">
            <v>-0.16800000000000004</v>
          </cell>
          <cell r="AI20">
            <v>0.7410000000000001</v>
          </cell>
          <cell r="AJ20">
            <v>1.47</v>
          </cell>
          <cell r="AK20">
            <v>2.2809999999999997</v>
          </cell>
          <cell r="AL20">
            <v>1.208</v>
          </cell>
          <cell r="AM20">
            <v>0.25300000000000006</v>
          </cell>
          <cell r="AN20">
            <v>0.36399999999999999</v>
          </cell>
          <cell r="AO20">
            <v>0.35399999999999998</v>
          </cell>
          <cell r="AP20">
            <v>1.8000000000000016E-2</v>
          </cell>
          <cell r="AQ20">
            <v>0.48599999999999999</v>
          </cell>
          <cell r="AR20">
            <v>0.11199999999999999</v>
          </cell>
          <cell r="AS20">
            <v>0.38400000000000001</v>
          </cell>
          <cell r="AT20">
            <v>0.69800000000000006</v>
          </cell>
          <cell r="AU20">
            <v>0.65600000000000003</v>
          </cell>
          <cell r="AV20">
            <v>0.96399999999999997</v>
          </cell>
          <cell r="AW20">
            <v>0.85099999999999998</v>
          </cell>
          <cell r="AX20">
            <v>1.014</v>
          </cell>
          <cell r="AY20">
            <v>1.276</v>
          </cell>
          <cell r="AZ20">
            <v>0.52300000000000013</v>
          </cell>
          <cell r="BA20">
            <v>1.23</v>
          </cell>
          <cell r="BB20">
            <v>1.5840000000000001</v>
          </cell>
          <cell r="BC20">
            <v>1.2369999999999999</v>
          </cell>
          <cell r="BD20">
            <v>7.6000000000000012E-2</v>
          </cell>
          <cell r="BE20">
            <v>0.89900000000000002</v>
          </cell>
          <cell r="BF20">
            <v>0.94399999999999995</v>
          </cell>
          <cell r="BG20">
            <v>1.319</v>
          </cell>
          <cell r="BH20">
            <v>0.57800000000000007</v>
          </cell>
          <cell r="BI20">
            <v>0.59800000000000009</v>
          </cell>
          <cell r="BJ20">
            <v>0.6180000000000001</v>
          </cell>
          <cell r="BK20">
            <v>0.63800000000000012</v>
          </cell>
          <cell r="BL20">
            <v>0.65800000000000014</v>
          </cell>
          <cell r="BM20">
            <v>0.67800000000000016</v>
          </cell>
          <cell r="BR20">
            <v>0</v>
          </cell>
          <cell r="BS20">
            <v>0</v>
          </cell>
          <cell r="BT20">
            <v>0</v>
          </cell>
          <cell r="BU20">
            <v>1.516</v>
          </cell>
          <cell r="BV20">
            <v>4.3239999999999998</v>
          </cell>
          <cell r="BW20">
            <v>2.1790000000000003</v>
          </cell>
          <cell r="BX20">
            <v>1</v>
          </cell>
          <cell r="BY20">
            <v>3.169</v>
          </cell>
          <cell r="BZ20">
            <v>4.0430000000000001</v>
          </cell>
          <cell r="CA20">
            <v>3.7959999999999998</v>
          </cell>
          <cell r="CB20">
            <v>3.4390000000000001</v>
          </cell>
          <cell r="CC20">
            <v>2.5920000000000005</v>
          </cell>
        </row>
        <row r="22">
          <cell r="A22" t="str">
            <v>Taxes, Net</v>
          </cell>
          <cell r="AD22">
            <v>0.16400000000000001</v>
          </cell>
          <cell r="AE22">
            <v>0.80400000000000005</v>
          </cell>
          <cell r="AF22">
            <v>0.376</v>
          </cell>
          <cell r="AG22">
            <v>0.437</v>
          </cell>
          <cell r="AH22">
            <v>0.33800000000000002</v>
          </cell>
          <cell r="AI22">
            <v>0.75600000000000001</v>
          </cell>
          <cell r="AJ22">
            <v>0.183</v>
          </cell>
          <cell r="AK22">
            <v>0.61099999999999999</v>
          </cell>
          <cell r="AL22">
            <v>0.66300000000000003</v>
          </cell>
          <cell r="AM22">
            <v>0.65200000000000002</v>
          </cell>
          <cell r="AN22">
            <v>2.1509999999999998</v>
          </cell>
          <cell r="AO22">
            <v>2.4350000000000001</v>
          </cell>
          <cell r="AP22">
            <v>3.105</v>
          </cell>
          <cell r="AQ22">
            <v>4.3860000000000001</v>
          </cell>
          <cell r="AR22">
            <v>7.2469999999999999</v>
          </cell>
          <cell r="AS22">
            <v>6.2729999999999997</v>
          </cell>
          <cell r="AT22">
            <v>6.843</v>
          </cell>
          <cell r="AU22">
            <v>7.5329999999999995</v>
          </cell>
          <cell r="AV22">
            <v>10.664000000000001</v>
          </cell>
          <cell r="AW22">
            <v>10.967000000000001</v>
          </cell>
          <cell r="AX22">
            <v>9.0090000000000003</v>
          </cell>
          <cell r="AY22">
            <v>10.064</v>
          </cell>
          <cell r="AZ22">
            <v>11.942</v>
          </cell>
          <cell r="BA22">
            <v>14.468</v>
          </cell>
          <cell r="BB22">
            <v>8.5129999999999999</v>
          </cell>
          <cell r="BC22">
            <v>8.4469999999999992</v>
          </cell>
          <cell r="BD22">
            <v>9.9440000000000008</v>
          </cell>
          <cell r="BE22">
            <v>13.526</v>
          </cell>
          <cell r="BF22">
            <v>8.9759999999999991</v>
          </cell>
          <cell r="BG22">
            <v>10.839</v>
          </cell>
          <cell r="BH22">
            <v>10.744</v>
          </cell>
          <cell r="BI22">
            <v>11.427488007692306</v>
          </cell>
          <cell r="BJ22">
            <v>10.758767580000001</v>
          </cell>
          <cell r="BK22">
            <v>12.057680191188119</v>
          </cell>
          <cell r="BL22">
            <v>14.04859089168084</v>
          </cell>
          <cell r="BM22">
            <v>15.376961334596649</v>
          </cell>
          <cell r="BR22">
            <v>0</v>
          </cell>
          <cell r="BS22">
            <v>0</v>
          </cell>
          <cell r="BT22">
            <v>0</v>
          </cell>
          <cell r="BU22">
            <v>1.7810000000000001</v>
          </cell>
          <cell r="BV22">
            <v>1.8880000000000001</v>
          </cell>
          <cell r="BW22">
            <v>5.9009999999999998</v>
          </cell>
          <cell r="BX22">
            <v>21.010999999999999</v>
          </cell>
          <cell r="BY22">
            <v>36.006999999999998</v>
          </cell>
          <cell r="BZ22">
            <v>45.483000000000004</v>
          </cell>
          <cell r="CA22">
            <v>40.430000000000007</v>
          </cell>
          <cell r="CB22">
            <v>41.986488007692301</v>
          </cell>
          <cell r="CC22">
            <v>52.241999997465612</v>
          </cell>
        </row>
        <row r="24">
          <cell r="A24" t="str">
            <v>Earnings per Share (U.S.$)</v>
          </cell>
          <cell r="V24" t="e">
            <v>#DIV/0!</v>
          </cell>
          <cell r="W24" t="e">
            <v>#DIV/0!</v>
          </cell>
          <cell r="X24" t="e">
            <v>#DIV/0!</v>
          </cell>
          <cell r="Y24" t="e">
            <v>#DIV/0!</v>
          </cell>
          <cell r="Z24" t="e">
            <v>#DIV/0!</v>
          </cell>
          <cell r="AA24" t="e">
            <v>#DIV/0!</v>
          </cell>
          <cell r="AB24" t="e">
            <v>#DIV/0!</v>
          </cell>
          <cell r="AC24" t="e">
            <v>#DIV/0!</v>
          </cell>
          <cell r="AD24" t="e">
            <v>#DIV/0!</v>
          </cell>
          <cell r="AE24" t="e">
            <v>#DIV/0!</v>
          </cell>
          <cell r="AF24">
            <v>-2.1841708064067045E-2</v>
          </cell>
          <cell r="AG24">
            <v>-5.3919198136017928E-2</v>
          </cell>
          <cell r="AH24">
            <v>-2.2764906727627054E-2</v>
          </cell>
          <cell r="AI24">
            <v>3.2459425717852749E-3</v>
          </cell>
          <cell r="AJ24">
            <v>4.3621943159286129E-2</v>
          </cell>
          <cell r="AK24">
            <v>6.8935888962326483E-2</v>
          </cell>
          <cell r="AL24">
            <v>3.909818609091574E-2</v>
          </cell>
          <cell r="AM24">
            <v>4.7905227529146249E-2</v>
          </cell>
          <cell r="AN24">
            <v>7.529081796864226E-2</v>
          </cell>
          <cell r="AO24">
            <v>6.5128603730921317E-2</v>
          </cell>
          <cell r="AP24">
            <v>3.8495953417559257E-2</v>
          </cell>
          <cell r="AQ24">
            <v>5.3836085513703599E-2</v>
          </cell>
          <cell r="AR24">
            <v>8.6356694600941988E-2</v>
          </cell>
          <cell r="AS24">
            <v>0.10753852665123104</v>
          </cell>
          <cell r="AT24">
            <v>8.5304302976716789E-2</v>
          </cell>
          <cell r="AU24">
            <v>9.3320397591023077E-2</v>
          </cell>
          <cell r="AV24">
            <v>0.13212383062080074</v>
          </cell>
          <cell r="AW24">
            <v>0.13535758791526092</v>
          </cell>
          <cell r="AX24">
            <v>0.10839150291702612</v>
          </cell>
          <cell r="AY24">
            <v>0.12052197686392362</v>
          </cell>
          <cell r="AZ24">
            <v>0.13898231918988432</v>
          </cell>
          <cell r="BA24">
            <v>0.16822497080051499</v>
          </cell>
          <cell r="BB24">
            <v>0.1029835004737133</v>
          </cell>
          <cell r="BC24">
            <v>0.10205781887861384</v>
          </cell>
          <cell r="BD24">
            <v>0.11969810157352392</v>
          </cell>
          <cell r="BE24">
            <v>0.14628152516980217</v>
          </cell>
          <cell r="BF24">
            <v>0.10840263154764038</v>
          </cell>
          <cell r="BG24">
            <v>0.11075707624224074</v>
          </cell>
          <cell r="BH24">
            <v>0.11755348294614305</v>
          </cell>
          <cell r="BI24">
            <v>0.13567990368870891</v>
          </cell>
          <cell r="BJ24">
            <v>0.12774010771929822</v>
          </cell>
          <cell r="BK24">
            <v>0.14316224930171964</v>
          </cell>
          <cell r="BL24">
            <v>0.16680056525653311</v>
          </cell>
          <cell r="BM24">
            <v>0.18257246312563799</v>
          </cell>
          <cell r="BR24" t="e">
            <v>#DIV/0!</v>
          </cell>
          <cell r="BS24" t="e">
            <v>#DIV/0!</v>
          </cell>
          <cell r="BT24" t="e">
            <v>#DIV/0!</v>
          </cell>
          <cell r="BU24">
            <v>-0.11387582245277748</v>
          </cell>
          <cell r="BV24">
            <v>9.2933474252833034E-2</v>
          </cell>
          <cell r="BW24">
            <v>0.2271895685726639</v>
          </cell>
          <cell r="BX24">
            <v>0.28917964828189269</v>
          </cell>
          <cell r="BY24">
            <v>0.44635756535012394</v>
          </cell>
          <cell r="BZ24">
            <v>0.53637398994527896</v>
          </cell>
          <cell r="CA24">
            <v>0.4711881723304287</v>
          </cell>
          <cell r="CB24">
            <v>0.47267760131349007</v>
          </cell>
          <cell r="CC24">
            <v>0.62027538540318894</v>
          </cell>
          <cell r="CP24" t="str">
            <v>Revenue ($M)</v>
          </cell>
          <cell r="CS24">
            <v>79.814999999999998</v>
          </cell>
          <cell r="CT24">
            <v>123.46599999999999</v>
          </cell>
          <cell r="CU24">
            <v>155.36600000000001</v>
          </cell>
          <cell r="CV24">
            <v>211.791</v>
          </cell>
          <cell r="CW24">
            <v>252.114</v>
          </cell>
          <cell r="CX24">
            <v>324.69600000000003</v>
          </cell>
          <cell r="CZ24">
            <v>0.32397103534853411</v>
          </cell>
        </row>
        <row r="25">
          <cell r="A25" t="str">
            <v>Shares O/S</v>
          </cell>
          <cell r="AF25">
            <v>136.482</v>
          </cell>
          <cell r="AG25">
            <v>136.482</v>
          </cell>
          <cell r="AH25">
            <v>136.482</v>
          </cell>
          <cell r="AI25">
            <v>136.16999999999999</v>
          </cell>
          <cell r="AJ25">
            <v>136.16999999999999</v>
          </cell>
          <cell r="AK25">
            <v>136.16999999999999</v>
          </cell>
          <cell r="AL25">
            <v>136.16999999999999</v>
          </cell>
          <cell r="AM25">
            <v>132.94999999999999</v>
          </cell>
          <cell r="AN25">
            <v>130.494</v>
          </cell>
          <cell r="AO25">
            <v>141.52000000000001</v>
          </cell>
          <cell r="AP25">
            <v>149.756</v>
          </cell>
          <cell r="AQ25">
            <v>151.274</v>
          </cell>
          <cell r="AR25">
            <v>155.84200000000001</v>
          </cell>
          <cell r="AS25">
            <v>160.66800000000001</v>
          </cell>
          <cell r="AT25">
            <v>162.864</v>
          </cell>
          <cell r="AU25">
            <v>163.887</v>
          </cell>
          <cell r="AV25">
            <v>163.869</v>
          </cell>
          <cell r="AW25">
            <v>164.505</v>
          </cell>
          <cell r="AX25">
            <v>165.751</v>
          </cell>
          <cell r="AY25">
            <v>166.06100000000001</v>
          </cell>
          <cell r="AZ25">
            <v>166.791</v>
          </cell>
          <cell r="BA25">
            <v>166.95500000000001</v>
          </cell>
          <cell r="BB25">
            <v>167.82300000000001</v>
          </cell>
          <cell r="BC25">
            <v>168.042</v>
          </cell>
          <cell r="BD25">
            <v>168.666</v>
          </cell>
          <cell r="BE25">
            <v>168.87299999999999</v>
          </cell>
          <cell r="BF25">
            <v>168.114</v>
          </cell>
          <cell r="BG25">
            <v>168.345</v>
          </cell>
          <cell r="BH25">
            <v>169.727</v>
          </cell>
          <cell r="BI25">
            <v>171</v>
          </cell>
          <cell r="BJ25">
            <v>171</v>
          </cell>
          <cell r="BK25">
            <v>171</v>
          </cell>
          <cell r="BL25">
            <v>171</v>
          </cell>
          <cell r="BM25">
            <v>171</v>
          </cell>
          <cell r="BR25" t="e">
            <v>#DIV/0!</v>
          </cell>
          <cell r="BS25" t="e">
            <v>#DIV/0!</v>
          </cell>
          <cell r="BT25" t="e">
            <v>#DIV/0!</v>
          </cell>
          <cell r="BU25">
            <v>136.482</v>
          </cell>
          <cell r="BV25">
            <v>136.24799999999999</v>
          </cell>
          <cell r="BW25">
            <v>135.2835</v>
          </cell>
          <cell r="BX25">
            <v>154.38499999999999</v>
          </cell>
          <cell r="BY25">
            <v>163.78125</v>
          </cell>
          <cell r="BZ25">
            <v>166.3895</v>
          </cell>
          <cell r="CA25">
            <v>168.351</v>
          </cell>
          <cell r="CB25">
            <v>169.29650000000001</v>
          </cell>
          <cell r="CC25">
            <v>171</v>
          </cell>
          <cell r="CP25" t="str">
            <v>Y/Y Growth in Revenue</v>
          </cell>
          <cell r="CS25" t="str">
            <v>na</v>
          </cell>
          <cell r="CT25">
            <v>0.5469022113637787</v>
          </cell>
          <cell r="CU25">
            <v>0.25837072554387452</v>
          </cell>
          <cell r="CV25">
            <v>0.36317469716669004</v>
          </cell>
          <cell r="CW25">
            <v>0.19039052650962507</v>
          </cell>
          <cell r="CX25">
            <v>0.28789357195554399</v>
          </cell>
        </row>
        <row r="51">
          <cell r="A51" t="str">
            <v>DSO (based on recognized rev.)</v>
          </cell>
          <cell r="V51" t="e">
            <v>#DIV/0!</v>
          </cell>
          <cell r="W51" t="e">
            <v>#DIV/0!</v>
          </cell>
          <cell r="X51" t="e">
            <v>#DIV/0!</v>
          </cell>
          <cell r="Y51" t="e">
            <v>#DIV/0!</v>
          </cell>
          <cell r="Z51" t="e">
            <v>#DIV/0!</v>
          </cell>
          <cell r="AA51" t="e">
            <v>#DIV/0!</v>
          </cell>
          <cell r="AB51" t="e">
            <v>#DIV/0!</v>
          </cell>
          <cell r="AC51" t="e">
            <v>#DIV/0!</v>
          </cell>
          <cell r="AD51">
            <v>69.659547411924507</v>
          </cell>
          <cell r="AE51">
            <v>58.666615134884438</v>
          </cell>
          <cell r="AF51">
            <v>57.922210048520903</v>
          </cell>
          <cell r="AG51">
            <v>56.694635488308116</v>
          </cell>
          <cell r="AH51">
            <v>58.064198933659647</v>
          </cell>
          <cell r="AI51">
            <v>56.49513768626182</v>
          </cell>
          <cell r="AJ51">
            <v>63.792590142242815</v>
          </cell>
          <cell r="AK51">
            <v>70.156604476348491</v>
          </cell>
          <cell r="AL51">
            <v>67.366313614053212</v>
          </cell>
          <cell r="AM51">
            <v>63.882468008802675</v>
          </cell>
          <cell r="AN51">
            <v>60.274201384671443</v>
          </cell>
          <cell r="AO51">
            <v>69.431771577265224</v>
          </cell>
          <cell r="AP51">
            <v>66.170212765957444</v>
          </cell>
          <cell r="AQ51">
            <v>70.515779958339337</v>
          </cell>
          <cell r="AR51">
            <v>63.087170917136426</v>
          </cell>
          <cell r="AS51">
            <v>69.554589258432244</v>
          </cell>
          <cell r="AT51">
            <v>68.828297557523626</v>
          </cell>
          <cell r="AU51">
            <v>63.083777408928107</v>
          </cell>
          <cell r="AV51">
            <v>58.622214969164958</v>
          </cell>
          <cell r="AW51">
            <v>71.131134112741094</v>
          </cell>
          <cell r="AX51">
            <v>65.061877915852861</v>
          </cell>
          <cell r="AY51">
            <v>66.543555465951201</v>
          </cell>
          <cell r="AZ51">
            <v>59.337995714327654</v>
          </cell>
          <cell r="BA51">
            <v>64.088726002566787</v>
          </cell>
          <cell r="BB51">
            <v>67.827345015461646</v>
          </cell>
          <cell r="BC51">
            <v>66.484182109232975</v>
          </cell>
          <cell r="BD51">
            <v>62.716501076283635</v>
          </cell>
          <cell r="BE51">
            <v>66.210262193402883</v>
          </cell>
          <cell r="BF51">
            <v>59.390762892944032</v>
          </cell>
          <cell r="BG51">
            <v>62.491037206998151</v>
          </cell>
          <cell r="BH51">
            <v>54.1737178558868</v>
          </cell>
          <cell r="BI51">
            <v>70</v>
          </cell>
          <cell r="BJ51">
            <v>65</v>
          </cell>
          <cell r="BK51">
            <v>63</v>
          </cell>
          <cell r="BL51">
            <v>65</v>
          </cell>
          <cell r="BM51">
            <v>68</v>
          </cell>
        </row>
        <row r="54">
          <cell r="A54" t="str">
            <v>Deferred Revenues</v>
          </cell>
          <cell r="U54">
            <v>47.52</v>
          </cell>
          <cell r="V54">
            <v>0</v>
          </cell>
          <cell r="W54">
            <v>0</v>
          </cell>
          <cell r="X54">
            <v>0</v>
          </cell>
          <cell r="Y54">
            <v>74.504000000000005</v>
          </cell>
          <cell r="Z54">
            <v>0</v>
          </cell>
          <cell r="AA54">
            <v>0</v>
          </cell>
          <cell r="AB54">
            <v>0</v>
          </cell>
          <cell r="AC54">
            <v>93.376000000000005</v>
          </cell>
          <cell r="AD54">
            <v>101.41900000000001</v>
          </cell>
          <cell r="AE54">
            <v>111.04300000000001</v>
          </cell>
          <cell r="AF54">
            <v>119.429</v>
          </cell>
          <cell r="AG54">
            <v>131.255</v>
          </cell>
          <cell r="AH54">
            <v>141.98400000000001</v>
          </cell>
          <cell r="AI54">
            <v>153.178</v>
          </cell>
          <cell r="AJ54">
            <v>158.107</v>
          </cell>
          <cell r="AK54">
            <v>171.61699999999999</v>
          </cell>
          <cell r="AL54">
            <v>177.61099999999999</v>
          </cell>
          <cell r="AM54">
            <v>185.06899999999999</v>
          </cell>
          <cell r="AN54">
            <v>190.375</v>
          </cell>
          <cell r="AO54">
            <v>201.93</v>
          </cell>
          <cell r="AP54">
            <v>211.53699999999998</v>
          </cell>
          <cell r="AQ54">
            <v>225.52099999999999</v>
          </cell>
          <cell r="AR54">
            <v>235.25</v>
          </cell>
          <cell r="AS54">
            <v>252.631</v>
          </cell>
          <cell r="AT54">
            <v>266.029</v>
          </cell>
          <cell r="AU54">
            <v>273.19899999999996</v>
          </cell>
          <cell r="AV54">
            <v>275.12599999999998</v>
          </cell>
          <cell r="AW54">
            <v>294.83299999999997</v>
          </cell>
          <cell r="AX54">
            <v>314.572</v>
          </cell>
          <cell r="AY54">
            <v>331.36799999999999</v>
          </cell>
          <cell r="AZ54">
            <v>340.07800000000003</v>
          </cell>
          <cell r="BA54">
            <v>363.185</v>
          </cell>
          <cell r="BB54">
            <v>376.41399999999999</v>
          </cell>
          <cell r="BC54">
            <v>389.68200000000002</v>
          </cell>
          <cell r="BD54">
            <v>400.173</v>
          </cell>
          <cell r="BE54">
            <v>432.62799999999999</v>
          </cell>
          <cell r="BF54">
            <v>451.303</v>
          </cell>
          <cell r="BG54">
            <v>480.202</v>
          </cell>
          <cell r="BH54">
            <v>500.012</v>
          </cell>
          <cell r="BI54">
            <v>537.76290599999993</v>
          </cell>
          <cell r="BJ54">
            <v>557.35089967670456</v>
          </cell>
          <cell r="BK54">
            <v>576.99664010323102</v>
          </cell>
          <cell r="BL54">
            <v>592.53051580527267</v>
          </cell>
          <cell r="BM54">
            <v>635.7852434590576</v>
          </cell>
          <cell r="BR54">
            <v>47.52</v>
          </cell>
          <cell r="BS54">
            <v>74.504000000000005</v>
          </cell>
          <cell r="BT54">
            <v>93.376000000000005</v>
          </cell>
          <cell r="BU54">
            <v>131.255</v>
          </cell>
          <cell r="BV54">
            <v>171.61699999999999</v>
          </cell>
          <cell r="BW54">
            <v>201.93</v>
          </cell>
          <cell r="BX54">
            <v>252.631</v>
          </cell>
          <cell r="BY54">
            <v>294.83299999999997</v>
          </cell>
          <cell r="BZ54">
            <v>363.185</v>
          </cell>
          <cell r="CA54">
            <v>432.62799999999999</v>
          </cell>
          <cell r="CB54">
            <v>537.76290599999993</v>
          </cell>
          <cell r="CC54">
            <v>635.7852434590576</v>
          </cell>
        </row>
        <row r="55">
          <cell r="A55" t="str">
            <v>Billings/Bookings</v>
          </cell>
          <cell r="V55">
            <v>-47.52</v>
          </cell>
          <cell r="W55">
            <v>0</v>
          </cell>
          <cell r="X55">
            <v>0</v>
          </cell>
          <cell r="Y55">
            <v>74.504000000000005</v>
          </cell>
          <cell r="Z55">
            <v>-74.504000000000005</v>
          </cell>
          <cell r="AA55">
            <v>0</v>
          </cell>
          <cell r="AB55">
            <v>0</v>
          </cell>
          <cell r="AC55">
            <v>93.376000000000005</v>
          </cell>
          <cell r="AD55">
            <v>42.644000000000005</v>
          </cell>
          <cell r="AE55">
            <v>48.434999999999995</v>
          </cell>
          <cell r="AF55">
            <v>46.719999999999992</v>
          </cell>
          <cell r="AG55">
            <v>55.445999999999998</v>
          </cell>
          <cell r="AH55">
            <v>56.493000000000016</v>
          </cell>
          <cell r="AI55">
            <v>63.740999999999985</v>
          </cell>
          <cell r="AJ55">
            <v>59.342999999999996</v>
          </cell>
          <cell r="AK55">
            <v>72.575999999999993</v>
          </cell>
          <cell r="AL55">
            <v>60.188000000000002</v>
          </cell>
          <cell r="AM55">
            <v>68.802999999999997</v>
          </cell>
          <cell r="AN55">
            <v>71.170000000000016</v>
          </cell>
          <cell r="AO55">
            <v>82.265999999999991</v>
          </cell>
          <cell r="AP55">
            <v>79.401999999999973</v>
          </cell>
          <cell r="AQ55">
            <v>90.315000000000012</v>
          </cell>
          <cell r="AR55">
            <v>94.700000000000017</v>
          </cell>
          <cell r="AS55">
            <v>110.97999999999999</v>
          </cell>
          <cell r="AT55">
            <v>106.664</v>
          </cell>
          <cell r="AU55">
            <v>110.19299999999997</v>
          </cell>
          <cell r="AV55">
            <v>118.35300000000002</v>
          </cell>
          <cell r="AW55">
            <v>140.56799999999998</v>
          </cell>
          <cell r="AX55">
            <v>136.98600000000005</v>
          </cell>
          <cell r="AY55">
            <v>145.75800000000001</v>
          </cell>
          <cell r="AZ55">
            <v>144.97800000000004</v>
          </cell>
          <cell r="BA55">
            <v>174.26899999999995</v>
          </cell>
          <cell r="BB55">
            <v>149.04899999999998</v>
          </cell>
          <cell r="BC55">
            <v>160.69600000000005</v>
          </cell>
          <cell r="BD55">
            <v>165.18999999999997</v>
          </cell>
          <cell r="BE55">
            <v>209.80499999999998</v>
          </cell>
          <cell r="BF55">
            <v>187.624</v>
          </cell>
          <cell r="BG55">
            <v>212.99340000000001</v>
          </cell>
          <cell r="BH55">
            <v>213.15800000000002</v>
          </cell>
          <cell r="BI55">
            <v>247.85705984615382</v>
          </cell>
          <cell r="BJ55">
            <v>210.25599367670461</v>
          </cell>
          <cell r="BK55">
            <v>223.36078003048686</v>
          </cell>
          <cell r="BL55">
            <v>238.86624341841761</v>
          </cell>
          <cell r="BM55">
            <v>277.37878631523972</v>
          </cell>
          <cell r="BR55">
            <v>86.253</v>
          </cell>
          <cell r="BS55">
            <v>106.79900000000001</v>
          </cell>
          <cell r="BT55">
            <v>142.33799999999999</v>
          </cell>
          <cell r="BU55">
            <v>193.245</v>
          </cell>
          <cell r="BV55">
            <v>252.15299999999999</v>
          </cell>
          <cell r="BW55">
            <v>282.42700000000002</v>
          </cell>
          <cell r="BX55">
            <v>375.39700000000005</v>
          </cell>
          <cell r="BY55">
            <v>475.77800000000002</v>
          </cell>
          <cell r="BZ55">
            <v>601.99099999999999</v>
          </cell>
          <cell r="CA55">
            <v>684.74</v>
          </cell>
          <cell r="CB55">
            <v>861.63245984615378</v>
          </cell>
          <cell r="CC55">
            <v>949.8618034408488</v>
          </cell>
        </row>
        <row r="56">
          <cell r="A56" t="str">
            <v>Cash Flow From Operations</v>
          </cell>
          <cell r="V56">
            <v>0</v>
          </cell>
          <cell r="W56">
            <v>0</v>
          </cell>
          <cell r="X56">
            <v>0</v>
          </cell>
          <cell r="Y56">
            <v>0</v>
          </cell>
          <cell r="Z56">
            <v>0</v>
          </cell>
          <cell r="AA56">
            <v>0</v>
          </cell>
          <cell r="AB56">
            <v>0</v>
          </cell>
          <cell r="AC56">
            <v>3.4089999999999989</v>
          </cell>
          <cell r="AD56">
            <v>8.1649999999999991</v>
          </cell>
          <cell r="AE56">
            <v>9.98</v>
          </cell>
          <cell r="AF56">
            <v>6.3739999999999997</v>
          </cell>
          <cell r="AG56">
            <v>3.15</v>
          </cell>
          <cell r="AH56">
            <v>9.7700000000000049</v>
          </cell>
          <cell r="AI56">
            <v>6.0729999999999951</v>
          </cell>
          <cell r="AJ56">
            <v>3.2630000000000003</v>
          </cell>
          <cell r="AK56">
            <v>18.579999999999995</v>
          </cell>
          <cell r="AL56">
            <v>18.137</v>
          </cell>
          <cell r="AM56">
            <v>11.756000000000006</v>
          </cell>
          <cell r="AN56">
            <v>15.863</v>
          </cell>
          <cell r="AO56">
            <v>16.214000000000002</v>
          </cell>
          <cell r="AP56">
            <v>21.815999999999999</v>
          </cell>
          <cell r="AQ56">
            <v>17.95</v>
          </cell>
          <cell r="AR56">
            <v>32.193000000000005</v>
          </cell>
          <cell r="AS56">
            <v>31.423999999999999</v>
          </cell>
          <cell r="AT56">
            <v>40.176000000000002</v>
          </cell>
          <cell r="AU56">
            <v>34.067999999999998</v>
          </cell>
          <cell r="AV56">
            <v>36.038999999999994</v>
          </cell>
          <cell r="AW56">
            <v>22.559000000000008</v>
          </cell>
          <cell r="AX56">
            <v>48.518000000000001</v>
          </cell>
          <cell r="AY56">
            <v>44.284999999999997</v>
          </cell>
          <cell r="AZ56">
            <v>40.770000000000003</v>
          </cell>
          <cell r="BA56">
            <v>50.293000000000006</v>
          </cell>
          <cell r="BB56">
            <v>38.110999999999997</v>
          </cell>
          <cell r="BC56">
            <v>37.221000000000004</v>
          </cell>
          <cell r="BD56">
            <v>25.383999999999993</v>
          </cell>
          <cell r="BE56">
            <v>46.667999999999999</v>
          </cell>
          <cell r="BF56">
            <v>60.902000000000001</v>
          </cell>
          <cell r="BG56">
            <v>43.798000000000002</v>
          </cell>
          <cell r="BH56">
            <v>56.517999999999994</v>
          </cell>
          <cell r="BI56">
            <v>46.245096541918457</v>
          </cell>
          <cell r="BJ56">
            <v>75.813965569560906</v>
          </cell>
          <cell r="BK56">
            <v>48.518055169161507</v>
          </cell>
          <cell r="BL56">
            <v>28.730479249015588</v>
          </cell>
          <cell r="BM56">
            <v>93.42189901430325</v>
          </cell>
          <cell r="BR56">
            <v>0</v>
          </cell>
          <cell r="BS56">
            <v>0</v>
          </cell>
          <cell r="BT56">
            <v>3.4089999999999989</v>
          </cell>
          <cell r="BU56">
            <v>27.668999999999997</v>
          </cell>
          <cell r="BV56">
            <v>37.685999999999993</v>
          </cell>
          <cell r="BW56">
            <v>61.970000000000013</v>
          </cell>
          <cell r="BX56">
            <v>103.38300000000001</v>
          </cell>
          <cell r="BY56">
            <v>132.84199999999998</v>
          </cell>
          <cell r="BZ56">
            <v>183.86600000000001</v>
          </cell>
          <cell r="CA56">
            <v>147.38399999999999</v>
          </cell>
          <cell r="CB56">
            <v>207.46309654191845</v>
          </cell>
          <cell r="CC56">
            <v>246.48439900204124</v>
          </cell>
        </row>
        <row r="57">
          <cell r="A57" t="str">
            <v>Cash Flow From Ops/Share</v>
          </cell>
          <cell r="V57" t="e">
            <v>#DIV/0!</v>
          </cell>
          <cell r="W57" t="e">
            <v>#DIV/0!</v>
          </cell>
          <cell r="X57" t="e">
            <v>#DIV/0!</v>
          </cell>
          <cell r="Y57" t="e">
            <v>#DIV/0!</v>
          </cell>
          <cell r="Z57" t="e">
            <v>#DIV/0!</v>
          </cell>
          <cell r="AA57" t="e">
            <v>#DIV/0!</v>
          </cell>
          <cell r="AB57" t="e">
            <v>#DIV/0!</v>
          </cell>
          <cell r="AC57" t="e">
            <v>#DIV/0!</v>
          </cell>
          <cell r="AD57" t="e">
            <v>#DIV/0!</v>
          </cell>
          <cell r="AE57" t="e">
            <v>#DIV/0!</v>
          </cell>
          <cell r="AF57">
            <v>4.6702129218505001E-2</v>
          </cell>
          <cell r="AG57">
            <v>2.3079966589000748E-2</v>
          </cell>
          <cell r="AH57">
            <v>7.1584531293503936E-2</v>
          </cell>
          <cell r="AI57">
            <v>4.4598663435411585E-2</v>
          </cell>
          <cell r="AJ57">
            <v>2.3962693691708899E-2</v>
          </cell>
          <cell r="AK57">
            <v>0.13644708819857529</v>
          </cell>
          <cell r="AL57">
            <v>0.13319380186531543</v>
          </cell>
          <cell r="AM57">
            <v>8.842421963144044E-2</v>
          </cell>
          <cell r="AN57">
            <v>0.12156114457369688</v>
          </cell>
          <cell r="AO57">
            <v>0.11457037874505371</v>
          </cell>
          <cell r="AP57">
            <v>0.14567696786773152</v>
          </cell>
          <cell r="AQ57">
            <v>0.11865885743749752</v>
          </cell>
          <cell r="AR57">
            <v>0.20657460761540536</v>
          </cell>
          <cell r="AS57">
            <v>0.19558343914158388</v>
          </cell>
          <cell r="AT57">
            <v>0.24668435013262599</v>
          </cell>
          <cell r="AU57">
            <v>0.20787493821962694</v>
          </cell>
          <cell r="AV57">
            <v>0.21992567233582919</v>
          </cell>
          <cell r="AW57">
            <v>0.13713260995106538</v>
          </cell>
          <cell r="AX57">
            <v>0.29271618270779665</v>
          </cell>
          <cell r="AY57">
            <v>0.26667911189261773</v>
          </cell>
          <cell r="AZ57">
            <v>0.24443764951346297</v>
          </cell>
          <cell r="BA57">
            <v>0.30123686023179902</v>
          </cell>
          <cell r="BB57">
            <v>0.22709044648230572</v>
          </cell>
          <cell r="BC57">
            <v>0.2214981968793516</v>
          </cell>
          <cell r="BD57">
            <v>0.15049861857161487</v>
          </cell>
          <cell r="BE57">
            <v>0.27634968289779893</v>
          </cell>
          <cell r="BF57">
            <v>0.3622660813495604</v>
          </cell>
          <cell r="BG57">
            <v>0.26016810716088984</v>
          </cell>
          <cell r="BH57">
            <v>0.33299357203037816</v>
          </cell>
          <cell r="BI57">
            <v>0.27043916106385063</v>
          </cell>
          <cell r="BJ57">
            <v>0.4433565237986018</v>
          </cell>
          <cell r="BK57">
            <v>0.28373131677872226</v>
          </cell>
          <cell r="BL57">
            <v>0.16801449853225489</v>
          </cell>
          <cell r="BM57">
            <v>0.5463268948204868</v>
          </cell>
          <cell r="BR57">
            <v>0</v>
          </cell>
          <cell r="BS57" t="e">
            <v>#DIV/0!</v>
          </cell>
          <cell r="BT57" t="e">
            <v>#DIV/0!</v>
          </cell>
          <cell r="BU57">
            <v>0.20273003033367035</v>
          </cell>
          <cell r="BV57">
            <v>0.27659297661919968</v>
          </cell>
          <cell r="BW57">
            <v>0.45774954481550645</v>
          </cell>
          <cell r="BX57">
            <v>0.66649387206221822</v>
          </cell>
          <cell r="BY57">
            <v>0.81161757063914741</v>
          </cell>
          <cell r="BZ57">
            <v>1.1050698043456764</v>
          </cell>
          <cell r="CA57">
            <v>0.87543694483107115</v>
          </cell>
          <cell r="CB57">
            <v>1.2258669216046791</v>
          </cell>
          <cell r="CC57">
            <v>1.4414292339300658</v>
          </cell>
        </row>
        <row r="59">
          <cell r="A59" t="str">
            <v>Free Cash Flow</v>
          </cell>
          <cell r="V59">
            <v>0</v>
          </cell>
          <cell r="W59">
            <v>0</v>
          </cell>
          <cell r="X59">
            <v>0</v>
          </cell>
          <cell r="Y59">
            <v>0</v>
          </cell>
          <cell r="Z59">
            <v>0</v>
          </cell>
          <cell r="AA59">
            <v>0</v>
          </cell>
          <cell r="AB59">
            <v>0</v>
          </cell>
          <cell r="AC59">
            <v>2.2219999999999986</v>
          </cell>
          <cell r="AD59">
            <v>8.1649999999999991</v>
          </cell>
          <cell r="AE59">
            <v>9.98</v>
          </cell>
          <cell r="AF59">
            <v>6.3739999999999997</v>
          </cell>
          <cell r="AG59">
            <v>1.1219999999999999</v>
          </cell>
          <cell r="AH59">
            <v>8.6290000000000049</v>
          </cell>
          <cell r="AI59">
            <v>6.0199999999999951</v>
          </cell>
          <cell r="AJ59">
            <v>3.5090000000000003</v>
          </cell>
          <cell r="AK59">
            <v>16.729999999999993</v>
          </cell>
          <cell r="AL59">
            <v>14.809000000000001</v>
          </cell>
          <cell r="AM59">
            <v>12.073000000000006</v>
          </cell>
          <cell r="AN59">
            <v>14.620999999999999</v>
          </cell>
          <cell r="AO59">
            <v>15.878000000000002</v>
          </cell>
          <cell r="AP59">
            <v>20.802</v>
          </cell>
          <cell r="AQ59">
            <v>16.734999999999999</v>
          </cell>
          <cell r="AR59">
            <v>31.522000000000006</v>
          </cell>
          <cell r="AS59">
            <v>30.547999999999998</v>
          </cell>
          <cell r="AT59">
            <v>39.481999999999999</v>
          </cell>
          <cell r="AU59">
            <v>33.311999999999998</v>
          </cell>
          <cell r="AV59">
            <v>34.703999999999994</v>
          </cell>
          <cell r="AW59">
            <v>21.72000000000001</v>
          </cell>
          <cell r="AX59">
            <v>46.893999999999998</v>
          </cell>
          <cell r="AY59">
            <v>42.053999999999995</v>
          </cell>
          <cell r="AZ59">
            <v>24.342000000000002</v>
          </cell>
          <cell r="BA59">
            <v>48.493000000000009</v>
          </cell>
          <cell r="BB59">
            <v>36.576999999999998</v>
          </cell>
          <cell r="BC59">
            <v>35.186000000000007</v>
          </cell>
          <cell r="BD59">
            <v>22.223999999999993</v>
          </cell>
          <cell r="BE59">
            <v>39.519999999999996</v>
          </cell>
          <cell r="BF59">
            <v>49.584000000000003</v>
          </cell>
          <cell r="BG59">
            <v>34.094000000000001</v>
          </cell>
          <cell r="BH59">
            <v>50.737999999999992</v>
          </cell>
          <cell r="BI59">
            <v>39.245096541918457</v>
          </cell>
          <cell r="BJ59">
            <v>68.887965569560905</v>
          </cell>
          <cell r="BK59">
            <v>42.148555169161504</v>
          </cell>
          <cell r="BL59">
            <v>17.126479249015588</v>
          </cell>
          <cell r="BM59">
            <v>85.847899014303252</v>
          </cell>
          <cell r="BR59">
            <v>0</v>
          </cell>
          <cell r="BS59">
            <v>0</v>
          </cell>
          <cell r="BT59">
            <v>2.2219999999999986</v>
          </cell>
          <cell r="BU59">
            <v>25.640999999999998</v>
          </cell>
          <cell r="BV59">
            <v>34.887999999999991</v>
          </cell>
          <cell r="BW59">
            <v>57.381000000000014</v>
          </cell>
          <cell r="BX59">
            <v>99.607000000000014</v>
          </cell>
          <cell r="BY59">
            <v>129.21799999999999</v>
          </cell>
          <cell r="BZ59">
            <v>161.78300000000002</v>
          </cell>
          <cell r="CA59">
            <v>133.50699999999998</v>
          </cell>
          <cell r="CB59">
            <v>173.66109654191845</v>
          </cell>
          <cell r="CC59">
            <v>214.01089900204124</v>
          </cell>
        </row>
        <row r="60">
          <cell r="A60" t="str">
            <v>Free Cash Flow/Share</v>
          </cell>
          <cell r="V60" t="e">
            <v>#DIV/0!</v>
          </cell>
          <cell r="W60" t="e">
            <v>#DIV/0!</v>
          </cell>
          <cell r="X60" t="e">
            <v>#DIV/0!</v>
          </cell>
          <cell r="Y60" t="e">
            <v>#DIV/0!</v>
          </cell>
          <cell r="Z60" t="e">
            <v>#DIV/0!</v>
          </cell>
          <cell r="AA60" t="e">
            <v>#DIV/0!</v>
          </cell>
          <cell r="AB60" t="e">
            <v>#DIV/0!</v>
          </cell>
          <cell r="AC60" t="e">
            <v>#DIV/0!</v>
          </cell>
          <cell r="AD60" t="e">
            <v>#DIV/0!</v>
          </cell>
          <cell r="AE60" t="e">
            <v>#DIV/0!</v>
          </cell>
          <cell r="AF60">
            <v>4.6702129218505001E-2</v>
          </cell>
          <cell r="AG60">
            <v>8.2208642897964555E-3</v>
          </cell>
          <cell r="AH60">
            <v>6.3224454506821445E-2</v>
          </cell>
          <cell r="AI60">
            <v>4.4209444077256341E-2</v>
          </cell>
          <cell r="AJ60">
            <v>2.5769259014467215E-2</v>
          </cell>
          <cell r="AK60">
            <v>0.12286112947051477</v>
          </cell>
          <cell r="AL60">
            <v>0.10875376367775576</v>
          </cell>
          <cell r="AM60">
            <v>9.0808574652124913E-2</v>
          </cell>
          <cell r="AN60">
            <v>0.11204346559995094</v>
          </cell>
          <cell r="AO60">
            <v>0.11219615602035049</v>
          </cell>
          <cell r="AP60">
            <v>0.13890595368466038</v>
          </cell>
          <cell r="AQ60">
            <v>0.11062707405105966</v>
          </cell>
          <cell r="AR60">
            <v>0.20226896472067865</v>
          </cell>
          <cell r="AS60">
            <v>0.19013120223068686</v>
          </cell>
          <cell r="AT60">
            <v>0.24242312604381569</v>
          </cell>
          <cell r="AU60">
            <v>0.20326200369766972</v>
          </cell>
          <cell r="AV60">
            <v>0.21177892096735804</v>
          </cell>
          <cell r="AW60">
            <v>0.13203246101942195</v>
          </cell>
          <cell r="AX60">
            <v>0.28291835343376509</v>
          </cell>
          <cell r="AY60">
            <v>0.25324428974894764</v>
          </cell>
          <cell r="AZ60">
            <v>0.14594312642768498</v>
          </cell>
          <cell r="BA60">
            <v>0.2904555119643018</v>
          </cell>
          <cell r="BB60">
            <v>0.21794986384464582</v>
          </cell>
          <cell r="BC60">
            <v>0.20938812915818669</v>
          </cell>
          <cell r="BD60">
            <v>0.13176336665362309</v>
          </cell>
          <cell r="BE60">
            <v>0.23402201654497759</v>
          </cell>
          <cell r="BF60">
            <v>0.294942717441736</v>
          </cell>
          <cell r="BG60">
            <v>0.2025245775045294</v>
          </cell>
          <cell r="BH60">
            <v>0.29893888420816955</v>
          </cell>
          <cell r="BI60">
            <v>0.22950348854923075</v>
          </cell>
          <cell r="BJ60">
            <v>0.40285359982199359</v>
          </cell>
          <cell r="BK60">
            <v>0.24648277876702634</v>
          </cell>
          <cell r="BL60">
            <v>0.10015484940944788</v>
          </cell>
          <cell r="BM60">
            <v>0.50203449715966819</v>
          </cell>
          <cell r="BR60" t="e">
            <v>#DIV/0!</v>
          </cell>
          <cell r="BS60" t="e">
            <v>#DIV/0!</v>
          </cell>
          <cell r="BT60" t="e">
            <v>#DIV/0!</v>
          </cell>
          <cell r="BU60">
            <v>0.18787092803446606</v>
          </cell>
          <cell r="BV60">
            <v>0.25606247431154949</v>
          </cell>
          <cell r="BW60">
            <v>0.42415372162902359</v>
          </cell>
          <cell r="BX60">
            <v>0.64518573695631065</v>
          </cell>
          <cell r="BY60">
            <v>0.78896699103224566</v>
          </cell>
          <cell r="BZ60">
            <v>0.97231495977811111</v>
          </cell>
          <cell r="CA60">
            <v>0.79302766244334744</v>
          </cell>
          <cell r="CB60">
            <v>1.0257807842567239</v>
          </cell>
          <cell r="CC60">
            <v>1.251525725158136</v>
          </cell>
        </row>
        <row r="79">
          <cell r="A79" t="str">
            <v>S&amp;M</v>
          </cell>
          <cell r="V79" t="e">
            <v>#DIV/0!</v>
          </cell>
          <cell r="W79" t="e">
            <v>#DIV/0!</v>
          </cell>
          <cell r="X79" t="e">
            <v>#DIV/0!</v>
          </cell>
          <cell r="Y79" t="e">
            <v>#DIV/0!</v>
          </cell>
          <cell r="Z79" t="e">
            <v>#DIV/0!</v>
          </cell>
          <cell r="AA79" t="e">
            <v>#DIV/0!</v>
          </cell>
          <cell r="AB79" t="e">
            <v>#DIV/0!</v>
          </cell>
          <cell r="AC79" t="e">
            <v>#DIV/0!</v>
          </cell>
          <cell r="AD79">
            <v>0.42498771711800237</v>
          </cell>
          <cell r="AE79">
            <v>0.43083146530622762</v>
          </cell>
          <cell r="AF79">
            <v>0.43728804716439712</v>
          </cell>
          <cell r="AG79">
            <v>0.45946813388353963</v>
          </cell>
          <cell r="AH79">
            <v>0.45881041866969668</v>
          </cell>
          <cell r="AI79">
            <v>0.42341142215540373</v>
          </cell>
          <cell r="AJ79">
            <v>0.38201565773514179</v>
          </cell>
          <cell r="AK79">
            <v>0.35844648359462294</v>
          </cell>
          <cell r="AL79">
            <v>0.38969258589511757</v>
          </cell>
          <cell r="AM79">
            <v>0.38550819137664033</v>
          </cell>
          <cell r="AN79">
            <v>0.34466476375561761</v>
          </cell>
          <cell r="AO79">
            <v>0.3648795802633254</v>
          </cell>
          <cell r="AP79">
            <v>0.37047066408768536</v>
          </cell>
          <cell r="AQ79">
            <v>0.35215050241710449</v>
          </cell>
          <cell r="AR79">
            <v>0.30563368678725678</v>
          </cell>
          <cell r="AS79">
            <v>0.31465079755125591</v>
          </cell>
          <cell r="AT79">
            <v>0.33043123968005494</v>
          </cell>
          <cell r="AU79">
            <v>0.33211030546576981</v>
          </cell>
          <cell r="AV79">
            <v>0.2939721368079295</v>
          </cell>
          <cell r="AW79">
            <v>0.3057065554645419</v>
          </cell>
          <cell r="AX79">
            <v>0.32915980792685529</v>
          </cell>
          <cell r="AY79">
            <v>0.31624819714334451</v>
          </cell>
          <cell r="AZ79">
            <v>0.29987964892711427</v>
          </cell>
          <cell r="BA79">
            <v>0.30510974980484518</v>
          </cell>
          <cell r="BB79">
            <v>0.3376380503607716</v>
          </cell>
          <cell r="BC79">
            <v>0.34866511110508175</v>
          </cell>
          <cell r="BD79">
            <v>0.33272354701711065</v>
          </cell>
          <cell r="BE79">
            <v>0.31988722864392444</v>
          </cell>
          <cell r="BF79">
            <v>0.36448869185375465</v>
          </cell>
          <cell r="BG79">
            <v>0.37518794705325087</v>
          </cell>
          <cell r="BH79">
            <v>0.37774375737013055</v>
          </cell>
          <cell r="BI79">
            <v>0.37</v>
          </cell>
          <cell r="BJ79">
            <v>0.35299999999999998</v>
          </cell>
          <cell r="BK79">
            <v>0.35199999999999998</v>
          </cell>
          <cell r="BL79">
            <v>0.35099999999999998</v>
          </cell>
          <cell r="BM79">
            <v>0.34946452844040327</v>
          </cell>
          <cell r="BR79">
            <v>0</v>
          </cell>
          <cell r="BS79">
            <v>0</v>
          </cell>
          <cell r="BT79">
            <v>0</v>
          </cell>
          <cell r="BU79">
            <v>0.43916300863766838</v>
          </cell>
          <cell r="BV79">
            <v>0.40230699132635478</v>
          </cell>
          <cell r="BW79">
            <v>0.36995168852185911</v>
          </cell>
          <cell r="BX79">
            <v>0.33310542784635466</v>
          </cell>
          <cell r="BY79">
            <v>0.31414792331678881</v>
          </cell>
          <cell r="BZ79">
            <v>0.31175007823641088</v>
          </cell>
          <cell r="CA79">
            <v>0.33392816802292224</v>
          </cell>
          <cell r="CB79">
            <v>0.37201082210017211</v>
          </cell>
          <cell r="CC79">
            <v>0.35126479191810156</v>
          </cell>
        </row>
        <row r="80">
          <cell r="A80" t="str">
            <v>R&amp;D</v>
          </cell>
          <cell r="V80" t="e">
            <v>#DIV/0!</v>
          </cell>
          <cell r="W80" t="e">
            <v>#DIV/0!</v>
          </cell>
          <cell r="X80" t="e">
            <v>#DIV/0!</v>
          </cell>
          <cell r="Y80" t="e">
            <v>#DIV/0!</v>
          </cell>
          <cell r="Z80" t="e">
            <v>#DIV/0!</v>
          </cell>
          <cell r="AA80" t="e">
            <v>#DIV/0!</v>
          </cell>
          <cell r="AB80" t="e">
            <v>#DIV/0!</v>
          </cell>
          <cell r="AC80" t="e">
            <v>#DIV/0!</v>
          </cell>
          <cell r="AD80">
            <v>0.16560215022687208</v>
          </cell>
          <cell r="AE80">
            <v>0.15601247069129887</v>
          </cell>
          <cell r="AF80">
            <v>0.17316220587468045</v>
          </cell>
          <cell r="AG80">
            <v>0.17684548372306277</v>
          </cell>
          <cell r="AH80">
            <v>0.18831395857005503</v>
          </cell>
          <cell r="AI80">
            <v>0.17475783584219842</v>
          </cell>
          <cell r="AJ80">
            <v>0.17749108685264825</v>
          </cell>
          <cell r="AK80">
            <v>0.14436393187282023</v>
          </cell>
          <cell r="AL80">
            <v>0.17525925379193266</v>
          </cell>
          <cell r="AM80">
            <v>0.16359931534762412</v>
          </cell>
          <cell r="AN80">
            <v>0.15609437629053807</v>
          </cell>
          <cell r="AO80">
            <v>0.14731795618786331</v>
          </cell>
          <cell r="AP80">
            <v>0.1630489290063758</v>
          </cell>
          <cell r="AQ80">
            <v>0.15837602022769254</v>
          </cell>
          <cell r="AR80">
            <v>0.13874145296630613</v>
          </cell>
          <cell r="AS80">
            <v>0.13038600839752565</v>
          </cell>
          <cell r="AT80">
            <v>0.14976518774258571</v>
          </cell>
          <cell r="AU80">
            <v>0.14518117313609583</v>
          </cell>
          <cell r="AV80">
            <v>0.13156854998024495</v>
          </cell>
          <cell r="AW80">
            <v>0.121147433828944</v>
          </cell>
          <cell r="AX80">
            <v>0.15104864090339198</v>
          </cell>
          <cell r="AY80">
            <v>0.14032040446022861</v>
          </cell>
          <cell r="AZ80">
            <v>0.13189450201074354</v>
          </cell>
          <cell r="BA80">
            <v>0.11956047154708196</v>
          </cell>
          <cell r="BB80">
            <v>0.15143572375202477</v>
          </cell>
          <cell r="BC80">
            <v>0.1483232493149198</v>
          </cell>
          <cell r="BD80">
            <v>0.14785486654729507</v>
          </cell>
          <cell r="BE80">
            <v>0.13578235128277419</v>
          </cell>
          <cell r="BF80">
            <v>0.1489976265026724</v>
          </cell>
          <cell r="BG80">
            <v>0.13996623471436392</v>
          </cell>
          <cell r="BH80">
            <v>0.13594658336264145</v>
          </cell>
          <cell r="BI80">
            <v>0.14000000000000001</v>
          </cell>
          <cell r="BJ80">
            <v>0.14959510772651941</v>
          </cell>
          <cell r="BK80">
            <v>0.14153103303541995</v>
          </cell>
          <cell r="BL80">
            <v>0.13871482335435342</v>
          </cell>
          <cell r="BM80">
            <v>0.13470810462756674</v>
          </cell>
          <cell r="BR80">
            <v>0</v>
          </cell>
          <cell r="BS80">
            <v>0</v>
          </cell>
          <cell r="BT80">
            <v>0</v>
          </cell>
          <cell r="BU80">
            <v>0.16822856995739091</v>
          </cell>
          <cell r="BV80">
            <v>0.16991279138395873</v>
          </cell>
          <cell r="BW80">
            <v>0.15957860333023949</v>
          </cell>
          <cell r="BX80">
            <v>0.14617365166186216</v>
          </cell>
          <cell r="BY80">
            <v>0.13581240659077071</v>
          </cell>
          <cell r="BZ80">
            <v>0.1346453313944446</v>
          </cell>
          <cell r="CA80">
            <v>0.14527780892804612</v>
          </cell>
          <cell r="CB80">
            <v>0.1409652430418149</v>
          </cell>
          <cell r="CC80">
            <v>0.14072242824406403</v>
          </cell>
        </row>
        <row r="81">
          <cell r="A81" t="str">
            <v>G&amp;A</v>
          </cell>
          <cell r="V81" t="e">
            <v>#DIV/0!</v>
          </cell>
          <cell r="W81" t="e">
            <v>#DIV/0!</v>
          </cell>
          <cell r="X81" t="e">
            <v>#DIV/0!</v>
          </cell>
          <cell r="Y81" t="e">
            <v>#DIV/0!</v>
          </cell>
          <cell r="Z81" t="e">
            <v>#DIV/0!</v>
          </cell>
          <cell r="AA81" t="e">
            <v>#DIV/0!</v>
          </cell>
          <cell r="AB81" t="e">
            <v>#DIV/0!</v>
          </cell>
          <cell r="AC81" t="e">
            <v>#DIV/0!</v>
          </cell>
          <cell r="AD81">
            <v>0.1181757752666108</v>
          </cell>
          <cell r="AE81">
            <v>0.11105099069851332</v>
          </cell>
          <cell r="AF81">
            <v>0.1032242917514478</v>
          </cell>
          <cell r="AG81">
            <v>0.11934892251260887</v>
          </cell>
          <cell r="AH81">
            <v>8.0849576086006458E-2</v>
          </cell>
          <cell r="AI81">
            <v>7.8577273678801837E-2</v>
          </cell>
          <cell r="AJ81">
            <v>6.6269710001102655E-2</v>
          </cell>
          <cell r="AK81">
            <v>6.6603460535671954E-2</v>
          </cell>
          <cell r="AL81">
            <v>7.9196959072960094E-2</v>
          </cell>
          <cell r="AM81">
            <v>6.703072785068058E-2</v>
          </cell>
          <cell r="AN81">
            <v>6.1201870521073731E-2</v>
          </cell>
          <cell r="AO81">
            <v>5.8944152960642628E-2</v>
          </cell>
          <cell r="AP81">
            <v>6.5377176015473895E-2</v>
          </cell>
          <cell r="AQ81">
            <v>7.0914831457730143E-2</v>
          </cell>
          <cell r="AR81">
            <v>6.4068917630721062E-2</v>
          </cell>
          <cell r="AS81">
            <v>5.1539012168933432E-2</v>
          </cell>
          <cell r="AT81">
            <v>5.6247721570561619E-2</v>
          </cell>
          <cell r="AU81">
            <v>5.3648214476379054E-2</v>
          </cell>
          <cell r="AV81">
            <v>4.3117516705890431E-2</v>
          </cell>
          <cell r="AW81">
            <v>4.2379262127568033E-2</v>
          </cell>
          <cell r="AX81">
            <v>4.0504234649927078E-2</v>
          </cell>
          <cell r="AY81">
            <v>4.0182379305531861E-2</v>
          </cell>
          <cell r="AZ81">
            <v>4.495552881087269E-2</v>
          </cell>
          <cell r="BA81">
            <v>3.5260184437887837E-2</v>
          </cell>
          <cell r="BB81">
            <v>5.2746281843616551E-2</v>
          </cell>
          <cell r="BC81">
            <v>5.267656076186341E-2</v>
          </cell>
          <cell r="BD81">
            <v>5.0129606526221893E-2</v>
          </cell>
          <cell r="BE81">
            <v>3.7970115590639987E-2</v>
          </cell>
          <cell r="BF81">
            <v>3.9295882189299726E-2</v>
          </cell>
          <cell r="BG81">
            <v>2.3764981444302492E-2</v>
          </cell>
          <cell r="BH81">
            <v>4.4510416451165769E-2</v>
          </cell>
          <cell r="BI81">
            <v>4.1000000000000002E-2</v>
          </cell>
          <cell r="BJ81">
            <v>4.4155285627373239E-2</v>
          </cell>
          <cell r="BK81">
            <v>4.2775437772983115E-2</v>
          </cell>
          <cell r="BL81">
            <v>4.275678028753354E-2</v>
          </cell>
          <cell r="BM81">
            <v>4.2000000000000003E-2</v>
          </cell>
          <cell r="BR81">
            <v>0</v>
          </cell>
          <cell r="BS81">
            <v>0</v>
          </cell>
          <cell r="BT81">
            <v>0</v>
          </cell>
          <cell r="BU81">
            <v>0.11303631425150934</v>
          </cell>
          <cell r="BV81">
            <v>7.256682295281669E-2</v>
          </cell>
          <cell r="BW81">
            <v>6.5855129028931356E-2</v>
          </cell>
          <cell r="BX81">
            <v>6.2347549708034584E-2</v>
          </cell>
          <cell r="BY81">
            <v>4.8238371127553178E-2</v>
          </cell>
          <cell r="BZ81">
            <v>4.0077655493695186E-2</v>
          </cell>
          <cell r="CA81">
            <v>4.7812682330646825E-2</v>
          </cell>
          <cell r="CB81">
            <v>3.7322463455624365E-2</v>
          </cell>
          <cell r="CC81">
            <v>4.2866273399576653E-2</v>
          </cell>
        </row>
        <row r="82">
          <cell r="A82" t="str">
            <v>Operating Margin</v>
          </cell>
          <cell r="V82" t="e">
            <v>#DIV/0!</v>
          </cell>
          <cell r="W82" t="e">
            <v>#DIV/0!</v>
          </cell>
          <cell r="X82" t="e">
            <v>#DIV/0!</v>
          </cell>
          <cell r="Y82" t="e">
            <v>#DIV/0!</v>
          </cell>
          <cell r="Z82" t="e">
            <v>#DIV/0!</v>
          </cell>
          <cell r="AA82" t="e">
            <v>#DIV/0!</v>
          </cell>
          <cell r="AB82" t="e">
            <v>#DIV/0!</v>
          </cell>
          <cell r="AC82" t="e">
            <v>#DIV/0!</v>
          </cell>
          <cell r="AD82">
            <v>-2.254270107800356E-2</v>
          </cell>
          <cell r="AE82">
            <v>-3.1511684831619875E-2</v>
          </cell>
          <cell r="AF82">
            <v>-7.7163875410862393E-2</v>
          </cell>
          <cell r="AG82">
            <v>-0.16698762035763406</v>
          </cell>
          <cell r="AH82">
            <v>-5.6835066864784449E-2</v>
          </cell>
          <cell r="AI82">
            <v>8.6969760404970939E-3</v>
          </cell>
          <cell r="AJ82">
            <v>8.5511081706913517E-2</v>
          </cell>
          <cell r="AK82">
            <v>0.13065045880879014</v>
          </cell>
          <cell r="AL82">
            <v>8.8183193711480909E-2</v>
          </cell>
          <cell r="AM82">
            <v>0.11032684000326015</v>
          </cell>
          <cell r="AN82">
            <v>0.17630268431920323</v>
          </cell>
          <cell r="AO82">
            <v>0.15977712095713525</v>
          </cell>
          <cell r="AP82">
            <v>0.12682856938176093</v>
          </cell>
          <cell r="AQ82">
            <v>0.15778648255623529</v>
          </cell>
          <cell r="AR82">
            <v>0.24235327346977206</v>
          </cell>
          <cell r="AS82">
            <v>0.24751332813384747</v>
          </cell>
          <cell r="AT82">
            <v>0.21484785452362065</v>
          </cell>
          <cell r="AU82">
            <v>0.215204371839298</v>
          </cell>
          <cell r="AV82">
            <v>0.26927833988971533</v>
          </cell>
          <cell r="AW82">
            <v>0.2679358932989136</v>
          </cell>
          <cell r="AX82">
            <v>0.22142144361902649</v>
          </cell>
          <cell r="AY82">
            <v>0.22333710705479146</v>
          </cell>
          <cell r="AZ82">
            <v>0.25391140986878791</v>
          </cell>
          <cell r="BA82">
            <v>0.273375583810746</v>
          </cell>
          <cell r="BB82">
            <v>0.17826535120011774</v>
          </cell>
          <cell r="BC82">
            <v>0.16523319857828922</v>
          </cell>
          <cell r="BD82">
            <v>0.19429343434669902</v>
          </cell>
          <cell r="BE82">
            <v>0.21048773611502677</v>
          </cell>
          <cell r="BF82">
            <v>0.15540784497096766</v>
          </cell>
          <cell r="BG82">
            <v>0.15299433334202461</v>
          </cell>
          <cell r="BH82">
            <v>0.15577094151478174</v>
          </cell>
          <cell r="BI82">
            <v>0.16196932319926183</v>
          </cell>
          <cell r="BJ82">
            <v>0.16774878847001071</v>
          </cell>
          <cell r="BK82">
            <v>0.17622864218358988</v>
          </cell>
          <cell r="BL82">
            <v>0.18767314375037933</v>
          </cell>
          <cell r="BM82">
            <v>0.19613043098436869</v>
          </cell>
          <cell r="BR82">
            <v>1</v>
          </cell>
          <cell r="BS82">
            <v>1</v>
          </cell>
          <cell r="BT82">
            <v>1</v>
          </cell>
          <cell r="BU82">
            <v>-7.8813897506532796E-2</v>
          </cell>
          <cell r="BV82">
            <v>4.8283449249495944E-2</v>
          </cell>
          <cell r="BW82">
            <v>0.1366722990393234</v>
          </cell>
          <cell r="BX82">
            <v>0.19912779954172513</v>
          </cell>
          <cell r="BY82">
            <v>0.2443470118272229</v>
          </cell>
          <cell r="BZ82">
            <v>0.24489776796673413</v>
          </cell>
          <cell r="CA82">
            <v>0.18846020702197475</v>
          </cell>
          <cell r="CB82">
            <v>0.15673567077068798</v>
          </cell>
          <cell r="CC82">
            <v>0.18280098201594658</v>
          </cell>
        </row>
        <row r="85">
          <cell r="A85" t="str">
            <v>Tax Rate</v>
          </cell>
          <cell r="V85" t="e">
            <v>#DIV/0!</v>
          </cell>
          <cell r="W85" t="e">
            <v>#DIV/0!</v>
          </cell>
          <cell r="X85" t="e">
            <v>#DIV/0!</v>
          </cell>
          <cell r="Y85" t="e">
            <v>#DIV/0!</v>
          </cell>
          <cell r="Z85" t="e">
            <v>#DIV/0!</v>
          </cell>
          <cell r="AA85" t="e">
            <v>#DIV/0!</v>
          </cell>
          <cell r="AB85" t="e">
            <v>#DIV/0!</v>
          </cell>
          <cell r="AC85" t="e">
            <v>#DIV/0!</v>
          </cell>
          <cell r="AD85">
            <v>-0.12586339217191087</v>
          </cell>
          <cell r="AE85">
            <v>-0.53564290473018028</v>
          </cell>
          <cell r="AF85">
            <v>-0.14433781190019201</v>
          </cell>
          <cell r="AG85">
            <v>-6.3132042762207463E-2</v>
          </cell>
          <cell r="AH85">
            <v>-0.12206572769953071</v>
          </cell>
          <cell r="AI85">
            <v>0.63105175292153548</v>
          </cell>
          <cell r="AJ85">
            <v>2.9887310142087255E-2</v>
          </cell>
          <cell r="AK85">
            <v>6.1112222444488912E-2</v>
          </cell>
          <cell r="AL85">
            <v>0.11073993652914656</v>
          </cell>
          <cell r="AM85">
            <v>9.286426434980781E-2</v>
          </cell>
          <cell r="AN85">
            <v>0.17960921843687369</v>
          </cell>
          <cell r="AO85">
            <v>0.20897699965671154</v>
          </cell>
          <cell r="AP85">
            <v>0.35005636978579463</v>
          </cell>
          <cell r="AQ85">
            <v>0.35003990422984843</v>
          </cell>
          <cell r="AR85">
            <v>0.3500120743781695</v>
          </cell>
          <cell r="AS85">
            <v>0.26635811642817725</v>
          </cell>
          <cell r="AT85">
            <v>0.33000578703703698</v>
          </cell>
          <cell r="AU85">
            <v>0.33000394269943489</v>
          </cell>
          <cell r="AV85">
            <v>0.33000154726907016</v>
          </cell>
          <cell r="AW85">
            <v>0.32999338027321423</v>
          </cell>
          <cell r="AX85">
            <v>0.33397590361445789</v>
          </cell>
          <cell r="AY85">
            <v>0.33459671520712791</v>
          </cell>
          <cell r="AZ85">
            <v>0.34000512484696638</v>
          </cell>
          <cell r="BA85">
            <v>0.33999154016073713</v>
          </cell>
          <cell r="BB85">
            <v>0.33001240502403489</v>
          </cell>
          <cell r="BC85">
            <v>0.3299996093292179</v>
          </cell>
          <cell r="BD85">
            <v>0.33000365048285946</v>
          </cell>
          <cell r="BE85">
            <v>0.35381516649663869</v>
          </cell>
          <cell r="BF85">
            <v>0.32999999999999979</v>
          </cell>
          <cell r="BG85">
            <v>0.36761813026549611</v>
          </cell>
          <cell r="BH85">
            <v>0.35001303101381259</v>
          </cell>
          <cell r="BI85">
            <v>0.33</v>
          </cell>
          <cell r="BJ85">
            <v>0.33</v>
          </cell>
          <cell r="BK85">
            <v>0.33</v>
          </cell>
          <cell r="BL85">
            <v>0.33</v>
          </cell>
          <cell r="BM85">
            <v>0.33</v>
          </cell>
          <cell r="BR85">
            <v>0</v>
          </cell>
          <cell r="BS85">
            <v>0</v>
          </cell>
          <cell r="BT85">
            <v>0</v>
          </cell>
          <cell r="BU85">
            <v>-0.12942373374028074</v>
          </cell>
          <cell r="BV85">
            <v>0.12975945017182136</v>
          </cell>
          <cell r="BW85">
            <v>0.16107107762856215</v>
          </cell>
          <cell r="BX85">
            <v>0.32001644937248691</v>
          </cell>
          <cell r="BY85">
            <v>0.33000036659579146</v>
          </cell>
          <cell r="BZ85">
            <v>0.3375862836784681</v>
          </cell>
          <cell r="CA85">
            <v>0.3376059454720054</v>
          </cell>
          <cell r="CB85">
            <v>0.34412572727756968</v>
          </cell>
          <cell r="CC85">
            <v>0.33000000000000007</v>
          </cell>
        </row>
        <row r="475">
          <cell r="A475" t="str">
            <v>Purchase of PP&amp;E</v>
          </cell>
          <cell r="AC475">
            <v>-1.1870000000000001</v>
          </cell>
          <cell r="AG475">
            <v>-2.028</v>
          </cell>
          <cell r="AH475">
            <v>-1.141</v>
          </cell>
          <cell r="AI475">
            <v>-5.2999999999999936E-2</v>
          </cell>
          <cell r="AJ475">
            <v>0.246</v>
          </cell>
          <cell r="AK475">
            <v>-1.85</v>
          </cell>
          <cell r="AL475">
            <v>-3.3279999999999998</v>
          </cell>
          <cell r="AM475">
            <v>0.31699999999999973</v>
          </cell>
          <cell r="AN475">
            <v>-1.242</v>
          </cell>
          <cell r="AO475">
            <v>-0.33600000000000002</v>
          </cell>
          <cell r="AP475">
            <v>-1.014</v>
          </cell>
          <cell r="AQ475">
            <v>-1.2150000000000001</v>
          </cell>
          <cell r="AR475">
            <v>-0.67100000000000004</v>
          </cell>
          <cell r="AS475">
            <v>-0.876</v>
          </cell>
          <cell r="AT475">
            <v>-0.69399999999999995</v>
          </cell>
          <cell r="AU475">
            <v>-0.75600000000000001</v>
          </cell>
          <cell r="AV475">
            <v>-1.335</v>
          </cell>
          <cell r="AW475">
            <v>-0.83900000000000019</v>
          </cell>
          <cell r="AX475">
            <v>-1.6240000000000001</v>
          </cell>
          <cell r="AY475">
            <v>-2.2309999999999999</v>
          </cell>
          <cell r="AZ475">
            <v>-16.428000000000001</v>
          </cell>
          <cell r="BA475">
            <v>-1.7999999999999976</v>
          </cell>
          <cell r="BB475">
            <v>-1.534</v>
          </cell>
          <cell r="BC475">
            <v>-2.0350000000000001</v>
          </cell>
          <cell r="BD475">
            <v>-3.16</v>
          </cell>
          <cell r="BE475">
            <v>-7.1480000000000006</v>
          </cell>
          <cell r="BF475">
            <v>-11.318</v>
          </cell>
          <cell r="BG475">
            <v>-9.7039999999999988</v>
          </cell>
          <cell r="BH475">
            <v>-5.7799999999999994</v>
          </cell>
          <cell r="BI475">
            <v>-7</v>
          </cell>
          <cell r="BJ475">
            <v>-6.9260000000000002</v>
          </cell>
          <cell r="BK475">
            <v>-6.3694999999999995</v>
          </cell>
          <cell r="BL475">
            <v>-11.603999999999999</v>
          </cell>
          <cell r="BM475">
            <v>-7.5739999999999998</v>
          </cell>
          <cell r="BR475">
            <v>0</v>
          </cell>
          <cell r="BS475">
            <v>0</v>
          </cell>
          <cell r="BT475">
            <v>-1.1870000000000001</v>
          </cell>
          <cell r="BU475">
            <v>-2.028</v>
          </cell>
          <cell r="BV475">
            <v>-2.798</v>
          </cell>
          <cell r="BW475">
            <v>-4.5890000000000004</v>
          </cell>
          <cell r="BX475">
            <v>-3.7760000000000002</v>
          </cell>
          <cell r="BY475">
            <v>-3.6240000000000006</v>
          </cell>
          <cell r="BZ475">
            <v>-22.082999999999998</v>
          </cell>
          <cell r="CA475">
            <v>-13.877000000000001</v>
          </cell>
          <cell r="CB475">
            <v>-33.802</v>
          </cell>
          <cell r="CC475">
            <v>-32.473500000000001</v>
          </cell>
        </row>
      </sheetData>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Exhibit list"/>
      <sheetName val="initiation charts"/>
      <sheetName val="QUICK SUMMARY"/>
      <sheetName val="guidance"/>
      <sheetName val="Job posting"/>
      <sheetName val="Exhibits"/>
      <sheetName val="SENSITIVITY"/>
      <sheetName val="peak and trough"/>
      <sheetName val="Recent Acquisition"/>
      <sheetName val="Disclosure"/>
      <sheetName val="COMP"/>
      <sheetName val="CF COMP"/>
      <sheetName val="LINKS&amp;INPUTS"/>
      <sheetName val="Upside_Downside"/>
      <sheetName val="Earnings Cheat Sheet"/>
      <sheetName val="RBC QLIK Model"/>
      <sheetName val="Sheet1"/>
    </sheetNames>
    <sheetDataSet>
      <sheetData sheetId="0"/>
      <sheetData sheetId="1" refreshError="1">
        <row r="9">
          <cell r="A9" t="str">
            <v>Total Revenue</v>
          </cell>
        </row>
        <row r="22">
          <cell r="A22" t="str">
            <v>Foreign exchange gain (loss) and other income (expense), net</v>
          </cell>
          <cell r="AD22">
            <v>0.97799999999999998</v>
          </cell>
          <cell r="AE22">
            <v>-0.50800000000000001</v>
          </cell>
          <cell r="AF22">
            <v>-2.4220000000000002</v>
          </cell>
          <cell r="AG22">
            <v>0.318</v>
          </cell>
          <cell r="AH22">
            <v>-1.3620000000000001</v>
          </cell>
          <cell r="AI22">
            <v>0.66400000000000003</v>
          </cell>
          <cell r="AJ22">
            <v>-3.27</v>
          </cell>
          <cell r="AK22">
            <v>-0.437</v>
          </cell>
          <cell r="AL22">
            <v>-1.474</v>
          </cell>
          <cell r="AM22">
            <v>0.36099999999999999</v>
          </cell>
          <cell r="AN22">
            <v>0.76100000000000001</v>
          </cell>
          <cell r="AO22">
            <v>-0.70599999999999996</v>
          </cell>
          <cell r="AP22">
            <v>-1.4279999999999999</v>
          </cell>
          <cell r="AQ22">
            <v>0.05</v>
          </cell>
          <cell r="AR22">
            <v>-1.7010000000000001</v>
          </cell>
          <cell r="AS22">
            <v>-1.7010000000000001</v>
          </cell>
          <cell r="AT22">
            <v>-1.7010000000000001</v>
          </cell>
          <cell r="AU22">
            <v>-1.7010000000000001</v>
          </cell>
          <cell r="AV22">
            <v>-1.7010000000000001</v>
          </cell>
          <cell r="AW22">
            <v>-1.7010000000000001</v>
          </cell>
          <cell r="AX22">
            <v>-1.7010000000000001</v>
          </cell>
          <cell r="AY22">
            <v>-1.7010000000000001</v>
          </cell>
          <cell r="AZ22">
            <v>-1.7010000000000001</v>
          </cell>
          <cell r="BA22">
            <v>-1.7010000000000001</v>
          </cell>
          <cell r="BX22">
            <v>0</v>
          </cell>
          <cell r="BY22">
            <v>-1.6340000000000001</v>
          </cell>
          <cell r="BZ22">
            <v>-4.4050000000000002</v>
          </cell>
          <cell r="CA22">
            <v>-1.0579999999999998</v>
          </cell>
          <cell r="CB22">
            <v>-4.7799999999999994</v>
          </cell>
          <cell r="CC22">
            <v>-6.8040000000000003</v>
          </cell>
          <cell r="CD22">
            <v>-6.8040000000000003</v>
          </cell>
          <cell r="CW22" t="str">
            <v xml:space="preserve">      % of Revenue</v>
          </cell>
          <cell r="CZ22">
            <v>0.63462528358721138</v>
          </cell>
          <cell r="DA22">
            <v>0.64111053721288536</v>
          </cell>
          <cell r="DB22">
            <v>0.63756046896784024</v>
          </cell>
          <cell r="DC22">
            <v>0.60917111240473898</v>
          </cell>
          <cell r="DD22">
            <v>0.59105499736604927</v>
          </cell>
          <cell r="DE22">
            <v>0.58592558041127119</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refreshError="1"/>
      <sheetData sheetId="1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PL (before FC-matching adjs)"/>
      <sheetName val="QPL (before 2000-04-24 2x1 spl)"/>
      <sheetName val="QPL (before FY2000Q4 results)"/>
      <sheetName val="QPL (bef. 1999-12-20 2x1 split)"/>
      <sheetName val="QPL (before 1999-11-16)"/>
      <sheetName val="Earnings Chart"/>
      <sheetName val="outstanding shares"/>
      <sheetName val="QPL - for printout"/>
      <sheetName val="pre 8-26"/>
      <sheetName val="#REF"/>
    </sheetNames>
    <sheetDataSet>
      <sheetData sheetId="0" refreshError="1">
        <row r="50">
          <cell r="I50">
            <v>7.136053465748588E-3</v>
          </cell>
        </row>
        <row r="75">
          <cell r="AC75">
            <v>0.3175529411764707</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Ex (2)"/>
      <sheetName val="ModelEx"/>
      <sheetName val="MODEL"/>
      <sheetName val="Upside_Downside"/>
      <sheetName val="QUICK SUMMARY"/>
      <sheetName val="BMUpload"/>
      <sheetName val="Other Charts"/>
      <sheetName val="Sheet1"/>
    </sheetNames>
    <sheetDataSet>
      <sheetData sheetId="0"/>
      <sheetData sheetId="1"/>
      <sheetData sheetId="2"/>
      <sheetData sheetId="3">
        <row r="9">
          <cell r="A9" t="str">
            <v>MKTO_QTR</v>
          </cell>
          <cell r="B9" t="str">
            <v>Period Ending</v>
          </cell>
          <cell r="C9">
            <v>0</v>
          </cell>
          <cell r="D9">
            <v>37164</v>
          </cell>
          <cell r="E9">
            <v>37164</v>
          </cell>
          <cell r="F9">
            <v>37256</v>
          </cell>
          <cell r="G9">
            <v>37346</v>
          </cell>
          <cell r="H9">
            <v>37437</v>
          </cell>
          <cell r="I9">
            <v>37529</v>
          </cell>
          <cell r="J9">
            <v>37621</v>
          </cell>
          <cell r="K9">
            <v>37711</v>
          </cell>
          <cell r="L9">
            <v>37802</v>
          </cell>
          <cell r="M9">
            <v>37894</v>
          </cell>
          <cell r="N9">
            <v>37986</v>
          </cell>
          <cell r="O9">
            <v>38077</v>
          </cell>
          <cell r="P9">
            <v>38168</v>
          </cell>
          <cell r="Q9">
            <v>38260</v>
          </cell>
          <cell r="R9">
            <v>38352</v>
          </cell>
          <cell r="S9">
            <v>38442</v>
          </cell>
          <cell r="T9">
            <v>38533</v>
          </cell>
          <cell r="U9">
            <v>38625</v>
          </cell>
          <cell r="V9">
            <v>38717</v>
          </cell>
          <cell r="W9">
            <v>38807</v>
          </cell>
          <cell r="X9">
            <v>38898</v>
          </cell>
          <cell r="Y9">
            <v>38990</v>
          </cell>
          <cell r="Z9">
            <v>39082</v>
          </cell>
          <cell r="AA9">
            <v>39172</v>
          </cell>
          <cell r="AB9">
            <v>39263</v>
          </cell>
          <cell r="AC9">
            <v>39355</v>
          </cell>
          <cell r="AD9">
            <v>39447</v>
          </cell>
          <cell r="AE9">
            <v>39538</v>
          </cell>
          <cell r="AF9">
            <v>39629</v>
          </cell>
          <cell r="AG9">
            <v>39721</v>
          </cell>
          <cell r="AH9">
            <v>39813</v>
          </cell>
          <cell r="AI9">
            <v>39903</v>
          </cell>
          <cell r="AJ9">
            <v>39994</v>
          </cell>
          <cell r="AK9">
            <v>40086</v>
          </cell>
          <cell r="AL9">
            <v>40178</v>
          </cell>
          <cell r="AM9">
            <v>40268</v>
          </cell>
          <cell r="AN9">
            <v>40359</v>
          </cell>
          <cell r="AO9">
            <v>40451</v>
          </cell>
          <cell r="AP9">
            <v>40543</v>
          </cell>
          <cell r="AQ9">
            <v>40633</v>
          </cell>
          <cell r="AR9">
            <v>40724</v>
          </cell>
          <cell r="AS9">
            <v>40816</v>
          </cell>
          <cell r="AT9">
            <v>40908</v>
          </cell>
          <cell r="AU9">
            <v>40999</v>
          </cell>
          <cell r="AV9">
            <v>41090</v>
          </cell>
          <cell r="AW9">
            <v>41182</v>
          </cell>
          <cell r="AX9">
            <v>41274</v>
          </cell>
          <cell r="AY9">
            <v>41364</v>
          </cell>
          <cell r="AZ9">
            <v>41455</v>
          </cell>
          <cell r="BA9">
            <v>41547</v>
          </cell>
          <cell r="BB9">
            <v>41639</v>
          </cell>
          <cell r="BC9">
            <v>41729</v>
          </cell>
          <cell r="BD9">
            <v>41820</v>
          </cell>
          <cell r="BE9">
            <v>41912</v>
          </cell>
          <cell r="BF9">
            <v>42004</v>
          </cell>
          <cell r="BG9">
            <v>42094</v>
          </cell>
          <cell r="BH9">
            <v>42185</v>
          </cell>
          <cell r="BI9">
            <v>42277</v>
          </cell>
          <cell r="BJ9">
            <v>42369</v>
          </cell>
          <cell r="BK9">
            <v>42460</v>
          </cell>
          <cell r="BL9">
            <v>42551</v>
          </cell>
          <cell r="BM9">
            <v>42643</v>
          </cell>
          <cell r="BN9">
            <v>42735</v>
          </cell>
          <cell r="BO9">
            <v>42825</v>
          </cell>
          <cell r="BP9">
            <v>42916</v>
          </cell>
          <cell r="BQ9">
            <v>43008</v>
          </cell>
          <cell r="BR9">
            <v>43100</v>
          </cell>
          <cell r="BS9">
            <v>43190</v>
          </cell>
          <cell r="BT9">
            <v>43281</v>
          </cell>
          <cell r="BU9">
            <v>43373</v>
          </cell>
          <cell r="BV9">
            <v>43465</v>
          </cell>
          <cell r="BW9">
            <v>43555</v>
          </cell>
          <cell r="BX9">
            <v>43646</v>
          </cell>
          <cell r="BY9">
            <v>43738</v>
          </cell>
          <cell r="BZ9">
            <v>43830</v>
          </cell>
          <cell r="CA9">
            <v>0</v>
          </cell>
          <cell r="CB9">
            <v>37256</v>
          </cell>
          <cell r="CC9">
            <v>37621</v>
          </cell>
          <cell r="CD9">
            <v>37986</v>
          </cell>
          <cell r="CE9">
            <v>38352</v>
          </cell>
          <cell r="CF9">
            <v>38717</v>
          </cell>
          <cell r="CG9">
            <v>39082</v>
          </cell>
          <cell r="CH9">
            <v>39447</v>
          </cell>
          <cell r="CI9">
            <v>39813</v>
          </cell>
          <cell r="CJ9">
            <v>40178</v>
          </cell>
          <cell r="CK9">
            <v>40543</v>
          </cell>
          <cell r="CL9">
            <v>40908</v>
          </cell>
          <cell r="CM9">
            <v>41274</v>
          </cell>
          <cell r="CN9">
            <v>41639</v>
          </cell>
          <cell r="CO9">
            <v>42004</v>
          </cell>
          <cell r="CP9">
            <v>42369</v>
          </cell>
          <cell r="CQ9">
            <v>42735</v>
          </cell>
          <cell r="CR9">
            <v>43100</v>
          </cell>
          <cell r="CS9">
            <v>43465</v>
          </cell>
          <cell r="CT9">
            <v>43830</v>
          </cell>
          <cell r="CU9">
            <v>0</v>
          </cell>
          <cell r="CV9">
            <v>37621</v>
          </cell>
          <cell r="CW9">
            <v>37986</v>
          </cell>
          <cell r="CX9">
            <v>38352</v>
          </cell>
          <cell r="CY9">
            <v>38717</v>
          </cell>
          <cell r="CZ9">
            <v>39082</v>
          </cell>
          <cell r="DA9">
            <v>39447</v>
          </cell>
          <cell r="DB9">
            <v>39813</v>
          </cell>
          <cell r="DC9">
            <v>40178</v>
          </cell>
          <cell r="DD9">
            <v>40543</v>
          </cell>
          <cell r="DE9">
            <v>40908</v>
          </cell>
          <cell r="DF9">
            <v>41274</v>
          </cell>
          <cell r="DG9">
            <v>41639</v>
          </cell>
          <cell r="DH9">
            <v>42004</v>
          </cell>
          <cell r="DI9">
            <v>42369</v>
          </cell>
          <cell r="DJ9">
            <v>42735</v>
          </cell>
          <cell r="DK9">
            <v>0</v>
          </cell>
          <cell r="DL9">
            <v>0</v>
          </cell>
          <cell r="DM9">
            <v>0</v>
          </cell>
          <cell r="DN9">
            <v>0</v>
          </cell>
          <cell r="DO9">
            <v>0</v>
          </cell>
          <cell r="DP9">
            <v>0</v>
          </cell>
          <cell r="DQ9">
            <v>0</v>
          </cell>
          <cell r="DR9">
            <v>0</v>
          </cell>
          <cell r="DS9">
            <v>0</v>
          </cell>
          <cell r="DT9">
            <v>0</v>
          </cell>
          <cell r="DU9">
            <v>0</v>
          </cell>
          <cell r="DV9">
            <v>0</v>
          </cell>
          <cell r="DW9">
            <v>0</v>
          </cell>
          <cell r="DX9">
            <v>0</v>
          </cell>
          <cell r="DY9">
            <v>0</v>
          </cell>
          <cell r="DZ9">
            <v>0</v>
          </cell>
          <cell r="EA9">
            <v>0</v>
          </cell>
          <cell r="EB9">
            <v>0</v>
          </cell>
          <cell r="EC9">
            <v>0</v>
          </cell>
          <cell r="ED9">
            <v>0</v>
          </cell>
          <cell r="EE9">
            <v>0</v>
          </cell>
          <cell r="EF9">
            <v>0</v>
          </cell>
          <cell r="EG9">
            <v>0</v>
          </cell>
          <cell r="EH9">
            <v>0</v>
          </cell>
          <cell r="EI9">
            <v>0</v>
          </cell>
          <cell r="EJ9">
            <v>0</v>
          </cell>
          <cell r="EK9">
            <v>0</v>
          </cell>
          <cell r="EL9">
            <v>0</v>
          </cell>
          <cell r="EM9">
            <v>0</v>
          </cell>
          <cell r="EN9">
            <v>0</v>
          </cell>
          <cell r="EO9">
            <v>0</v>
          </cell>
        </row>
        <row r="22">
          <cell r="A22" t="str">
            <v>MKTO_REV</v>
          </cell>
          <cell r="B22" t="str">
            <v>Total Revenue</v>
          </cell>
          <cell r="C22">
            <v>1</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6.0990000000000002</v>
          </cell>
          <cell r="AR22">
            <v>7.4329999999999998</v>
          </cell>
          <cell r="AS22">
            <v>8.7140000000000004</v>
          </cell>
          <cell r="AT22">
            <v>10.146000000000001</v>
          </cell>
          <cell r="AU22">
            <v>94.706000000000003</v>
          </cell>
          <cell r="AV22">
            <v>113.65799999999999</v>
          </cell>
          <cell r="AW22">
            <v>123.82400000000001</v>
          </cell>
          <cell r="AX22">
            <v>120.822</v>
          </cell>
          <cell r="AY22">
            <v>116.21199999999999</v>
          </cell>
          <cell r="AZ22">
            <v>125.74499999999999</v>
          </cell>
          <cell r="BA22">
            <v>127.973</v>
          </cell>
          <cell r="BB22">
            <v>134.94699999999997</v>
          </cell>
          <cell r="BC22">
            <v>127.622</v>
          </cell>
          <cell r="BD22">
            <v>139.38800000000001</v>
          </cell>
          <cell r="BE22">
            <v>146.19799999999998</v>
          </cell>
          <cell r="BF22">
            <v>157.45499999999998</v>
          </cell>
          <cell r="BG22">
            <v>150.51499999999999</v>
          </cell>
          <cell r="BH22">
            <v>158.74299999999999</v>
          </cell>
          <cell r="BI22">
            <v>159.93699999999998</v>
          </cell>
          <cell r="BJ22">
            <v>178.11600000000001</v>
          </cell>
          <cell r="BK22">
            <v>171.042</v>
          </cell>
          <cell r="BL22">
            <v>182.04399999999998</v>
          </cell>
          <cell r="BM22">
            <v>183.06299999999999</v>
          </cell>
          <cell r="BN22">
            <v>198.30500000000001</v>
          </cell>
          <cell r="BO22">
            <v>183.62100000000001</v>
          </cell>
          <cell r="BP22">
            <v>192.54300000000001</v>
          </cell>
          <cell r="BQ22">
            <v>195.90699999999998</v>
          </cell>
          <cell r="BR22">
            <v>213.54313000000002</v>
          </cell>
          <cell r="BS22">
            <v>201.51512</v>
          </cell>
          <cell r="BT22">
            <v>210.82240000000002</v>
          </cell>
          <cell r="BU22">
            <v>214.77249999999998</v>
          </cell>
          <cell r="BV22">
            <v>232.93378365000001</v>
          </cell>
          <cell r="BW22">
            <v>223.25700019999999</v>
          </cell>
          <cell r="BX22">
            <v>233.909291</v>
          </cell>
          <cell r="BY22">
            <v>238.183459</v>
          </cell>
          <cell r="BZ22">
            <v>259.50989633399996</v>
          </cell>
          <cell r="CA22">
            <v>0</v>
          </cell>
          <cell r="CB22">
            <v>0</v>
          </cell>
          <cell r="CC22">
            <v>0</v>
          </cell>
          <cell r="CD22">
            <v>0</v>
          </cell>
          <cell r="CE22">
            <v>0</v>
          </cell>
          <cell r="CF22">
            <v>0</v>
          </cell>
          <cell r="CG22">
            <v>0</v>
          </cell>
          <cell r="CH22">
            <v>0</v>
          </cell>
          <cell r="CI22">
            <v>0</v>
          </cell>
          <cell r="CJ22">
            <v>0</v>
          </cell>
          <cell r="CK22">
            <v>0</v>
          </cell>
          <cell r="CL22">
            <v>0</v>
          </cell>
          <cell r="CM22">
            <v>453.01</v>
          </cell>
          <cell r="CN22">
            <v>504.87699999999995</v>
          </cell>
          <cell r="CO22">
            <v>570.66300000000001</v>
          </cell>
          <cell r="CP22">
            <v>647.31099999999992</v>
          </cell>
          <cell r="CQ22">
            <v>734.45399999999995</v>
          </cell>
          <cell r="CR22">
            <v>785.61412999999993</v>
          </cell>
          <cell r="CS22">
            <v>860.04380365000009</v>
          </cell>
          <cell r="CT22">
            <v>954.85964653399992</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row>
        <row r="35">
          <cell r="A35" t="str">
            <v>MKTO_ADJ_SM</v>
          </cell>
          <cell r="B35" t="str">
            <v>Sales and marketing</v>
          </cell>
          <cell r="C35">
            <v>1</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3.9140000000000001</v>
          </cell>
          <cell r="AR35">
            <v>5.1740000000000004</v>
          </cell>
          <cell r="AS35">
            <v>6.1680000000000001</v>
          </cell>
          <cell r="AT35">
            <v>7.3230000000000004</v>
          </cell>
          <cell r="AU35">
            <v>19.959999999999997</v>
          </cell>
          <cell r="AV35">
            <v>23.619999999999997</v>
          </cell>
          <cell r="AW35">
            <v>25.565000000000001</v>
          </cell>
          <cell r="AX35">
            <v>23.544999999999998</v>
          </cell>
          <cell r="AY35">
            <v>23.693999999999999</v>
          </cell>
          <cell r="AZ35">
            <v>23.877999999999997</v>
          </cell>
          <cell r="BA35">
            <v>23.320999999999998</v>
          </cell>
          <cell r="BB35">
            <v>24.37</v>
          </cell>
          <cell r="BC35">
            <v>24.645</v>
          </cell>
          <cell r="BD35">
            <v>25.844999999999999</v>
          </cell>
          <cell r="BE35">
            <v>26.535999999999998</v>
          </cell>
          <cell r="BF35">
            <v>28.187000000000001</v>
          </cell>
          <cell r="BG35">
            <v>27.861000000000001</v>
          </cell>
          <cell r="BH35">
            <v>28.919</v>
          </cell>
          <cell r="BI35">
            <v>30.370999999999999</v>
          </cell>
          <cell r="BJ35">
            <v>33.515999999999998</v>
          </cell>
          <cell r="BK35">
            <v>34.712999999999994</v>
          </cell>
          <cell r="BL35">
            <v>38.387</v>
          </cell>
          <cell r="BM35">
            <v>39.634999999999998</v>
          </cell>
          <cell r="BN35">
            <v>39.174999999999997</v>
          </cell>
          <cell r="BO35">
            <v>40.801000000000002</v>
          </cell>
          <cell r="BP35">
            <v>41.18</v>
          </cell>
          <cell r="BQ35">
            <v>42.120004999999999</v>
          </cell>
          <cell r="BR35">
            <v>42.70862600000001</v>
          </cell>
          <cell r="BS35">
            <v>43.325750800000002</v>
          </cell>
          <cell r="BT35">
            <v>44.272704000000004</v>
          </cell>
          <cell r="BU35">
            <v>45.102224999999997</v>
          </cell>
          <cell r="BV35">
            <v>45.422087811750004</v>
          </cell>
          <cell r="BW35">
            <v>44.651400039999999</v>
          </cell>
          <cell r="BX35">
            <v>46.781858200000002</v>
          </cell>
          <cell r="BY35">
            <v>47.636691800000001</v>
          </cell>
          <cell r="BZ35">
            <v>51.901979266799998</v>
          </cell>
          <cell r="CA35">
            <v>0</v>
          </cell>
          <cell r="CB35">
            <v>0</v>
          </cell>
          <cell r="CC35">
            <v>0</v>
          </cell>
          <cell r="CD35">
            <v>0</v>
          </cell>
          <cell r="CE35">
            <v>0</v>
          </cell>
          <cell r="CF35">
            <v>0</v>
          </cell>
          <cell r="CG35">
            <v>0</v>
          </cell>
          <cell r="CH35">
            <v>0</v>
          </cell>
          <cell r="CI35">
            <v>0</v>
          </cell>
          <cell r="CJ35">
            <v>0</v>
          </cell>
          <cell r="CK35">
            <v>0</v>
          </cell>
          <cell r="CL35">
            <v>0</v>
          </cell>
          <cell r="CM35">
            <v>92.69</v>
          </cell>
          <cell r="CN35">
            <v>95.263000000000005</v>
          </cell>
          <cell r="CO35">
            <v>105.21299999999999</v>
          </cell>
          <cell r="CP35">
            <v>120.667</v>
          </cell>
          <cell r="CQ35">
            <v>151.90999999999997</v>
          </cell>
          <cell r="CR35">
            <v>166.809631</v>
          </cell>
          <cell r="CS35">
            <v>178.12276761175002</v>
          </cell>
          <cell r="CT35">
            <v>190.97192930680001</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v>0</v>
          </cell>
          <cell r="DK35">
            <v>0</v>
          </cell>
          <cell r="DL35">
            <v>0</v>
          </cell>
          <cell r="DM35">
            <v>0</v>
          </cell>
          <cell r="DN35">
            <v>0</v>
          </cell>
          <cell r="DO35">
            <v>0</v>
          </cell>
          <cell r="DP35">
            <v>0</v>
          </cell>
          <cell r="DQ35">
            <v>0</v>
          </cell>
          <cell r="DR35">
            <v>0</v>
          </cell>
          <cell r="DS35">
            <v>0</v>
          </cell>
          <cell r="DT35">
            <v>0</v>
          </cell>
          <cell r="DU35">
            <v>0</v>
          </cell>
          <cell r="DV35">
            <v>0</v>
          </cell>
          <cell r="DW35">
            <v>0</v>
          </cell>
          <cell r="DX35">
            <v>0</v>
          </cell>
          <cell r="DY35">
            <v>0</v>
          </cell>
          <cell r="DZ35">
            <v>0</v>
          </cell>
          <cell r="EA35">
            <v>0</v>
          </cell>
          <cell r="EB35">
            <v>0</v>
          </cell>
          <cell r="EC35">
            <v>0</v>
          </cell>
          <cell r="ED35">
            <v>0</v>
          </cell>
          <cell r="EE35">
            <v>0</v>
          </cell>
          <cell r="EF35">
            <v>0</v>
          </cell>
          <cell r="EG35">
            <v>0</v>
          </cell>
          <cell r="EH35">
            <v>0</v>
          </cell>
          <cell r="EI35">
            <v>0</v>
          </cell>
          <cell r="EJ35">
            <v>0</v>
          </cell>
          <cell r="EK35">
            <v>0</v>
          </cell>
          <cell r="EL35">
            <v>0</v>
          </cell>
          <cell r="EM35">
            <v>0</v>
          </cell>
          <cell r="EN35">
            <v>0</v>
          </cell>
          <cell r="EO35">
            <v>0</v>
          </cell>
        </row>
        <row r="36">
          <cell r="A36" t="str">
            <v>MKTO_ADJ_RD</v>
          </cell>
          <cell r="B36" t="str">
            <v>Research and development</v>
          </cell>
          <cell r="C36">
            <v>1</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2.3380000000000001</v>
          </cell>
          <cell r="AR36">
            <v>2.464</v>
          </cell>
          <cell r="AS36">
            <v>2.6989999999999998</v>
          </cell>
          <cell r="AT36">
            <v>2.8820000000000001</v>
          </cell>
          <cell r="AU36">
            <v>12.653</v>
          </cell>
          <cell r="AV36">
            <v>14.009</v>
          </cell>
          <cell r="AW36">
            <v>18.224999999999998</v>
          </cell>
          <cell r="AX36">
            <v>16.249000000000002</v>
          </cell>
          <cell r="AY36">
            <v>15.276999999999999</v>
          </cell>
          <cell r="AZ36">
            <v>15.421000000000001</v>
          </cell>
          <cell r="BA36">
            <v>15.785</v>
          </cell>
          <cell r="BB36">
            <v>15.432</v>
          </cell>
          <cell r="BC36">
            <v>15.831999999999999</v>
          </cell>
          <cell r="BD36">
            <v>17.302</v>
          </cell>
          <cell r="BE36">
            <v>18.945</v>
          </cell>
          <cell r="BF36">
            <v>21.836000000000002</v>
          </cell>
          <cell r="BG36">
            <v>20.297999999999998</v>
          </cell>
          <cell r="BH36">
            <v>18.98</v>
          </cell>
          <cell r="BI36">
            <v>19.416</v>
          </cell>
          <cell r="BJ36">
            <v>21.076999999999998</v>
          </cell>
          <cell r="BK36">
            <v>21.244</v>
          </cell>
          <cell r="BL36">
            <v>21.018999999999998</v>
          </cell>
          <cell r="BM36">
            <v>20.836000000000002</v>
          </cell>
          <cell r="BN36">
            <v>20.303999999999998</v>
          </cell>
          <cell r="BO36">
            <v>20.989000000000001</v>
          </cell>
          <cell r="BP36">
            <v>20.803000000000001</v>
          </cell>
          <cell r="BQ36">
            <v>21.549769999999999</v>
          </cell>
          <cell r="BR36">
            <v>22.422028650000001</v>
          </cell>
          <cell r="BS36">
            <v>22.166663199999999</v>
          </cell>
          <cell r="BT36">
            <v>22.136352000000002</v>
          </cell>
          <cell r="BU36">
            <v>22.551112499999999</v>
          </cell>
          <cell r="BV36">
            <v>23.293378365000002</v>
          </cell>
          <cell r="BW36">
            <v>25.674555023</v>
          </cell>
          <cell r="BX36">
            <v>25.730022009999999</v>
          </cell>
          <cell r="BY36">
            <v>26.200180490000001</v>
          </cell>
          <cell r="BZ36">
            <v>27.248539115069995</v>
          </cell>
          <cell r="CA36">
            <v>0</v>
          </cell>
          <cell r="CB36">
            <v>0</v>
          </cell>
          <cell r="CC36">
            <v>0</v>
          </cell>
          <cell r="CD36">
            <v>0</v>
          </cell>
          <cell r="CE36">
            <v>0</v>
          </cell>
          <cell r="CF36">
            <v>0</v>
          </cell>
          <cell r="CG36">
            <v>0</v>
          </cell>
          <cell r="CH36">
            <v>0</v>
          </cell>
          <cell r="CI36">
            <v>0</v>
          </cell>
          <cell r="CJ36">
            <v>0</v>
          </cell>
          <cell r="CK36">
            <v>0</v>
          </cell>
          <cell r="CL36">
            <v>0</v>
          </cell>
          <cell r="CM36">
            <v>61.136000000000003</v>
          </cell>
          <cell r="CN36">
            <v>61.915000000000006</v>
          </cell>
          <cell r="CO36">
            <v>73.915000000000006</v>
          </cell>
          <cell r="CP36">
            <v>79.771000000000001</v>
          </cell>
          <cell r="CQ36">
            <v>83.403000000000006</v>
          </cell>
          <cell r="CR36">
            <v>85.763798649999998</v>
          </cell>
          <cell r="CS36">
            <v>90.147506065000016</v>
          </cell>
          <cell r="CT36">
            <v>104.85329663806999</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0</v>
          </cell>
          <cell r="DM36">
            <v>0</v>
          </cell>
          <cell r="DN36">
            <v>0</v>
          </cell>
          <cell r="DO36">
            <v>0</v>
          </cell>
          <cell r="DP36">
            <v>0</v>
          </cell>
          <cell r="DQ36">
            <v>0</v>
          </cell>
          <cell r="DR36">
            <v>0</v>
          </cell>
          <cell r="DS36">
            <v>0</v>
          </cell>
          <cell r="DT36">
            <v>0</v>
          </cell>
          <cell r="DU36">
            <v>0</v>
          </cell>
          <cell r="DV36">
            <v>0</v>
          </cell>
          <cell r="DW36">
            <v>0</v>
          </cell>
          <cell r="DX36">
            <v>0</v>
          </cell>
          <cell r="DY36">
            <v>0</v>
          </cell>
          <cell r="DZ36">
            <v>0</v>
          </cell>
          <cell r="EA36">
            <v>0</v>
          </cell>
          <cell r="EB36">
            <v>0</v>
          </cell>
          <cell r="EC36">
            <v>0</v>
          </cell>
          <cell r="ED36">
            <v>0</v>
          </cell>
          <cell r="EE36">
            <v>0</v>
          </cell>
          <cell r="EF36">
            <v>0</v>
          </cell>
          <cell r="EG36">
            <v>0</v>
          </cell>
          <cell r="EH36">
            <v>0</v>
          </cell>
          <cell r="EI36">
            <v>0</v>
          </cell>
          <cell r="EJ36">
            <v>0</v>
          </cell>
          <cell r="EK36">
            <v>0</v>
          </cell>
          <cell r="EL36">
            <v>0</v>
          </cell>
          <cell r="EM36">
            <v>0</v>
          </cell>
          <cell r="EN36">
            <v>0</v>
          </cell>
          <cell r="EO36">
            <v>0</v>
          </cell>
        </row>
        <row r="37">
          <cell r="A37" t="str">
            <v>MKTO_ADJ_GA</v>
          </cell>
          <cell r="B37" t="str">
            <v>General and administrative</v>
          </cell>
          <cell r="C37">
            <v>1</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0.66599999999999993</v>
          </cell>
          <cell r="AR37">
            <v>0.9</v>
          </cell>
          <cell r="AS37">
            <v>1.3959999999999999</v>
          </cell>
          <cell r="AT37">
            <v>2.843</v>
          </cell>
          <cell r="AU37">
            <v>12.516999999999999</v>
          </cell>
          <cell r="AV37">
            <v>18.314</v>
          </cell>
          <cell r="AW37">
            <v>13.110999999999999</v>
          </cell>
          <cell r="AX37">
            <v>10.218</v>
          </cell>
          <cell r="AY37">
            <v>10.546000000000001</v>
          </cell>
          <cell r="AZ37">
            <v>10.715</v>
          </cell>
          <cell r="BA37">
            <v>11.738</v>
          </cell>
          <cell r="BB37">
            <v>10.534000000000001</v>
          </cell>
          <cell r="BC37">
            <v>11.113</v>
          </cell>
          <cell r="BD37">
            <v>11.754000000000001</v>
          </cell>
          <cell r="BE37">
            <v>13.277000000000001</v>
          </cell>
          <cell r="BF37">
            <v>13.803999999999998</v>
          </cell>
          <cell r="BG37">
            <v>14.321</v>
          </cell>
          <cell r="BH37">
            <v>14.682999999999998</v>
          </cell>
          <cell r="BI37">
            <v>14.642000000000001</v>
          </cell>
          <cell r="BJ37">
            <v>18.53</v>
          </cell>
          <cell r="BK37">
            <v>15.148</v>
          </cell>
          <cell r="BL37">
            <v>15.238999999999999</v>
          </cell>
          <cell r="BM37">
            <v>17.146000000000001</v>
          </cell>
          <cell r="BN37">
            <v>14.768000000000001</v>
          </cell>
          <cell r="BO37">
            <v>16.575999999999997</v>
          </cell>
          <cell r="BP37">
            <v>15.845000000000002</v>
          </cell>
          <cell r="BQ37">
            <v>18.219351</v>
          </cell>
          <cell r="BR37">
            <v>16.01573475</v>
          </cell>
          <cell r="BS37">
            <v>16.1212096</v>
          </cell>
          <cell r="BT37">
            <v>16.865792000000003</v>
          </cell>
          <cell r="BU37">
            <v>17.181799999999999</v>
          </cell>
          <cell r="BV37">
            <v>16.305364855500002</v>
          </cell>
          <cell r="BW37">
            <v>16.744275014999999</v>
          </cell>
          <cell r="BX37">
            <v>17.543196824999999</v>
          </cell>
          <cell r="BY37">
            <v>17.863759424999998</v>
          </cell>
          <cell r="BZ37">
            <v>18.165692743379999</v>
          </cell>
          <cell r="CA37">
            <v>0</v>
          </cell>
          <cell r="CB37">
            <v>0</v>
          </cell>
          <cell r="CC37">
            <v>0</v>
          </cell>
          <cell r="CD37">
            <v>0</v>
          </cell>
          <cell r="CE37">
            <v>0</v>
          </cell>
          <cell r="CF37">
            <v>0</v>
          </cell>
          <cell r="CG37">
            <v>0</v>
          </cell>
          <cell r="CH37">
            <v>0</v>
          </cell>
          <cell r="CI37">
            <v>0</v>
          </cell>
          <cell r="CJ37">
            <v>0</v>
          </cell>
          <cell r="CK37">
            <v>0</v>
          </cell>
          <cell r="CL37">
            <v>0</v>
          </cell>
          <cell r="CM37">
            <v>54.16</v>
          </cell>
          <cell r="CN37">
            <v>43.533000000000001</v>
          </cell>
          <cell r="CO37">
            <v>49.948000000000008</v>
          </cell>
          <cell r="CP37">
            <v>62.176000000000002</v>
          </cell>
          <cell r="CQ37">
            <v>62.301000000000002</v>
          </cell>
          <cell r="CR37">
            <v>66.656085749999988</v>
          </cell>
          <cell r="CS37">
            <v>66.474166455499997</v>
          </cell>
          <cell r="CT37">
            <v>70.316924008379999</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0</v>
          </cell>
          <cell r="DM37">
            <v>0</v>
          </cell>
          <cell r="DN37">
            <v>0</v>
          </cell>
          <cell r="DO37">
            <v>0</v>
          </cell>
          <cell r="DP37">
            <v>0</v>
          </cell>
          <cell r="DQ37">
            <v>0</v>
          </cell>
          <cell r="DR37">
            <v>0</v>
          </cell>
          <cell r="DS37">
            <v>0</v>
          </cell>
          <cell r="DT37">
            <v>0</v>
          </cell>
          <cell r="DU37">
            <v>0</v>
          </cell>
          <cell r="DV37">
            <v>0</v>
          </cell>
          <cell r="DW37">
            <v>0</v>
          </cell>
          <cell r="DX37">
            <v>0</v>
          </cell>
          <cell r="DY37">
            <v>0</v>
          </cell>
          <cell r="DZ37">
            <v>0</v>
          </cell>
          <cell r="EA37">
            <v>0</v>
          </cell>
          <cell r="EB37">
            <v>0</v>
          </cell>
          <cell r="EC37">
            <v>0</v>
          </cell>
          <cell r="ED37">
            <v>0</v>
          </cell>
          <cell r="EE37">
            <v>0</v>
          </cell>
          <cell r="EF37">
            <v>0</v>
          </cell>
          <cell r="EG37">
            <v>0</v>
          </cell>
          <cell r="EH37">
            <v>0</v>
          </cell>
          <cell r="EI37">
            <v>0</v>
          </cell>
          <cell r="EJ37">
            <v>0</v>
          </cell>
          <cell r="EK37">
            <v>0</v>
          </cell>
          <cell r="EL37">
            <v>0</v>
          </cell>
          <cell r="EM37">
            <v>0</v>
          </cell>
          <cell r="EN37">
            <v>0</v>
          </cell>
          <cell r="EO37">
            <v>0</v>
          </cell>
        </row>
        <row r="47">
          <cell r="A47" t="str">
            <v>MKTO_ADJ_OM</v>
          </cell>
          <cell r="B47" t="str">
            <v>Operating Income</v>
          </cell>
          <cell r="C47">
            <v>1</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-3.9900000000000011</v>
          </cell>
          <cell r="AR47">
            <v>-4.6210000000000004</v>
          </cell>
          <cell r="AS47">
            <v>-5.3950000000000014</v>
          </cell>
          <cell r="AT47">
            <v>-7.1479999999999997</v>
          </cell>
          <cell r="AU47">
            <v>13.247000000000003</v>
          </cell>
          <cell r="AV47">
            <v>19.298999999999982</v>
          </cell>
          <cell r="AW47">
            <v>20.690000000000015</v>
          </cell>
          <cell r="AX47">
            <v>22.280000000000015</v>
          </cell>
          <cell r="AY47">
            <v>20.928999999999995</v>
          </cell>
          <cell r="AZ47">
            <v>26.387999999999991</v>
          </cell>
          <cell r="BA47">
            <v>28.861000000000015</v>
          </cell>
          <cell r="BB47">
            <v>25.107999999999986</v>
          </cell>
          <cell r="BC47">
            <v>19.885000000000002</v>
          </cell>
          <cell r="BD47">
            <v>27.006000000000007</v>
          </cell>
          <cell r="BE47">
            <v>27.201999999999991</v>
          </cell>
          <cell r="BF47">
            <v>27.612999999999968</v>
          </cell>
          <cell r="BG47">
            <v>26.459</v>
          </cell>
          <cell r="BH47">
            <v>32.692</v>
          </cell>
          <cell r="BI47">
            <v>30.588999999999977</v>
          </cell>
          <cell r="BJ47">
            <v>32.214000000000013</v>
          </cell>
          <cell r="BK47">
            <v>31.55800000000001</v>
          </cell>
          <cell r="BL47">
            <v>34.787999999999975</v>
          </cell>
          <cell r="BM47">
            <v>34.047999999999988</v>
          </cell>
          <cell r="BN47">
            <v>43.795999999999992</v>
          </cell>
          <cell r="BO47">
            <v>33.964999999999989</v>
          </cell>
          <cell r="BP47">
            <v>40.624000000000009</v>
          </cell>
          <cell r="BQ47">
            <v>37.331613999999973</v>
          </cell>
          <cell r="BR47">
            <v>45.948581900000022</v>
          </cell>
          <cell r="BS47">
            <v>38.944400099999996</v>
          </cell>
          <cell r="BT47">
            <v>42.036954500000007</v>
          </cell>
          <cell r="BU47">
            <v>42.795903999999993</v>
          </cell>
          <cell r="BV47">
            <v>51.961746876000021</v>
          </cell>
          <cell r="BW47">
            <v>45.920403568999987</v>
          </cell>
          <cell r="BX47">
            <v>48.485143350000001</v>
          </cell>
          <cell r="BY47">
            <v>48.577450050000024</v>
          </cell>
          <cell r="BZ47">
            <v>56.322163980989956</v>
          </cell>
          <cell r="CA47">
            <v>0</v>
          </cell>
          <cell r="CB47">
            <v>0</v>
          </cell>
          <cell r="CC47">
            <v>0</v>
          </cell>
          <cell r="CD47">
            <v>0</v>
          </cell>
          <cell r="CE47">
            <v>0</v>
          </cell>
          <cell r="CF47">
            <v>0</v>
          </cell>
          <cell r="CG47">
            <v>0</v>
          </cell>
          <cell r="CH47">
            <v>0</v>
          </cell>
          <cell r="CI47">
            <v>0</v>
          </cell>
          <cell r="CJ47">
            <v>0</v>
          </cell>
          <cell r="CK47">
            <v>0</v>
          </cell>
          <cell r="CL47">
            <v>0</v>
          </cell>
          <cell r="CM47">
            <v>75.51600000000002</v>
          </cell>
          <cell r="CN47">
            <v>101.28599999999999</v>
          </cell>
          <cell r="CO47">
            <v>101.70599999999996</v>
          </cell>
          <cell r="CP47">
            <v>121.95399999999999</v>
          </cell>
          <cell r="CQ47">
            <v>144.18999999999997</v>
          </cell>
          <cell r="CR47">
            <v>157.86919589999999</v>
          </cell>
          <cell r="CS47">
            <v>175.73900547600002</v>
          </cell>
          <cell r="CT47">
            <v>199.30516094998995</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cell r="ED47">
            <v>0</v>
          </cell>
          <cell r="EE47">
            <v>0</v>
          </cell>
          <cell r="EF47">
            <v>0</v>
          </cell>
          <cell r="EG47">
            <v>0</v>
          </cell>
          <cell r="EH47">
            <v>0</v>
          </cell>
          <cell r="EI47">
            <v>0</v>
          </cell>
          <cell r="EJ47">
            <v>0</v>
          </cell>
          <cell r="EK47">
            <v>0</v>
          </cell>
          <cell r="EL47">
            <v>0</v>
          </cell>
          <cell r="EM47">
            <v>0</v>
          </cell>
          <cell r="EN47">
            <v>0</v>
          </cell>
          <cell r="EO47">
            <v>0</v>
          </cell>
        </row>
        <row r="48">
          <cell r="A48" t="str">
            <v>MKTO_ADJ_OTHERINC</v>
          </cell>
          <cell r="B48" t="str">
            <v>Other income (expense)</v>
          </cell>
          <cell r="C48">
            <v>1</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-0.01</v>
          </cell>
          <cell r="AR48">
            <v>-6.0000000000000001E-3</v>
          </cell>
          <cell r="AS48">
            <v>-4.2000000000000003E-2</v>
          </cell>
          <cell r="AT48">
            <v>-7.9000000000000001E-2</v>
          </cell>
          <cell r="AU48">
            <v>-0.308</v>
          </cell>
          <cell r="AV48">
            <v>-0.14000000000000001</v>
          </cell>
          <cell r="AW48">
            <v>0.38200000000000001</v>
          </cell>
          <cell r="AX48">
            <v>-0.32600000000000001</v>
          </cell>
          <cell r="AY48">
            <v>0.10299999999999999</v>
          </cell>
          <cell r="AZ48">
            <v>-0.309</v>
          </cell>
          <cell r="BA48">
            <v>-0.14000000000000001</v>
          </cell>
          <cell r="BB48">
            <v>-0.11600000000000001</v>
          </cell>
          <cell r="BC48">
            <v>-1.232</v>
          </cell>
          <cell r="BD48">
            <v>0.22500000000000001</v>
          </cell>
          <cell r="BE48">
            <v>2.9000000000000001E-2</v>
          </cell>
          <cell r="BF48">
            <v>-0.2</v>
          </cell>
          <cell r="BG48">
            <v>-0.29499999999999998</v>
          </cell>
          <cell r="BH48">
            <v>0.69499999999999984</v>
          </cell>
          <cell r="BI48">
            <v>0.184</v>
          </cell>
          <cell r="BJ48">
            <v>-0.318</v>
          </cell>
          <cell r="BK48">
            <v>-0.105</v>
          </cell>
          <cell r="BL48">
            <v>-6.5000000000000002E-2</v>
          </cell>
          <cell r="BM48">
            <v>-1.4999999999999999E-2</v>
          </cell>
          <cell r="BN48">
            <v>-0.106</v>
          </cell>
          <cell r="BO48">
            <v>0.28599999999999998</v>
          </cell>
          <cell r="BP48">
            <v>0.82699999999999996</v>
          </cell>
          <cell r="BQ48">
            <v>0.82699999999999996</v>
          </cell>
          <cell r="BR48">
            <v>0.82699999999999996</v>
          </cell>
          <cell r="BS48">
            <v>0.82699999999999996</v>
          </cell>
          <cell r="BT48">
            <v>0.82699999999999996</v>
          </cell>
          <cell r="BU48">
            <v>0.82699999999999996</v>
          </cell>
          <cell r="BV48">
            <v>0.82699999999999996</v>
          </cell>
          <cell r="BW48">
            <v>0.82699999999999996</v>
          </cell>
          <cell r="BX48">
            <v>0.82699999999999996</v>
          </cell>
          <cell r="BY48">
            <v>0.82699999999999996</v>
          </cell>
          <cell r="BZ48">
            <v>0.82699999999999996</v>
          </cell>
          <cell r="CA48">
            <v>0</v>
          </cell>
          <cell r="CB48">
            <v>0</v>
          </cell>
          <cell r="CC48">
            <v>0</v>
          </cell>
          <cell r="CD48">
            <v>0</v>
          </cell>
          <cell r="CE48">
            <v>0</v>
          </cell>
          <cell r="CF48">
            <v>0</v>
          </cell>
          <cell r="CG48">
            <v>0</v>
          </cell>
          <cell r="CH48">
            <v>0</v>
          </cell>
          <cell r="CI48">
            <v>0</v>
          </cell>
          <cell r="CJ48">
            <v>0</v>
          </cell>
          <cell r="CK48">
            <v>0</v>
          </cell>
          <cell r="CL48">
            <v>0</v>
          </cell>
          <cell r="CM48">
            <v>-0.39200000000000002</v>
          </cell>
          <cell r="CN48">
            <v>-0.46200000000000002</v>
          </cell>
          <cell r="CO48">
            <v>-1.1779999999999999</v>
          </cell>
          <cell r="CP48">
            <v>0.26599999999999985</v>
          </cell>
          <cell r="CQ48">
            <v>-0.29099999999999998</v>
          </cell>
          <cell r="CR48">
            <v>2.7669999999999999</v>
          </cell>
          <cell r="CS48">
            <v>3.3079999999999998</v>
          </cell>
          <cell r="CT48">
            <v>3.3079999999999998</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row>
        <row r="55">
          <cell r="A55" t="str">
            <v>MKTO_ADJ_TAXES</v>
          </cell>
          <cell r="B55" t="str">
            <v>Provision for income taxes</v>
          </cell>
          <cell r="C55">
            <v>1</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2E-3</v>
          </cell>
          <cell r="AR55">
            <v>3.0000000000000001E-3</v>
          </cell>
          <cell r="AS55">
            <v>0</v>
          </cell>
          <cell r="AT55">
            <v>1E-3</v>
          </cell>
          <cell r="AU55">
            <v>4.99</v>
          </cell>
          <cell r="AV55">
            <v>6.915</v>
          </cell>
          <cell r="AW55">
            <v>7.4630000000000001</v>
          </cell>
          <cell r="AX55">
            <v>7.7029999999999994</v>
          </cell>
          <cell r="AY55">
            <v>7.548</v>
          </cell>
          <cell r="AZ55">
            <v>9.593</v>
          </cell>
          <cell r="BA55">
            <v>10.664000000000001</v>
          </cell>
          <cell r="BB55">
            <v>9.2720000000000002</v>
          </cell>
          <cell r="BC55">
            <v>6.1040000000000001</v>
          </cell>
          <cell r="BD55">
            <v>10.106000000000002</v>
          </cell>
          <cell r="BE55">
            <v>10.132000000000001</v>
          </cell>
          <cell r="BF55">
            <v>9.9329999999999998</v>
          </cell>
          <cell r="BG55">
            <v>9.5510000000000002</v>
          </cell>
          <cell r="BH55">
            <v>12.291</v>
          </cell>
          <cell r="BI55">
            <v>11.295999999999999</v>
          </cell>
          <cell r="BJ55">
            <v>11.388</v>
          </cell>
          <cell r="BK55">
            <v>9.2080000000000002</v>
          </cell>
          <cell r="BL55">
            <v>10.241</v>
          </cell>
          <cell r="BM55">
            <v>10.045999999999999</v>
          </cell>
          <cell r="BN55">
            <v>13.166</v>
          </cell>
          <cell r="BO55">
            <v>10.200000000000001</v>
          </cell>
          <cell r="BP55">
            <v>12.448</v>
          </cell>
          <cell r="BQ55">
            <v>10.78707648</v>
          </cell>
          <cell r="BR55">
            <v>14.402490208000001</v>
          </cell>
          <cell r="BS55">
            <v>11.093810029999993</v>
          </cell>
          <cell r="BT55">
            <v>11.550996350000004</v>
          </cell>
          <cell r="BU55">
            <v>12.168411199999991</v>
          </cell>
          <cell r="BV55">
            <v>15.287335062799999</v>
          </cell>
          <cell r="BW55">
            <v>12.8963100707</v>
          </cell>
          <cell r="BX55">
            <v>13.148094005000004</v>
          </cell>
          <cell r="BY55">
            <v>13.604489015000009</v>
          </cell>
          <cell r="BZ55">
            <v>16.333991294296986</v>
          </cell>
          <cell r="CA55">
            <v>0</v>
          </cell>
          <cell r="CB55">
            <v>0</v>
          </cell>
          <cell r="CC55">
            <v>0</v>
          </cell>
          <cell r="CD55">
            <v>0</v>
          </cell>
          <cell r="CE55">
            <v>0</v>
          </cell>
          <cell r="CF55">
            <v>0</v>
          </cell>
          <cell r="CG55">
            <v>0</v>
          </cell>
          <cell r="CH55">
            <v>0</v>
          </cell>
          <cell r="CI55">
            <v>0</v>
          </cell>
          <cell r="CJ55">
            <v>0</v>
          </cell>
          <cell r="CK55">
            <v>0</v>
          </cell>
          <cell r="CL55">
            <v>0</v>
          </cell>
          <cell r="CM55">
            <v>27.071000000000002</v>
          </cell>
          <cell r="CN55">
            <v>37.076999999999998</v>
          </cell>
          <cell r="CO55">
            <v>36.275000000000006</v>
          </cell>
          <cell r="CP55">
            <v>44.525999999999996</v>
          </cell>
          <cell r="CQ55">
            <v>42.661000000000001</v>
          </cell>
          <cell r="CR55">
            <v>47.83756668800001</v>
          </cell>
          <cell r="CS55">
            <v>50.100552642799983</v>
          </cell>
          <cell r="CT55">
            <v>55.982884384997</v>
          </cell>
          <cell r="CU55">
            <v>0</v>
          </cell>
          <cell r="CV55">
            <v>0</v>
          </cell>
          <cell r="CW55">
            <v>0</v>
          </cell>
          <cell r="CX55">
            <v>0</v>
          </cell>
          <cell r="CY55">
            <v>0</v>
          </cell>
          <cell r="CZ55">
            <v>0</v>
          </cell>
          <cell r="DA55">
            <v>0</v>
          </cell>
          <cell r="DB55">
            <v>0</v>
          </cell>
          <cell r="DC55">
            <v>0</v>
          </cell>
          <cell r="DD55">
            <v>0</v>
          </cell>
          <cell r="DE55">
            <v>0</v>
          </cell>
          <cell r="DF55">
            <v>0</v>
          </cell>
          <cell r="DG55">
            <v>0</v>
          </cell>
          <cell r="DH55">
            <v>0</v>
          </cell>
          <cell r="DI55">
            <v>0</v>
          </cell>
          <cell r="DJ55">
            <v>0</v>
          </cell>
          <cell r="DK55">
            <v>0</v>
          </cell>
          <cell r="DL55">
            <v>0</v>
          </cell>
          <cell r="DM55">
            <v>0</v>
          </cell>
          <cell r="DN55">
            <v>0</v>
          </cell>
          <cell r="DO55">
            <v>0</v>
          </cell>
          <cell r="DP55">
            <v>0</v>
          </cell>
          <cell r="DQ55">
            <v>0</v>
          </cell>
          <cell r="DR55">
            <v>0</v>
          </cell>
          <cell r="DS55">
            <v>0</v>
          </cell>
          <cell r="DT55">
            <v>0</v>
          </cell>
          <cell r="DU55">
            <v>0</v>
          </cell>
          <cell r="DV55">
            <v>0</v>
          </cell>
          <cell r="DW55">
            <v>0</v>
          </cell>
          <cell r="DX55">
            <v>0</v>
          </cell>
          <cell r="DY55">
            <v>0</v>
          </cell>
          <cell r="DZ55">
            <v>0</v>
          </cell>
          <cell r="EA55">
            <v>0</v>
          </cell>
          <cell r="EB55">
            <v>0</v>
          </cell>
          <cell r="EC55">
            <v>0</v>
          </cell>
          <cell r="ED55">
            <v>0</v>
          </cell>
          <cell r="EE55">
            <v>0</v>
          </cell>
          <cell r="EF55">
            <v>0</v>
          </cell>
          <cell r="EG55">
            <v>0</v>
          </cell>
          <cell r="EH55">
            <v>0</v>
          </cell>
          <cell r="EI55">
            <v>0</v>
          </cell>
          <cell r="EJ55">
            <v>0</v>
          </cell>
          <cell r="EK55">
            <v>0</v>
          </cell>
          <cell r="EL55">
            <v>0</v>
          </cell>
          <cell r="EM55">
            <v>0</v>
          </cell>
          <cell r="EN55">
            <v>0</v>
          </cell>
          <cell r="EO55">
            <v>0</v>
          </cell>
        </row>
        <row r="58">
          <cell r="A58" t="str">
            <v>MKTO_ADJ_EPS</v>
          </cell>
          <cell r="B58" t="str">
            <v>Earnings per Share (U.S.$)</v>
          </cell>
          <cell r="C58">
            <v>1</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t="e">
            <v>#DIV/0!</v>
          </cell>
          <cell r="AR58" t="e">
            <v>#DIV/0!</v>
          </cell>
          <cell r="AS58" t="e">
            <v>#DIV/0!</v>
          </cell>
          <cell r="AT58" t="e">
            <v>#DIV/0!</v>
          </cell>
          <cell r="AU58">
            <v>0.17494800200191626</v>
          </cell>
          <cell r="AV58">
            <v>0.2451663521139672</v>
          </cell>
          <cell r="AW58">
            <v>0.26099051030811926</v>
          </cell>
          <cell r="AX58">
            <v>0.26909251498525172</v>
          </cell>
          <cell r="AY58">
            <v>0.26232407129624763</v>
          </cell>
          <cell r="AZ58">
            <v>0.33096164368663683</v>
          </cell>
          <cell r="BA58">
            <v>0.36601416195451897</v>
          </cell>
          <cell r="BB58">
            <v>0.31812120481523282</v>
          </cell>
          <cell r="BC58">
            <v>0.24380685904255739</v>
          </cell>
          <cell r="BD58">
            <v>0.34624802703231294</v>
          </cell>
          <cell r="BE58">
            <v>0.34530878918096369</v>
          </cell>
          <cell r="BF58">
            <v>0.33744128269810519</v>
          </cell>
          <cell r="BG58">
            <v>0.32349178965491659</v>
          </cell>
          <cell r="BH58">
            <v>0.41441547795907674</v>
          </cell>
          <cell r="BI58">
            <v>0.37918982870766338</v>
          </cell>
          <cell r="BJ58">
            <v>0.38125615447189298</v>
          </cell>
          <cell r="BK58">
            <v>0.41854285577286959</v>
          </cell>
          <cell r="BL58">
            <v>0.46371406045556157</v>
          </cell>
          <cell r="BM58">
            <v>0.45039355737610048</v>
          </cell>
          <cell r="BN58">
            <v>0.58980376892576936</v>
          </cell>
          <cell r="BO58">
            <v>0.45645963889270297</v>
          </cell>
          <cell r="BP58">
            <v>0.54070613239217036</v>
          </cell>
          <cell r="BQ58">
            <v>0.51217698916221077</v>
          </cell>
          <cell r="BR58">
            <v>0.61174095599429701</v>
          </cell>
          <cell r="BS58">
            <v>0.52866026710708691</v>
          </cell>
          <cell r="BT58">
            <v>0.57738441552127195</v>
          </cell>
          <cell r="BU58">
            <v>0.57439112562280981</v>
          </cell>
          <cell r="BV58">
            <v>0.69036848588374033</v>
          </cell>
          <cell r="BW58">
            <v>0.61071727090811123</v>
          </cell>
          <cell r="BX58">
            <v>0.65034417372887832</v>
          </cell>
          <cell r="BY58">
            <v>0.63687218442358207</v>
          </cell>
          <cell r="BZ58">
            <v>0.72778488293454136</v>
          </cell>
          <cell r="CA58">
            <v>0</v>
          </cell>
          <cell r="CB58">
            <v>0</v>
          </cell>
          <cell r="CC58">
            <v>0</v>
          </cell>
          <cell r="CD58">
            <v>0</v>
          </cell>
          <cell r="CE58">
            <v>0</v>
          </cell>
          <cell r="CF58">
            <v>0</v>
          </cell>
          <cell r="CG58">
            <v>0</v>
          </cell>
          <cell r="CH58">
            <v>0</v>
          </cell>
          <cell r="CI58">
            <v>0</v>
          </cell>
          <cell r="CJ58">
            <v>0</v>
          </cell>
          <cell r="CK58">
            <v>0</v>
          </cell>
          <cell r="CL58">
            <v>0</v>
          </cell>
          <cell r="CM58">
            <v>0.95019737940925442</v>
          </cell>
          <cell r="CN58">
            <v>1.2774210817526364</v>
          </cell>
          <cell r="CO58">
            <v>1.2728049579539393</v>
          </cell>
          <cell r="CP58">
            <v>1.4983532507935498</v>
          </cell>
          <cell r="CQ58">
            <v>1.9224542425303011</v>
          </cell>
          <cell r="CR58">
            <v>2.1210837164413814</v>
          </cell>
          <cell r="CS58">
            <v>2.370804294134909</v>
          </cell>
          <cell r="CT58">
            <v>2.625718511995113</v>
          </cell>
          <cell r="CU58">
            <v>0</v>
          </cell>
          <cell r="CV58">
            <v>0</v>
          </cell>
          <cell r="CW58">
            <v>0</v>
          </cell>
          <cell r="CX58">
            <v>0</v>
          </cell>
          <cell r="CY58">
            <v>0</v>
          </cell>
          <cell r="CZ58">
            <v>0</v>
          </cell>
          <cell r="DA58">
            <v>0</v>
          </cell>
          <cell r="DB58">
            <v>0</v>
          </cell>
          <cell r="DC58">
            <v>0</v>
          </cell>
          <cell r="DD58">
            <v>0</v>
          </cell>
          <cell r="DE58">
            <v>0</v>
          </cell>
          <cell r="DF58">
            <v>0</v>
          </cell>
          <cell r="DG58" t="e">
            <v>#VALUE!</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row>
        <row r="60">
          <cell r="A60" t="str">
            <v>MKTO_DIL_SHA</v>
          </cell>
          <cell r="B60" t="str">
            <v>Diluted Shares O/S</v>
          </cell>
          <cell r="C60">
            <v>2</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44.613256</v>
          </cell>
          <cell r="AV60">
            <v>44.112904999999998</v>
          </cell>
          <cell r="AW60">
            <v>44.718100999999997</v>
          </cell>
          <cell r="AX60">
            <v>44.757840999999999</v>
          </cell>
          <cell r="AY60">
            <v>45.009213000000003</v>
          </cell>
          <cell r="AZ60">
            <v>45.349665999999999</v>
          </cell>
          <cell r="BA60">
            <v>45.569274999999998</v>
          </cell>
          <cell r="BB60">
            <v>45.583255000000001</v>
          </cell>
          <cell r="BC60">
            <v>45.552450999999998</v>
          </cell>
          <cell r="BD60">
            <v>45.660910000000001</v>
          </cell>
          <cell r="BE60">
            <v>45.883569999999999</v>
          </cell>
          <cell r="BF60">
            <v>46.055419999999998</v>
          </cell>
          <cell r="BG60">
            <v>46.168095999999998</v>
          </cell>
          <cell r="BH60">
            <v>46.402706999999999</v>
          </cell>
          <cell r="BI60">
            <v>46.596713999999999</v>
          </cell>
          <cell r="BJ60">
            <v>46.713999999999999</v>
          </cell>
          <cell r="BK60">
            <v>46.757458</v>
          </cell>
          <cell r="BL60">
            <v>46.927625999999997</v>
          </cell>
          <cell r="BM60">
            <v>47.394106000000001</v>
          </cell>
          <cell r="BN60">
            <v>47.436115999999998</v>
          </cell>
          <cell r="BO60">
            <v>47.482840000000003</v>
          </cell>
          <cell r="BP60">
            <v>47.691339999999997</v>
          </cell>
          <cell r="BQ60">
            <v>47.162481</v>
          </cell>
          <cell r="BR60">
            <v>47.662481</v>
          </cell>
          <cell r="BS60">
            <v>48.162481</v>
          </cell>
          <cell r="BT60">
            <v>48.662481</v>
          </cell>
          <cell r="BU60">
            <v>49.162481</v>
          </cell>
          <cell r="BV60">
            <v>49.662481</v>
          </cell>
          <cell r="BW60">
            <v>50.162481</v>
          </cell>
          <cell r="BX60">
            <v>50.662481</v>
          </cell>
          <cell r="BY60">
            <v>51.162481</v>
          </cell>
          <cell r="BZ60">
            <v>51.662481</v>
          </cell>
          <cell r="CA60">
            <v>0</v>
          </cell>
          <cell r="CB60">
            <v>0</v>
          </cell>
          <cell r="CC60">
            <v>0</v>
          </cell>
          <cell r="CD60">
            <v>0</v>
          </cell>
          <cell r="CE60">
            <v>0</v>
          </cell>
          <cell r="CF60">
            <v>0</v>
          </cell>
          <cell r="CG60">
            <v>0</v>
          </cell>
          <cell r="CH60">
            <v>0</v>
          </cell>
          <cell r="CI60">
            <v>0</v>
          </cell>
          <cell r="CJ60">
            <v>0</v>
          </cell>
          <cell r="CK60">
            <v>0</v>
          </cell>
          <cell r="CL60">
            <v>0</v>
          </cell>
          <cell r="CM60" t="e">
            <v>#VALUE!</v>
          </cell>
          <cell r="CN60" t="e">
            <v>#VALUE!</v>
          </cell>
          <cell r="CO60" t="e">
            <v>#VALUE!</v>
          </cell>
          <cell r="CP60">
            <v>46.470379250000001</v>
          </cell>
          <cell r="CQ60">
            <v>47.128826499999995</v>
          </cell>
          <cell r="CR60">
            <v>47.499785500000002</v>
          </cell>
          <cell r="CS60">
            <v>48.912481</v>
          </cell>
          <cell r="CT60">
            <v>50.912481</v>
          </cell>
          <cell r="CU60">
            <v>0</v>
          </cell>
          <cell r="CV60">
            <v>0</v>
          </cell>
          <cell r="CW60">
            <v>0</v>
          </cell>
          <cell r="CX60">
            <v>0</v>
          </cell>
          <cell r="CY60">
            <v>0</v>
          </cell>
          <cell r="CZ60">
            <v>0</v>
          </cell>
          <cell r="DA60">
            <v>0</v>
          </cell>
          <cell r="DB60">
            <v>0</v>
          </cell>
          <cell r="DC60">
            <v>0</v>
          </cell>
          <cell r="DD60">
            <v>0</v>
          </cell>
          <cell r="DE60">
            <v>0</v>
          </cell>
          <cell r="DF60">
            <v>0</v>
          </cell>
          <cell r="DG60" t="e">
            <v>#VALUE!</v>
          </cell>
          <cell r="DH60" t="e">
            <v>#VALUE!</v>
          </cell>
          <cell r="DI60" t="e">
            <v>#VALUE!</v>
          </cell>
          <cell r="DJ60" t="e">
            <v>#VALUE!</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row>
        <row r="162">
          <cell r="A162" t="str">
            <v>MKTO_CAPEX</v>
          </cell>
          <cell r="B162" t="str">
            <v>Cap Ex</v>
          </cell>
          <cell r="C162">
            <v>1</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-6.2969999999999997</v>
          </cell>
          <cell r="AV162">
            <v>-5.2709999999999999</v>
          </cell>
          <cell r="AW162">
            <v>-3.8589999999999991</v>
          </cell>
          <cell r="AX162">
            <v>-5.13</v>
          </cell>
          <cell r="AY162">
            <v>-6.2919999999999998</v>
          </cell>
          <cell r="AZ162">
            <v>-3.7759999999999998</v>
          </cell>
          <cell r="BA162">
            <v>-3.3390000000000004</v>
          </cell>
          <cell r="BB162">
            <v>-6.6790000000000003</v>
          </cell>
          <cell r="BC162">
            <v>-6.1189999999999998</v>
          </cell>
          <cell r="BD162">
            <v>0.69599999999999973</v>
          </cell>
          <cell r="BE162">
            <v>-2.8940000000000001</v>
          </cell>
          <cell r="BF162">
            <v>-5.5939999999999994</v>
          </cell>
          <cell r="BG162">
            <v>-2.5209999999999999</v>
          </cell>
          <cell r="BH162">
            <v>-4.4930000000000003</v>
          </cell>
          <cell r="BI162">
            <v>-7.5460000000000003</v>
          </cell>
          <cell r="BJ162">
            <v>-4.0729999999999995</v>
          </cell>
          <cell r="BK162">
            <v>-7.8369999999999997</v>
          </cell>
          <cell r="BL162">
            <v>-4.7320000000000011</v>
          </cell>
          <cell r="BM162">
            <v>-2.8899999999999988</v>
          </cell>
          <cell r="BN162">
            <v>-2.2349999999999994</v>
          </cell>
          <cell r="BO162">
            <v>-2.7189999999999999</v>
          </cell>
          <cell r="BP162">
            <v>-2.9470000000000005</v>
          </cell>
          <cell r="BQ162">
            <v>-11.754419999999998</v>
          </cell>
          <cell r="BR162">
            <v>-11.744872150000001</v>
          </cell>
          <cell r="BS162">
            <v>-11.083331599999999</v>
          </cell>
          <cell r="BT162">
            <v>-11.595232000000001</v>
          </cell>
          <cell r="BU162">
            <v>-11.8124875</v>
          </cell>
          <cell r="BV162">
            <v>-12.811358100750001</v>
          </cell>
          <cell r="BW162">
            <v>-12.279135010999999</v>
          </cell>
          <cell r="BX162">
            <v>-12.865011004999999</v>
          </cell>
          <cell r="BY162">
            <v>-13.100090245000001</v>
          </cell>
          <cell r="BZ162">
            <v>-14.273044298369998</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-18.632999999999999</v>
          </cell>
          <cell r="CQ162">
            <v>-17.693999999999999</v>
          </cell>
          <cell r="CR162">
            <v>-29.165292149999999</v>
          </cell>
          <cell r="CS162">
            <v>-47.302409200749999</v>
          </cell>
          <cell r="CT162">
            <v>-48.498212611749999</v>
          </cell>
          <cell r="CU162">
            <v>0</v>
          </cell>
          <cell r="CV162">
            <v>0</v>
          </cell>
          <cell r="CW162">
            <v>0</v>
          </cell>
          <cell r="CX162">
            <v>0</v>
          </cell>
          <cell r="CY162">
            <v>0</v>
          </cell>
          <cell r="CZ162">
            <v>0</v>
          </cell>
          <cell r="DA162">
            <v>0</v>
          </cell>
          <cell r="DB162">
            <v>0</v>
          </cell>
          <cell r="DC162">
            <v>0</v>
          </cell>
          <cell r="DD162">
            <v>0</v>
          </cell>
          <cell r="DE162">
            <v>0</v>
          </cell>
          <cell r="DF162">
            <v>0</v>
          </cell>
          <cell r="DG162">
            <v>-18.536999999999999</v>
          </cell>
          <cell r="DH162">
            <v>-20.085999999999999</v>
          </cell>
          <cell r="DI162">
            <v>-13.911</v>
          </cell>
          <cell r="DJ162">
            <v>-18.632999999999999</v>
          </cell>
          <cell r="DK162">
            <v>0</v>
          </cell>
          <cell r="DL162">
            <v>0</v>
          </cell>
          <cell r="DM162">
            <v>0</v>
          </cell>
          <cell r="DN162">
            <v>0</v>
          </cell>
          <cell r="DO162">
            <v>0</v>
          </cell>
          <cell r="DP162">
            <v>0</v>
          </cell>
          <cell r="DQ162">
            <v>0</v>
          </cell>
          <cell r="DR162">
            <v>0</v>
          </cell>
          <cell r="DS162">
            <v>0</v>
          </cell>
          <cell r="DT162">
            <v>0</v>
          </cell>
          <cell r="DU162">
            <v>0</v>
          </cell>
          <cell r="DV162">
            <v>0</v>
          </cell>
          <cell r="DW162">
            <v>0</v>
          </cell>
          <cell r="DX162">
            <v>0</v>
          </cell>
          <cell r="DY162">
            <v>0</v>
          </cell>
          <cell r="DZ162">
            <v>0</v>
          </cell>
          <cell r="EA162">
            <v>0</v>
          </cell>
          <cell r="EB162">
            <v>0</v>
          </cell>
          <cell r="EC162">
            <v>0</v>
          </cell>
          <cell r="ED162">
            <v>0</v>
          </cell>
          <cell r="EE162">
            <v>0</v>
          </cell>
          <cell r="EF162">
            <v>0</v>
          </cell>
          <cell r="EG162">
            <v>0</v>
          </cell>
          <cell r="EH162">
            <v>0</v>
          </cell>
          <cell r="EI162">
            <v>0</v>
          </cell>
          <cell r="EJ162">
            <v>0</v>
          </cell>
          <cell r="EK162">
            <v>0</v>
          </cell>
          <cell r="EL162">
            <v>0</v>
          </cell>
          <cell r="EM162">
            <v>0</v>
          </cell>
          <cell r="EN162">
            <v>0</v>
          </cell>
          <cell r="EO162">
            <v>0</v>
          </cell>
        </row>
        <row r="163">
          <cell r="A163" t="str">
            <v>MKTO_FCF</v>
          </cell>
          <cell r="B163" t="str">
            <v>FCF</v>
          </cell>
          <cell r="C163">
            <v>1</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-5.1950965</v>
          </cell>
          <cell r="AR163">
            <v>-5.9652172033715161</v>
          </cell>
          <cell r="AS163">
            <v>-6.8000000000000007</v>
          </cell>
          <cell r="AT163">
            <v>-8.6460578386605782</v>
          </cell>
          <cell r="AU163">
            <v>0.44701875732708363</v>
          </cell>
          <cell r="AV163">
            <v>-1.1794957698815649</v>
          </cell>
          <cell r="AW163">
            <v>6.8115839866206889</v>
          </cell>
          <cell r="AX163">
            <v>-88.786121588089287</v>
          </cell>
          <cell r="AY163">
            <v>1.5778623094807216</v>
          </cell>
          <cell r="AZ163">
            <v>7.8324179741485018</v>
          </cell>
          <cell r="BA163">
            <v>3.9875719562593179</v>
          </cell>
          <cell r="BB163">
            <v>3.8560072771631244</v>
          </cell>
          <cell r="BC163">
            <v>48.915419058686865</v>
          </cell>
          <cell r="BD163">
            <v>4.2393732057416376</v>
          </cell>
          <cell r="BE163">
            <v>20.65471727748686</v>
          </cell>
          <cell r="BF163">
            <v>-28.446102064850351</v>
          </cell>
          <cell r="BG163">
            <v>31.354905456178912</v>
          </cell>
          <cell r="BH163">
            <v>-7.2804304749214577</v>
          </cell>
          <cell r="BI163">
            <v>6.9775127912998505</v>
          </cell>
          <cell r="BJ163">
            <v>-8.8155031166517901</v>
          </cell>
          <cell r="BK163">
            <v>37.488375495169905</v>
          </cell>
          <cell r="BL163">
            <v>13.07435163427281</v>
          </cell>
          <cell r="BM163">
            <v>9.7909258409786144</v>
          </cell>
          <cell r="BN163">
            <v>18.484961987167068</v>
          </cell>
          <cell r="BO163">
            <v>45.386584363430977</v>
          </cell>
          <cell r="BP163">
            <v>17.760366941284087</v>
          </cell>
          <cell r="BQ163">
            <v>45.204348519238437</v>
          </cell>
          <cell r="BR163">
            <v>54.980767943028177</v>
          </cell>
          <cell r="BS163">
            <v>22.935007000200009</v>
          </cell>
          <cell r="BT163">
            <v>53.675733425000054</v>
          </cell>
          <cell r="BU163">
            <v>52.505828341369977</v>
          </cell>
          <cell r="BV163">
            <v>70.781847503912076</v>
          </cell>
          <cell r="BW163">
            <v>32.602112359645574</v>
          </cell>
          <cell r="BX163">
            <v>63.002816413617694</v>
          </cell>
          <cell r="BY163">
            <v>61.03453118427548</v>
          </cell>
          <cell r="BZ163">
            <v>76.847472778201038</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0</v>
          </cell>
          <cell r="CO163">
            <v>0</v>
          </cell>
          <cell r="CP163">
            <v>22.236484655905514</v>
          </cell>
          <cell r="CQ163">
            <v>78.838614957588391</v>
          </cell>
          <cell r="CR163">
            <v>163.33206776698168</v>
          </cell>
          <cell r="CS163">
            <v>199.8984162704821</v>
          </cell>
          <cell r="CT163">
            <v>209.56552162992767</v>
          </cell>
          <cell r="CU163">
            <v>0</v>
          </cell>
          <cell r="CV163">
            <v>0</v>
          </cell>
          <cell r="CW163">
            <v>0</v>
          </cell>
          <cell r="CX163">
            <v>0</v>
          </cell>
          <cell r="CY163">
            <v>0</v>
          </cell>
          <cell r="CZ163">
            <v>0</v>
          </cell>
          <cell r="DA163">
            <v>0</v>
          </cell>
          <cell r="DB163">
            <v>0</v>
          </cell>
          <cell r="DC163">
            <v>0</v>
          </cell>
          <cell r="DD163">
            <v>0</v>
          </cell>
          <cell r="DE163">
            <v>0</v>
          </cell>
          <cell r="DF163">
            <v>0</v>
          </cell>
          <cell r="DG163">
            <v>-75.388269348200751</v>
          </cell>
          <cell r="DH163">
            <v>17.253859517051666</v>
          </cell>
          <cell r="DI163">
            <v>45.36340747706501</v>
          </cell>
          <cell r="DJ163">
            <v>22.236484655905514</v>
          </cell>
          <cell r="DK163">
            <v>0</v>
          </cell>
          <cell r="DL163">
            <v>0</v>
          </cell>
          <cell r="DM163">
            <v>0</v>
          </cell>
          <cell r="DN163">
            <v>0</v>
          </cell>
          <cell r="DO163">
            <v>0</v>
          </cell>
          <cell r="DP163">
            <v>0</v>
          </cell>
          <cell r="DQ163">
            <v>0</v>
          </cell>
          <cell r="DR163">
            <v>0</v>
          </cell>
          <cell r="DS163">
            <v>0</v>
          </cell>
          <cell r="DT163">
            <v>0</v>
          </cell>
          <cell r="DU163">
            <v>0</v>
          </cell>
          <cell r="DV163">
            <v>0</v>
          </cell>
          <cell r="DW163">
            <v>0</v>
          </cell>
          <cell r="DX163">
            <v>0</v>
          </cell>
          <cell r="DY163">
            <v>0</v>
          </cell>
          <cell r="DZ163">
            <v>0</v>
          </cell>
          <cell r="EA163">
            <v>0</v>
          </cell>
          <cell r="EB163">
            <v>0</v>
          </cell>
          <cell r="EC163">
            <v>0</v>
          </cell>
          <cell r="ED163">
            <v>0</v>
          </cell>
          <cell r="EE163">
            <v>0</v>
          </cell>
          <cell r="EF163">
            <v>0</v>
          </cell>
          <cell r="EG163">
            <v>0</v>
          </cell>
          <cell r="EH163">
            <v>0</v>
          </cell>
          <cell r="EI163">
            <v>0</v>
          </cell>
          <cell r="EJ163">
            <v>0</v>
          </cell>
          <cell r="EK163">
            <v>0</v>
          </cell>
          <cell r="EL163">
            <v>0</v>
          </cell>
          <cell r="EM163">
            <v>0</v>
          </cell>
          <cell r="EN163">
            <v>0</v>
          </cell>
          <cell r="EO163">
            <v>0</v>
          </cell>
        </row>
        <row r="164">
          <cell r="A164" t="str">
            <v>MKTO_FCF_PS</v>
          </cell>
          <cell r="B164" t="str">
            <v>FCF/Share</v>
          </cell>
          <cell r="C164">
            <v>1</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t="e">
            <v>#DIV/0!</v>
          </cell>
          <cell r="AR164" t="e">
            <v>#DIV/0!</v>
          </cell>
          <cell r="AS164" t="e">
            <v>#DIV/0!</v>
          </cell>
          <cell r="AT164" t="e">
            <v>#DIV/0!</v>
          </cell>
          <cell r="AU164">
            <v>1.0172357732907433E-2</v>
          </cell>
          <cell r="AV164">
            <v>-2.6738111441120573E-2</v>
          </cell>
          <cell r="AW164">
            <v>0.15420300355224395</v>
          </cell>
          <cell r="AX164">
            <v>-2.0021275386393622</v>
          </cell>
          <cell r="AY164">
            <v>3.5478692600887318E-2</v>
          </cell>
          <cell r="AZ164">
            <v>0.17585746763287244</v>
          </cell>
          <cell r="BA164">
            <v>8.9136784913953937E-2</v>
          </cell>
          <cell r="BB164">
            <v>8.5716986722008656E-2</v>
          </cell>
          <cell r="BC164">
            <v>1.0839346715009583</v>
          </cell>
          <cell r="BD164">
            <v>9.3882926531874647E-2</v>
          </cell>
          <cell r="BE164">
            <v>0.45700041349615722</v>
          </cell>
          <cell r="BF164">
            <v>-0.62687728512049645</v>
          </cell>
          <cell r="BG164">
            <v>0.68866975828110388</v>
          </cell>
          <cell r="BH164">
            <v>-0.15973091484578064</v>
          </cell>
          <cell r="BI164">
            <v>0.15295917066971793</v>
          </cell>
          <cell r="BJ164">
            <v>-0.19261747791983053</v>
          </cell>
          <cell r="BK164">
            <v>0.81553444185930291</v>
          </cell>
          <cell r="BL164">
            <v>0.2837127797684596</v>
          </cell>
          <cell r="BM164">
            <v>0.21210864761176579</v>
          </cell>
          <cell r="BN164">
            <v>0.39948456092552043</v>
          </cell>
          <cell r="BO164">
            <v>0.97601861493871112</v>
          </cell>
          <cell r="BP164">
            <v>0.38061342990493985</v>
          </cell>
          <cell r="BQ164">
            <v>0.95848113926064316</v>
          </cell>
          <cell r="BR164">
            <v>1.153543978187543</v>
          </cell>
          <cell r="BS164">
            <v>0.47620069655880082</v>
          </cell>
          <cell r="BT164">
            <v>1.1030208966328712</v>
          </cell>
          <cell r="BU164">
            <v>1.0680060744161788</v>
          </cell>
          <cell r="BV164">
            <v>1.4252579830619432</v>
          </cell>
          <cell r="BW164">
            <v>0.64993022094831343</v>
          </cell>
          <cell r="BX164">
            <v>1.2435793741253551</v>
          </cell>
          <cell r="BY164">
            <v>1.1929548761381505</v>
          </cell>
          <cell r="BZ164">
            <v>1.4874909468285318</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N164">
            <v>0</v>
          </cell>
          <cell r="CO164">
            <v>0</v>
          </cell>
          <cell r="CP164">
            <v>0.48928053618521072</v>
          </cell>
          <cell r="CQ164">
            <v>1.7108404301650486</v>
          </cell>
          <cell r="CR164">
            <v>3.4686571622918367</v>
          </cell>
          <cell r="CS164">
            <v>4.072485650669794</v>
          </cell>
          <cell r="CT164">
            <v>4.2462151750593069</v>
          </cell>
          <cell r="CU164">
            <v>0</v>
          </cell>
          <cell r="CV164">
            <v>0</v>
          </cell>
          <cell r="CW164">
            <v>0</v>
          </cell>
          <cell r="CX164">
            <v>0</v>
          </cell>
          <cell r="CY164">
            <v>0</v>
          </cell>
          <cell r="CZ164">
            <v>0</v>
          </cell>
          <cell r="DA164">
            <v>0</v>
          </cell>
          <cell r="DB164">
            <v>0</v>
          </cell>
          <cell r="DC164">
            <v>0</v>
          </cell>
          <cell r="DD164">
            <v>0</v>
          </cell>
          <cell r="DE164">
            <v>0</v>
          </cell>
          <cell r="DF164">
            <v>0</v>
          </cell>
          <cell r="DG164">
            <v>-1.7016545934916487</v>
          </cell>
          <cell r="DH164">
            <v>0.38618993186972239</v>
          </cell>
          <cell r="DI164">
            <v>1.0079407264084936</v>
          </cell>
          <cell r="DJ164">
            <v>0.48928053618521072</v>
          </cell>
          <cell r="DK164">
            <v>0</v>
          </cell>
          <cell r="DL164">
            <v>0</v>
          </cell>
          <cell r="DM164">
            <v>0</v>
          </cell>
          <cell r="DN164">
            <v>0</v>
          </cell>
          <cell r="DO164">
            <v>0</v>
          </cell>
          <cell r="DP164">
            <v>0</v>
          </cell>
          <cell r="DQ164">
            <v>0</v>
          </cell>
          <cell r="DR164">
            <v>0</v>
          </cell>
          <cell r="DS164">
            <v>0</v>
          </cell>
          <cell r="DT164">
            <v>0</v>
          </cell>
          <cell r="DU164">
            <v>0</v>
          </cell>
          <cell r="DV164">
            <v>0</v>
          </cell>
          <cell r="DW164">
            <v>0</v>
          </cell>
          <cell r="DX164">
            <v>0</v>
          </cell>
          <cell r="DY164">
            <v>0</v>
          </cell>
          <cell r="DZ164">
            <v>0</v>
          </cell>
          <cell r="EA164">
            <v>0</v>
          </cell>
          <cell r="EB164">
            <v>0</v>
          </cell>
          <cell r="EC164">
            <v>0</v>
          </cell>
          <cell r="ED164">
            <v>0</v>
          </cell>
          <cell r="EE164">
            <v>0</v>
          </cell>
          <cell r="EF164">
            <v>0</v>
          </cell>
          <cell r="EG164">
            <v>0</v>
          </cell>
          <cell r="EH164">
            <v>0</v>
          </cell>
          <cell r="EI164">
            <v>0</v>
          </cell>
          <cell r="EJ164">
            <v>0</v>
          </cell>
          <cell r="EK164">
            <v>0</v>
          </cell>
          <cell r="EL164">
            <v>0</v>
          </cell>
          <cell r="EM164">
            <v>0</v>
          </cell>
          <cell r="EN164">
            <v>0</v>
          </cell>
          <cell r="EO164">
            <v>0</v>
          </cell>
        </row>
        <row r="184">
          <cell r="A184" t="str">
            <v>MKTO_DSO</v>
          </cell>
          <cell r="B184" t="str">
            <v>DSO (based on recognized rev.)</v>
          </cell>
          <cell r="C184">
            <v>2</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56.382777970899333</v>
          </cell>
          <cell r="AY184">
            <v>54.345351598802196</v>
          </cell>
          <cell r="AZ184">
            <v>62.737349397590364</v>
          </cell>
          <cell r="BA184">
            <v>51.264157283176914</v>
          </cell>
          <cell r="BB184">
            <v>44.663534572832305</v>
          </cell>
          <cell r="BC184">
            <v>45.184121859867417</v>
          </cell>
          <cell r="BD184">
            <v>55.722874278991014</v>
          </cell>
          <cell r="BE184">
            <v>43.54264764223862</v>
          </cell>
          <cell r="BF184">
            <v>44.311517576450413</v>
          </cell>
          <cell r="BG184">
            <v>45.284463342524006</v>
          </cell>
          <cell r="BH184">
            <v>50.688874470055381</v>
          </cell>
          <cell r="BI184">
            <v>44.955101071046727</v>
          </cell>
          <cell r="BJ184">
            <v>40.895742100653507</v>
          </cell>
          <cell r="BK184">
            <v>41.74118637527625</v>
          </cell>
          <cell r="BL184">
            <v>54.45336292324933</v>
          </cell>
          <cell r="BM184">
            <v>43.275877703304332</v>
          </cell>
          <cell r="BN184">
            <v>40.361463402334785</v>
          </cell>
          <cell r="BO184">
            <v>44.855490385086668</v>
          </cell>
          <cell r="BP184">
            <v>62.063435180712865</v>
          </cell>
          <cell r="BQ184">
            <v>40</v>
          </cell>
          <cell r="BR184">
            <v>40</v>
          </cell>
          <cell r="BS184">
            <v>40</v>
          </cell>
          <cell r="BT184">
            <v>60</v>
          </cell>
          <cell r="BU184">
            <v>42</v>
          </cell>
          <cell r="BV184">
            <v>40</v>
          </cell>
          <cell r="BW184">
            <v>40</v>
          </cell>
          <cell r="BX184">
            <v>60</v>
          </cell>
          <cell r="BY184">
            <v>42</v>
          </cell>
          <cell r="BZ184">
            <v>40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v>0</v>
          </cell>
          <cell r="DU184">
            <v>0</v>
          </cell>
          <cell r="DV184">
            <v>0</v>
          </cell>
          <cell r="DW184">
            <v>0</v>
          </cell>
          <cell r="DX184">
            <v>0</v>
          </cell>
          <cell r="DY184">
            <v>0</v>
          </cell>
          <cell r="DZ184">
            <v>0</v>
          </cell>
          <cell r="EA184">
            <v>0</v>
          </cell>
          <cell r="EB184">
            <v>0</v>
          </cell>
          <cell r="EC184">
            <v>0</v>
          </cell>
          <cell r="ED184">
            <v>0</v>
          </cell>
          <cell r="EE184">
            <v>0</v>
          </cell>
          <cell r="EF184">
            <v>0</v>
          </cell>
          <cell r="EG184">
            <v>0</v>
          </cell>
          <cell r="EH184">
            <v>0</v>
          </cell>
          <cell r="EI184">
            <v>0</v>
          </cell>
          <cell r="EJ184">
            <v>0</v>
          </cell>
          <cell r="EK184">
            <v>0</v>
          </cell>
          <cell r="EL184">
            <v>0</v>
          </cell>
          <cell r="EM184">
            <v>0</v>
          </cell>
          <cell r="EN184">
            <v>0</v>
          </cell>
          <cell r="EO184">
            <v>0</v>
          </cell>
        </row>
        <row r="190">
          <cell r="A190" t="str">
            <v>MKTO_DEF_REV</v>
          </cell>
          <cell r="B190" t="str">
            <v>Deferred Revenues</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185.018</v>
          </cell>
          <cell r="AY190">
            <v>177.04599999999999</v>
          </cell>
          <cell r="AZ190">
            <v>191.54</v>
          </cell>
          <cell r="BA190">
            <v>194.02500000000001</v>
          </cell>
          <cell r="BB190">
            <v>190.57399999999998</v>
          </cell>
          <cell r="BC190">
            <v>181.56</v>
          </cell>
          <cell r="BD190">
            <v>200.41500000000002</v>
          </cell>
          <cell r="BE190">
            <v>204.75899999999999</v>
          </cell>
          <cell r="BF190">
            <v>221.274</v>
          </cell>
          <cell r="BG190">
            <v>214.97800000000001</v>
          </cell>
          <cell r="BH190">
            <v>233.87199999999999</v>
          </cell>
          <cell r="BI190">
            <v>234.53</v>
          </cell>
          <cell r="BJ190">
            <v>237.33500000000001</v>
          </cell>
          <cell r="BK190">
            <v>228.99799999999999</v>
          </cell>
          <cell r="BL190">
            <v>256.661</v>
          </cell>
          <cell r="BM190">
            <v>254.74599999999998</v>
          </cell>
          <cell r="BN190">
            <v>250.94</v>
          </cell>
          <cell r="BO190">
            <v>244.78200000000001</v>
          </cell>
          <cell r="BP190">
            <v>286.88299999999998</v>
          </cell>
          <cell r="BQ190">
            <v>288.31741499999993</v>
          </cell>
          <cell r="BR190">
            <v>302.73328574999999</v>
          </cell>
          <cell r="BS190">
            <v>293.65128717749997</v>
          </cell>
          <cell r="BT190">
            <v>337.69898025412493</v>
          </cell>
          <cell r="BU190">
            <v>341.07597005666622</v>
          </cell>
          <cell r="BV190">
            <v>358.1297685594995</v>
          </cell>
          <cell r="BW190">
            <v>347.3858755027145</v>
          </cell>
          <cell r="BX190">
            <v>399.49375682812166</v>
          </cell>
          <cell r="BY190">
            <v>403.48869439640288</v>
          </cell>
          <cell r="BZ190">
            <v>423.66312911622305</v>
          </cell>
          <cell r="CA190">
            <v>0</v>
          </cell>
          <cell r="CB190">
            <v>0</v>
          </cell>
          <cell r="CC190">
            <v>0</v>
          </cell>
          <cell r="CD190">
            <v>0</v>
          </cell>
          <cell r="CE190">
            <v>0</v>
          </cell>
          <cell r="CF190">
            <v>0</v>
          </cell>
          <cell r="CG190">
            <v>0</v>
          </cell>
          <cell r="CH190">
            <v>0</v>
          </cell>
          <cell r="CI190">
            <v>0</v>
          </cell>
          <cell r="CJ190">
            <v>0</v>
          </cell>
          <cell r="CK190">
            <v>0</v>
          </cell>
          <cell r="CL190">
            <v>0</v>
          </cell>
          <cell r="CM190">
            <v>185.018</v>
          </cell>
          <cell r="CN190">
            <v>190.57399999999998</v>
          </cell>
          <cell r="CO190">
            <v>221.274</v>
          </cell>
          <cell r="CP190">
            <v>237.33500000000001</v>
          </cell>
          <cell r="CQ190">
            <v>250.94</v>
          </cell>
          <cell r="CR190">
            <v>302.73328574999999</v>
          </cell>
          <cell r="CS190">
            <v>358.1297685594995</v>
          </cell>
          <cell r="CT190">
            <v>423.66312911622305</v>
          </cell>
          <cell r="CU190">
            <v>0</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0</v>
          </cell>
          <cell r="DM190">
            <v>0</v>
          </cell>
          <cell r="DN190">
            <v>0</v>
          </cell>
          <cell r="DO190">
            <v>0</v>
          </cell>
          <cell r="DP190">
            <v>0</v>
          </cell>
          <cell r="DQ190">
            <v>0</v>
          </cell>
          <cell r="DR190">
            <v>0</v>
          </cell>
          <cell r="DS190">
            <v>0</v>
          </cell>
          <cell r="DT190">
            <v>0</v>
          </cell>
          <cell r="DU190">
            <v>0</v>
          </cell>
          <cell r="DV190">
            <v>0</v>
          </cell>
          <cell r="DW190">
            <v>0</v>
          </cell>
          <cell r="DX190">
            <v>0</v>
          </cell>
          <cell r="DY190">
            <v>0</v>
          </cell>
          <cell r="DZ190">
            <v>0</v>
          </cell>
          <cell r="EA190">
            <v>0</v>
          </cell>
          <cell r="EB190">
            <v>0</v>
          </cell>
          <cell r="EC190">
            <v>0</v>
          </cell>
          <cell r="ED190">
            <v>0</v>
          </cell>
          <cell r="EE190">
            <v>0</v>
          </cell>
          <cell r="EF190">
            <v>0</v>
          </cell>
          <cell r="EG190">
            <v>0</v>
          </cell>
          <cell r="EH190">
            <v>0</v>
          </cell>
          <cell r="EI190">
            <v>0</v>
          </cell>
          <cell r="EJ190">
            <v>0</v>
          </cell>
          <cell r="EK190">
            <v>0</v>
          </cell>
          <cell r="EL190">
            <v>0</v>
          </cell>
          <cell r="EM190">
            <v>0</v>
          </cell>
          <cell r="EN190">
            <v>0</v>
          </cell>
          <cell r="EO190">
            <v>0</v>
          </cell>
        </row>
        <row r="191">
          <cell r="A191" t="str">
            <v>MKTO_BOOKINGS</v>
          </cell>
          <cell r="B191" t="str">
            <v>Bookings</v>
          </cell>
          <cell r="C191">
            <v>1</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6.0990000000000002</v>
          </cell>
          <cell r="AR191">
            <v>7.4329999999999998</v>
          </cell>
          <cell r="AS191">
            <v>8.7140000000000004</v>
          </cell>
          <cell r="AT191">
            <v>10.146000000000001</v>
          </cell>
          <cell r="AU191">
            <v>94.706000000000003</v>
          </cell>
          <cell r="AV191">
            <v>113.65799999999999</v>
          </cell>
          <cell r="AW191">
            <v>123.82400000000001</v>
          </cell>
          <cell r="AX191">
            <v>305.84000000000003</v>
          </cell>
          <cell r="AY191">
            <v>108.23999999999998</v>
          </cell>
          <cell r="AZ191">
            <v>140.23899999999998</v>
          </cell>
          <cell r="BA191">
            <v>130.45800000000003</v>
          </cell>
          <cell r="BB191">
            <v>131.49599999999995</v>
          </cell>
          <cell r="BC191">
            <v>118.60800000000002</v>
          </cell>
          <cell r="BD191">
            <v>158.24300000000002</v>
          </cell>
          <cell r="BE191">
            <v>150.54199999999994</v>
          </cell>
          <cell r="BF191">
            <v>173.97</v>
          </cell>
          <cell r="BG191">
            <v>144.21899999999999</v>
          </cell>
          <cell r="BH191">
            <v>177.63699999999997</v>
          </cell>
          <cell r="BI191">
            <v>160.595</v>
          </cell>
          <cell r="BJ191">
            <v>180.92100000000002</v>
          </cell>
          <cell r="BK191">
            <v>162.70499999999998</v>
          </cell>
          <cell r="BL191">
            <v>209.70699999999999</v>
          </cell>
          <cell r="BM191">
            <v>181.14799999999997</v>
          </cell>
          <cell r="BN191">
            <v>194.49900000000002</v>
          </cell>
          <cell r="BO191">
            <v>177.46300000000002</v>
          </cell>
          <cell r="BP191">
            <v>234.64399999999998</v>
          </cell>
          <cell r="BQ191">
            <v>197.34141499999993</v>
          </cell>
          <cell r="BR191">
            <v>227.95900075000009</v>
          </cell>
          <cell r="BS191">
            <v>192.43312142749997</v>
          </cell>
          <cell r="BT191">
            <v>254.87009307662498</v>
          </cell>
          <cell r="BU191">
            <v>218.14948980254127</v>
          </cell>
          <cell r="BV191">
            <v>249.98758215283328</v>
          </cell>
          <cell r="BW191">
            <v>212.513107143215</v>
          </cell>
          <cell r="BX191">
            <v>286.01717232540716</v>
          </cell>
          <cell r="BY191">
            <v>242.17839656828122</v>
          </cell>
          <cell r="BZ191">
            <v>279.68433105382013</v>
          </cell>
          <cell r="CA191">
            <v>0</v>
          </cell>
          <cell r="CB191">
            <v>0</v>
          </cell>
          <cell r="CC191">
            <v>0</v>
          </cell>
          <cell r="CD191">
            <v>0</v>
          </cell>
          <cell r="CE191">
            <v>0</v>
          </cell>
          <cell r="CF191">
            <v>0</v>
          </cell>
          <cell r="CG191">
            <v>0</v>
          </cell>
          <cell r="CH191">
            <v>0</v>
          </cell>
          <cell r="CI191">
            <v>0</v>
          </cell>
          <cell r="CJ191">
            <v>0</v>
          </cell>
          <cell r="CK191">
            <v>0</v>
          </cell>
          <cell r="CL191">
            <v>0</v>
          </cell>
          <cell r="CM191">
            <v>638.02800000000002</v>
          </cell>
          <cell r="CN191">
            <v>510.43299999999994</v>
          </cell>
          <cell r="CO191">
            <v>601.36300000000006</v>
          </cell>
          <cell r="CP191">
            <v>663.37199999999996</v>
          </cell>
          <cell r="CQ191">
            <v>748.05899999999997</v>
          </cell>
          <cell r="CR191">
            <v>837.40741574999993</v>
          </cell>
          <cell r="CS191">
            <v>915.44028645949959</v>
          </cell>
          <cell r="CT191">
            <v>1020.3930070907235</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0</v>
          </cell>
          <cell r="DM191">
            <v>0</v>
          </cell>
          <cell r="DN191">
            <v>0</v>
          </cell>
          <cell r="DO191">
            <v>0</v>
          </cell>
          <cell r="DP191">
            <v>0</v>
          </cell>
          <cell r="DQ191">
            <v>0</v>
          </cell>
          <cell r="DR191">
            <v>0</v>
          </cell>
          <cell r="DS191">
            <v>0</v>
          </cell>
          <cell r="DT191">
            <v>0</v>
          </cell>
          <cell r="DU191">
            <v>0</v>
          </cell>
          <cell r="DV191">
            <v>0</v>
          </cell>
          <cell r="DW191">
            <v>0</v>
          </cell>
          <cell r="DX191">
            <v>0</v>
          </cell>
          <cell r="DY191">
            <v>0</v>
          </cell>
          <cell r="DZ191">
            <v>0</v>
          </cell>
          <cell r="EA191">
            <v>0</v>
          </cell>
          <cell r="EB191">
            <v>0</v>
          </cell>
          <cell r="EC191">
            <v>0</v>
          </cell>
          <cell r="ED191">
            <v>0</v>
          </cell>
          <cell r="EE191">
            <v>0</v>
          </cell>
          <cell r="EF191">
            <v>0</v>
          </cell>
          <cell r="EG191">
            <v>0</v>
          </cell>
          <cell r="EH191">
            <v>0</v>
          </cell>
          <cell r="EI191">
            <v>0</v>
          </cell>
          <cell r="EJ191">
            <v>0</v>
          </cell>
          <cell r="EK191">
            <v>0</v>
          </cell>
          <cell r="EL191">
            <v>0</v>
          </cell>
          <cell r="EM191">
            <v>0</v>
          </cell>
          <cell r="EN191">
            <v>0</v>
          </cell>
          <cell r="EO191">
            <v>0</v>
          </cell>
        </row>
        <row r="193">
          <cell r="A193" t="str">
            <v>MKTO_CFO</v>
          </cell>
          <cell r="B193" t="str">
            <v>Cash Flow From Operations</v>
          </cell>
          <cell r="C193">
            <v>1</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-4.1949999999999994</v>
          </cell>
          <cell r="AR193">
            <v>-4.9650000000000016</v>
          </cell>
          <cell r="AS193">
            <v>-5.8000000000000007</v>
          </cell>
          <cell r="AT193">
            <v>-7.6459999999999999</v>
          </cell>
          <cell r="AU193">
            <v>3.9850000000000065</v>
          </cell>
          <cell r="AV193">
            <v>6.9639999999999969</v>
          </cell>
          <cell r="AW193">
            <v>28.720000000000002</v>
          </cell>
          <cell r="AX193">
            <v>29.021999999999998</v>
          </cell>
          <cell r="AY193">
            <v>12.939999999999991</v>
          </cell>
          <cell r="AZ193">
            <v>24.532000000000011</v>
          </cell>
          <cell r="BA193">
            <v>40.49799999999999</v>
          </cell>
          <cell r="BB193">
            <v>29.274000000000015</v>
          </cell>
          <cell r="BC193">
            <v>13.264000000000003</v>
          </cell>
          <cell r="BD193">
            <v>31.84</v>
          </cell>
          <cell r="BE193">
            <v>40.388000000000005</v>
          </cell>
          <cell r="BF193">
            <v>16.784999999999997</v>
          </cell>
          <cell r="BG193">
            <v>4.2309999999999945</v>
          </cell>
          <cell r="BH193">
            <v>43.332999999999998</v>
          </cell>
          <cell r="BI193">
            <v>37.727000000000011</v>
          </cell>
          <cell r="BJ193">
            <v>29.048999999999992</v>
          </cell>
          <cell r="BK193">
            <v>6.804000000000002</v>
          </cell>
          <cell r="BL193">
            <v>35.283000000000001</v>
          </cell>
          <cell r="BM193">
            <v>58.057000000000016</v>
          </cell>
          <cell r="BN193">
            <v>53.483999999999995</v>
          </cell>
          <cell r="BO193">
            <v>12.763999999999982</v>
          </cell>
          <cell r="BP193">
            <v>41.786999999999992</v>
          </cell>
          <cell r="BQ193">
            <v>88.004382998260795</v>
          </cell>
          <cell r="BR193">
            <v>45.108811585961377</v>
          </cell>
          <cell r="BS193">
            <v>28.622864123300346</v>
          </cell>
          <cell r="BT193">
            <v>37.537910850260019</v>
          </cell>
          <cell r="BU193">
            <v>88.713974496531065</v>
          </cell>
          <cell r="BV193">
            <v>69.166935041100103</v>
          </cell>
          <cell r="BW193">
            <v>32.676732384651878</v>
          </cell>
          <cell r="BX193">
            <v>45.018909951369082</v>
          </cell>
          <cell r="BY193">
            <v>99.065067093454985</v>
          </cell>
          <cell r="BZ193">
            <v>76.119679049070186</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102.277</v>
          </cell>
          <cell r="CP193">
            <v>114.33999999999999</v>
          </cell>
          <cell r="CQ193">
            <v>153.62800000000001</v>
          </cell>
          <cell r="CR193">
            <v>187.66419458422214</v>
          </cell>
          <cell r="CS193">
            <v>224.04168451119153</v>
          </cell>
          <cell r="CT193">
            <v>252.88038847854614</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v>0</v>
          </cell>
          <cell r="DU193">
            <v>0</v>
          </cell>
          <cell r="DV193">
            <v>0</v>
          </cell>
          <cell r="DW193">
            <v>0</v>
          </cell>
          <cell r="DX193">
            <v>0</v>
          </cell>
          <cell r="DY193">
            <v>0</v>
          </cell>
          <cell r="DZ193">
            <v>0</v>
          </cell>
          <cell r="EA193">
            <v>0</v>
          </cell>
          <cell r="EB193">
            <v>0</v>
          </cell>
          <cell r="EC193">
            <v>0</v>
          </cell>
          <cell r="ED193">
            <v>0</v>
          </cell>
          <cell r="EE193">
            <v>0</v>
          </cell>
          <cell r="EF193">
            <v>0</v>
          </cell>
          <cell r="EG193">
            <v>0</v>
          </cell>
          <cell r="EH193">
            <v>0</v>
          </cell>
          <cell r="EI193">
            <v>0</v>
          </cell>
          <cell r="EJ193">
            <v>0</v>
          </cell>
          <cell r="EK193">
            <v>0</v>
          </cell>
          <cell r="EL193">
            <v>0</v>
          </cell>
          <cell r="EM193">
            <v>0</v>
          </cell>
          <cell r="EN193">
            <v>0</v>
          </cell>
          <cell r="EO193">
            <v>0</v>
          </cell>
        </row>
        <row r="194">
          <cell r="A194" t="str">
            <v>MKTO_CFO_PS</v>
          </cell>
          <cell r="B194" t="str">
            <v xml:space="preserve">     Cash Flow From Ops/Share</v>
          </cell>
          <cell r="C194">
            <v>1</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0.15786763533256304</v>
          </cell>
          <cell r="AW194">
            <v>0.65017333276948763</v>
          </cell>
          <cell r="AX194">
            <v>0.65444626240084003</v>
          </cell>
          <cell r="AY194">
            <v>0.29095966073653828</v>
          </cell>
          <cell r="AZ194">
            <v>0.55080505282133363</v>
          </cell>
          <cell r="BA194">
            <v>0.90527808777942742</v>
          </cell>
          <cell r="BB194">
            <v>0.65074541849572609</v>
          </cell>
          <cell r="BC194">
            <v>0.29392182995589516</v>
          </cell>
          <cell r="BD194">
            <v>0.70511187284157761</v>
          </cell>
          <cell r="BE194">
            <v>0.89361342749536654</v>
          </cell>
          <cell r="BF194">
            <v>0.36989726067773943</v>
          </cell>
          <cell r="BG194">
            <v>9.2928417575985717E-2</v>
          </cell>
          <cell r="BH194">
            <v>0.95071572441420549</v>
          </cell>
          <cell r="BI194">
            <v>0.82704121145457909</v>
          </cell>
          <cell r="BJ194">
            <v>0.63471648096000211</v>
          </cell>
          <cell r="BK194">
            <v>0.14801645227666993</v>
          </cell>
          <cell r="BL194">
            <v>0.76563934400616451</v>
          </cell>
          <cell r="BM194">
            <v>1.2577351676851689</v>
          </cell>
          <cell r="BN194">
            <v>1.1558602214802285</v>
          </cell>
          <cell r="BO194">
            <v>0.27448422867254385</v>
          </cell>
          <cell r="BP194">
            <v>0.89551603567757132</v>
          </cell>
          <cell r="BQ194">
            <v>1.8659828985303126</v>
          </cell>
          <cell r="BR194">
            <v>0.94642181102493128</v>
          </cell>
          <cell r="BS194">
            <v>0.5942979582654877</v>
          </cell>
          <cell r="BT194">
            <v>0.77139328038494415</v>
          </cell>
          <cell r="BU194">
            <v>1.8045056451998642</v>
          </cell>
          <cell r="BV194">
            <v>1.3927402265927895</v>
          </cell>
          <cell r="BW194">
            <v>0.65141778742267309</v>
          </cell>
          <cell r="BX194">
            <v>0.8886045267180871</v>
          </cell>
          <cell r="BY194">
            <v>1.9362834865935252</v>
          </cell>
          <cell r="BZ194">
            <v>1.4734034753203236</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2.5054018344047724</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cell r="DX194">
            <v>0</v>
          </cell>
          <cell r="DY194">
            <v>0</v>
          </cell>
          <cell r="DZ194">
            <v>0</v>
          </cell>
          <cell r="EA194">
            <v>0</v>
          </cell>
          <cell r="EB194">
            <v>0</v>
          </cell>
          <cell r="EC194">
            <v>0</v>
          </cell>
          <cell r="ED194">
            <v>0</v>
          </cell>
          <cell r="EE194">
            <v>0</v>
          </cell>
          <cell r="EF194">
            <v>0</v>
          </cell>
          <cell r="EG194">
            <v>0</v>
          </cell>
          <cell r="EH194">
            <v>0</v>
          </cell>
          <cell r="EI194">
            <v>0</v>
          </cell>
          <cell r="EJ194">
            <v>0</v>
          </cell>
          <cell r="EK194">
            <v>0</v>
          </cell>
          <cell r="EL194">
            <v>0</v>
          </cell>
          <cell r="EM194">
            <v>0</v>
          </cell>
          <cell r="EN194">
            <v>0</v>
          </cell>
          <cell r="EO194">
            <v>0</v>
          </cell>
        </row>
        <row r="262">
          <cell r="A262" t="str">
            <v>MKTO_ADJ_GM_PC</v>
          </cell>
          <cell r="B262" t="str">
            <v>Gross Margin</v>
          </cell>
          <cell r="C262">
            <v>2</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0.48007870142646331</v>
          </cell>
          <cell r="AR262">
            <v>0.52697430378043852</v>
          </cell>
          <cell r="AS262">
            <v>0.55864126692678451</v>
          </cell>
          <cell r="AT262">
            <v>0.58150995466193578</v>
          </cell>
          <cell r="AU262">
            <v>0.59335205794775414</v>
          </cell>
          <cell r="AV262">
            <v>0.59801333826039527</v>
          </cell>
          <cell r="AW262">
            <v>0.60909032174699584</v>
          </cell>
          <cell r="AX262">
            <v>0.5903891675357138</v>
          </cell>
          <cell r="AY262">
            <v>0.59912917770970286</v>
          </cell>
          <cell r="AZ262">
            <v>0.60389677521969065</v>
          </cell>
          <cell r="BA262">
            <v>0.61226977565580243</v>
          </cell>
          <cell r="BB262">
            <v>0.55749294167339769</v>
          </cell>
          <cell r="BC262">
            <v>0.55323533560044502</v>
          </cell>
          <cell r="BD262">
            <v>0.58093236146583638</v>
          </cell>
          <cell r="BE262">
            <v>0.5789545684619487</v>
          </cell>
          <cell r="BF262">
            <v>0.56494236448509094</v>
          </cell>
          <cell r="BG262">
            <v>0.58358967544762974</v>
          </cell>
          <cell r="BH262">
            <v>0.59386555627649729</v>
          </cell>
          <cell r="BI262">
            <v>0.59151415869998814</v>
          </cell>
          <cell r="BJ262">
            <v>0.56669249253295606</v>
          </cell>
          <cell r="BK262">
            <v>0.59601150594590802</v>
          </cell>
          <cell r="BL262">
            <v>0.60028894113511011</v>
          </cell>
          <cell r="BM262">
            <v>0.60384676313618801</v>
          </cell>
          <cell r="BN262">
            <v>0.58852273013791878</v>
          </cell>
          <cell r="BO262">
            <v>0.59809607833526657</v>
          </cell>
          <cell r="BP262">
            <v>0.60553227071355487</v>
          </cell>
          <cell r="BQ262">
            <v>0.60855783611611625</v>
          </cell>
          <cell r="BR262">
            <v>0.59517237243829857</v>
          </cell>
          <cell r="BS262">
            <v>0.59825795553207117</v>
          </cell>
          <cell r="BT262">
            <v>0.59439510459989076</v>
          </cell>
          <cell r="BU262">
            <v>0.59426156281646858</v>
          </cell>
          <cell r="BV262">
            <v>0.58807518498079403</v>
          </cell>
          <cell r="BW262">
            <v>0.59568404810538156</v>
          </cell>
          <cell r="BX262">
            <v>0.59228181913047651</v>
          </cell>
          <cell r="BY262">
            <v>0.58894972116850497</v>
          </cell>
          <cell r="BZ262">
            <v>0.59203281754041859</v>
          </cell>
          <cell r="CA262">
            <v>0</v>
          </cell>
          <cell r="CB262">
            <v>0</v>
          </cell>
          <cell r="CC262">
            <v>0</v>
          </cell>
          <cell r="CD262">
            <v>0</v>
          </cell>
          <cell r="CE262">
            <v>0</v>
          </cell>
          <cell r="CF262">
            <v>0</v>
          </cell>
          <cell r="CG262">
            <v>0</v>
          </cell>
          <cell r="CH262">
            <v>0</v>
          </cell>
          <cell r="CI262">
            <v>0</v>
          </cell>
          <cell r="CJ262">
            <v>0</v>
          </cell>
          <cell r="CK262">
            <v>0</v>
          </cell>
          <cell r="CL262">
            <v>0</v>
          </cell>
          <cell r="CM262">
            <v>0.59803315600097129</v>
          </cell>
          <cell r="CN262">
            <v>0.59251857383085382</v>
          </cell>
          <cell r="CO262">
            <v>0.56981966589738597</v>
          </cell>
          <cell r="CP262">
            <v>0.58341817148171449</v>
          </cell>
          <cell r="CQ262">
            <v>0.59700267137220298</v>
          </cell>
          <cell r="CR262">
            <v>0.60173269961424958</v>
          </cell>
          <cell r="CS262">
            <v>0.5935551694480834</v>
          </cell>
          <cell r="CT262">
            <v>0.59217845570888927</v>
          </cell>
          <cell r="CU262">
            <v>0</v>
          </cell>
          <cell r="CV262">
            <v>0</v>
          </cell>
          <cell r="CW262">
            <v>0</v>
          </cell>
          <cell r="CX262">
            <v>0</v>
          </cell>
          <cell r="CY262">
            <v>0</v>
          </cell>
          <cell r="CZ262">
            <v>0</v>
          </cell>
          <cell r="DA262">
            <v>0</v>
          </cell>
          <cell r="DB262">
            <v>0</v>
          </cell>
          <cell r="DC262">
            <v>0</v>
          </cell>
          <cell r="DD262">
            <v>0</v>
          </cell>
          <cell r="DE262">
            <v>0</v>
          </cell>
          <cell r="DF262">
            <v>0</v>
          </cell>
          <cell r="DG262" t="str">
            <v>NA</v>
          </cell>
          <cell r="DH262" t="str">
            <v>NA</v>
          </cell>
          <cell r="DI262" t="str">
            <v>NA</v>
          </cell>
          <cell r="DJ262" t="str">
            <v>NA</v>
          </cell>
          <cell r="DK262">
            <v>0</v>
          </cell>
          <cell r="DL262">
            <v>0</v>
          </cell>
          <cell r="DM262">
            <v>0</v>
          </cell>
          <cell r="DN262">
            <v>0</v>
          </cell>
          <cell r="DO262">
            <v>0</v>
          </cell>
          <cell r="DP262">
            <v>0</v>
          </cell>
          <cell r="DQ262">
            <v>0</v>
          </cell>
          <cell r="DR262">
            <v>0</v>
          </cell>
          <cell r="DS262">
            <v>0</v>
          </cell>
          <cell r="DT262">
            <v>0</v>
          </cell>
          <cell r="DU262">
            <v>0</v>
          </cell>
          <cell r="DV262">
            <v>0</v>
          </cell>
          <cell r="DW262">
            <v>0</v>
          </cell>
          <cell r="DX262">
            <v>0</v>
          </cell>
          <cell r="DY262">
            <v>0</v>
          </cell>
          <cell r="DZ262">
            <v>0</v>
          </cell>
          <cell r="EA262">
            <v>0</v>
          </cell>
          <cell r="EB262">
            <v>0</v>
          </cell>
          <cell r="EC262">
            <v>0</v>
          </cell>
          <cell r="ED262">
            <v>0</v>
          </cell>
          <cell r="EE262">
            <v>0</v>
          </cell>
          <cell r="EF262">
            <v>0</v>
          </cell>
          <cell r="EG262">
            <v>0</v>
          </cell>
          <cell r="EH262">
            <v>0</v>
          </cell>
          <cell r="EI262">
            <v>0</v>
          </cell>
          <cell r="EJ262">
            <v>0</v>
          </cell>
          <cell r="EK262">
            <v>0</v>
          </cell>
          <cell r="EL262">
            <v>0</v>
          </cell>
          <cell r="EM262">
            <v>0</v>
          </cell>
          <cell r="EN262">
            <v>0</v>
          </cell>
          <cell r="EO262">
            <v>0</v>
          </cell>
        </row>
        <row r="265">
          <cell r="A265" t="str">
            <v>MKTO_ADJ_SM_PC</v>
          </cell>
          <cell r="B265" t="str">
            <v>Sales and marketing</v>
          </cell>
          <cell r="C265">
            <v>2</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0.64174454828660432</v>
          </cell>
          <cell r="AR265">
            <v>0.6960850262343603</v>
          </cell>
          <cell r="AS265">
            <v>0.70782648611429877</v>
          </cell>
          <cell r="AT265">
            <v>0.72176227084565348</v>
          </cell>
          <cell r="AU265">
            <v>0.21075750216459355</v>
          </cell>
          <cell r="AV265">
            <v>0.20781643175139453</v>
          </cell>
          <cell r="AW265">
            <v>0.20646239824266699</v>
          </cell>
          <cell r="AX265">
            <v>0.19487345019946697</v>
          </cell>
          <cell r="AY265">
            <v>0.20388600144563385</v>
          </cell>
          <cell r="AZ265">
            <v>0.1898922422362718</v>
          </cell>
          <cell r="BA265">
            <v>0.18223375243215365</v>
          </cell>
          <cell r="BB265">
            <v>0.18058941658577074</v>
          </cell>
          <cell r="BC265">
            <v>0.19310933851530301</v>
          </cell>
          <cell r="BD265">
            <v>0.18541768301431971</v>
          </cell>
          <cell r="BE265">
            <v>0.18150727096129907</v>
          </cell>
          <cell r="BF265">
            <v>0.17901622685846752</v>
          </cell>
          <cell r="BG265">
            <v>0.18510447463707938</v>
          </cell>
          <cell r="BH265">
            <v>0.18217496204557052</v>
          </cell>
          <cell r="BI265">
            <v>0.18989352057372591</v>
          </cell>
          <cell r="BJ265">
            <v>0.18816950751195846</v>
          </cell>
          <cell r="BK265">
            <v>0.20295015259409965</v>
          </cell>
          <cell r="BL265">
            <v>0.21086660367823165</v>
          </cell>
          <cell r="BM265">
            <v>0.21651016316787117</v>
          </cell>
          <cell r="BN265">
            <v>0.19754922972189301</v>
          </cell>
          <cell r="BO265">
            <v>0.22220225355487663</v>
          </cell>
          <cell r="BP265">
            <v>0.21387430340235686</v>
          </cell>
          <cell r="BQ265">
            <v>0.215</v>
          </cell>
          <cell r="BR265">
            <v>0.2</v>
          </cell>
          <cell r="BS265">
            <v>0.215</v>
          </cell>
          <cell r="BT265">
            <v>0.21</v>
          </cell>
          <cell r="BU265">
            <v>0.21</v>
          </cell>
          <cell r="BV265">
            <v>0.19500000000000001</v>
          </cell>
          <cell r="BW265">
            <v>0.2</v>
          </cell>
          <cell r="BX265">
            <v>0.2</v>
          </cell>
          <cell r="BY265">
            <v>0.2</v>
          </cell>
          <cell r="BZ265">
            <v>0.2</v>
          </cell>
          <cell r="CA265">
            <v>0</v>
          </cell>
          <cell r="CB265">
            <v>0</v>
          </cell>
          <cell r="CC265">
            <v>0</v>
          </cell>
          <cell r="CD265">
            <v>0</v>
          </cell>
          <cell r="CE265">
            <v>0</v>
          </cell>
          <cell r="CF265">
            <v>0</v>
          </cell>
          <cell r="CG265">
            <v>0</v>
          </cell>
          <cell r="CH265">
            <v>0</v>
          </cell>
          <cell r="CI265">
            <v>0</v>
          </cell>
          <cell r="CJ265">
            <v>0</v>
          </cell>
          <cell r="CK265">
            <v>0</v>
          </cell>
          <cell r="CL265">
            <v>0</v>
          </cell>
          <cell r="CM265">
            <v>0.20460916977550164</v>
          </cell>
          <cell r="CN265">
            <v>0.18868556103763889</v>
          </cell>
          <cell r="CO265">
            <v>0.18436975938513622</v>
          </cell>
          <cell r="CP265">
            <v>0.18641271351792263</v>
          </cell>
          <cell r="CQ265">
            <v>0.20683392016382235</v>
          </cell>
          <cell r="CR265">
            <v>0.21233023265505677</v>
          </cell>
          <cell r="CS265">
            <v>0.20710894823705764</v>
          </cell>
          <cell r="CT265">
            <v>0.2</v>
          </cell>
          <cell r="CU265">
            <v>0</v>
          </cell>
          <cell r="CV265">
            <v>0</v>
          </cell>
          <cell r="CW265">
            <v>0</v>
          </cell>
          <cell r="CX265">
            <v>0</v>
          </cell>
          <cell r="CY265">
            <v>0</v>
          </cell>
          <cell r="CZ265">
            <v>0</v>
          </cell>
          <cell r="DA265">
            <v>0</v>
          </cell>
          <cell r="DB265">
            <v>0</v>
          </cell>
          <cell r="DC265">
            <v>0</v>
          </cell>
          <cell r="DD265">
            <v>0</v>
          </cell>
          <cell r="DE265">
            <v>0</v>
          </cell>
          <cell r="DF265">
            <v>0</v>
          </cell>
          <cell r="DG265" t="str">
            <v>NA</v>
          </cell>
          <cell r="DH265" t="str">
            <v>NA</v>
          </cell>
          <cell r="DI265" t="str">
            <v>NA</v>
          </cell>
          <cell r="DJ265" t="str">
            <v>NA</v>
          </cell>
          <cell r="DK265">
            <v>0</v>
          </cell>
          <cell r="DL265">
            <v>0</v>
          </cell>
          <cell r="DM265">
            <v>0</v>
          </cell>
          <cell r="DN265">
            <v>0</v>
          </cell>
          <cell r="DO265">
            <v>0</v>
          </cell>
          <cell r="DP265">
            <v>0</v>
          </cell>
          <cell r="DQ265">
            <v>0</v>
          </cell>
          <cell r="DR265">
            <v>0</v>
          </cell>
          <cell r="DS265">
            <v>0</v>
          </cell>
          <cell r="DT265">
            <v>0</v>
          </cell>
          <cell r="DU265">
            <v>0</v>
          </cell>
          <cell r="DV265">
            <v>0</v>
          </cell>
          <cell r="DW265">
            <v>0</v>
          </cell>
          <cell r="DX265">
            <v>0</v>
          </cell>
          <cell r="DY265">
            <v>0</v>
          </cell>
          <cell r="DZ265">
            <v>0</v>
          </cell>
          <cell r="EA265">
            <v>0</v>
          </cell>
          <cell r="EB265">
            <v>0</v>
          </cell>
          <cell r="EC265">
            <v>0</v>
          </cell>
          <cell r="ED265">
            <v>0</v>
          </cell>
          <cell r="EE265">
            <v>0</v>
          </cell>
          <cell r="EF265">
            <v>0</v>
          </cell>
          <cell r="EG265">
            <v>0</v>
          </cell>
          <cell r="EH265">
            <v>0</v>
          </cell>
          <cell r="EI265">
            <v>0</v>
          </cell>
          <cell r="EJ265">
            <v>0</v>
          </cell>
          <cell r="EK265">
            <v>0</v>
          </cell>
          <cell r="EL265">
            <v>0</v>
          </cell>
          <cell r="EM265">
            <v>0</v>
          </cell>
          <cell r="EN265">
            <v>0</v>
          </cell>
          <cell r="EO265">
            <v>0</v>
          </cell>
        </row>
        <row r="266">
          <cell r="A266" t="str">
            <v>MKTO_ADJ_RD_PC</v>
          </cell>
          <cell r="B266" t="str">
            <v>Research and development</v>
          </cell>
          <cell r="C266">
            <v>2</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0.38334153139858995</v>
          </cell>
          <cell r="AR266">
            <v>0.33149468586035247</v>
          </cell>
          <cell r="AS266">
            <v>0.30973146660546247</v>
          </cell>
          <cell r="AT266">
            <v>0.28405282870096588</v>
          </cell>
          <cell r="AU266">
            <v>0.13360293962367747</v>
          </cell>
          <cell r="AV266">
            <v>0.12325573210860653</v>
          </cell>
          <cell r="AW266">
            <v>0.14718471378731099</v>
          </cell>
          <cell r="AX266">
            <v>0.1344870967207959</v>
          </cell>
          <cell r="AY266">
            <v>0.13145802498881357</v>
          </cell>
          <cell r="AZ266">
            <v>0.12263708298540699</v>
          </cell>
          <cell r="BA266">
            <v>0.12334633086666719</v>
          </cell>
          <cell r="BB266">
            <v>0.11435600643215488</v>
          </cell>
          <cell r="BC266">
            <v>0.12405384651549105</v>
          </cell>
          <cell r="BD266">
            <v>0.12412833242459895</v>
          </cell>
          <cell r="BE266">
            <v>0.12958453604016473</v>
          </cell>
          <cell r="BF266">
            <v>0.1386808929535423</v>
          </cell>
          <cell r="BG266">
            <v>0.134856990997575</v>
          </cell>
          <cell r="BH266">
            <v>0.11956432724592581</v>
          </cell>
          <cell r="BI266">
            <v>0.12139780038390117</v>
          </cell>
          <cell r="BJ266">
            <v>0.11833299647420779</v>
          </cell>
          <cell r="BK266">
            <v>0.12420341202745525</v>
          </cell>
          <cell r="BL266">
            <v>0.11546109731713212</v>
          </cell>
          <cell r="BM266">
            <v>0.11381873999661321</v>
          </cell>
          <cell r="BN266">
            <v>0.10238773606313506</v>
          </cell>
          <cell r="BO266">
            <v>0.11430609788640733</v>
          </cell>
          <cell r="BP266">
            <v>0.10804339809808718</v>
          </cell>
          <cell r="BQ266">
            <v>0.11</v>
          </cell>
          <cell r="BR266">
            <v>0.105</v>
          </cell>
          <cell r="BS266">
            <v>0.11</v>
          </cell>
          <cell r="BT266">
            <v>0.105</v>
          </cell>
          <cell r="BU266">
            <v>0.105</v>
          </cell>
          <cell r="BV266">
            <v>0.1</v>
          </cell>
          <cell r="BW266">
            <v>0.115</v>
          </cell>
          <cell r="BX266">
            <v>0.11</v>
          </cell>
          <cell r="BY266">
            <v>0.11</v>
          </cell>
          <cell r="BZ266">
            <v>0.105</v>
          </cell>
          <cell r="CA266">
            <v>0</v>
          </cell>
          <cell r="CB266">
            <v>0</v>
          </cell>
          <cell r="CC266">
            <v>0</v>
          </cell>
          <cell r="CD266">
            <v>0</v>
          </cell>
          <cell r="CE266">
            <v>0</v>
          </cell>
          <cell r="CF266">
            <v>0</v>
          </cell>
          <cell r="CG266">
            <v>0</v>
          </cell>
          <cell r="CH266">
            <v>0</v>
          </cell>
          <cell r="CI266">
            <v>0</v>
          </cell>
          <cell r="CJ266">
            <v>0</v>
          </cell>
          <cell r="CK266">
            <v>0</v>
          </cell>
          <cell r="CL266">
            <v>0</v>
          </cell>
          <cell r="CM266">
            <v>0.13495507825434319</v>
          </cell>
          <cell r="CN266">
            <v>0.12263382962582968</v>
          </cell>
          <cell r="CO266">
            <v>0.12952478082511046</v>
          </cell>
          <cell r="CP266">
            <v>0.12323442672841958</v>
          </cell>
          <cell r="CQ266">
            <v>0.11355782663039483</v>
          </cell>
          <cell r="CR266">
            <v>0.10916784127851673</v>
          </cell>
          <cell r="CS266">
            <v>0.10481734265442842</v>
          </cell>
          <cell r="CT266">
            <v>0.10981016636180201</v>
          </cell>
          <cell r="CU266">
            <v>0</v>
          </cell>
          <cell r="CV266">
            <v>0</v>
          </cell>
          <cell r="CW266">
            <v>0</v>
          </cell>
          <cell r="CX266">
            <v>0</v>
          </cell>
          <cell r="CY266">
            <v>0</v>
          </cell>
          <cell r="CZ266">
            <v>0</v>
          </cell>
          <cell r="DA266">
            <v>0</v>
          </cell>
          <cell r="DB266">
            <v>0</v>
          </cell>
          <cell r="DC266">
            <v>0</v>
          </cell>
          <cell r="DD266">
            <v>0</v>
          </cell>
          <cell r="DE266">
            <v>0</v>
          </cell>
          <cell r="DF266">
            <v>0</v>
          </cell>
          <cell r="DG266" t="str">
            <v>NA</v>
          </cell>
          <cell r="DH266" t="str">
            <v>NA</v>
          </cell>
          <cell r="DI266" t="str">
            <v>NA</v>
          </cell>
          <cell r="DJ266" t="str">
            <v>NA</v>
          </cell>
          <cell r="DK266">
            <v>0</v>
          </cell>
          <cell r="DL266">
            <v>0</v>
          </cell>
          <cell r="DM266">
            <v>0</v>
          </cell>
          <cell r="DN266">
            <v>0</v>
          </cell>
          <cell r="DO266">
            <v>0</v>
          </cell>
          <cell r="DP266">
            <v>0</v>
          </cell>
          <cell r="DQ266">
            <v>0</v>
          </cell>
          <cell r="DR266">
            <v>0</v>
          </cell>
          <cell r="DS266">
            <v>0</v>
          </cell>
          <cell r="DT266">
            <v>0</v>
          </cell>
          <cell r="DU266">
            <v>0</v>
          </cell>
          <cell r="DV266">
            <v>0</v>
          </cell>
          <cell r="DW266">
            <v>0</v>
          </cell>
          <cell r="DX266">
            <v>0</v>
          </cell>
          <cell r="DY266">
            <v>0</v>
          </cell>
          <cell r="DZ266">
            <v>0</v>
          </cell>
          <cell r="EA266">
            <v>0</v>
          </cell>
          <cell r="EB266">
            <v>0</v>
          </cell>
          <cell r="EC266">
            <v>0</v>
          </cell>
          <cell r="ED266">
            <v>0</v>
          </cell>
          <cell r="EE266">
            <v>0</v>
          </cell>
          <cell r="EF266">
            <v>0</v>
          </cell>
          <cell r="EG266">
            <v>0</v>
          </cell>
          <cell r="EH266">
            <v>0</v>
          </cell>
          <cell r="EI266">
            <v>0</v>
          </cell>
          <cell r="EJ266">
            <v>0</v>
          </cell>
          <cell r="EK266">
            <v>0</v>
          </cell>
          <cell r="EL266">
            <v>0</v>
          </cell>
          <cell r="EM266">
            <v>0</v>
          </cell>
          <cell r="EN266">
            <v>0</v>
          </cell>
          <cell r="EO266">
            <v>0</v>
          </cell>
        </row>
        <row r="267">
          <cell r="A267" t="str">
            <v>MKTO_ADJ_GA_PC</v>
          </cell>
          <cell r="B267" t="str">
            <v>General and administrative</v>
          </cell>
          <cell r="C267">
            <v>2</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0.10919822921790456</v>
          </cell>
          <cell r="AR267">
            <v>0.12108166285483654</v>
          </cell>
          <cell r="AS267">
            <v>0.16020197383520771</v>
          </cell>
          <cell r="AT267">
            <v>0.28020894933964119</v>
          </cell>
          <cell r="AU267">
            <v>0.13216691656283655</v>
          </cell>
          <cell r="AV267">
            <v>0.16113252036812192</v>
          </cell>
          <cell r="AW267">
            <v>0.10588415815996897</v>
          </cell>
          <cell r="AX267">
            <v>8.4570690768237575E-2</v>
          </cell>
          <cell r="AY267">
            <v>9.0747943413761079E-2</v>
          </cell>
          <cell r="AZ267">
            <v>8.5212135671398473E-2</v>
          </cell>
          <cell r="BA267">
            <v>9.1722472709087066E-2</v>
          </cell>
          <cell r="BB267">
            <v>7.8060275515572805E-2</v>
          </cell>
          <cell r="BC267">
            <v>8.7077463133315575E-2</v>
          </cell>
          <cell r="BD267">
            <v>8.4325766923981985E-2</v>
          </cell>
          <cell r="BE267">
            <v>9.0815195830312334E-2</v>
          </cell>
          <cell r="BF267">
            <v>8.7669492870979013E-2</v>
          </cell>
          <cell r="BG267">
            <v>9.5146663123276756E-2</v>
          </cell>
          <cell r="BH267">
            <v>9.2495417120754916E-2</v>
          </cell>
          <cell r="BI267">
            <v>9.1548547240475953E-2</v>
          </cell>
          <cell r="BJ267">
            <v>0.10403332659615082</v>
          </cell>
          <cell r="BK267">
            <v>8.8563042995287708E-2</v>
          </cell>
          <cell r="BL267">
            <v>8.3710531519852346E-2</v>
          </cell>
          <cell r="BM267">
            <v>9.3661744863790072E-2</v>
          </cell>
          <cell r="BN267">
            <v>7.4471142936385876E-2</v>
          </cell>
          <cell r="BO267">
            <v>9.0272899069278545E-2</v>
          </cell>
          <cell r="BP267">
            <v>8.2293305910887446E-2</v>
          </cell>
          <cell r="BQ267">
            <v>9.2999999999999999E-2</v>
          </cell>
          <cell r="BR267">
            <v>7.4999999999999997E-2</v>
          </cell>
          <cell r="BS267">
            <v>0.08</v>
          </cell>
          <cell r="BT267">
            <v>0.08</v>
          </cell>
          <cell r="BU267">
            <v>0.08</v>
          </cell>
          <cell r="BV267">
            <v>7.0000000000000007E-2</v>
          </cell>
          <cell r="BW267">
            <v>7.4999999999999997E-2</v>
          </cell>
          <cell r="BX267">
            <v>7.4999999999999997E-2</v>
          </cell>
          <cell r="BY267">
            <v>7.4999999999999997E-2</v>
          </cell>
          <cell r="BZ267">
            <v>7.0000000000000007E-2</v>
          </cell>
          <cell r="CA267">
            <v>0</v>
          </cell>
          <cell r="CB267">
            <v>0</v>
          </cell>
          <cell r="CC267">
            <v>0</v>
          </cell>
          <cell r="CD267">
            <v>0</v>
          </cell>
          <cell r="CE267">
            <v>0</v>
          </cell>
          <cell r="CF267">
            <v>0</v>
          </cell>
          <cell r="CG267">
            <v>0</v>
          </cell>
          <cell r="CH267">
            <v>0</v>
          </cell>
          <cell r="CI267">
            <v>0</v>
          </cell>
          <cell r="CJ267">
            <v>0</v>
          </cell>
          <cell r="CK267">
            <v>0</v>
          </cell>
          <cell r="CL267">
            <v>0</v>
          </cell>
          <cell r="CM267">
            <v>0.11955585969404649</v>
          </cell>
          <cell r="CN267">
            <v>8.6224961723350452E-2</v>
          </cell>
          <cell r="CO267">
            <v>8.7526263311271293E-2</v>
          </cell>
          <cell r="CP267">
            <v>9.605274744288296E-2</v>
          </cell>
          <cell r="CQ267">
            <v>8.4826279113463882E-2</v>
          </cell>
          <cell r="CR267">
            <v>8.4845833602814641E-2</v>
          </cell>
          <cell r="CS267">
            <v>7.7291605582629194E-2</v>
          </cell>
          <cell r="CT267">
            <v>7.3641109731278409E-2</v>
          </cell>
          <cell r="CU267">
            <v>0</v>
          </cell>
          <cell r="CV267">
            <v>0</v>
          </cell>
          <cell r="CW267">
            <v>0</v>
          </cell>
          <cell r="CX267">
            <v>0</v>
          </cell>
          <cell r="CY267">
            <v>0</v>
          </cell>
          <cell r="CZ267">
            <v>0</v>
          </cell>
          <cell r="DA267">
            <v>0</v>
          </cell>
          <cell r="DB267">
            <v>0</v>
          </cell>
          <cell r="DC267">
            <v>0</v>
          </cell>
          <cell r="DD267">
            <v>0</v>
          </cell>
          <cell r="DE267">
            <v>0</v>
          </cell>
          <cell r="DF267">
            <v>0</v>
          </cell>
          <cell r="DG267" t="str">
            <v>NA</v>
          </cell>
          <cell r="DH267" t="str">
            <v>NA</v>
          </cell>
          <cell r="DI267" t="str">
            <v>NA</v>
          </cell>
          <cell r="DJ267" t="str">
            <v>NA</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row>
        <row r="277">
          <cell r="A277" t="str">
            <v>MKTO_ADJ_OM_PC</v>
          </cell>
          <cell r="B277" t="str">
            <v>Operating Income</v>
          </cell>
          <cell r="C277">
            <v>2</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t="str">
            <v>NA</v>
          </cell>
          <cell r="AR277" t="str">
            <v>NA</v>
          </cell>
          <cell r="AS277" t="str">
            <v>NA</v>
          </cell>
          <cell r="AT277" t="str">
            <v>NA</v>
          </cell>
          <cell r="AU277">
            <v>0.13987498152176212</v>
          </cell>
          <cell r="AV277">
            <v>0.16979887029509566</v>
          </cell>
          <cell r="AW277">
            <v>0.16709200155058804</v>
          </cell>
          <cell r="AX277">
            <v>0.18440350267335431</v>
          </cell>
          <cell r="AY277">
            <v>0.18009327780263654</v>
          </cell>
          <cell r="AZ277">
            <v>0.20985327448407487</v>
          </cell>
          <cell r="BA277">
            <v>0.22552413399701512</v>
          </cell>
          <cell r="BB277">
            <v>0.1860582302681793</v>
          </cell>
          <cell r="BC277">
            <v>0.15581169390857377</v>
          </cell>
          <cell r="BD277">
            <v>0.19374695095704084</v>
          </cell>
          <cell r="BE277">
            <v>0.18606273683634519</v>
          </cell>
          <cell r="BF277">
            <v>0.17537074084659091</v>
          </cell>
          <cell r="BG277">
            <v>0.1757897883931834</v>
          </cell>
          <cell r="BH277">
            <v>0.20594293921621742</v>
          </cell>
          <cell r="BI277">
            <v>0.19125655726942473</v>
          </cell>
          <cell r="BJ277">
            <v>0.18085966448831103</v>
          </cell>
          <cell r="BK277">
            <v>0.18450439073443956</v>
          </cell>
          <cell r="BL277">
            <v>0.19109665795082495</v>
          </cell>
          <cell r="BM277">
            <v>0.18599061525267252</v>
          </cell>
          <cell r="BN277">
            <v>0.22085171831270009</v>
          </cell>
          <cell r="BO277">
            <v>0.1849733962890954</v>
          </cell>
          <cell r="BP277">
            <v>0.21098663675127119</v>
          </cell>
          <cell r="BQ277">
            <v>0.19055783611611621</v>
          </cell>
          <cell r="BR277">
            <v>0.21517237243829862</v>
          </cell>
          <cell r="BS277">
            <v>0.19325795553207123</v>
          </cell>
          <cell r="BT277">
            <v>0.19939510459989074</v>
          </cell>
          <cell r="BU277">
            <v>0.19926156281646856</v>
          </cell>
          <cell r="BV277">
            <v>0.22307518498079409</v>
          </cell>
          <cell r="BW277">
            <v>0.2056840481053816</v>
          </cell>
          <cell r="BX277">
            <v>0.20728181913047652</v>
          </cell>
          <cell r="BY277">
            <v>0.20394972116850493</v>
          </cell>
          <cell r="BZ277">
            <v>0.21703281754041859</v>
          </cell>
          <cell r="CA277">
            <v>0</v>
          </cell>
          <cell r="CB277">
            <v>0</v>
          </cell>
          <cell r="CC277">
            <v>0</v>
          </cell>
          <cell r="CD277">
            <v>0</v>
          </cell>
          <cell r="CE277">
            <v>0</v>
          </cell>
          <cell r="CF277">
            <v>0</v>
          </cell>
          <cell r="CG277">
            <v>0</v>
          </cell>
          <cell r="CH277">
            <v>0</v>
          </cell>
          <cell r="CI277">
            <v>0</v>
          </cell>
          <cell r="CJ277">
            <v>0</v>
          </cell>
          <cell r="CK277">
            <v>0</v>
          </cell>
          <cell r="CL277">
            <v>0</v>
          </cell>
          <cell r="CM277">
            <v>0.16669830688064285</v>
          </cell>
          <cell r="CN277">
            <v>0.20061519934558317</v>
          </cell>
          <cell r="CO277">
            <v>0.17822427597373575</v>
          </cell>
          <cell r="CP277">
            <v>0.1884009386523634</v>
          </cell>
          <cell r="CQ277">
            <v>0.19632271047608152</v>
          </cell>
          <cell r="CR277">
            <v>0.20095004643055492</v>
          </cell>
          <cell r="CS277">
            <v>0.20433727297396825</v>
          </cell>
          <cell r="CT277">
            <v>0.20872717961580886</v>
          </cell>
          <cell r="CU277">
            <v>0</v>
          </cell>
          <cell r="CV277">
            <v>0</v>
          </cell>
          <cell r="CW277">
            <v>0</v>
          </cell>
          <cell r="CX277">
            <v>0</v>
          </cell>
          <cell r="CY277">
            <v>0</v>
          </cell>
          <cell r="CZ277">
            <v>0</v>
          </cell>
          <cell r="DA277">
            <v>0</v>
          </cell>
          <cell r="DB277">
            <v>0</v>
          </cell>
          <cell r="DC277">
            <v>0</v>
          </cell>
          <cell r="DD277">
            <v>0</v>
          </cell>
          <cell r="DE277">
            <v>0</v>
          </cell>
          <cell r="DF277">
            <v>0</v>
          </cell>
          <cell r="DG277" t="str">
            <v>NA</v>
          </cell>
          <cell r="DH277" t="str">
            <v>NA</v>
          </cell>
          <cell r="DI277" t="str">
            <v>NA</v>
          </cell>
          <cell r="DJ277" t="str">
            <v>NA</v>
          </cell>
          <cell r="DK277">
            <v>0</v>
          </cell>
          <cell r="DL277">
            <v>0</v>
          </cell>
          <cell r="DM277">
            <v>0</v>
          </cell>
          <cell r="DN277">
            <v>0</v>
          </cell>
          <cell r="DO277">
            <v>0</v>
          </cell>
          <cell r="DP277">
            <v>0</v>
          </cell>
          <cell r="DQ277">
            <v>0</v>
          </cell>
          <cell r="DR277">
            <v>0</v>
          </cell>
          <cell r="DS277">
            <v>0</v>
          </cell>
          <cell r="DT277">
            <v>0</v>
          </cell>
          <cell r="DU277">
            <v>0</v>
          </cell>
          <cell r="DV277">
            <v>0</v>
          </cell>
          <cell r="DW277">
            <v>0</v>
          </cell>
          <cell r="DX277">
            <v>0</v>
          </cell>
          <cell r="DY277">
            <v>0</v>
          </cell>
          <cell r="DZ277">
            <v>0</v>
          </cell>
          <cell r="EA277">
            <v>0</v>
          </cell>
          <cell r="EB277">
            <v>0</v>
          </cell>
          <cell r="EC277">
            <v>0</v>
          </cell>
          <cell r="ED277">
            <v>0</v>
          </cell>
          <cell r="EE277">
            <v>0</v>
          </cell>
          <cell r="EF277">
            <v>0</v>
          </cell>
          <cell r="EG277">
            <v>0</v>
          </cell>
          <cell r="EH277">
            <v>0</v>
          </cell>
          <cell r="EI277">
            <v>0</v>
          </cell>
          <cell r="EJ277">
            <v>0</v>
          </cell>
          <cell r="EK277">
            <v>0</v>
          </cell>
          <cell r="EL277">
            <v>0</v>
          </cell>
          <cell r="EM277">
            <v>0</v>
          </cell>
          <cell r="EN277">
            <v>0</v>
          </cell>
          <cell r="EO277">
            <v>0</v>
          </cell>
        </row>
        <row r="287">
          <cell r="A287" t="str">
            <v>MKTO_ADJ_TAXRATE</v>
          </cell>
          <cell r="B287" t="str">
            <v>Tax Rate</v>
          </cell>
          <cell r="C287">
            <v>2</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-4.999999999999999E-4</v>
          </cell>
          <cell r="AR287">
            <v>-6.4836827317916567E-4</v>
          </cell>
          <cell r="AS287">
            <v>0</v>
          </cell>
          <cell r="AT287">
            <v>-1.3837000138370003E-4</v>
          </cell>
          <cell r="AU287">
            <v>0.38999609222352472</v>
          </cell>
          <cell r="AV287">
            <v>0.39001692047377368</v>
          </cell>
          <cell r="AW287">
            <v>0.3900386746106404</v>
          </cell>
          <cell r="AX287">
            <v>0.39008456980807182</v>
          </cell>
          <cell r="AY287">
            <v>0.38997675019374844</v>
          </cell>
          <cell r="AZ287">
            <v>0.38992764815868647</v>
          </cell>
          <cell r="BA287">
            <v>0.39000841165929107</v>
          </cell>
          <cell r="BB287">
            <v>0.39002229419930196</v>
          </cell>
          <cell r="BC287">
            <v>0.3546775130737943</v>
          </cell>
          <cell r="BD287">
            <v>0.38995215311004777</v>
          </cell>
          <cell r="BE287">
            <v>0.39005235602094257</v>
          </cell>
          <cell r="BF287">
            <v>0.38992698437622725</v>
          </cell>
          <cell r="BG287">
            <v>0.39005962590868254</v>
          </cell>
          <cell r="BH287">
            <v>0.38993052250880372</v>
          </cell>
          <cell r="BI287">
            <v>0.38998791645088926</v>
          </cell>
          <cell r="BJ287">
            <v>0.39002671415850387</v>
          </cell>
          <cell r="BK287">
            <v>0.31996664118423784</v>
          </cell>
          <cell r="BL287">
            <v>0.3200112492969191</v>
          </cell>
          <cell r="BM287">
            <v>0.32001783893985736</v>
          </cell>
          <cell r="BN287">
            <v>0.31999805560956646</v>
          </cell>
          <cell r="BO287">
            <v>0.32001003953065205</v>
          </cell>
          <cell r="BP287">
            <v>0.32556558127370205</v>
          </cell>
          <cell r="BQ287">
            <v>0.16755521706016754</v>
          </cell>
          <cell r="BR287">
            <v>0.16755521706016754</v>
          </cell>
          <cell r="BS287">
            <v>0.16800000000000001</v>
          </cell>
          <cell r="BT287">
            <v>0.16800000000000001</v>
          </cell>
          <cell r="BU287">
            <v>0.16800000000000001</v>
          </cell>
          <cell r="BV287">
            <v>0.16800000000000001</v>
          </cell>
          <cell r="BW287">
            <v>0.16800000000000001</v>
          </cell>
          <cell r="BX287">
            <v>0.16800000000000001</v>
          </cell>
          <cell r="BY287">
            <v>0.16800000000000001</v>
          </cell>
          <cell r="BZ287">
            <v>0.16800000000000001</v>
          </cell>
          <cell r="CA287">
            <v>0</v>
          </cell>
          <cell r="CB287">
            <v>0</v>
          </cell>
          <cell r="CC287">
            <v>0</v>
          </cell>
          <cell r="CD287">
            <v>0</v>
          </cell>
          <cell r="CE287">
            <v>0</v>
          </cell>
          <cell r="CF287">
            <v>0</v>
          </cell>
          <cell r="CG287">
            <v>0</v>
          </cell>
          <cell r="CH287">
            <v>0</v>
          </cell>
          <cell r="CI287">
            <v>0</v>
          </cell>
          <cell r="CJ287">
            <v>0</v>
          </cell>
          <cell r="CK287">
            <v>0</v>
          </cell>
          <cell r="CL287">
            <v>0</v>
          </cell>
          <cell r="CM287">
            <v>0.39003832521683995</v>
          </cell>
          <cell r="CN287">
            <v>0.38998453819696449</v>
          </cell>
          <cell r="CO287">
            <v>0.38355396717983442</v>
          </cell>
          <cell r="CP287">
            <v>0.38999737233949378</v>
          </cell>
          <cell r="CQ287">
            <v>0.31999909988298486</v>
          </cell>
          <cell r="CR287">
            <v>0.32189746134732516</v>
          </cell>
          <cell r="CS287">
            <v>0.30147819567528195</v>
          </cell>
          <cell r="CT287">
            <v>0.29503626843310143</v>
          </cell>
          <cell r="CU287">
            <v>0</v>
          </cell>
          <cell r="CV287">
            <v>0</v>
          </cell>
          <cell r="CW287">
            <v>0</v>
          </cell>
          <cell r="CX287">
            <v>0</v>
          </cell>
          <cell r="CY287">
            <v>0</v>
          </cell>
          <cell r="CZ287">
            <v>0</v>
          </cell>
          <cell r="DA287">
            <v>0</v>
          </cell>
          <cell r="DB287">
            <v>0</v>
          </cell>
          <cell r="DC287">
            <v>0</v>
          </cell>
          <cell r="DD287">
            <v>0</v>
          </cell>
          <cell r="DE287">
            <v>0</v>
          </cell>
          <cell r="DF287">
            <v>0</v>
          </cell>
          <cell r="DG287" t="e">
            <v>#DIV/0!</v>
          </cell>
          <cell r="DH287" t="e">
            <v>#DIV/0!</v>
          </cell>
          <cell r="DI287" t="e">
            <v>#DIV/0!</v>
          </cell>
          <cell r="DJ287" t="e">
            <v>#DIV/0!</v>
          </cell>
          <cell r="DK287">
            <v>0</v>
          </cell>
          <cell r="DL287">
            <v>0</v>
          </cell>
          <cell r="DM287">
            <v>0</v>
          </cell>
          <cell r="DN287">
            <v>0</v>
          </cell>
          <cell r="DO287">
            <v>0</v>
          </cell>
          <cell r="DP287">
            <v>0</v>
          </cell>
          <cell r="DQ287">
            <v>0</v>
          </cell>
          <cell r="DR287">
            <v>0</v>
          </cell>
          <cell r="DS287">
            <v>0</v>
          </cell>
          <cell r="DT287">
            <v>0</v>
          </cell>
          <cell r="DU287">
            <v>0</v>
          </cell>
          <cell r="DV287">
            <v>0</v>
          </cell>
          <cell r="DW287">
            <v>0</v>
          </cell>
          <cell r="DX287">
            <v>0</v>
          </cell>
          <cell r="DY287">
            <v>0</v>
          </cell>
          <cell r="DZ287">
            <v>0</v>
          </cell>
          <cell r="EA287">
            <v>0</v>
          </cell>
          <cell r="EB287">
            <v>0</v>
          </cell>
          <cell r="EC287">
            <v>0</v>
          </cell>
          <cell r="ED287">
            <v>0</v>
          </cell>
          <cell r="EE287">
            <v>0</v>
          </cell>
          <cell r="EF287">
            <v>0</v>
          </cell>
          <cell r="EG287">
            <v>0</v>
          </cell>
          <cell r="EH287">
            <v>0</v>
          </cell>
          <cell r="EI287">
            <v>0</v>
          </cell>
          <cell r="EJ287">
            <v>0</v>
          </cell>
          <cell r="EK287">
            <v>0</v>
          </cell>
          <cell r="EL287">
            <v>0</v>
          </cell>
          <cell r="EM287">
            <v>0</v>
          </cell>
          <cell r="EN287">
            <v>0</v>
          </cell>
          <cell r="EO287">
            <v>0</v>
          </cell>
        </row>
      </sheetData>
      <sheetData sheetId="4"/>
      <sheetData sheetId="5"/>
      <sheetData sheetId="6"/>
      <sheetData sheetId="7"/>
      <sheetData sheetId="8"/>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_FDSCACHE__"/>
      <sheetName val="ModelEx (2)"/>
      <sheetName val="ModelEx"/>
      <sheetName val="MODEL"/>
      <sheetName val="Upside_Downside"/>
      <sheetName val="Guidance"/>
      <sheetName val="QUICK SUMMARY"/>
      <sheetName val="BMUpload"/>
      <sheetName val="Sens"/>
      <sheetName val="IOC Charts"/>
    </sheetNames>
    <sheetDataSet>
      <sheetData sheetId="0"/>
      <sheetData sheetId="1"/>
      <sheetData sheetId="2"/>
      <sheetData sheetId="3">
        <row r="3">
          <cell r="C3">
            <v>1</v>
          </cell>
        </row>
        <row r="9">
          <cell r="A9" t="str">
            <v>PAYC_QTR</v>
          </cell>
          <cell r="B9" t="str">
            <v>Period Ending</v>
          </cell>
          <cell r="C9">
            <v>0</v>
          </cell>
          <cell r="D9">
            <v>37164</v>
          </cell>
          <cell r="E9">
            <v>37164</v>
          </cell>
          <cell r="F9">
            <v>37256</v>
          </cell>
          <cell r="G9">
            <v>37346</v>
          </cell>
          <cell r="H9">
            <v>37437</v>
          </cell>
          <cell r="I9">
            <v>37529</v>
          </cell>
          <cell r="J9">
            <v>37621</v>
          </cell>
          <cell r="K9">
            <v>37711</v>
          </cell>
          <cell r="L9">
            <v>37802</v>
          </cell>
          <cell r="M9">
            <v>37894</v>
          </cell>
          <cell r="N9">
            <v>37986</v>
          </cell>
          <cell r="O9">
            <v>38077</v>
          </cell>
          <cell r="P9">
            <v>38168</v>
          </cell>
          <cell r="Q9">
            <v>38260</v>
          </cell>
          <cell r="R9">
            <v>38352</v>
          </cell>
          <cell r="S9">
            <v>38442</v>
          </cell>
          <cell r="T9">
            <v>38533</v>
          </cell>
          <cell r="U9">
            <v>38625</v>
          </cell>
          <cell r="V9">
            <v>38717</v>
          </cell>
          <cell r="W9">
            <v>38807</v>
          </cell>
          <cell r="X9">
            <v>38898</v>
          </cell>
          <cell r="Y9">
            <v>38990</v>
          </cell>
          <cell r="Z9">
            <v>39082</v>
          </cell>
          <cell r="AA9">
            <v>39172</v>
          </cell>
          <cell r="AB9">
            <v>39263</v>
          </cell>
          <cell r="AC9">
            <v>39355</v>
          </cell>
          <cell r="AD9">
            <v>39447</v>
          </cell>
          <cell r="AE9">
            <v>39538</v>
          </cell>
          <cell r="AF9">
            <v>39629</v>
          </cell>
          <cell r="AG9">
            <v>39721</v>
          </cell>
          <cell r="AH9">
            <v>39813</v>
          </cell>
          <cell r="AI9">
            <v>39903</v>
          </cell>
          <cell r="AJ9">
            <v>39994</v>
          </cell>
          <cell r="AK9">
            <v>40086</v>
          </cell>
          <cell r="AL9">
            <v>40178</v>
          </cell>
          <cell r="AM9">
            <v>40268</v>
          </cell>
          <cell r="AN9">
            <v>40359</v>
          </cell>
          <cell r="AO9">
            <v>40451</v>
          </cell>
          <cell r="AP9">
            <v>40543</v>
          </cell>
          <cell r="AQ9">
            <v>40633</v>
          </cell>
          <cell r="AR9">
            <v>40724</v>
          </cell>
          <cell r="AS9">
            <v>40816</v>
          </cell>
          <cell r="AT9">
            <v>40908</v>
          </cell>
          <cell r="AU9">
            <v>40999</v>
          </cell>
          <cell r="AV9">
            <v>41090</v>
          </cell>
          <cell r="AW9">
            <v>41182</v>
          </cell>
          <cell r="AX9">
            <v>41274</v>
          </cell>
          <cell r="AY9">
            <v>41364</v>
          </cell>
          <cell r="AZ9">
            <v>41455</v>
          </cell>
          <cell r="BA9">
            <v>41547</v>
          </cell>
          <cell r="BB9">
            <v>41639</v>
          </cell>
          <cell r="BC9">
            <v>41729</v>
          </cell>
          <cell r="BD9">
            <v>41820</v>
          </cell>
          <cell r="BE9">
            <v>41912</v>
          </cell>
          <cell r="BF9">
            <v>42004</v>
          </cell>
          <cell r="BG9">
            <v>42094</v>
          </cell>
          <cell r="BH9">
            <v>42185</v>
          </cell>
          <cell r="BI9">
            <v>42277</v>
          </cell>
          <cell r="BJ9">
            <v>42369</v>
          </cell>
          <cell r="BK9">
            <v>42460</v>
          </cell>
          <cell r="BL9">
            <v>42551</v>
          </cell>
          <cell r="BM9">
            <v>42643</v>
          </cell>
          <cell r="BN9">
            <v>42735</v>
          </cell>
          <cell r="BO9">
            <v>42825</v>
          </cell>
          <cell r="BP9">
            <v>42916</v>
          </cell>
          <cell r="BQ9">
            <v>43008</v>
          </cell>
          <cell r="BR9">
            <v>43100</v>
          </cell>
          <cell r="BS9">
            <v>43190</v>
          </cell>
          <cell r="BT9">
            <v>43281</v>
          </cell>
          <cell r="BU9">
            <v>43373</v>
          </cell>
          <cell r="BV9">
            <v>43465</v>
          </cell>
          <cell r="BW9">
            <v>43555</v>
          </cell>
          <cell r="BX9">
            <v>43646</v>
          </cell>
          <cell r="BY9">
            <v>43738</v>
          </cell>
          <cell r="BZ9">
            <v>43830</v>
          </cell>
          <cell r="CA9">
            <v>0</v>
          </cell>
          <cell r="CB9">
            <v>37256</v>
          </cell>
          <cell r="CC9">
            <v>37621</v>
          </cell>
          <cell r="CD9">
            <v>37986</v>
          </cell>
          <cell r="CE9">
            <v>38352</v>
          </cell>
          <cell r="CF9">
            <v>38717</v>
          </cell>
          <cell r="CG9">
            <v>39082</v>
          </cell>
          <cell r="CH9">
            <v>39447</v>
          </cell>
          <cell r="CI9">
            <v>39813</v>
          </cell>
          <cell r="CJ9">
            <v>40178</v>
          </cell>
          <cell r="CK9">
            <v>40543</v>
          </cell>
          <cell r="CL9">
            <v>40908</v>
          </cell>
          <cell r="CM9">
            <v>41274</v>
          </cell>
          <cell r="CN9">
            <v>41639</v>
          </cell>
          <cell r="CO9">
            <v>42004</v>
          </cell>
          <cell r="CP9">
            <v>42369</v>
          </cell>
          <cell r="CQ9">
            <v>42735</v>
          </cell>
          <cell r="CR9">
            <v>43100</v>
          </cell>
          <cell r="CS9">
            <v>43465</v>
          </cell>
          <cell r="CT9">
            <v>43830</v>
          </cell>
          <cell r="CU9">
            <v>0</v>
          </cell>
          <cell r="CV9">
            <v>37621</v>
          </cell>
          <cell r="CW9">
            <v>37986</v>
          </cell>
          <cell r="CX9">
            <v>38352</v>
          </cell>
          <cell r="CY9">
            <v>38717</v>
          </cell>
          <cell r="CZ9">
            <v>39082</v>
          </cell>
          <cell r="DA9">
            <v>39447</v>
          </cell>
          <cell r="DB9">
            <v>39813</v>
          </cell>
          <cell r="DC9">
            <v>40178</v>
          </cell>
          <cell r="DD9">
            <v>40543</v>
          </cell>
          <cell r="DE9">
            <v>40908</v>
          </cell>
          <cell r="DF9">
            <v>41274</v>
          </cell>
          <cell r="DG9">
            <v>41639</v>
          </cell>
          <cell r="DH9">
            <v>42004</v>
          </cell>
          <cell r="DI9">
            <v>42369</v>
          </cell>
          <cell r="DJ9">
            <v>42735</v>
          </cell>
          <cell r="DK9">
            <v>0</v>
          </cell>
          <cell r="DL9">
            <v>0</v>
          </cell>
          <cell r="DM9">
            <v>0</v>
          </cell>
          <cell r="DN9">
            <v>0</v>
          </cell>
          <cell r="DO9">
            <v>0</v>
          </cell>
          <cell r="DP9">
            <v>0</v>
          </cell>
          <cell r="DQ9">
            <v>0</v>
          </cell>
          <cell r="DR9">
            <v>0</v>
          </cell>
          <cell r="DS9">
            <v>0</v>
          </cell>
          <cell r="DT9">
            <v>0</v>
          </cell>
          <cell r="DU9">
            <v>0</v>
          </cell>
          <cell r="DV9">
            <v>0</v>
          </cell>
          <cell r="DW9">
            <v>0</v>
          </cell>
          <cell r="DX9">
            <v>0</v>
          </cell>
          <cell r="DY9">
            <v>0</v>
          </cell>
          <cell r="DZ9">
            <v>0</v>
          </cell>
          <cell r="EA9">
            <v>0</v>
          </cell>
          <cell r="EB9">
            <v>0</v>
          </cell>
          <cell r="EC9">
            <v>0</v>
          </cell>
          <cell r="ED9">
            <v>0</v>
          </cell>
          <cell r="EE9">
            <v>0</v>
          </cell>
          <cell r="EF9">
            <v>0</v>
          </cell>
          <cell r="EG9">
            <v>0</v>
          </cell>
          <cell r="EH9">
            <v>0</v>
          </cell>
          <cell r="EI9">
            <v>0</v>
          </cell>
          <cell r="EJ9">
            <v>0</v>
          </cell>
          <cell r="EK9">
            <v>0</v>
          </cell>
          <cell r="EL9">
            <v>0</v>
          </cell>
          <cell r="EM9">
            <v>0</v>
          </cell>
          <cell r="EN9">
            <v>0</v>
          </cell>
          <cell r="EO9">
            <v>0</v>
          </cell>
        </row>
        <row r="24">
          <cell r="A24" t="str">
            <v>PAYC_REV</v>
          </cell>
          <cell r="B24" t="str">
            <v>Total Revenue</v>
          </cell>
          <cell r="C24">
            <v>1</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19.843</v>
          </cell>
          <cell r="AV24">
            <v>17.091999999999999</v>
          </cell>
          <cell r="AW24">
            <v>18.568000000000001</v>
          </cell>
          <cell r="AX24">
            <v>21.306999999999999</v>
          </cell>
          <cell r="AY24">
            <v>27.577000000000002</v>
          </cell>
          <cell r="AZ24">
            <v>23.913999999999998</v>
          </cell>
          <cell r="BA24">
            <v>25.830000000000002</v>
          </cell>
          <cell r="BB24">
            <v>30.279999999999998</v>
          </cell>
          <cell r="BC24">
            <v>36.985000000000007</v>
          </cell>
          <cell r="BD24">
            <v>33.305999999999997</v>
          </cell>
          <cell r="BE24">
            <v>36.597999999999999</v>
          </cell>
          <cell r="BF24">
            <v>44.04</v>
          </cell>
          <cell r="BG24">
            <v>55.222000000000001</v>
          </cell>
          <cell r="BH24">
            <v>48.972999999999999</v>
          </cell>
          <cell r="BI24">
            <v>55.339999999999996</v>
          </cell>
          <cell r="BJ24">
            <v>65.117999999999995</v>
          </cell>
          <cell r="BK24">
            <v>90.125999999999991</v>
          </cell>
          <cell r="BL24">
            <v>73.88000000000001</v>
          </cell>
          <cell r="BM24">
            <v>77.325000000000003</v>
          </cell>
          <cell r="BN24">
            <v>87.81</v>
          </cell>
          <cell r="BO24">
            <v>119.508</v>
          </cell>
          <cell r="BP24">
            <v>98.227000000000004</v>
          </cell>
          <cell r="BQ24">
            <v>101.28700000000001</v>
          </cell>
          <cell r="BR24">
            <v>114.02500000000001</v>
          </cell>
          <cell r="BS24">
            <v>153.916</v>
          </cell>
          <cell r="BT24">
            <v>124.135215</v>
          </cell>
          <cell r="BU24">
            <v>126.5193</v>
          </cell>
          <cell r="BV24">
            <v>141.85474500000004</v>
          </cell>
          <cell r="BW24">
            <v>192.29344999999998</v>
          </cell>
          <cell r="BX24">
            <v>155.05645874999999</v>
          </cell>
          <cell r="BY24">
            <v>158.04178499999998</v>
          </cell>
          <cell r="BZ24">
            <v>177.17659125000003</v>
          </cell>
          <cell r="CA24">
            <v>0</v>
          </cell>
          <cell r="CB24">
            <v>0</v>
          </cell>
          <cell r="CC24">
            <v>0</v>
          </cell>
          <cell r="CD24">
            <v>0</v>
          </cell>
          <cell r="CE24">
            <v>0</v>
          </cell>
          <cell r="CF24">
            <v>0</v>
          </cell>
          <cell r="CG24">
            <v>0</v>
          </cell>
          <cell r="CH24">
            <v>0</v>
          </cell>
          <cell r="CI24">
            <v>0</v>
          </cell>
          <cell r="CJ24">
            <v>0</v>
          </cell>
          <cell r="CK24">
            <v>0</v>
          </cell>
          <cell r="CL24">
            <v>0</v>
          </cell>
          <cell r="CM24">
            <v>76.81</v>
          </cell>
          <cell r="CN24">
            <v>107.601</v>
          </cell>
          <cell r="CO24">
            <v>150.929</v>
          </cell>
          <cell r="CP24">
            <v>224.65299999999999</v>
          </cell>
          <cell r="CQ24">
            <v>329.14100000000002</v>
          </cell>
          <cell r="CR24">
            <v>433.04700000000003</v>
          </cell>
          <cell r="CS24">
            <v>546.42525999999998</v>
          </cell>
          <cell r="CT24">
            <v>682.56828499999995</v>
          </cell>
          <cell r="CU24">
            <v>0</v>
          </cell>
          <cell r="CV24">
            <v>0</v>
          </cell>
          <cell r="CW24">
            <v>0</v>
          </cell>
          <cell r="CX24">
            <v>0</v>
          </cell>
          <cell r="CY24">
            <v>0</v>
          </cell>
          <cell r="CZ24">
            <v>0</v>
          </cell>
          <cell r="DA24">
            <v>0</v>
          </cell>
          <cell r="DB24">
            <v>0</v>
          </cell>
          <cell r="DC24">
            <v>0</v>
          </cell>
          <cell r="DD24">
            <v>0</v>
          </cell>
          <cell r="DE24">
            <v>0</v>
          </cell>
          <cell r="DF24">
            <v>0</v>
          </cell>
          <cell r="DG24">
            <v>107.601</v>
          </cell>
          <cell r="DH24">
            <v>150.929</v>
          </cell>
          <cell r="DI24">
            <v>224.65299999999999</v>
          </cell>
          <cell r="DJ24">
            <v>329.14100000000002</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0</v>
          </cell>
          <cell r="DZ24">
            <v>0</v>
          </cell>
          <cell r="EA24">
            <v>0</v>
          </cell>
          <cell r="EB24">
            <v>0</v>
          </cell>
          <cell r="EC24">
            <v>0</v>
          </cell>
          <cell r="ED24">
            <v>0</v>
          </cell>
          <cell r="EE24">
            <v>0</v>
          </cell>
          <cell r="EF24">
            <v>0</v>
          </cell>
          <cell r="EG24">
            <v>0</v>
          </cell>
          <cell r="EH24">
            <v>0</v>
          </cell>
          <cell r="EI24">
            <v>0</v>
          </cell>
          <cell r="EJ24">
            <v>0</v>
          </cell>
          <cell r="EK24">
            <v>0</v>
          </cell>
          <cell r="EL24">
            <v>0</v>
          </cell>
          <cell r="EM24">
            <v>0</v>
          </cell>
          <cell r="EN24">
            <v>0</v>
          </cell>
          <cell r="EO24">
            <v>0</v>
          </cell>
        </row>
        <row r="37">
          <cell r="A37" t="str">
            <v>PAYC_ADJ_SM</v>
          </cell>
          <cell r="B37" t="str">
            <v>Sales and marketing</v>
          </cell>
          <cell r="C37">
            <v>1</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7.266</v>
          </cell>
          <cell r="AV37">
            <v>6.65</v>
          </cell>
          <cell r="AW37">
            <v>6.86</v>
          </cell>
          <cell r="AX37">
            <v>8.4789999999999992</v>
          </cell>
          <cell r="AY37">
            <v>9.8350000000000026</v>
          </cell>
          <cell r="AZ37">
            <v>8.6879999999999988</v>
          </cell>
          <cell r="BA37">
            <v>10.275</v>
          </cell>
          <cell r="BB37">
            <v>13.766</v>
          </cell>
          <cell r="BC37">
            <v>15.678000000000001</v>
          </cell>
          <cell r="BD37">
            <v>13.545999999999999</v>
          </cell>
          <cell r="BE37">
            <v>14.853</v>
          </cell>
          <cell r="BF37">
            <v>19.302999999999997</v>
          </cell>
          <cell r="BG37">
            <v>21.224</v>
          </cell>
          <cell r="BH37">
            <v>16.739999999999998</v>
          </cell>
          <cell r="BI37">
            <v>23.498000000000001</v>
          </cell>
          <cell r="BJ37">
            <v>30.532999999999998</v>
          </cell>
          <cell r="BK37">
            <v>28.384999999999998</v>
          </cell>
          <cell r="BL37">
            <v>23.973999999999997</v>
          </cell>
          <cell r="BM37">
            <v>27.62</v>
          </cell>
          <cell r="BN37">
            <v>35.622999999999998</v>
          </cell>
          <cell r="BO37">
            <v>24.769000000000002</v>
          </cell>
          <cell r="BP37">
            <v>32.511000000000003</v>
          </cell>
          <cell r="BQ37">
            <v>33.523000000000003</v>
          </cell>
          <cell r="BR37">
            <v>42.476999999999997</v>
          </cell>
          <cell r="BS37">
            <v>30.444999999999997</v>
          </cell>
          <cell r="BT37">
            <v>36.642881435</v>
          </cell>
          <cell r="BU37">
            <v>36.2409672</v>
          </cell>
          <cell r="BV37">
            <v>39.972795030000007</v>
          </cell>
          <cell r="BW37">
            <v>43.091260749999989</v>
          </cell>
          <cell r="BX37">
            <v>44.630547624999998</v>
          </cell>
          <cell r="BY37">
            <v>44.179336574999986</v>
          </cell>
          <cell r="BZ37">
            <v>49.475461462500007</v>
          </cell>
          <cell r="CA37">
            <v>0</v>
          </cell>
          <cell r="CB37">
            <v>0</v>
          </cell>
          <cell r="CC37">
            <v>0</v>
          </cell>
          <cell r="CD37">
            <v>0</v>
          </cell>
          <cell r="CE37">
            <v>0</v>
          </cell>
          <cell r="CF37">
            <v>0</v>
          </cell>
          <cell r="CG37">
            <v>0</v>
          </cell>
          <cell r="CH37">
            <v>0</v>
          </cell>
          <cell r="CI37">
            <v>0</v>
          </cell>
          <cell r="CJ37">
            <v>0</v>
          </cell>
          <cell r="CK37">
            <v>7</v>
          </cell>
          <cell r="CL37">
            <v>13.308</v>
          </cell>
          <cell r="CM37">
            <v>20.853999999999999</v>
          </cell>
          <cell r="CN37">
            <v>42.564</v>
          </cell>
          <cell r="CO37">
            <v>63.379999999999995</v>
          </cell>
          <cell r="CP37">
            <v>91.995000000000005</v>
          </cell>
          <cell r="CQ37">
            <v>115.602</v>
          </cell>
          <cell r="CR37">
            <v>133.28</v>
          </cell>
          <cell r="CS37">
            <v>143.301643665</v>
          </cell>
          <cell r="CT37">
            <v>181.3766064125</v>
          </cell>
          <cell r="CU37">
            <v>0</v>
          </cell>
          <cell r="CV37">
            <v>0</v>
          </cell>
          <cell r="CW37">
            <v>0</v>
          </cell>
          <cell r="CX37">
            <v>0</v>
          </cell>
          <cell r="CY37">
            <v>0</v>
          </cell>
          <cell r="CZ37">
            <v>0</v>
          </cell>
          <cell r="DA37">
            <v>0</v>
          </cell>
          <cell r="DB37">
            <v>0</v>
          </cell>
          <cell r="DC37">
            <v>0</v>
          </cell>
          <cell r="DD37">
            <v>0</v>
          </cell>
          <cell r="DE37">
            <v>0</v>
          </cell>
          <cell r="DF37">
            <v>0</v>
          </cell>
          <cell r="DG37">
            <v>42.564</v>
          </cell>
          <cell r="DH37">
            <v>63.379999999999995</v>
          </cell>
          <cell r="DI37">
            <v>91.995000000000005</v>
          </cell>
          <cell r="DJ37">
            <v>115.602</v>
          </cell>
          <cell r="DK37">
            <v>0</v>
          </cell>
          <cell r="DL37">
            <v>0</v>
          </cell>
          <cell r="DM37">
            <v>0</v>
          </cell>
          <cell r="DN37">
            <v>0</v>
          </cell>
          <cell r="DO37">
            <v>0</v>
          </cell>
          <cell r="DP37">
            <v>0</v>
          </cell>
          <cell r="DQ37">
            <v>0</v>
          </cell>
          <cell r="DR37">
            <v>0</v>
          </cell>
          <cell r="DS37">
            <v>0</v>
          </cell>
          <cell r="DT37">
            <v>0</v>
          </cell>
          <cell r="DU37">
            <v>0</v>
          </cell>
          <cell r="DV37">
            <v>0</v>
          </cell>
          <cell r="DW37">
            <v>0</v>
          </cell>
          <cell r="DX37">
            <v>0</v>
          </cell>
          <cell r="DY37">
            <v>0</v>
          </cell>
          <cell r="DZ37">
            <v>0</v>
          </cell>
          <cell r="EA37">
            <v>0</v>
          </cell>
          <cell r="EB37">
            <v>0</v>
          </cell>
          <cell r="EC37">
            <v>0</v>
          </cell>
          <cell r="ED37">
            <v>0</v>
          </cell>
          <cell r="EE37">
            <v>0</v>
          </cell>
          <cell r="EF37">
            <v>0</v>
          </cell>
          <cell r="EG37">
            <v>0</v>
          </cell>
          <cell r="EH37">
            <v>0</v>
          </cell>
          <cell r="EI37">
            <v>0</v>
          </cell>
          <cell r="EJ37">
            <v>0</v>
          </cell>
          <cell r="EK37">
            <v>0</v>
          </cell>
          <cell r="EL37">
            <v>0</v>
          </cell>
          <cell r="EM37">
            <v>0</v>
          </cell>
          <cell r="EN37">
            <v>0</v>
          </cell>
          <cell r="EO37">
            <v>0</v>
          </cell>
        </row>
        <row r="38">
          <cell r="A38" t="str">
            <v>PAYC_ADJ_RD</v>
          </cell>
          <cell r="B38" t="str">
            <v>Research and development</v>
          </cell>
          <cell r="C38">
            <v>1</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0.38</v>
          </cell>
          <cell r="AV38">
            <v>0.54200000000000004</v>
          </cell>
          <cell r="AW38">
            <v>0.36099999999999999</v>
          </cell>
          <cell r="AX38">
            <v>0.34899999999999998</v>
          </cell>
          <cell r="AY38">
            <v>0.13200000000000001</v>
          </cell>
          <cell r="AZ38">
            <v>0.318</v>
          </cell>
          <cell r="BA38">
            <v>0.52700000000000002</v>
          </cell>
          <cell r="BB38">
            <v>0.82399999999999995</v>
          </cell>
          <cell r="BC38">
            <v>0.87999999999999989</v>
          </cell>
          <cell r="BD38">
            <v>0.93300000000000005</v>
          </cell>
          <cell r="BE38">
            <v>1.0569999999999999</v>
          </cell>
          <cell r="BF38">
            <v>1.4380000000000002</v>
          </cell>
          <cell r="BG38">
            <v>1.8620000000000001</v>
          </cell>
          <cell r="BH38">
            <v>1.9060000000000001</v>
          </cell>
          <cell r="BI38">
            <v>2.2200000000000002</v>
          </cell>
          <cell r="BJ38">
            <v>2.5350000000000001</v>
          </cell>
          <cell r="BK38">
            <v>3.8109999999999999</v>
          </cell>
          <cell r="BL38">
            <v>4.0709999999999997</v>
          </cell>
          <cell r="BM38">
            <v>5.7360000000000007</v>
          </cell>
          <cell r="BN38">
            <v>6.5119999999999996</v>
          </cell>
          <cell r="BO38">
            <v>6.6379999999999999</v>
          </cell>
          <cell r="BP38">
            <v>7.4740000000000002</v>
          </cell>
          <cell r="BQ38">
            <v>7.3780000000000001</v>
          </cell>
          <cell r="BR38">
            <v>7.0280000000000005</v>
          </cell>
          <cell r="BS38">
            <v>9.0030000000000001</v>
          </cell>
          <cell r="BT38">
            <v>8.6270411249999999</v>
          </cell>
          <cell r="BU38">
            <v>8.6815475000000006</v>
          </cell>
          <cell r="BV38">
            <v>11.619853325000005</v>
          </cell>
          <cell r="BW38">
            <v>11.950308749999998</v>
          </cell>
          <cell r="BX38">
            <v>13.97895358125</v>
          </cell>
          <cell r="BY38">
            <v>14.125829574999997</v>
          </cell>
          <cell r="BZ38">
            <v>13.692547300000001</v>
          </cell>
          <cell r="CA38">
            <v>0</v>
          </cell>
          <cell r="CB38">
            <v>0</v>
          </cell>
          <cell r="CC38">
            <v>0</v>
          </cell>
          <cell r="CD38">
            <v>0</v>
          </cell>
          <cell r="CE38">
            <v>0</v>
          </cell>
          <cell r="CF38">
            <v>0</v>
          </cell>
          <cell r="CG38">
            <v>0</v>
          </cell>
          <cell r="CH38">
            <v>0</v>
          </cell>
          <cell r="CI38">
            <v>0</v>
          </cell>
          <cell r="CJ38">
            <v>0</v>
          </cell>
          <cell r="CK38">
            <v>6.7039999999999997</v>
          </cell>
          <cell r="CL38">
            <v>13.99</v>
          </cell>
          <cell r="CM38">
            <v>15.687000000000001</v>
          </cell>
          <cell r="CN38">
            <v>1.8010000000000002</v>
          </cell>
          <cell r="CO38">
            <v>4.3079999999999998</v>
          </cell>
          <cell r="CP38">
            <v>8.5229999999999997</v>
          </cell>
          <cell r="CQ38">
            <v>20.13</v>
          </cell>
          <cell r="CR38">
            <v>28.518000000000001</v>
          </cell>
          <cell r="CS38">
            <v>37.931441950000007</v>
          </cell>
          <cell r="CT38">
            <v>53.74763920625</v>
          </cell>
          <cell r="CU38">
            <v>0</v>
          </cell>
          <cell r="CV38">
            <v>0</v>
          </cell>
          <cell r="CW38">
            <v>0</v>
          </cell>
          <cell r="CX38">
            <v>0</v>
          </cell>
          <cell r="CY38">
            <v>0</v>
          </cell>
          <cell r="CZ38">
            <v>0</v>
          </cell>
          <cell r="DA38">
            <v>0</v>
          </cell>
          <cell r="DB38">
            <v>0</v>
          </cell>
          <cell r="DC38">
            <v>0</v>
          </cell>
          <cell r="DD38">
            <v>0</v>
          </cell>
          <cell r="DE38">
            <v>0</v>
          </cell>
          <cell r="DF38">
            <v>0</v>
          </cell>
          <cell r="DG38">
            <v>1.8010000000000002</v>
          </cell>
          <cell r="DH38">
            <v>4.3079999999999998</v>
          </cell>
          <cell r="DI38">
            <v>8.5229999999999997</v>
          </cell>
          <cell r="DJ38">
            <v>20.13</v>
          </cell>
          <cell r="DK38">
            <v>0</v>
          </cell>
          <cell r="DL38">
            <v>0</v>
          </cell>
          <cell r="DM38">
            <v>0</v>
          </cell>
          <cell r="DN38">
            <v>0</v>
          </cell>
          <cell r="DO38">
            <v>0</v>
          </cell>
          <cell r="DP38">
            <v>0</v>
          </cell>
          <cell r="DQ38">
            <v>0</v>
          </cell>
          <cell r="DR38">
            <v>0</v>
          </cell>
          <cell r="DS38">
            <v>0</v>
          </cell>
          <cell r="DT38">
            <v>0</v>
          </cell>
          <cell r="DU38">
            <v>0</v>
          </cell>
          <cell r="DV38">
            <v>0</v>
          </cell>
          <cell r="DW38">
            <v>0</v>
          </cell>
          <cell r="DX38">
            <v>0</v>
          </cell>
          <cell r="DY38">
            <v>0</v>
          </cell>
          <cell r="DZ38">
            <v>0</v>
          </cell>
          <cell r="EA38">
            <v>0</v>
          </cell>
          <cell r="EB38">
            <v>0</v>
          </cell>
          <cell r="EC38">
            <v>0</v>
          </cell>
          <cell r="ED38">
            <v>0</v>
          </cell>
          <cell r="EE38">
            <v>0</v>
          </cell>
          <cell r="EF38">
            <v>0</v>
          </cell>
          <cell r="EG38">
            <v>0</v>
          </cell>
          <cell r="EH38">
            <v>0</v>
          </cell>
          <cell r="EI38">
            <v>0</v>
          </cell>
          <cell r="EJ38">
            <v>0</v>
          </cell>
          <cell r="EK38">
            <v>0</v>
          </cell>
          <cell r="EL38">
            <v>0</v>
          </cell>
          <cell r="EM38">
            <v>0</v>
          </cell>
          <cell r="EN38">
            <v>0</v>
          </cell>
          <cell r="EO38">
            <v>0</v>
          </cell>
        </row>
        <row r="39">
          <cell r="A39" t="str">
            <v>PAYC_ADJ_GA</v>
          </cell>
          <cell r="B39" t="str">
            <v>General and administrative</v>
          </cell>
          <cell r="C39">
            <v>1</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4.335</v>
          </cell>
          <cell r="AV39">
            <v>4.8029999999999999</v>
          </cell>
          <cell r="AW39">
            <v>4.7779999999999996</v>
          </cell>
          <cell r="AX39">
            <v>5.4560000000000004</v>
          </cell>
          <cell r="AY39">
            <v>5.8239999999999998</v>
          </cell>
          <cell r="AZ39">
            <v>5.9569999999999999</v>
          </cell>
          <cell r="BA39">
            <v>6.8150000000000004</v>
          </cell>
          <cell r="BB39">
            <v>9.8800000000000008</v>
          </cell>
          <cell r="BC39">
            <v>9.1839999999999993</v>
          </cell>
          <cell r="BD39">
            <v>8.1259999999999994</v>
          </cell>
          <cell r="BE39">
            <v>8.3309999999999995</v>
          </cell>
          <cell r="BF39">
            <v>9.3640000000000008</v>
          </cell>
          <cell r="BG39">
            <v>11.747</v>
          </cell>
          <cell r="BH39">
            <v>10.064</v>
          </cell>
          <cell r="BI39">
            <v>11.081</v>
          </cell>
          <cell r="BJ39">
            <v>12.821999999999999</v>
          </cell>
          <cell r="BK39">
            <v>14.292</v>
          </cell>
          <cell r="BL39">
            <v>13.175000000000001</v>
          </cell>
          <cell r="BM39">
            <v>13.683000000000002</v>
          </cell>
          <cell r="BN39">
            <v>12.059000000000001</v>
          </cell>
          <cell r="BO39">
            <v>13.304</v>
          </cell>
          <cell r="BP39">
            <v>16.218</v>
          </cell>
          <cell r="BQ39">
            <v>15.980999999999998</v>
          </cell>
          <cell r="BR39">
            <v>17.161999999999999</v>
          </cell>
          <cell r="BS39">
            <v>16.240999999999996</v>
          </cell>
          <cell r="BT39">
            <v>18.309551599999999</v>
          </cell>
          <cell r="BU39">
            <v>17.988319699999998</v>
          </cell>
          <cell r="BV39">
            <v>18.116404455000005</v>
          </cell>
          <cell r="BW39">
            <v>5.9790812499999966</v>
          </cell>
          <cell r="BX39">
            <v>23.807077806249993</v>
          </cell>
          <cell r="BY39">
            <v>22.686132699999995</v>
          </cell>
          <cell r="BZ39">
            <v>21.694138687500001</v>
          </cell>
          <cell r="CA39">
            <v>0</v>
          </cell>
          <cell r="CB39">
            <v>0</v>
          </cell>
          <cell r="CC39">
            <v>0</v>
          </cell>
          <cell r="CD39">
            <v>0</v>
          </cell>
          <cell r="CE39">
            <v>0</v>
          </cell>
          <cell r="CF39">
            <v>0</v>
          </cell>
          <cell r="CG39">
            <v>0</v>
          </cell>
          <cell r="CH39">
            <v>0</v>
          </cell>
          <cell r="CI39">
            <v>0</v>
          </cell>
          <cell r="CJ39">
            <v>0</v>
          </cell>
          <cell r="CK39">
            <v>5.6580000000000004</v>
          </cell>
          <cell r="CL39">
            <v>8.5649999999999995</v>
          </cell>
          <cell r="CM39">
            <v>7.6110000000000007</v>
          </cell>
          <cell r="CN39">
            <v>28.475999999999999</v>
          </cell>
          <cell r="CO39">
            <v>35.004999999999995</v>
          </cell>
          <cell r="CP39">
            <v>45.713999999999999</v>
          </cell>
          <cell r="CQ39">
            <v>53.209000000000003</v>
          </cell>
          <cell r="CR39">
            <v>62.664999999999999</v>
          </cell>
          <cell r="CS39">
            <v>70.655275754999991</v>
          </cell>
          <cell r="CT39">
            <v>74.166430443749988</v>
          </cell>
          <cell r="CU39">
            <v>0</v>
          </cell>
          <cell r="CV39">
            <v>0</v>
          </cell>
          <cell r="CW39">
            <v>0</v>
          </cell>
          <cell r="CX39">
            <v>0</v>
          </cell>
          <cell r="CY39">
            <v>0</v>
          </cell>
          <cell r="CZ39">
            <v>0</v>
          </cell>
          <cell r="DA39">
            <v>0</v>
          </cell>
          <cell r="DB39">
            <v>0</v>
          </cell>
          <cell r="DC39">
            <v>0</v>
          </cell>
          <cell r="DD39">
            <v>0</v>
          </cell>
          <cell r="DE39">
            <v>0</v>
          </cell>
          <cell r="DF39">
            <v>0</v>
          </cell>
          <cell r="DG39">
            <v>28.475999999999999</v>
          </cell>
          <cell r="DH39">
            <v>35.004999999999995</v>
          </cell>
          <cell r="DI39">
            <v>45.713999999999999</v>
          </cell>
          <cell r="DJ39">
            <v>53.209000000000003</v>
          </cell>
          <cell r="DK39">
            <v>0</v>
          </cell>
          <cell r="DL39">
            <v>0</v>
          </cell>
          <cell r="DM39">
            <v>0</v>
          </cell>
          <cell r="DN39">
            <v>0</v>
          </cell>
          <cell r="DO39">
            <v>0</v>
          </cell>
          <cell r="DP39">
            <v>0</v>
          </cell>
          <cell r="DQ39">
            <v>0</v>
          </cell>
          <cell r="DR39">
            <v>0</v>
          </cell>
          <cell r="DS39">
            <v>0</v>
          </cell>
          <cell r="DT39">
            <v>0</v>
          </cell>
          <cell r="DU39">
            <v>0</v>
          </cell>
          <cell r="DV39">
            <v>0</v>
          </cell>
          <cell r="DW39">
            <v>0</v>
          </cell>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row>
        <row r="49">
          <cell r="A49" t="str">
            <v>PAYC_ADJ_OM</v>
          </cell>
          <cell r="B49" t="str">
            <v>Operating Income</v>
          </cell>
          <cell r="C49">
            <v>1</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-1.3060000000000009</v>
          </cell>
          <cell r="AV49">
            <v>-3.1890000000000018</v>
          </cell>
          <cell r="AW49">
            <v>-2.1269999999999971</v>
          </cell>
          <cell r="AX49">
            <v>-2.1399999999999988</v>
          </cell>
          <cell r="AY49">
            <v>6.2609999999999992</v>
          </cell>
          <cell r="AZ49">
            <v>3.3190000000000008</v>
          </cell>
          <cell r="BA49">
            <v>1.9200000000000017</v>
          </cell>
          <cell r="BB49">
            <v>-1.0900000000000034</v>
          </cell>
          <cell r="BC49">
            <v>3.2340000000000089</v>
          </cell>
          <cell r="BD49">
            <v>3.2750000000000021</v>
          </cell>
          <cell r="BE49">
            <v>4.7659999999999982</v>
          </cell>
          <cell r="BF49">
            <v>5.1370000000000005</v>
          </cell>
          <cell r="BG49">
            <v>10.792000000000002</v>
          </cell>
          <cell r="BH49">
            <v>10.843000000000007</v>
          </cell>
          <cell r="BI49">
            <v>8.2869999999999919</v>
          </cell>
          <cell r="BJ49">
            <v>7.5229999999999961</v>
          </cell>
          <cell r="BK49">
            <v>30.056999999999988</v>
          </cell>
          <cell r="BL49">
            <v>19.27300000000001</v>
          </cell>
          <cell r="BM49">
            <v>14.817000000000007</v>
          </cell>
          <cell r="BN49">
            <v>16.370000000000005</v>
          </cell>
          <cell r="BO49">
            <v>55.91599999999999</v>
          </cell>
          <cell r="BP49">
            <v>22.927999999999997</v>
          </cell>
          <cell r="BQ49">
            <v>25.664000000000009</v>
          </cell>
          <cell r="BR49">
            <v>27.765000000000001</v>
          </cell>
          <cell r="BS49">
            <v>73.641000000000005</v>
          </cell>
          <cell r="BT49">
            <v>36.970049990000007</v>
          </cell>
          <cell r="BU49">
            <v>37.672009099999997</v>
          </cell>
          <cell r="BV49">
            <v>43.774743190000009</v>
          </cell>
          <cell r="BW49">
            <v>96.659978249999995</v>
          </cell>
          <cell r="BX49">
            <v>41.628587987499998</v>
          </cell>
          <cell r="BY49">
            <v>45.44212915</v>
          </cell>
          <cell r="BZ49">
            <v>57.765008506249998</v>
          </cell>
          <cell r="CA49">
            <v>0</v>
          </cell>
          <cell r="CB49">
            <v>0</v>
          </cell>
          <cell r="CC49">
            <v>0</v>
          </cell>
          <cell r="CD49">
            <v>0</v>
          </cell>
          <cell r="CE49">
            <v>0</v>
          </cell>
          <cell r="CF49">
            <v>0</v>
          </cell>
          <cell r="CG49">
            <v>0</v>
          </cell>
          <cell r="CH49">
            <v>0</v>
          </cell>
          <cell r="CI49">
            <v>0</v>
          </cell>
          <cell r="CJ49">
            <v>0</v>
          </cell>
          <cell r="CK49">
            <v>-23.914000000000001</v>
          </cell>
          <cell r="CL49">
            <v>-49.082000000000001</v>
          </cell>
          <cell r="CM49">
            <v>-5.110563353103089</v>
          </cell>
          <cell r="CN49">
            <v>10.409999999999998</v>
          </cell>
          <cell r="CO49">
            <v>16.41200000000001</v>
          </cell>
          <cell r="CP49">
            <v>37.444999999999993</v>
          </cell>
          <cell r="CQ49">
            <v>80.51700000000001</v>
          </cell>
          <cell r="CR49">
            <v>132.27300000000002</v>
          </cell>
          <cell r="CS49">
            <v>192.05780228</v>
          </cell>
          <cell r="CT49">
            <v>241.49570389374998</v>
          </cell>
          <cell r="CU49">
            <v>0</v>
          </cell>
          <cell r="CV49">
            <v>0</v>
          </cell>
          <cell r="CW49">
            <v>0</v>
          </cell>
          <cell r="CX49">
            <v>0</v>
          </cell>
          <cell r="CY49">
            <v>0</v>
          </cell>
          <cell r="CZ49">
            <v>0</v>
          </cell>
          <cell r="DA49">
            <v>0</v>
          </cell>
          <cell r="DB49">
            <v>0</v>
          </cell>
          <cell r="DC49">
            <v>0</v>
          </cell>
          <cell r="DD49">
            <v>0</v>
          </cell>
          <cell r="DE49">
            <v>0</v>
          </cell>
          <cell r="DF49">
            <v>0</v>
          </cell>
          <cell r="DG49">
            <v>10.409999999999998</v>
          </cell>
          <cell r="DH49">
            <v>16.41200000000001</v>
          </cell>
          <cell r="DI49">
            <v>37.444999999999993</v>
          </cell>
          <cell r="DJ49">
            <v>80.51700000000001</v>
          </cell>
          <cell r="DK49">
            <v>0</v>
          </cell>
          <cell r="DL49">
            <v>0</v>
          </cell>
          <cell r="DM49">
            <v>0</v>
          </cell>
          <cell r="DN49">
            <v>0</v>
          </cell>
          <cell r="DO49">
            <v>0</v>
          </cell>
          <cell r="DP49">
            <v>0</v>
          </cell>
          <cell r="DQ49">
            <v>0</v>
          </cell>
          <cell r="DR49">
            <v>0</v>
          </cell>
          <cell r="DS49">
            <v>0</v>
          </cell>
          <cell r="DT49">
            <v>0</v>
          </cell>
          <cell r="DU49">
            <v>0</v>
          </cell>
          <cell r="DV49">
            <v>0</v>
          </cell>
          <cell r="DW49">
            <v>0</v>
          </cell>
          <cell r="DX49">
            <v>0</v>
          </cell>
          <cell r="DY49">
            <v>0</v>
          </cell>
          <cell r="DZ49">
            <v>0</v>
          </cell>
          <cell r="EA49">
            <v>0</v>
          </cell>
          <cell r="EB49">
            <v>0</v>
          </cell>
          <cell r="EC49">
            <v>0</v>
          </cell>
          <cell r="ED49">
            <v>0</v>
          </cell>
          <cell r="EE49">
            <v>0</v>
          </cell>
          <cell r="EF49">
            <v>0</v>
          </cell>
          <cell r="EG49">
            <v>0</v>
          </cell>
          <cell r="EH49">
            <v>0</v>
          </cell>
          <cell r="EI49">
            <v>0</v>
          </cell>
          <cell r="EJ49">
            <v>0</v>
          </cell>
          <cell r="EK49">
            <v>0</v>
          </cell>
          <cell r="EL49">
            <v>0</v>
          </cell>
          <cell r="EM49">
            <v>0</v>
          </cell>
          <cell r="EN49">
            <v>0</v>
          </cell>
          <cell r="EO49">
            <v>0</v>
          </cell>
        </row>
        <row r="50">
          <cell r="A50" t="str">
            <v>PAYC_ADJ_OTHERINC</v>
          </cell>
          <cell r="B50" t="str">
            <v>Other income (expense)</v>
          </cell>
          <cell r="C50">
            <v>1</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1.2999999999999999E-2</v>
          </cell>
          <cell r="AV50">
            <v>6.5000000000000002E-2</v>
          </cell>
          <cell r="AW50">
            <v>0.25700000000000001</v>
          </cell>
          <cell r="AX50">
            <v>1.9E-2</v>
          </cell>
          <cell r="AY50">
            <v>0.52499999999999991</v>
          </cell>
          <cell r="AZ50">
            <v>-0.24200000000000005</v>
          </cell>
          <cell r="BA50">
            <v>0.19199999999999995</v>
          </cell>
          <cell r="BB50">
            <v>2.1669999999999998</v>
          </cell>
          <cell r="BC50">
            <v>0.74500000000000011</v>
          </cell>
          <cell r="BD50">
            <v>3.3029999999999999</v>
          </cell>
          <cell r="BE50">
            <v>0.09</v>
          </cell>
          <cell r="BF50">
            <v>0.58099999999999996</v>
          </cell>
          <cell r="BG50">
            <v>0.69000000000000006</v>
          </cell>
          <cell r="BH50">
            <v>0.12000000000000001</v>
          </cell>
          <cell r="BI50">
            <v>0.96699999999999997</v>
          </cell>
          <cell r="BJ50">
            <v>1.244</v>
          </cell>
          <cell r="BK50">
            <v>0.88300000000000001</v>
          </cell>
          <cell r="BL50">
            <v>-1.1419999999999999</v>
          </cell>
          <cell r="BM50">
            <v>-11.684999999999999</v>
          </cell>
          <cell r="BN50">
            <v>-1.1850000000000001</v>
          </cell>
          <cell r="BO50">
            <v>-1.4610000000000001</v>
          </cell>
          <cell r="BP50">
            <v>0.14899999999999999</v>
          </cell>
          <cell r="BQ50">
            <v>0.11799999999999999</v>
          </cell>
          <cell r="BR50">
            <v>-1.429</v>
          </cell>
          <cell r="BS50">
            <v>1.03</v>
          </cell>
          <cell r="BT50">
            <v>1.03</v>
          </cell>
          <cell r="BU50">
            <v>1.03</v>
          </cell>
          <cell r="BV50">
            <v>1.03</v>
          </cell>
          <cell r="BW50">
            <v>1.03</v>
          </cell>
          <cell r="BX50">
            <v>1.03</v>
          </cell>
          <cell r="BY50">
            <v>1.03</v>
          </cell>
          <cell r="BZ50">
            <v>1.03</v>
          </cell>
          <cell r="CA50">
            <v>0</v>
          </cell>
          <cell r="CB50">
            <v>0</v>
          </cell>
          <cell r="CC50">
            <v>0</v>
          </cell>
          <cell r="CD50">
            <v>0</v>
          </cell>
          <cell r="CE50">
            <v>0</v>
          </cell>
          <cell r="CF50">
            <v>0</v>
          </cell>
          <cell r="CG50">
            <v>0</v>
          </cell>
          <cell r="CH50">
            <v>0</v>
          </cell>
          <cell r="CI50">
            <v>0</v>
          </cell>
          <cell r="CJ50">
            <v>0</v>
          </cell>
          <cell r="CK50">
            <v>1E-3</v>
          </cell>
          <cell r="CL50">
            <v>-1E-3</v>
          </cell>
          <cell r="CM50">
            <v>5.3999999999999999E-2</v>
          </cell>
          <cell r="CN50">
            <v>2.6419999999999995</v>
          </cell>
          <cell r="CO50">
            <v>4.7189999999999994</v>
          </cell>
          <cell r="CP50">
            <v>3.0209999999999999</v>
          </cell>
          <cell r="CQ50">
            <v>-13.129</v>
          </cell>
          <cell r="CR50">
            <v>-2.6230000000000002</v>
          </cell>
          <cell r="CS50">
            <v>4.12</v>
          </cell>
          <cell r="CT50">
            <v>4.12</v>
          </cell>
          <cell r="CU50">
            <v>0</v>
          </cell>
          <cell r="CV50">
            <v>0</v>
          </cell>
          <cell r="CW50">
            <v>0</v>
          </cell>
          <cell r="CX50">
            <v>0</v>
          </cell>
          <cell r="CY50">
            <v>0</v>
          </cell>
          <cell r="CZ50">
            <v>0</v>
          </cell>
          <cell r="DA50">
            <v>0</v>
          </cell>
          <cell r="DB50">
            <v>0</v>
          </cell>
          <cell r="DC50">
            <v>0</v>
          </cell>
          <cell r="DD50">
            <v>0</v>
          </cell>
          <cell r="DE50">
            <v>0</v>
          </cell>
          <cell r="DF50">
            <v>0</v>
          </cell>
          <cell r="DG50">
            <v>2.6419999999999995</v>
          </cell>
          <cell r="DH50">
            <v>4.7189999999999994</v>
          </cell>
          <cell r="DI50">
            <v>3.0209999999999999</v>
          </cell>
          <cell r="DJ50">
            <v>-13.129</v>
          </cell>
          <cell r="DK50">
            <v>0</v>
          </cell>
          <cell r="DL50">
            <v>0</v>
          </cell>
          <cell r="DM50">
            <v>0</v>
          </cell>
          <cell r="DN50">
            <v>0</v>
          </cell>
          <cell r="DO50">
            <v>0</v>
          </cell>
          <cell r="DP50">
            <v>0</v>
          </cell>
          <cell r="DQ50">
            <v>0</v>
          </cell>
          <cell r="DR50">
            <v>0</v>
          </cell>
          <cell r="DS50">
            <v>0</v>
          </cell>
          <cell r="DT50">
            <v>0</v>
          </cell>
          <cell r="DU50">
            <v>0</v>
          </cell>
          <cell r="DV50">
            <v>0</v>
          </cell>
          <cell r="DW50">
            <v>0</v>
          </cell>
          <cell r="DX50">
            <v>0</v>
          </cell>
          <cell r="DY50">
            <v>0</v>
          </cell>
          <cell r="DZ50">
            <v>0</v>
          </cell>
          <cell r="EA50">
            <v>0</v>
          </cell>
          <cell r="EB50">
            <v>0</v>
          </cell>
          <cell r="EC50">
            <v>0</v>
          </cell>
          <cell r="ED50">
            <v>0</v>
          </cell>
          <cell r="EE50">
            <v>0</v>
          </cell>
          <cell r="EF50">
            <v>0</v>
          </cell>
          <cell r="EG50">
            <v>0</v>
          </cell>
          <cell r="EH50">
            <v>0</v>
          </cell>
          <cell r="EI50">
            <v>0</v>
          </cell>
          <cell r="EJ50">
            <v>0</v>
          </cell>
          <cell r="EK50">
            <v>0</v>
          </cell>
          <cell r="EL50">
            <v>0</v>
          </cell>
          <cell r="EM50">
            <v>0</v>
          </cell>
          <cell r="EN50">
            <v>0</v>
          </cell>
          <cell r="EO50">
            <v>0</v>
          </cell>
        </row>
        <row r="57">
          <cell r="A57" t="str">
            <v>PAYC_ADJ_TAXES</v>
          </cell>
          <cell r="B57" t="str">
            <v>Provision for income taxes</v>
          </cell>
          <cell r="C57">
            <v>1</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0.82299999999999995</v>
          </cell>
          <cell r="AV57">
            <v>-0.67600000000000005</v>
          </cell>
          <cell r="AW57">
            <v>-0.151</v>
          </cell>
          <cell r="AX57">
            <v>-0.08</v>
          </cell>
          <cell r="AY57">
            <v>1.2409999999999999</v>
          </cell>
          <cell r="AZ57">
            <v>0.16900000000000001</v>
          </cell>
          <cell r="BA57">
            <v>-0.19900000000000001</v>
          </cell>
          <cell r="BB57">
            <v>-0.41899999999999998</v>
          </cell>
          <cell r="BC57">
            <v>0.78300000000000003</v>
          </cell>
          <cell r="BD57">
            <v>-0.44400000000000001</v>
          </cell>
          <cell r="BE57">
            <v>1.6890000000000001</v>
          </cell>
          <cell r="BF57">
            <v>1.9650000000000001</v>
          </cell>
          <cell r="BG57">
            <v>4.2439999999999998</v>
          </cell>
          <cell r="BH57">
            <v>4.4889999999999999</v>
          </cell>
          <cell r="BI57">
            <v>2.7629999999999999</v>
          </cell>
          <cell r="BJ57">
            <v>1.0840000000000001</v>
          </cell>
          <cell r="BK57">
            <v>9.8390000000000004</v>
          </cell>
          <cell r="BL57">
            <v>5.5289999999999999</v>
          </cell>
          <cell r="BM57">
            <v>-6.0810000000000004</v>
          </cell>
          <cell r="BN57">
            <v>4.1159999999999997</v>
          </cell>
          <cell r="BO57">
            <v>12.888999999999999</v>
          </cell>
          <cell r="BP57">
            <v>7.6189999999999989</v>
          </cell>
          <cell r="BQ57">
            <v>8.5640000000000001</v>
          </cell>
          <cell r="BR57">
            <v>9.4050000000000011</v>
          </cell>
          <cell r="BS57">
            <v>18.902999999999999</v>
          </cell>
          <cell r="BT57">
            <v>5.2387444976999999</v>
          </cell>
          <cell r="BU57">
            <v>5.302031093000001</v>
          </cell>
          <cell r="BV57">
            <v>8.5950639337000023</v>
          </cell>
          <cell r="BW57">
            <v>16.538880997500002</v>
          </cell>
          <cell r="BX57">
            <v>5.9600815371249984</v>
          </cell>
          <cell r="BY57">
            <v>6.7292156045000011</v>
          </cell>
          <cell r="BZ57">
            <v>11.641822256437502</v>
          </cell>
          <cell r="CA57">
            <v>0</v>
          </cell>
          <cell r="CB57">
            <v>0</v>
          </cell>
          <cell r="CC57">
            <v>0</v>
          </cell>
          <cell r="CD57">
            <v>0</v>
          </cell>
          <cell r="CE57">
            <v>0</v>
          </cell>
          <cell r="CF57">
            <v>0</v>
          </cell>
          <cell r="CG57">
            <v>0</v>
          </cell>
          <cell r="CH57">
            <v>0</v>
          </cell>
          <cell r="CI57">
            <v>0</v>
          </cell>
          <cell r="CJ57">
            <v>0</v>
          </cell>
          <cell r="CK57">
            <v>0</v>
          </cell>
          <cell r="CL57">
            <v>0</v>
          </cell>
          <cell r="CM57">
            <v>2.7E-2</v>
          </cell>
          <cell r="CN57">
            <v>0.79199999999999982</v>
          </cell>
          <cell r="CO57">
            <v>3.9930000000000003</v>
          </cell>
          <cell r="CP57">
            <v>12.58</v>
          </cell>
          <cell r="CQ57">
            <v>13.402999999999999</v>
          </cell>
          <cell r="CR57">
            <v>38.477000000000004</v>
          </cell>
          <cell r="CS57">
            <v>38.038839524400004</v>
          </cell>
          <cell r="CT57">
            <v>40.870000395562506</v>
          </cell>
          <cell r="CU57">
            <v>0</v>
          </cell>
          <cell r="CV57">
            <v>0</v>
          </cell>
          <cell r="CW57">
            <v>0</v>
          </cell>
          <cell r="CX57">
            <v>0</v>
          </cell>
          <cell r="CY57">
            <v>0</v>
          </cell>
          <cell r="CZ57">
            <v>0</v>
          </cell>
          <cell r="DA57">
            <v>0</v>
          </cell>
          <cell r="DB57">
            <v>0</v>
          </cell>
          <cell r="DC57">
            <v>0</v>
          </cell>
          <cell r="DD57">
            <v>0</v>
          </cell>
          <cell r="DE57">
            <v>0</v>
          </cell>
          <cell r="DF57">
            <v>0</v>
          </cell>
          <cell r="DG57">
            <v>0.79199999999999982</v>
          </cell>
          <cell r="DH57">
            <v>3.9930000000000003</v>
          </cell>
          <cell r="DI57">
            <v>12.58</v>
          </cell>
          <cell r="DJ57">
            <v>13.402999999999999</v>
          </cell>
          <cell r="DK57">
            <v>0</v>
          </cell>
          <cell r="DL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0</v>
          </cell>
          <cell r="EC57">
            <v>0</v>
          </cell>
          <cell r="ED57">
            <v>0</v>
          </cell>
          <cell r="EE57">
            <v>0</v>
          </cell>
          <cell r="EF57">
            <v>0</v>
          </cell>
          <cell r="EG57">
            <v>0</v>
          </cell>
          <cell r="EH57">
            <v>0</v>
          </cell>
          <cell r="EI57">
            <v>0</v>
          </cell>
          <cell r="EJ57">
            <v>0</v>
          </cell>
          <cell r="EK57">
            <v>0</v>
          </cell>
          <cell r="EL57">
            <v>0</v>
          </cell>
          <cell r="EM57">
            <v>0</v>
          </cell>
          <cell r="EN57">
            <v>0</v>
          </cell>
          <cell r="EO57">
            <v>0</v>
          </cell>
        </row>
        <row r="59">
          <cell r="A59" t="str">
            <v>PAYC_ADJ_EPS</v>
          </cell>
          <cell r="B59" t="str">
            <v>Earnings per Share (U.S.$)</v>
          </cell>
          <cell r="C59">
            <v>1</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t="e">
            <v>#DIV/0!</v>
          </cell>
          <cell r="AV59" t="e">
            <v>#DIV/0!</v>
          </cell>
          <cell r="AW59" t="e">
            <v>#DIV/0!</v>
          </cell>
          <cell r="AX59" t="e">
            <v>#DIV/0!</v>
          </cell>
          <cell r="AY59">
            <v>5.2754120612892752E-2</v>
          </cell>
          <cell r="AZ59">
            <v>9.4378492004204024E-3</v>
          </cell>
          <cell r="BA59">
            <v>-6.563430899604414E-5</v>
          </cell>
          <cell r="BB59">
            <v>-3.1075022362064895E-3</v>
          </cell>
          <cell r="BC59">
            <v>2.5115760382069911E-2</v>
          </cell>
          <cell r="BD59">
            <v>4.0616576078118548E-2</v>
          </cell>
          <cell r="BE59">
            <v>5.1738407666223896E-2</v>
          </cell>
          <cell r="BF59">
            <v>5.6837141387764668E-2</v>
          </cell>
          <cell r="BG59">
            <v>0.11760408514019528</v>
          </cell>
          <cell r="BH59">
            <v>0.10359936612332937</v>
          </cell>
          <cell r="BI59">
            <v>8.0797932696829694E-2</v>
          </cell>
          <cell r="BJ59">
            <v>0.10338283756145543</v>
          </cell>
          <cell r="BK59">
            <v>0.33304181964852486</v>
          </cell>
          <cell r="BL59">
            <v>0.2117987545885687</v>
          </cell>
          <cell r="BM59">
            <v>0.15212041445267174</v>
          </cell>
          <cell r="BN59">
            <v>0.18283725721289262</v>
          </cell>
          <cell r="BO59">
            <v>0.70582329420199375</v>
          </cell>
          <cell r="BP59">
            <v>0.25804009021831004</v>
          </cell>
          <cell r="BQ59">
            <v>0.28872072193021586</v>
          </cell>
          <cell r="BR59">
            <v>0.28509639318398383</v>
          </cell>
          <cell r="BS59">
            <v>0.94942464879902433</v>
          </cell>
          <cell r="BT59">
            <v>0.55303860137148131</v>
          </cell>
          <cell r="BU59">
            <v>0.5591008862893172</v>
          </cell>
          <cell r="BV59">
            <v>0.60110294579739842</v>
          </cell>
          <cell r="BW59">
            <v>1.3360683468416825</v>
          </cell>
          <cell r="BX59">
            <v>0.59926953501217173</v>
          </cell>
          <cell r="BY59">
            <v>0.6437274018763457</v>
          </cell>
          <cell r="BZ59">
            <v>0.75761804160490454</v>
          </cell>
          <cell r="CA59">
            <v>0</v>
          </cell>
          <cell r="CB59">
            <v>0</v>
          </cell>
          <cell r="CC59">
            <v>0</v>
          </cell>
          <cell r="CD59">
            <v>0</v>
          </cell>
          <cell r="CE59">
            <v>0</v>
          </cell>
          <cell r="CF59">
            <v>0</v>
          </cell>
          <cell r="CG59">
            <v>0</v>
          </cell>
          <cell r="CH59">
            <v>0</v>
          </cell>
          <cell r="CI59">
            <v>0</v>
          </cell>
          <cell r="CJ59">
            <v>0</v>
          </cell>
          <cell r="CK59">
            <v>-1.4582875960482986</v>
          </cell>
          <cell r="CL59">
            <v>-2.7519062570082982</v>
          </cell>
          <cell r="CM59">
            <v>-0.26147327194234588</v>
          </cell>
          <cell r="CN59">
            <v>5.9018833268110617E-2</v>
          </cell>
          <cell r="CO59">
            <v>0.17430788551417703</v>
          </cell>
          <cell r="CP59">
            <v>0.40538422152180981</v>
          </cell>
          <cell r="CQ59">
            <v>0.87979824590265787</v>
          </cell>
          <cell r="CR59">
            <v>1.5376804995345035</v>
          </cell>
          <cell r="CS59">
            <v>2.6626670822572214</v>
          </cell>
          <cell r="CT59">
            <v>3.3366833253351045</v>
          </cell>
          <cell r="CU59">
            <v>0</v>
          </cell>
          <cell r="CV59">
            <v>0</v>
          </cell>
          <cell r="CW59">
            <v>0</v>
          </cell>
          <cell r="CX59">
            <v>0</v>
          </cell>
          <cell r="CY59">
            <v>0</v>
          </cell>
          <cell r="CZ59">
            <v>0</v>
          </cell>
          <cell r="DA59">
            <v>0</v>
          </cell>
          <cell r="DB59">
            <v>0</v>
          </cell>
          <cell r="DC59">
            <v>0</v>
          </cell>
          <cell r="DD59">
            <v>0</v>
          </cell>
          <cell r="DE59">
            <v>0</v>
          </cell>
          <cell r="DF59">
            <v>0</v>
          </cell>
          <cell r="DG59">
            <v>6.0463966313322702E-2</v>
          </cell>
          <cell r="DH59">
            <v>0.17430788551417703</v>
          </cell>
          <cell r="DI59">
            <v>0.40538422152180981</v>
          </cell>
          <cell r="DJ59">
            <v>0.87979824590265787</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row>
        <row r="61">
          <cell r="A61" t="str">
            <v>PAYC_DIL_SHA</v>
          </cell>
          <cell r="B61" t="str">
            <v>Diluted Shares O/S</v>
          </cell>
          <cell r="C61">
            <v>2</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47.958339000000002</v>
          </cell>
          <cell r="AZ61">
            <v>47.998224</v>
          </cell>
          <cell r="BA61">
            <v>45.707802000000001</v>
          </cell>
          <cell r="BB61">
            <v>46.017665999999998</v>
          </cell>
          <cell r="BC61">
            <v>41.249000000000002</v>
          </cell>
          <cell r="BD61">
            <v>52.269300000000001</v>
          </cell>
          <cell r="BE61">
            <v>52.978051000000001</v>
          </cell>
          <cell r="BF61">
            <v>53.855629</v>
          </cell>
          <cell r="BG61">
            <v>56.562660999999999</v>
          </cell>
          <cell r="BH61">
            <v>58.369083000000003</v>
          </cell>
          <cell r="BI61">
            <v>58.367829999999998</v>
          </cell>
          <cell r="BJ61">
            <v>58.365586999999998</v>
          </cell>
          <cell r="BK61">
            <v>58.36204</v>
          </cell>
          <cell r="BL61">
            <v>58.697229</v>
          </cell>
          <cell r="BM61">
            <v>58.907280999999998</v>
          </cell>
          <cell r="BN61">
            <v>58.882966000000003</v>
          </cell>
          <cell r="BO61">
            <v>58.525979999999997</v>
          </cell>
          <cell r="BP61">
            <v>58.816442000000002</v>
          </cell>
          <cell r="BQ61">
            <v>58.873502000000002</v>
          </cell>
          <cell r="BR61">
            <v>58.850270999999999</v>
          </cell>
          <cell r="BS61">
            <v>58.738731999999999</v>
          </cell>
          <cell r="BT61">
            <v>59.238731999999999</v>
          </cell>
          <cell r="BU61">
            <v>59.738731999999999</v>
          </cell>
          <cell r="BV61">
            <v>60.238731999999999</v>
          </cell>
          <cell r="BW61">
            <v>60.738731999999999</v>
          </cell>
          <cell r="BX61">
            <v>61.238731999999999</v>
          </cell>
          <cell r="BY61">
            <v>61.738731999999999</v>
          </cell>
          <cell r="BZ61">
            <v>62.238731999999999</v>
          </cell>
          <cell r="CA61">
            <v>0</v>
          </cell>
          <cell r="CB61">
            <v>0</v>
          </cell>
          <cell r="CC61">
            <v>0</v>
          </cell>
          <cell r="CD61">
            <v>0</v>
          </cell>
          <cell r="CE61">
            <v>0</v>
          </cell>
          <cell r="CF61">
            <v>0</v>
          </cell>
          <cell r="CG61">
            <v>0</v>
          </cell>
          <cell r="CH61">
            <v>0</v>
          </cell>
          <cell r="CI61">
            <v>0</v>
          </cell>
          <cell r="CJ61">
            <v>0</v>
          </cell>
          <cell r="CK61">
            <v>16.398</v>
          </cell>
          <cell r="CL61">
            <v>17.835999999999999</v>
          </cell>
          <cell r="CM61">
            <v>19.442</v>
          </cell>
          <cell r="CN61">
            <v>46.920507749999999</v>
          </cell>
          <cell r="CO61">
            <v>50.087994999999999</v>
          </cell>
          <cell r="CP61">
            <v>57.916290250000003</v>
          </cell>
          <cell r="CQ61">
            <v>58.712378999999999</v>
          </cell>
          <cell r="CR61">
            <v>58.766548749999998</v>
          </cell>
          <cell r="CS61">
            <v>59.488731999999999</v>
          </cell>
          <cell r="CT61">
            <v>61.488731999999999</v>
          </cell>
          <cell r="CU61">
            <v>0</v>
          </cell>
          <cell r="CV61">
            <v>0</v>
          </cell>
          <cell r="CW61">
            <v>0</v>
          </cell>
          <cell r="CX61">
            <v>0</v>
          </cell>
          <cell r="CY61">
            <v>0</v>
          </cell>
          <cell r="CZ61">
            <v>0</v>
          </cell>
          <cell r="DA61">
            <v>0</v>
          </cell>
          <cell r="DB61">
            <v>0</v>
          </cell>
          <cell r="DC61">
            <v>0</v>
          </cell>
          <cell r="DD61">
            <v>0</v>
          </cell>
          <cell r="DE61">
            <v>0</v>
          </cell>
          <cell r="DF61">
            <v>0</v>
          </cell>
          <cell r="DG61">
            <v>46.920507749999999</v>
          </cell>
          <cell r="DH61">
            <v>50.087994999999999</v>
          </cell>
          <cell r="DI61">
            <v>57.916290250000003</v>
          </cell>
          <cell r="DJ61">
            <v>58.712378999999999</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row>
        <row r="163">
          <cell r="A163" t="str">
            <v>PAYC_CAPEX</v>
          </cell>
          <cell r="B163" t="str">
            <v>Cap Ex</v>
          </cell>
          <cell r="C163">
            <v>1</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-1.2270000000000001</v>
          </cell>
          <cell r="AZ163">
            <v>-1.6119999999999999</v>
          </cell>
          <cell r="BA163">
            <v>-3.4039999999999999</v>
          </cell>
          <cell r="BB163">
            <v>-10.932999999999998</v>
          </cell>
          <cell r="BC163">
            <v>-5.16</v>
          </cell>
          <cell r="BD163">
            <v>-4.1180000000000003</v>
          </cell>
          <cell r="BE163">
            <v>-2.67</v>
          </cell>
          <cell r="BF163">
            <v>-2.3219999999999992</v>
          </cell>
          <cell r="BG163">
            <v>-2.5019999999999998</v>
          </cell>
          <cell r="BH163">
            <v>-2.42</v>
          </cell>
          <cell r="BI163">
            <v>-5.2280000000000006</v>
          </cell>
          <cell r="BJ163">
            <v>-6.3989999999999982</v>
          </cell>
          <cell r="BK163">
            <v>-8.3629999999999995</v>
          </cell>
          <cell r="BL163">
            <v>-15.977</v>
          </cell>
          <cell r="BM163">
            <v>-7.7900000000000027</v>
          </cell>
          <cell r="BN163">
            <v>-11.675000000000001</v>
          </cell>
          <cell r="BO163">
            <v>-9.1359999999999992</v>
          </cell>
          <cell r="BP163">
            <v>-12.773</v>
          </cell>
          <cell r="BQ163">
            <v>-21.017000000000003</v>
          </cell>
          <cell r="BR163">
            <v>-16.463000000000001</v>
          </cell>
          <cell r="BS163">
            <v>-18.707999999999998</v>
          </cell>
          <cell r="BT163">
            <v>-8.6894650500000008</v>
          </cell>
          <cell r="BU163">
            <v>-8.8563510000000001</v>
          </cell>
          <cell r="BV163">
            <v>-9.9298321500000029</v>
          </cell>
          <cell r="BW163">
            <v>-13.4605415</v>
          </cell>
          <cell r="BX163">
            <v>-10.8539521125</v>
          </cell>
          <cell r="BY163">
            <v>-11.062924949999999</v>
          </cell>
          <cell r="BZ163">
            <v>-12.402361387500003</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-17.175999999999998</v>
          </cell>
          <cell r="CO163">
            <v>-14.27</v>
          </cell>
          <cell r="CP163">
            <v>-16.548999999999999</v>
          </cell>
          <cell r="CQ163">
            <v>-43.805000000000007</v>
          </cell>
          <cell r="CR163">
            <v>-59.389000000000003</v>
          </cell>
          <cell r="CS163">
            <v>-38.148599650000008</v>
          </cell>
          <cell r="CT163">
            <v>-47.653319262499998</v>
          </cell>
          <cell r="CU163">
            <v>0</v>
          </cell>
          <cell r="CV163">
            <v>0</v>
          </cell>
          <cell r="CW163">
            <v>0</v>
          </cell>
          <cell r="CX163">
            <v>0</v>
          </cell>
          <cell r="CY163">
            <v>0</v>
          </cell>
          <cell r="CZ163">
            <v>0</v>
          </cell>
          <cell r="DA163">
            <v>0</v>
          </cell>
          <cell r="DB163">
            <v>0</v>
          </cell>
          <cell r="DC163">
            <v>0</v>
          </cell>
          <cell r="DD163">
            <v>0</v>
          </cell>
          <cell r="DE163">
            <v>0</v>
          </cell>
          <cell r="DF163">
            <v>0</v>
          </cell>
          <cell r="DG163">
            <v>-6.2430000000000003</v>
          </cell>
          <cell r="DH163">
            <v>-17.175999999999998</v>
          </cell>
          <cell r="DI163">
            <v>-14.27</v>
          </cell>
          <cell r="DJ163">
            <v>-16.548999999999999</v>
          </cell>
          <cell r="DK163">
            <v>0</v>
          </cell>
          <cell r="DL163">
            <v>0</v>
          </cell>
          <cell r="DM163">
            <v>0</v>
          </cell>
          <cell r="DN163">
            <v>0</v>
          </cell>
          <cell r="DO163">
            <v>0</v>
          </cell>
          <cell r="DP163">
            <v>0</v>
          </cell>
          <cell r="DQ163">
            <v>0</v>
          </cell>
          <cell r="DR163">
            <v>0</v>
          </cell>
          <cell r="DS163">
            <v>0</v>
          </cell>
          <cell r="DT163">
            <v>0</v>
          </cell>
          <cell r="DU163">
            <v>0</v>
          </cell>
          <cell r="DV163">
            <v>0</v>
          </cell>
          <cell r="DW163">
            <v>0</v>
          </cell>
          <cell r="DX163">
            <v>0</v>
          </cell>
          <cell r="DY163">
            <v>0</v>
          </cell>
          <cell r="DZ163">
            <v>0</v>
          </cell>
          <cell r="EA163">
            <v>0</v>
          </cell>
          <cell r="EB163">
            <v>0</v>
          </cell>
          <cell r="EC163">
            <v>0</v>
          </cell>
          <cell r="ED163">
            <v>0</v>
          </cell>
          <cell r="EE163">
            <v>0</v>
          </cell>
          <cell r="EF163">
            <v>0</v>
          </cell>
          <cell r="EG163">
            <v>0</v>
          </cell>
          <cell r="EH163">
            <v>0</v>
          </cell>
          <cell r="EI163">
            <v>0</v>
          </cell>
          <cell r="EJ163">
            <v>0</v>
          </cell>
          <cell r="EK163">
            <v>0</v>
          </cell>
          <cell r="EL163">
            <v>0</v>
          </cell>
          <cell r="EM163">
            <v>0</v>
          </cell>
          <cell r="EN163">
            <v>0</v>
          </cell>
          <cell r="EO163">
            <v>0</v>
          </cell>
        </row>
        <row r="164">
          <cell r="A164" t="str">
            <v>PAYC_FCF</v>
          </cell>
          <cell r="B164" t="str">
            <v>FCF</v>
          </cell>
          <cell r="C164">
            <v>1</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-3.2520000000000011</v>
          </cell>
          <cell r="AV164">
            <v>-3.4480000000000022</v>
          </cell>
          <cell r="AW164">
            <v>-2.7189999999999968</v>
          </cell>
          <cell r="AX164">
            <v>-4.7699999999999978</v>
          </cell>
          <cell r="AY164">
            <v>1.9583789893617018</v>
          </cell>
          <cell r="AZ164">
            <v>-2.7166151797603186</v>
          </cell>
          <cell r="BA164">
            <v>-3.1958663594469838</v>
          </cell>
          <cell r="BB164">
            <v>-18.879865718799387</v>
          </cell>
          <cell r="BC164">
            <v>-6.6542677824267438</v>
          </cell>
          <cell r="BD164">
            <v>8.8545677419354636</v>
          </cell>
          <cell r="BE164">
            <v>4.0023207171314432</v>
          </cell>
          <cell r="BF164">
            <v>5.4437952008928745</v>
          </cell>
          <cell r="BG164">
            <v>10.693120358744327</v>
          </cell>
          <cell r="BH164">
            <v>10.550216441207169</v>
          </cell>
          <cell r="BI164">
            <v>3.6898150600381543</v>
          </cell>
          <cell r="BJ164">
            <v>4.2827028666586555</v>
          </cell>
          <cell r="BK164">
            <v>23.036254791210993</v>
          </cell>
          <cell r="BL164">
            <v>3.20638516786385</v>
          </cell>
          <cell r="BM164">
            <v>-6.9350468749999958</v>
          </cell>
          <cell r="BN164">
            <v>-21.80526152398885</v>
          </cell>
          <cell r="BO164">
            <v>69.966072419646537</v>
          </cell>
          <cell r="BP164">
            <v>2.2949999999999982</v>
          </cell>
          <cell r="BQ164">
            <v>16.110000000000007</v>
          </cell>
          <cell r="BR164">
            <v>21.716999999999992</v>
          </cell>
          <cell r="BS164">
            <v>38.955999999999996</v>
          </cell>
          <cell r="BT164">
            <v>22.105709744473913</v>
          </cell>
          <cell r="BU164">
            <v>37.106433002478255</v>
          </cell>
          <cell r="BV164">
            <v>43.336605454097096</v>
          </cell>
          <cell r="BW164">
            <v>85.75868637664648</v>
          </cell>
          <cell r="BX164">
            <v>26.495146073752299</v>
          </cell>
          <cell r="BY164">
            <v>50.051342350263894</v>
          </cell>
          <cell r="BZ164">
            <v>61.538108405518507</v>
          </cell>
          <cell r="CA164">
            <v>0</v>
          </cell>
          <cell r="CB164">
            <v>0</v>
          </cell>
          <cell r="CC164">
            <v>0</v>
          </cell>
          <cell r="CD164">
            <v>0</v>
          </cell>
          <cell r="CE164">
            <v>0</v>
          </cell>
          <cell r="CF164">
            <v>0</v>
          </cell>
          <cell r="CG164">
            <v>0</v>
          </cell>
          <cell r="CH164">
            <v>0</v>
          </cell>
          <cell r="CI164">
            <v>0</v>
          </cell>
          <cell r="CJ164">
            <v>0</v>
          </cell>
          <cell r="CK164">
            <v>0</v>
          </cell>
          <cell r="CL164">
            <v>0</v>
          </cell>
          <cell r="CM164">
            <v>-14.188999999999998</v>
          </cell>
          <cell r="CN164">
            <v>-22.833968268644988</v>
          </cell>
          <cell r="CO164">
            <v>11.646415877533038</v>
          </cell>
          <cell r="CP164">
            <v>11.646415877533038</v>
          </cell>
          <cell r="CQ164">
            <v>-2.4976684399140048</v>
          </cell>
          <cell r="CR164">
            <v>110.08807241964652</v>
          </cell>
          <cell r="CS164">
            <v>141.50474820104927</v>
          </cell>
          <cell r="CT164">
            <v>188.30743457769574</v>
          </cell>
          <cell r="CU164">
            <v>0</v>
          </cell>
          <cell r="CV164">
            <v>0</v>
          </cell>
          <cell r="CW164">
            <v>0</v>
          </cell>
          <cell r="CX164">
            <v>0</v>
          </cell>
          <cell r="CY164">
            <v>0</v>
          </cell>
          <cell r="CZ164">
            <v>0</v>
          </cell>
          <cell r="DA164">
            <v>0</v>
          </cell>
          <cell r="DB164">
            <v>0</v>
          </cell>
          <cell r="DC164">
            <v>0</v>
          </cell>
          <cell r="DD164">
            <v>0</v>
          </cell>
          <cell r="DE164">
            <v>0</v>
          </cell>
          <cell r="DF164">
            <v>0</v>
          </cell>
          <cell r="DG164">
            <v>-8.7241025498455986</v>
          </cell>
          <cell r="DH164">
            <v>-22.833968268644988</v>
          </cell>
          <cell r="DI164">
            <v>11.646415877533038</v>
          </cell>
          <cell r="DJ164">
            <v>29.215854726648306</v>
          </cell>
          <cell r="DK164">
            <v>0</v>
          </cell>
          <cell r="DL164">
            <v>0</v>
          </cell>
          <cell r="DM164">
            <v>0</v>
          </cell>
          <cell r="DN164">
            <v>0</v>
          </cell>
          <cell r="DO164">
            <v>0</v>
          </cell>
          <cell r="DP164">
            <v>0</v>
          </cell>
          <cell r="DQ164">
            <v>0</v>
          </cell>
          <cell r="DR164">
            <v>0</v>
          </cell>
          <cell r="DS164">
            <v>0</v>
          </cell>
          <cell r="DT164">
            <v>0</v>
          </cell>
          <cell r="DU164">
            <v>0</v>
          </cell>
          <cell r="DV164">
            <v>0</v>
          </cell>
          <cell r="DW164">
            <v>0</v>
          </cell>
          <cell r="DX164">
            <v>0</v>
          </cell>
          <cell r="DY164">
            <v>0</v>
          </cell>
          <cell r="DZ164">
            <v>0</v>
          </cell>
          <cell r="EA164">
            <v>0</v>
          </cell>
          <cell r="EB164">
            <v>0</v>
          </cell>
          <cell r="EC164">
            <v>0</v>
          </cell>
          <cell r="ED164">
            <v>0</v>
          </cell>
          <cell r="EE164">
            <v>0</v>
          </cell>
          <cell r="EF164">
            <v>0</v>
          </cell>
          <cell r="EG164">
            <v>0</v>
          </cell>
          <cell r="EH164">
            <v>0</v>
          </cell>
          <cell r="EI164">
            <v>0</v>
          </cell>
          <cell r="EJ164">
            <v>0</v>
          </cell>
          <cell r="EK164">
            <v>0</v>
          </cell>
          <cell r="EL164">
            <v>0</v>
          </cell>
          <cell r="EM164">
            <v>0</v>
          </cell>
          <cell r="EN164">
            <v>0</v>
          </cell>
          <cell r="EO164">
            <v>0</v>
          </cell>
        </row>
        <row r="165">
          <cell r="A165" t="str">
            <v>PAYC_FCF_PS</v>
          </cell>
          <cell r="B165" t="str">
            <v>FCF/Share</v>
          </cell>
          <cell r="C165">
            <v>1</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t="e">
            <v>#DIV/0!</v>
          </cell>
          <cell r="AV165" t="e">
            <v>#DIV/0!</v>
          </cell>
          <cell r="AW165" t="e">
            <v>#DIV/0!</v>
          </cell>
          <cell r="AX165" t="e">
            <v>#DIV/0!</v>
          </cell>
          <cell r="AY165">
            <v>4.3286804956827817E-2</v>
          </cell>
          <cell r="AZ165">
            <v>-5.9546338167484038E-2</v>
          </cell>
          <cell r="BA165">
            <v>-6.9919493382048517E-2</v>
          </cell>
          <cell r="BB165">
            <v>-0.41027430028283896</v>
          </cell>
          <cell r="BC165">
            <v>-0.13858560488457203</v>
          </cell>
          <cell r="BD165">
            <v>0.17608988937625306</v>
          </cell>
          <cell r="BE165">
            <v>7.8390091290137631E-2</v>
          </cell>
          <cell r="BF165">
            <v>0.10465067487985337</v>
          </cell>
          <cell r="BG165">
            <v>0.19530830920276671</v>
          </cell>
          <cell r="BH165">
            <v>0.18496813627540074</v>
          </cell>
          <cell r="BI165">
            <v>6.4676088020928099E-2</v>
          </cell>
          <cell r="BJ165">
            <v>7.4990436727969415E-2</v>
          </cell>
          <cell r="BK165">
            <v>0.4032046537523758</v>
          </cell>
          <cell r="BL165">
            <v>5.5674570901745567E-2</v>
          </cell>
          <cell r="BM165">
            <v>-0.11994255931720468</v>
          </cell>
          <cell r="BN165">
            <v>-0.37821863404381761</v>
          </cell>
          <cell r="BO165">
            <v>1.2208952503574557</v>
          </cell>
          <cell r="BP165">
            <v>3.9638049169626884E-2</v>
          </cell>
          <cell r="BQ165">
            <v>0.27774319157649563</v>
          </cell>
          <cell r="BR165">
            <v>0.3737856677490678</v>
          </cell>
          <cell r="BS165">
            <v>0.67406060416670011</v>
          </cell>
          <cell r="BT165">
            <v>0.37921707619235862</v>
          </cell>
          <cell r="BU165">
            <v>0.63113667420160136</v>
          </cell>
          <cell r="BV165">
            <v>0.73088878356053966</v>
          </cell>
          <cell r="BW165">
            <v>1.4342590836500519</v>
          </cell>
          <cell r="BX165">
            <v>0.43943966906008841</v>
          </cell>
          <cell r="BY165">
            <v>0.82330734482909163</v>
          </cell>
          <cell r="BZ165">
            <v>1.0039985857039309</v>
          </cell>
          <cell r="CA165">
            <v>0</v>
          </cell>
          <cell r="CB165">
            <v>0</v>
          </cell>
          <cell r="CC165">
            <v>0</v>
          </cell>
          <cell r="CD165">
            <v>0</v>
          </cell>
          <cell r="CE165">
            <v>0</v>
          </cell>
          <cell r="CF165">
            <v>0</v>
          </cell>
          <cell r="CG165">
            <v>0</v>
          </cell>
          <cell r="CH165">
            <v>0</v>
          </cell>
          <cell r="CI165">
            <v>0</v>
          </cell>
          <cell r="CJ165">
            <v>0</v>
          </cell>
          <cell r="CK165">
            <v>0</v>
          </cell>
          <cell r="CL165">
            <v>0</v>
          </cell>
          <cell r="CM165" t="e">
            <v>#VALUE!</v>
          </cell>
          <cell r="CN165">
            <v>-0.49645332687554367</v>
          </cell>
          <cell r="CO165">
            <v>0.22054505066167202</v>
          </cell>
          <cell r="CP165">
            <v>0.51994297022706493</v>
          </cell>
          <cell r="CQ165">
            <v>-3.9281968706900927E-2</v>
          </cell>
          <cell r="CR165">
            <v>1.9120621588526461</v>
          </cell>
          <cell r="CS165">
            <v>3.005769038894186</v>
          </cell>
          <cell r="CT165">
            <v>3.7122028195858956</v>
          </cell>
          <cell r="CU165">
            <v>0</v>
          </cell>
          <cell r="CV165">
            <v>0</v>
          </cell>
          <cell r="CW165">
            <v>0</v>
          </cell>
          <cell r="CX165">
            <v>0</v>
          </cell>
          <cell r="CY165">
            <v>0</v>
          </cell>
          <cell r="CZ165">
            <v>0</v>
          </cell>
          <cell r="DA165">
            <v>0</v>
          </cell>
          <cell r="DB165">
            <v>0</v>
          </cell>
          <cell r="DC165">
            <v>0</v>
          </cell>
          <cell r="DD165">
            <v>0</v>
          </cell>
          <cell r="DE165">
            <v>0</v>
          </cell>
          <cell r="DF165">
            <v>0</v>
          </cell>
          <cell r="DG165" t="e">
            <v>#DIV/0!</v>
          </cell>
          <cell r="DH165">
            <v>-0.49645332687554367</v>
          </cell>
          <cell r="DI165">
            <v>0.22054505066167202</v>
          </cell>
          <cell r="DJ165">
            <v>0.51994297022706493</v>
          </cell>
          <cell r="DK165">
            <v>0</v>
          </cell>
          <cell r="DL165">
            <v>0</v>
          </cell>
          <cell r="DM165">
            <v>0</v>
          </cell>
          <cell r="DN165">
            <v>0</v>
          </cell>
          <cell r="DO165">
            <v>0</v>
          </cell>
          <cell r="DP165">
            <v>0</v>
          </cell>
          <cell r="DQ165">
            <v>0</v>
          </cell>
          <cell r="DR165">
            <v>0</v>
          </cell>
          <cell r="DS165">
            <v>0</v>
          </cell>
          <cell r="DT165">
            <v>0</v>
          </cell>
          <cell r="DU165">
            <v>0</v>
          </cell>
          <cell r="DV165">
            <v>0</v>
          </cell>
          <cell r="DW165">
            <v>0</v>
          </cell>
          <cell r="DX165">
            <v>0</v>
          </cell>
          <cell r="DY165">
            <v>0</v>
          </cell>
          <cell r="DZ165">
            <v>0</v>
          </cell>
          <cell r="EA165">
            <v>0</v>
          </cell>
          <cell r="EB165">
            <v>0</v>
          </cell>
          <cell r="EC165">
            <v>0</v>
          </cell>
          <cell r="ED165">
            <v>0</v>
          </cell>
          <cell r="EE165">
            <v>0</v>
          </cell>
          <cell r="EF165">
            <v>0</v>
          </cell>
          <cell r="EG165">
            <v>0</v>
          </cell>
          <cell r="EH165">
            <v>0</v>
          </cell>
          <cell r="EI165">
            <v>0</v>
          </cell>
          <cell r="EJ165">
            <v>0</v>
          </cell>
          <cell r="EK165">
            <v>0</v>
          </cell>
          <cell r="EL165">
            <v>0</v>
          </cell>
          <cell r="EM165">
            <v>0</v>
          </cell>
          <cell r="EN165">
            <v>0</v>
          </cell>
          <cell r="EO165">
            <v>0</v>
          </cell>
        </row>
        <row r="185">
          <cell r="A185" t="str">
            <v>OPWR_DSO</v>
          </cell>
          <cell r="B185" t="str">
            <v>DSO (based on recognized rev.)</v>
          </cell>
          <cell r="C185">
            <v>2</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44.305157929319009</v>
          </cell>
          <cell r="AY185">
            <v>0</v>
          </cell>
          <cell r="AZ185">
            <v>0</v>
          </cell>
          <cell r="BA185">
            <v>0</v>
          </cell>
          <cell r="BB185">
            <v>5.0677014531043598</v>
          </cell>
          <cell r="BC185">
            <v>1.8133567662565901</v>
          </cell>
          <cell r="BD185">
            <v>2.5026121419564049</v>
          </cell>
          <cell r="BE185">
            <v>3.6902562981583698</v>
          </cell>
          <cell r="BF185">
            <v>5.7098092643051768</v>
          </cell>
          <cell r="BG185">
            <v>2.7750534207381112</v>
          </cell>
          <cell r="BH185">
            <v>4.8129377412043368</v>
          </cell>
          <cell r="BI185">
            <v>5.6473436935309005</v>
          </cell>
          <cell r="BJ185">
            <v>3.2896280598298482</v>
          </cell>
          <cell r="BK185">
            <v>2.6050196391718266</v>
          </cell>
          <cell r="BL185">
            <v>3.4556036816459117</v>
          </cell>
          <cell r="BM185">
            <v>1.759689621726479</v>
          </cell>
          <cell r="BN185">
            <v>1.3723949436282883</v>
          </cell>
          <cell r="BO185">
            <v>1.4064079392174582</v>
          </cell>
          <cell r="BP185">
            <v>1.6887006627505674</v>
          </cell>
          <cell r="BQ185">
            <v>1.3115997117102884</v>
          </cell>
          <cell r="BR185">
            <v>1.2439377329532997</v>
          </cell>
          <cell r="BS185">
            <v>1.3893942150263783</v>
          </cell>
          <cell r="BT185">
            <v>1</v>
          </cell>
          <cell r="BU185">
            <v>1</v>
          </cell>
          <cell r="BV185">
            <v>1</v>
          </cell>
          <cell r="BW185">
            <v>1</v>
          </cell>
          <cell r="BX185">
            <v>1</v>
          </cell>
          <cell r="BY185">
            <v>1</v>
          </cell>
          <cell r="BZ185">
            <v>1</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3.4290086176691355</v>
          </cell>
          <cell r="CP185">
            <v>4.1312407288257988</v>
          </cell>
          <cell r="CQ185">
            <v>2.2981769715431266</v>
          </cell>
          <cell r="CR185">
            <v>1.4126615116579033</v>
          </cell>
          <cell r="CS185">
            <v>1.0973485537565946</v>
          </cell>
          <cell r="CT185">
            <v>1</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v>0</v>
          </cell>
          <cell r="DU185">
            <v>0</v>
          </cell>
          <cell r="DV185">
            <v>0</v>
          </cell>
          <cell r="DW185">
            <v>0</v>
          </cell>
          <cell r="DX185">
            <v>0</v>
          </cell>
          <cell r="DY185">
            <v>0</v>
          </cell>
          <cell r="DZ185">
            <v>0</v>
          </cell>
          <cell r="EA185">
            <v>0</v>
          </cell>
          <cell r="EB185">
            <v>0</v>
          </cell>
          <cell r="EC185">
            <v>0</v>
          </cell>
          <cell r="ED185">
            <v>0</v>
          </cell>
          <cell r="EE185">
            <v>0</v>
          </cell>
          <cell r="EF185">
            <v>0</v>
          </cell>
          <cell r="EG185">
            <v>0</v>
          </cell>
          <cell r="EH185">
            <v>0</v>
          </cell>
          <cell r="EI185">
            <v>0</v>
          </cell>
          <cell r="EJ185">
            <v>0</v>
          </cell>
          <cell r="EK185">
            <v>0</v>
          </cell>
          <cell r="EL185">
            <v>0</v>
          </cell>
          <cell r="EM185">
            <v>0</v>
          </cell>
          <cell r="EN185">
            <v>0</v>
          </cell>
          <cell r="EO185">
            <v>0</v>
          </cell>
        </row>
        <row r="191">
          <cell r="A191" t="str">
            <v>OPWR_DEF_REV</v>
          </cell>
          <cell r="B191" t="str">
            <v>Deferred Revenues</v>
          </cell>
          <cell r="C191">
            <v>1</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32.395000000000003</v>
          </cell>
          <cell r="AY191">
            <v>0</v>
          </cell>
          <cell r="AZ191">
            <v>0</v>
          </cell>
          <cell r="BA191">
            <v>0</v>
          </cell>
          <cell r="BB191">
            <v>12.572000000000001</v>
          </cell>
          <cell r="BC191">
            <v>13.946</v>
          </cell>
          <cell r="BD191">
            <v>15.291</v>
          </cell>
          <cell r="BE191">
            <v>17.234000000000002</v>
          </cell>
          <cell r="BF191">
            <v>19.337</v>
          </cell>
          <cell r="BG191">
            <v>20.776</v>
          </cell>
          <cell r="BH191">
            <v>23.035000000000004</v>
          </cell>
          <cell r="BI191">
            <v>25.986000000000001</v>
          </cell>
          <cell r="BJ191">
            <v>29.035999999999998</v>
          </cell>
          <cell r="BK191">
            <v>30.818999999999999</v>
          </cell>
          <cell r="BL191">
            <v>33.710999999999999</v>
          </cell>
          <cell r="BM191">
            <v>36.884999999999998</v>
          </cell>
          <cell r="BN191">
            <v>39.710999999999999</v>
          </cell>
          <cell r="BO191">
            <v>42.165999999999997</v>
          </cell>
          <cell r="BP191">
            <v>45.003999999999998</v>
          </cell>
          <cell r="BQ191">
            <v>48.367000000000004</v>
          </cell>
          <cell r="BR191">
            <v>51.624000000000002</v>
          </cell>
          <cell r="BS191">
            <v>53.776999999999994</v>
          </cell>
          <cell r="BT191">
            <v>59.154700000000005</v>
          </cell>
          <cell r="BU191">
            <v>65.070170000000005</v>
          </cell>
          <cell r="BV191">
            <v>70.92648530000001</v>
          </cell>
          <cell r="BW191">
            <v>77.309868977000022</v>
          </cell>
          <cell r="BX191">
            <v>84.267757184930034</v>
          </cell>
          <cell r="BY191">
            <v>91.851855331573745</v>
          </cell>
          <cell r="BZ191">
            <v>100.11852231141539</v>
          </cell>
          <cell r="CA191">
            <v>0</v>
          </cell>
          <cell r="CB191">
            <v>0</v>
          </cell>
          <cell r="CC191">
            <v>0</v>
          </cell>
          <cell r="CD191">
            <v>0</v>
          </cell>
          <cell r="CE191">
            <v>0</v>
          </cell>
          <cell r="CF191">
            <v>0</v>
          </cell>
          <cell r="CG191">
            <v>0</v>
          </cell>
          <cell r="CH191">
            <v>0</v>
          </cell>
          <cell r="CI191">
            <v>0</v>
          </cell>
          <cell r="CJ191">
            <v>0</v>
          </cell>
          <cell r="CK191">
            <v>0</v>
          </cell>
          <cell r="CL191">
            <v>0</v>
          </cell>
          <cell r="CM191">
            <v>32.395000000000003</v>
          </cell>
          <cell r="CN191">
            <v>12.572000000000001</v>
          </cell>
          <cell r="CO191">
            <v>19.337</v>
          </cell>
          <cell r="CP191">
            <v>29.035999999999998</v>
          </cell>
          <cell r="CQ191">
            <v>39.710999999999999</v>
          </cell>
          <cell r="CR191">
            <v>51.624000000000002</v>
          </cell>
          <cell r="CS191">
            <v>70.92648530000001</v>
          </cell>
          <cell r="CT191">
            <v>100.11852231141539</v>
          </cell>
          <cell r="CU191">
            <v>0</v>
          </cell>
          <cell r="CV191">
            <v>0</v>
          </cell>
          <cell r="CW191">
            <v>0</v>
          </cell>
          <cell r="CX191">
            <v>0</v>
          </cell>
          <cell r="CY191">
            <v>0</v>
          </cell>
          <cell r="CZ191">
            <v>0</v>
          </cell>
          <cell r="DA191">
            <v>0</v>
          </cell>
          <cell r="DB191">
            <v>0</v>
          </cell>
          <cell r="DC191">
            <v>0</v>
          </cell>
          <cell r="DD191">
            <v>0</v>
          </cell>
          <cell r="DE191">
            <v>0</v>
          </cell>
          <cell r="DF191">
            <v>0</v>
          </cell>
          <cell r="DG191">
            <v>12.572000000000001</v>
          </cell>
          <cell r="DH191">
            <v>65.808000000000007</v>
          </cell>
          <cell r="DI191">
            <v>98.833000000000013</v>
          </cell>
          <cell r="DJ191">
            <v>141.12599999999998</v>
          </cell>
          <cell r="DK191">
            <v>0</v>
          </cell>
          <cell r="DL191">
            <v>0</v>
          </cell>
          <cell r="DM191">
            <v>0</v>
          </cell>
          <cell r="DN191">
            <v>0</v>
          </cell>
          <cell r="DO191">
            <v>0</v>
          </cell>
          <cell r="DP191">
            <v>0</v>
          </cell>
          <cell r="DQ191">
            <v>0</v>
          </cell>
          <cell r="DR191">
            <v>0</v>
          </cell>
          <cell r="DS191">
            <v>0</v>
          </cell>
          <cell r="DT191">
            <v>0</v>
          </cell>
          <cell r="DU191">
            <v>0</v>
          </cell>
          <cell r="DV191">
            <v>0</v>
          </cell>
          <cell r="DW191">
            <v>0</v>
          </cell>
          <cell r="DX191">
            <v>0</v>
          </cell>
          <cell r="DY191">
            <v>0</v>
          </cell>
          <cell r="DZ191">
            <v>0</v>
          </cell>
          <cell r="EA191">
            <v>0</v>
          </cell>
          <cell r="EB191">
            <v>0</v>
          </cell>
          <cell r="EC191">
            <v>0</v>
          </cell>
          <cell r="ED191">
            <v>0</v>
          </cell>
          <cell r="EE191">
            <v>0</v>
          </cell>
          <cell r="EF191">
            <v>0</v>
          </cell>
          <cell r="EG191">
            <v>0</v>
          </cell>
          <cell r="EH191">
            <v>0</v>
          </cell>
          <cell r="EI191">
            <v>0</v>
          </cell>
          <cell r="EJ191">
            <v>0</v>
          </cell>
          <cell r="EK191">
            <v>0</v>
          </cell>
          <cell r="EL191">
            <v>0</v>
          </cell>
          <cell r="EM191">
            <v>0</v>
          </cell>
          <cell r="EN191">
            <v>0</v>
          </cell>
          <cell r="EO191">
            <v>0</v>
          </cell>
        </row>
        <row r="192">
          <cell r="A192" t="str">
            <v>OPWR_BOOKINGS</v>
          </cell>
          <cell r="B192" t="str">
            <v>Bookings</v>
          </cell>
          <cell r="C192">
            <v>1</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19.843</v>
          </cell>
          <cell r="AV192">
            <v>17.091999999999999</v>
          </cell>
          <cell r="AW192">
            <v>18.568000000000001</v>
          </cell>
          <cell r="AX192">
            <v>53.701999999999998</v>
          </cell>
          <cell r="AY192">
            <v>-4.8180000000000014</v>
          </cell>
          <cell r="AZ192">
            <v>23.913999999999998</v>
          </cell>
          <cell r="BA192">
            <v>25.830000000000002</v>
          </cell>
          <cell r="BB192">
            <v>42.851999999999997</v>
          </cell>
          <cell r="BC192">
            <v>38.359000000000009</v>
          </cell>
          <cell r="BD192">
            <v>34.650999999999996</v>
          </cell>
          <cell r="BE192">
            <v>38.540999999999997</v>
          </cell>
          <cell r="BF192">
            <v>46.143000000000001</v>
          </cell>
          <cell r="BG192">
            <v>56.661000000000001</v>
          </cell>
          <cell r="BH192">
            <v>51.231999999999999</v>
          </cell>
          <cell r="BI192">
            <v>58.290999999999997</v>
          </cell>
          <cell r="BJ192">
            <v>68.167999999999992</v>
          </cell>
          <cell r="BK192">
            <v>91.908999999999992</v>
          </cell>
          <cell r="BL192">
            <v>76.772000000000006</v>
          </cell>
          <cell r="BM192">
            <v>80.498999999999995</v>
          </cell>
          <cell r="BN192">
            <v>90.635999999999996</v>
          </cell>
          <cell r="BO192">
            <v>121.96299999999999</v>
          </cell>
          <cell r="BP192">
            <v>101.065</v>
          </cell>
          <cell r="BQ192">
            <v>104.65</v>
          </cell>
          <cell r="BR192">
            <v>117.28200000000001</v>
          </cell>
          <cell r="BS192">
            <v>156.06899999999999</v>
          </cell>
          <cell r="BT192">
            <v>129.51291500000002</v>
          </cell>
          <cell r="BU192">
            <v>132.43477000000001</v>
          </cell>
          <cell r="BV192">
            <v>147.71106030000004</v>
          </cell>
          <cell r="BW192">
            <v>198.67683367699999</v>
          </cell>
          <cell r="BX192">
            <v>162.01434695793</v>
          </cell>
          <cell r="BY192">
            <v>165.62588314664367</v>
          </cell>
          <cell r="BZ192">
            <v>185.44325822984166</v>
          </cell>
          <cell r="CA192">
            <v>0</v>
          </cell>
          <cell r="CB192">
            <v>0</v>
          </cell>
          <cell r="CC192">
            <v>0</v>
          </cell>
          <cell r="CD192">
            <v>0</v>
          </cell>
          <cell r="CE192">
            <v>0</v>
          </cell>
          <cell r="CF192">
            <v>0</v>
          </cell>
          <cell r="CG192">
            <v>0</v>
          </cell>
          <cell r="CH192">
            <v>0</v>
          </cell>
          <cell r="CI192">
            <v>0</v>
          </cell>
          <cell r="CJ192">
            <v>0</v>
          </cell>
          <cell r="CK192">
            <v>0</v>
          </cell>
          <cell r="CL192">
            <v>0</v>
          </cell>
          <cell r="CM192">
            <v>109.20500000000001</v>
          </cell>
          <cell r="CN192">
            <v>87.777999999999992</v>
          </cell>
          <cell r="CO192">
            <v>157.69399999999999</v>
          </cell>
          <cell r="CP192">
            <v>234.35199999999998</v>
          </cell>
          <cell r="CQ192">
            <v>339.81600000000003</v>
          </cell>
          <cell r="CR192">
            <v>444.96000000000004</v>
          </cell>
          <cell r="CS192">
            <v>565.72774530000004</v>
          </cell>
          <cell r="CT192">
            <v>711.76032201141538</v>
          </cell>
          <cell r="CU192">
            <v>0</v>
          </cell>
          <cell r="CV192">
            <v>0</v>
          </cell>
          <cell r="CW192">
            <v>0</v>
          </cell>
          <cell r="CX192">
            <v>0</v>
          </cell>
          <cell r="CY192">
            <v>0</v>
          </cell>
          <cell r="CZ192">
            <v>0</v>
          </cell>
          <cell r="DA192">
            <v>0</v>
          </cell>
          <cell r="DB192">
            <v>0</v>
          </cell>
          <cell r="DC192">
            <v>0</v>
          </cell>
          <cell r="DD192">
            <v>0</v>
          </cell>
          <cell r="DE192">
            <v>0</v>
          </cell>
          <cell r="DF192">
            <v>0</v>
          </cell>
          <cell r="DG192">
            <v>87.777999999999992</v>
          </cell>
          <cell r="DH192">
            <v>157.69400000000002</v>
          </cell>
          <cell r="DI192">
            <v>234.35199999999998</v>
          </cell>
          <cell r="DJ192">
            <v>339.81599999999997</v>
          </cell>
          <cell r="DK192">
            <v>0</v>
          </cell>
          <cell r="DL192">
            <v>0</v>
          </cell>
          <cell r="DM192">
            <v>0</v>
          </cell>
          <cell r="DN192">
            <v>0</v>
          </cell>
          <cell r="DO192">
            <v>0</v>
          </cell>
          <cell r="DP192">
            <v>0</v>
          </cell>
          <cell r="DQ192">
            <v>0</v>
          </cell>
          <cell r="DR192">
            <v>0</v>
          </cell>
          <cell r="DS192">
            <v>0</v>
          </cell>
          <cell r="DT192">
            <v>0</v>
          </cell>
          <cell r="DU192">
            <v>0</v>
          </cell>
          <cell r="DV192">
            <v>0</v>
          </cell>
          <cell r="DW192">
            <v>0</v>
          </cell>
          <cell r="DX192">
            <v>0</v>
          </cell>
          <cell r="DY192">
            <v>0</v>
          </cell>
          <cell r="DZ192">
            <v>0</v>
          </cell>
          <cell r="EA192">
            <v>0</v>
          </cell>
          <cell r="EB192">
            <v>0</v>
          </cell>
          <cell r="EC192">
            <v>0</v>
          </cell>
          <cell r="ED192">
            <v>0</v>
          </cell>
          <cell r="EE192">
            <v>0</v>
          </cell>
          <cell r="EF192">
            <v>0</v>
          </cell>
          <cell r="EG192">
            <v>0</v>
          </cell>
          <cell r="EH192">
            <v>0</v>
          </cell>
          <cell r="EI192">
            <v>0</v>
          </cell>
          <cell r="EJ192">
            <v>0</v>
          </cell>
          <cell r="EK192">
            <v>0</v>
          </cell>
          <cell r="EL192">
            <v>0</v>
          </cell>
          <cell r="EM192">
            <v>0</v>
          </cell>
          <cell r="EN192">
            <v>0</v>
          </cell>
          <cell r="EO192">
            <v>0</v>
          </cell>
        </row>
        <row r="194">
          <cell r="A194" t="str">
            <v>OPWR_CFO</v>
          </cell>
          <cell r="B194" t="str">
            <v>Cash Flow From Operations</v>
          </cell>
          <cell r="C194">
            <v>1</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4.524</v>
          </cell>
          <cell r="AZ194">
            <v>4.3819999999999997</v>
          </cell>
          <cell r="BA194">
            <v>3.1899999999999995</v>
          </cell>
          <cell r="BB194">
            <v>4.8879999999999999</v>
          </cell>
          <cell r="BC194">
            <v>1.7309999999999999</v>
          </cell>
          <cell r="BD194">
            <v>4.161999999999999</v>
          </cell>
          <cell r="BE194">
            <v>7.4080000000000004</v>
          </cell>
          <cell r="BF194">
            <v>9.0359999999999978</v>
          </cell>
          <cell r="BG194">
            <v>13.136000000000001</v>
          </cell>
          <cell r="BH194">
            <v>9.6429999999999971</v>
          </cell>
          <cell r="BI194">
            <v>11.350000000000001</v>
          </cell>
          <cell r="BJ194">
            <v>8.8929999999999989</v>
          </cell>
          <cell r="BK194">
            <v>29.947999999999993</v>
          </cell>
          <cell r="BL194">
            <v>24.606000000000009</v>
          </cell>
          <cell r="BM194">
            <v>19.880999999999993</v>
          </cell>
          <cell r="BN194">
            <v>24.518000000000004</v>
          </cell>
          <cell r="BO194">
            <v>40.224999999999994</v>
          </cell>
          <cell r="BP194">
            <v>15.067999999999998</v>
          </cell>
          <cell r="BQ194">
            <v>37.12700000000001</v>
          </cell>
          <cell r="BR194">
            <v>38.179999999999993</v>
          </cell>
          <cell r="BS194">
            <v>57.663999999999994</v>
          </cell>
          <cell r="BT194">
            <v>30.795174794473915</v>
          </cell>
          <cell r="BU194">
            <v>45.962784002478259</v>
          </cell>
          <cell r="BV194">
            <v>53.266437604097099</v>
          </cell>
          <cell r="BW194">
            <v>99.219227876646485</v>
          </cell>
          <cell r="BX194">
            <v>37.349098186252299</v>
          </cell>
          <cell r="BY194">
            <v>61.11426730026389</v>
          </cell>
          <cell r="BZ194">
            <v>73.940469793018508</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16.983999999999998</v>
          </cell>
          <cell r="CO194">
            <v>22.336999999999996</v>
          </cell>
          <cell r="CP194">
            <v>43.021999999999998</v>
          </cell>
          <cell r="CQ194">
            <v>98.953000000000003</v>
          </cell>
          <cell r="CR194">
            <v>130.6</v>
          </cell>
          <cell r="CS194">
            <v>187.68839640104926</v>
          </cell>
          <cell r="CT194">
            <v>271.62306315618116</v>
          </cell>
          <cell r="CU194">
            <v>0</v>
          </cell>
          <cell r="CV194">
            <v>0</v>
          </cell>
          <cell r="CW194">
            <v>0</v>
          </cell>
          <cell r="CX194">
            <v>0</v>
          </cell>
          <cell r="CY194">
            <v>0</v>
          </cell>
          <cell r="CZ194">
            <v>0</v>
          </cell>
          <cell r="DA194">
            <v>0</v>
          </cell>
          <cell r="DB194">
            <v>0</v>
          </cell>
          <cell r="DC194">
            <v>0</v>
          </cell>
          <cell r="DD194">
            <v>0</v>
          </cell>
          <cell r="DE194">
            <v>0</v>
          </cell>
          <cell r="DF194">
            <v>0</v>
          </cell>
          <cell r="DG194">
            <v>16.983999999999998</v>
          </cell>
          <cell r="DH194">
            <v>22.336999999999996</v>
          </cell>
          <cell r="DI194">
            <v>43.021999999999998</v>
          </cell>
          <cell r="DJ194">
            <v>98.953000000000003</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cell r="DX194">
            <v>0</v>
          </cell>
          <cell r="DY194">
            <v>0</v>
          </cell>
          <cell r="DZ194">
            <v>0</v>
          </cell>
          <cell r="EA194">
            <v>0</v>
          </cell>
          <cell r="EB194">
            <v>0</v>
          </cell>
          <cell r="EC194">
            <v>0</v>
          </cell>
          <cell r="ED194">
            <v>0</v>
          </cell>
          <cell r="EE194">
            <v>0</v>
          </cell>
          <cell r="EF194">
            <v>0</v>
          </cell>
          <cell r="EG194">
            <v>0</v>
          </cell>
          <cell r="EH194">
            <v>0</v>
          </cell>
          <cell r="EI194">
            <v>0</v>
          </cell>
          <cell r="EJ194">
            <v>0</v>
          </cell>
          <cell r="EK194">
            <v>0</v>
          </cell>
          <cell r="EL194">
            <v>0</v>
          </cell>
          <cell r="EM194">
            <v>0</v>
          </cell>
          <cell r="EN194">
            <v>0</v>
          </cell>
          <cell r="EO194">
            <v>0</v>
          </cell>
        </row>
        <row r="195">
          <cell r="A195" t="str">
            <v>OPWR_CFO_PS</v>
          </cell>
          <cell r="B195" t="str">
            <v xml:space="preserve">     Cash Flow From Ops/Share</v>
          </cell>
          <cell r="C195">
            <v>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t="e">
            <v>#DIV/0!</v>
          </cell>
          <cell r="AW195" t="e">
            <v>#DIV/0!</v>
          </cell>
          <cell r="AX195" t="e">
            <v>#DIV/0!</v>
          </cell>
          <cell r="AY195">
            <v>9.9995714153630774E-2</v>
          </cell>
          <cell r="AZ195">
            <v>9.6050429149459632E-2</v>
          </cell>
          <cell r="BA195">
            <v>6.9791148565840011E-2</v>
          </cell>
          <cell r="BB195">
            <v>0.10622007643760116</v>
          </cell>
          <cell r="BC195">
            <v>3.6050800764093699E-2</v>
          </cell>
          <cell r="BD195">
            <v>8.2769271289551194E-2</v>
          </cell>
          <cell r="BE195">
            <v>0.14509426838075853</v>
          </cell>
          <cell r="BF195">
            <v>0.17370666296543569</v>
          </cell>
          <cell r="BG195">
            <v>0.23992715536859568</v>
          </cell>
          <cell r="BH195">
            <v>0.16906266786500179</v>
          </cell>
          <cell r="BI195">
            <v>0.19894590571429435</v>
          </cell>
          <cell r="BJ195">
            <v>0.15571707274246097</v>
          </cell>
          <cell r="BK195">
            <v>0.52418125602531451</v>
          </cell>
          <cell r="BL195">
            <v>0.42725013368279213</v>
          </cell>
          <cell r="BM195">
            <v>0.34384454276458615</v>
          </cell>
          <cell r="BN195">
            <v>0.42527187574817837</v>
          </cell>
          <cell r="BO195">
            <v>0.70191894081278139</v>
          </cell>
          <cell r="BP195">
            <v>0.26024667751108421</v>
          </cell>
          <cell r="BQ195">
            <v>0.64008513182250482</v>
          </cell>
          <cell r="BR195">
            <v>0.65714126235941484</v>
          </cell>
          <cell r="BS195">
            <v>0.99776749868232362</v>
          </cell>
          <cell r="BT195">
            <v>0.52828234340281022</v>
          </cell>
          <cell r="BU195">
            <v>0.7817727624326829</v>
          </cell>
          <cell r="BV195">
            <v>0.89835928257692477</v>
          </cell>
          <cell r="BW195">
            <v>1.6593780160044171</v>
          </cell>
          <cell r="BX195">
            <v>0.61945970408968054</v>
          </cell>
          <cell r="BY195">
            <v>1.0052842297423488</v>
          </cell>
          <cell r="BZ195">
            <v>1.2063439878470101</v>
          </cell>
          <cell r="CA195">
            <v>0</v>
          </cell>
          <cell r="CB195">
            <v>0</v>
          </cell>
          <cell r="CC195">
            <v>0</v>
          </cell>
          <cell r="CD195">
            <v>0</v>
          </cell>
          <cell r="CE195">
            <v>0</v>
          </cell>
          <cell r="CF195">
            <v>0</v>
          </cell>
          <cell r="CG195">
            <v>0</v>
          </cell>
          <cell r="CH195">
            <v>0</v>
          </cell>
          <cell r="CI195">
            <v>0</v>
          </cell>
          <cell r="CJ195">
            <v>0</v>
          </cell>
          <cell r="CK195">
            <v>0</v>
          </cell>
          <cell r="CL195">
            <v>0</v>
          </cell>
          <cell r="CM195">
            <v>0</v>
          </cell>
          <cell r="CN195">
            <v>0.37205736830653158</v>
          </cell>
          <cell r="CO195">
            <v>0.43762100339983911</v>
          </cell>
          <cell r="CP195">
            <v>0.76365280169035277</v>
          </cell>
          <cell r="CQ195">
            <v>1.7205478082208712</v>
          </cell>
          <cell r="CR195">
            <v>2.2593920125057854</v>
          </cell>
          <cell r="CS195">
            <v>3.6576313396132552</v>
          </cell>
          <cell r="CT195">
            <v>4.4995666391787106</v>
          </cell>
          <cell r="CU195">
            <v>0</v>
          </cell>
          <cell r="CV195">
            <v>0</v>
          </cell>
          <cell r="CW195">
            <v>0</v>
          </cell>
          <cell r="CX195">
            <v>0</v>
          </cell>
          <cell r="CY195">
            <v>0</v>
          </cell>
          <cell r="CZ195">
            <v>0</v>
          </cell>
          <cell r="DA195">
            <v>0</v>
          </cell>
          <cell r="DB195">
            <v>0</v>
          </cell>
          <cell r="DC195">
            <v>0</v>
          </cell>
          <cell r="DD195">
            <v>0</v>
          </cell>
          <cell r="DE195">
            <v>0</v>
          </cell>
          <cell r="DF195">
            <v>0</v>
          </cell>
          <cell r="DG195">
            <v>0.37205736830653158</v>
          </cell>
          <cell r="DH195">
            <v>0.43762100339983911</v>
          </cell>
          <cell r="DI195">
            <v>0.76365280169035277</v>
          </cell>
          <cell r="DJ195">
            <v>1.7205478082208712</v>
          </cell>
          <cell r="DK195">
            <v>0</v>
          </cell>
          <cell r="DL195">
            <v>0</v>
          </cell>
          <cell r="DM195">
            <v>0</v>
          </cell>
          <cell r="DN195">
            <v>0</v>
          </cell>
          <cell r="DO195">
            <v>0</v>
          </cell>
          <cell r="DP195">
            <v>0</v>
          </cell>
          <cell r="DQ195">
            <v>0</v>
          </cell>
          <cell r="DR195">
            <v>0</v>
          </cell>
          <cell r="DS195">
            <v>0</v>
          </cell>
          <cell r="DT195">
            <v>0</v>
          </cell>
          <cell r="DU195">
            <v>0</v>
          </cell>
          <cell r="DV195">
            <v>0</v>
          </cell>
          <cell r="DW195">
            <v>0</v>
          </cell>
          <cell r="DX195">
            <v>0</v>
          </cell>
          <cell r="DY195">
            <v>0</v>
          </cell>
          <cell r="DZ195">
            <v>0</v>
          </cell>
          <cell r="EA195">
            <v>0</v>
          </cell>
          <cell r="EB195">
            <v>0</v>
          </cell>
          <cell r="EC195">
            <v>0</v>
          </cell>
          <cell r="ED195">
            <v>0</v>
          </cell>
          <cell r="EE195">
            <v>0</v>
          </cell>
          <cell r="EF195">
            <v>0</v>
          </cell>
          <cell r="EG195">
            <v>0</v>
          </cell>
          <cell r="EH195">
            <v>0</v>
          </cell>
          <cell r="EI195">
            <v>0</v>
          </cell>
          <cell r="EJ195">
            <v>0</v>
          </cell>
          <cell r="EK195">
            <v>0</v>
          </cell>
          <cell r="EL195">
            <v>0</v>
          </cell>
          <cell r="EM195">
            <v>0</v>
          </cell>
          <cell r="EN195">
            <v>0</v>
          </cell>
          <cell r="EO195">
            <v>0</v>
          </cell>
        </row>
        <row r="266">
          <cell r="A266" t="str">
            <v>OPWR_ADJ_GM_PC</v>
          </cell>
          <cell r="B266" t="str">
            <v>Gross Margin</v>
          </cell>
          <cell r="C266">
            <v>2</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0.59854860656150777</v>
          </cell>
          <cell r="AV266">
            <v>0.58612216241516502</v>
          </cell>
          <cell r="AW266">
            <v>0.57674493752692813</v>
          </cell>
          <cell r="AX266">
            <v>0.60942413291406583</v>
          </cell>
          <cell r="AY266">
            <v>0.83170758240562781</v>
          </cell>
          <cell r="AZ266">
            <v>0.80099523291795593</v>
          </cell>
          <cell r="BA266">
            <v>0.79349593495934967</v>
          </cell>
          <cell r="BB266">
            <v>0.80402906208718616</v>
          </cell>
          <cell r="BC266">
            <v>0.81295119643098557</v>
          </cell>
          <cell r="BD266">
            <v>0.80922356332192402</v>
          </cell>
          <cell r="BE266">
            <v>0.82425269140390178</v>
          </cell>
          <cell r="BF266">
            <v>0.82783832879200725</v>
          </cell>
          <cell r="BG266">
            <v>0.85016841114048747</v>
          </cell>
          <cell r="BH266">
            <v>0.83623629346782924</v>
          </cell>
          <cell r="BI266">
            <v>0.84103722443079143</v>
          </cell>
          <cell r="BJ266">
            <v>0.84417518965570193</v>
          </cell>
          <cell r="BK266">
            <v>0.86842864434236511</v>
          </cell>
          <cell r="BL266">
            <v>0.84347590687601515</v>
          </cell>
          <cell r="BM266">
            <v>0.82622696411251217</v>
          </cell>
          <cell r="BN266">
            <v>0.82929051360892847</v>
          </cell>
          <cell r="BO266">
            <v>0.86063694480704223</v>
          </cell>
          <cell r="BP266">
            <v>0.83043358750648999</v>
          </cell>
          <cell r="BQ266">
            <v>0.83869598270261736</v>
          </cell>
          <cell r="BR266">
            <v>0.83837754878316162</v>
          </cell>
          <cell r="BS266">
            <v>0.86527066711712886</v>
          </cell>
          <cell r="BT266">
            <v>0.84</v>
          </cell>
          <cell r="BU266">
            <v>0.82499999999999996</v>
          </cell>
          <cell r="BV266">
            <v>0.83</v>
          </cell>
          <cell r="BW266">
            <v>0.84</v>
          </cell>
          <cell r="BX266">
            <v>0.83000000000000007</v>
          </cell>
          <cell r="BY266">
            <v>0.83</v>
          </cell>
          <cell r="BZ266">
            <v>0.83</v>
          </cell>
          <cell r="CA266">
            <v>0</v>
          </cell>
          <cell r="CB266">
            <v>0</v>
          </cell>
          <cell r="CC266">
            <v>0</v>
          </cell>
          <cell r="CD266">
            <v>0</v>
          </cell>
          <cell r="CE266">
            <v>0</v>
          </cell>
          <cell r="CF266">
            <v>0</v>
          </cell>
          <cell r="CG266">
            <v>0</v>
          </cell>
          <cell r="CH266">
            <v>0</v>
          </cell>
          <cell r="CI266">
            <v>0</v>
          </cell>
          <cell r="CJ266">
            <v>0</v>
          </cell>
          <cell r="CK266">
            <v>0</v>
          </cell>
          <cell r="CL266">
            <v>0</v>
          </cell>
          <cell r="CM266">
            <v>0.56156016985935309</v>
          </cell>
          <cell r="CN266">
            <v>0.80792000074348747</v>
          </cell>
          <cell r="CO266">
            <v>0.81921300744058467</v>
          </cell>
          <cell r="CP266">
            <v>0.84314476103145752</v>
          </cell>
          <cell r="CQ266">
            <v>0.84247176741882668</v>
          </cell>
          <cell r="CR266">
            <v>0.84279304555856516</v>
          </cell>
          <cell r="CS266">
            <v>0.84104904200439046</v>
          </cell>
          <cell r="CT266">
            <v>0.83281720458195618</v>
          </cell>
          <cell r="CU266">
            <v>0</v>
          </cell>
          <cell r="CV266">
            <v>0</v>
          </cell>
          <cell r="CW266">
            <v>0</v>
          </cell>
          <cell r="CX266">
            <v>0</v>
          </cell>
          <cell r="CY266">
            <v>0</v>
          </cell>
          <cell r="CZ266">
            <v>0</v>
          </cell>
          <cell r="DA266">
            <v>0</v>
          </cell>
          <cell r="DB266">
            <v>0</v>
          </cell>
          <cell r="DC266">
            <v>0</v>
          </cell>
          <cell r="DD266">
            <v>0</v>
          </cell>
          <cell r="DE266">
            <v>0</v>
          </cell>
          <cell r="DF266">
            <v>0</v>
          </cell>
          <cell r="DG266">
            <v>0.80792000074348747</v>
          </cell>
          <cell r="DH266">
            <v>0.81921300744058467</v>
          </cell>
          <cell r="DI266">
            <v>0.84314476103145752</v>
          </cell>
          <cell r="DJ266">
            <v>0.84247176741882668</v>
          </cell>
          <cell r="DK266">
            <v>0</v>
          </cell>
          <cell r="DL266">
            <v>0</v>
          </cell>
          <cell r="DM266">
            <v>0</v>
          </cell>
          <cell r="DN266">
            <v>0</v>
          </cell>
          <cell r="DO266">
            <v>0</v>
          </cell>
          <cell r="DP266">
            <v>0</v>
          </cell>
          <cell r="DQ266">
            <v>0</v>
          </cell>
          <cell r="DR266">
            <v>0</v>
          </cell>
          <cell r="DS266">
            <v>0</v>
          </cell>
          <cell r="DT266">
            <v>0</v>
          </cell>
          <cell r="DU266">
            <v>0</v>
          </cell>
          <cell r="DV266">
            <v>0</v>
          </cell>
          <cell r="DW266">
            <v>0</v>
          </cell>
          <cell r="DX266">
            <v>0</v>
          </cell>
          <cell r="DY266">
            <v>0</v>
          </cell>
          <cell r="DZ266">
            <v>0</v>
          </cell>
          <cell r="EA266">
            <v>0</v>
          </cell>
          <cell r="EB266">
            <v>0</v>
          </cell>
          <cell r="EC266">
            <v>0</v>
          </cell>
          <cell r="ED266">
            <v>0</v>
          </cell>
          <cell r="EE266">
            <v>0</v>
          </cell>
          <cell r="EF266">
            <v>0</v>
          </cell>
          <cell r="EG266">
            <v>0</v>
          </cell>
          <cell r="EH266">
            <v>0</v>
          </cell>
          <cell r="EI266">
            <v>0</v>
          </cell>
          <cell r="EJ266">
            <v>0</v>
          </cell>
          <cell r="EK266">
            <v>0</v>
          </cell>
          <cell r="EL266">
            <v>0</v>
          </cell>
          <cell r="EM266">
            <v>0</v>
          </cell>
          <cell r="EN266">
            <v>0</v>
          </cell>
          <cell r="EO266">
            <v>0</v>
          </cell>
        </row>
        <row r="269">
          <cell r="A269" t="str">
            <v>OPWR_ADJ_SM_PC</v>
          </cell>
          <cell r="B269" t="str">
            <v>Sales and marketing</v>
          </cell>
          <cell r="C269">
            <v>2</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0.3661744695862521</v>
          </cell>
          <cell r="AV269">
            <v>0.38907091036742342</v>
          </cell>
          <cell r="AW269">
            <v>0.36945282205945712</v>
          </cell>
          <cell r="AX269">
            <v>0.39794433754165298</v>
          </cell>
          <cell r="AY269">
            <v>0.35663777785836032</v>
          </cell>
          <cell r="AZ269">
            <v>0.36330183156310109</v>
          </cell>
          <cell r="BA269">
            <v>0.39779326364692219</v>
          </cell>
          <cell r="BB269">
            <v>0.45462351387054167</v>
          </cell>
          <cell r="BC269">
            <v>0.42390158172231979</v>
          </cell>
          <cell r="BD269">
            <v>0.40671350507416082</v>
          </cell>
          <cell r="BE269">
            <v>0.40584184928138151</v>
          </cell>
          <cell r="BF269">
            <v>0.43830608537693</v>
          </cell>
          <cell r="BG269">
            <v>0.38433957480714209</v>
          </cell>
          <cell r="BH269">
            <v>0.34182100341004223</v>
          </cell>
          <cell r="BI269">
            <v>0.42461149259125414</v>
          </cell>
          <cell r="BJ269">
            <v>0.46888725083694216</v>
          </cell>
          <cell r="BK269">
            <v>0.31494796174244949</v>
          </cell>
          <cell r="BL269">
            <v>0.32449918787222515</v>
          </cell>
          <cell r="BM269">
            <v>0.35719366311024897</v>
          </cell>
          <cell r="BN269">
            <v>0.40568272406331851</v>
          </cell>
          <cell r="BO269">
            <v>0.20725809150851829</v>
          </cell>
          <cell r="BP269">
            <v>0.33097824427092348</v>
          </cell>
          <cell r="BQ269">
            <v>0.33097041081283879</v>
          </cell>
          <cell r="BR269">
            <v>0.372523569392677</v>
          </cell>
          <cell r="BS269">
            <v>0.19780269757530081</v>
          </cell>
          <cell r="BT269">
            <v>0.309</v>
          </cell>
          <cell r="BU269">
            <v>0.30399999999999999</v>
          </cell>
          <cell r="BV269">
            <v>0.29399999999999998</v>
          </cell>
          <cell r="BW269">
            <v>0.23499999999999999</v>
          </cell>
          <cell r="BX269">
            <v>0.3</v>
          </cell>
          <cell r="BY269">
            <v>0.29499999999999998</v>
          </cell>
          <cell r="BZ269">
            <v>0.28999999999999998</v>
          </cell>
          <cell r="CA269">
            <v>0</v>
          </cell>
          <cell r="CB269">
            <v>0</v>
          </cell>
          <cell r="CC269">
            <v>0</v>
          </cell>
          <cell r="CD269">
            <v>0</v>
          </cell>
          <cell r="CE269">
            <v>0</v>
          </cell>
          <cell r="CF269">
            <v>0</v>
          </cell>
          <cell r="CG269">
            <v>0</v>
          </cell>
          <cell r="CH269">
            <v>0</v>
          </cell>
          <cell r="CI269">
            <v>0</v>
          </cell>
          <cell r="CJ269">
            <v>0</v>
          </cell>
          <cell r="CK269">
            <v>0</v>
          </cell>
          <cell r="CL269">
            <v>0</v>
          </cell>
          <cell r="CM269">
            <v>0.27150110662674132</v>
          </cell>
          <cell r="CN269">
            <v>0.39557253185379321</v>
          </cell>
          <cell r="CO269">
            <v>0.41993255106705796</v>
          </cell>
          <cell r="CP269">
            <v>0.40949820389667624</v>
          </cell>
          <cell r="CQ269">
            <v>0.35122333589555843</v>
          </cell>
          <cell r="CR269">
            <v>0.30777259743168756</v>
          </cell>
          <cell r="CS269">
            <v>0.26225296331469011</v>
          </cell>
          <cell r="CT269">
            <v>0.26572668317353776</v>
          </cell>
          <cell r="CU269">
            <v>0</v>
          </cell>
          <cell r="CV269">
            <v>0</v>
          </cell>
          <cell r="CW269">
            <v>0</v>
          </cell>
          <cell r="CX269">
            <v>0</v>
          </cell>
          <cell r="CY269">
            <v>0</v>
          </cell>
          <cell r="CZ269">
            <v>0</v>
          </cell>
          <cell r="DA269">
            <v>0</v>
          </cell>
          <cell r="DB269">
            <v>0</v>
          </cell>
          <cell r="DC269">
            <v>0</v>
          </cell>
          <cell r="DD269">
            <v>0</v>
          </cell>
          <cell r="DE269">
            <v>0</v>
          </cell>
          <cell r="DF269">
            <v>0</v>
          </cell>
          <cell r="DG269">
            <v>0.39557253185379321</v>
          </cell>
          <cell r="DH269">
            <v>0.41993255106705796</v>
          </cell>
          <cell r="DI269">
            <v>0.40949820389667624</v>
          </cell>
          <cell r="DJ269">
            <v>0.35122333589555843</v>
          </cell>
          <cell r="DK269">
            <v>0</v>
          </cell>
          <cell r="DL269">
            <v>0</v>
          </cell>
          <cell r="DM269">
            <v>0</v>
          </cell>
          <cell r="DN269">
            <v>0</v>
          </cell>
          <cell r="DO269">
            <v>0</v>
          </cell>
          <cell r="DP269">
            <v>0</v>
          </cell>
          <cell r="DQ269">
            <v>0</v>
          </cell>
          <cell r="DR269">
            <v>0</v>
          </cell>
          <cell r="DS269">
            <v>0</v>
          </cell>
          <cell r="DT269">
            <v>0</v>
          </cell>
          <cell r="DU269">
            <v>0</v>
          </cell>
          <cell r="DV269">
            <v>0</v>
          </cell>
          <cell r="DW269">
            <v>0</v>
          </cell>
          <cell r="DX269">
            <v>0</v>
          </cell>
          <cell r="DY269">
            <v>0</v>
          </cell>
          <cell r="DZ269">
            <v>0</v>
          </cell>
          <cell r="EA269">
            <v>0</v>
          </cell>
          <cell r="EB269">
            <v>0</v>
          </cell>
          <cell r="EC269">
            <v>0</v>
          </cell>
          <cell r="ED269">
            <v>0</v>
          </cell>
          <cell r="EE269">
            <v>0</v>
          </cell>
          <cell r="EF269">
            <v>0</v>
          </cell>
          <cell r="EG269">
            <v>0</v>
          </cell>
          <cell r="EH269">
            <v>0</v>
          </cell>
          <cell r="EI269">
            <v>0</v>
          </cell>
          <cell r="EJ269">
            <v>0</v>
          </cell>
          <cell r="EK269">
            <v>0</v>
          </cell>
          <cell r="EL269">
            <v>0</v>
          </cell>
          <cell r="EM269">
            <v>0</v>
          </cell>
          <cell r="EN269">
            <v>0</v>
          </cell>
          <cell r="EO269">
            <v>0</v>
          </cell>
        </row>
        <row r="270">
          <cell r="A270" t="str">
            <v>OPWR_ADJ_RD_PC</v>
          </cell>
          <cell r="B270" t="str">
            <v>Research and development</v>
          </cell>
          <cell r="C270">
            <v>2</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1.9150330091216045E-2</v>
          </cell>
          <cell r="AV270">
            <v>3.1710741867540373E-2</v>
          </cell>
          <cell r="AW270">
            <v>1.9442050840155104E-2</v>
          </cell>
          <cell r="AX270">
            <v>1.6379593560801615E-2</v>
          </cell>
          <cell r="AY270">
            <v>4.7865975269246108E-3</v>
          </cell>
          <cell r="AZ270">
            <v>1.3297649912185332E-2</v>
          </cell>
          <cell r="BA270">
            <v>2.0402632597754548E-2</v>
          </cell>
          <cell r="BB270">
            <v>2.7212681638044914E-2</v>
          </cell>
          <cell r="BC270">
            <v>2.3793429768825192E-2</v>
          </cell>
          <cell r="BD270">
            <v>2.8012970635921459E-2</v>
          </cell>
          <cell r="BE270">
            <v>2.8881359637138639E-2</v>
          </cell>
          <cell r="BF270">
            <v>3.2652134423251593E-2</v>
          </cell>
          <cell r="BG270">
            <v>3.3718445547064574E-2</v>
          </cell>
          <cell r="BH270">
            <v>3.8919404569865028E-2</v>
          </cell>
          <cell r="BI270">
            <v>4.011564871702205E-2</v>
          </cell>
          <cell r="BJ270">
            <v>3.8929328296323604E-2</v>
          </cell>
          <cell r="BK270">
            <v>4.2285245101302625E-2</v>
          </cell>
          <cell r="BL270">
            <v>5.5102869518137511E-2</v>
          </cell>
          <cell r="BM270">
            <v>7.4180407371484E-2</v>
          </cell>
          <cell r="BN270">
            <v>7.4160118437535588E-2</v>
          </cell>
          <cell r="BO270">
            <v>5.5544398701342174E-2</v>
          </cell>
          <cell r="BP270">
            <v>7.6089059016360067E-2</v>
          </cell>
          <cell r="BQ270">
            <v>7.2842516808672389E-2</v>
          </cell>
          <cell r="BR270">
            <v>6.1635606226704671E-2</v>
          </cell>
          <cell r="BS270">
            <v>5.849294420333169E-2</v>
          </cell>
          <cell r="BT270">
            <v>7.4999999999999997E-2</v>
          </cell>
          <cell r="BU270">
            <v>7.4999999999999997E-2</v>
          </cell>
          <cell r="BV270">
            <v>8.5000000000000006E-2</v>
          </cell>
          <cell r="BW270">
            <v>7.4999999999999997E-2</v>
          </cell>
          <cell r="BX270">
            <v>9.5000000000000001E-2</v>
          </cell>
          <cell r="BY270">
            <v>9.5000000000000001E-2</v>
          </cell>
          <cell r="BZ270">
            <v>0.08</v>
          </cell>
          <cell r="CA270">
            <v>0</v>
          </cell>
          <cell r="CB270">
            <v>0</v>
          </cell>
          <cell r="CC270">
            <v>0</v>
          </cell>
          <cell r="CD270">
            <v>0</v>
          </cell>
          <cell r="CE270">
            <v>0</v>
          </cell>
          <cell r="CF270">
            <v>0</v>
          </cell>
          <cell r="CG270">
            <v>0</v>
          </cell>
          <cell r="CH270">
            <v>0</v>
          </cell>
          <cell r="CI270">
            <v>0</v>
          </cell>
          <cell r="CJ270">
            <v>0</v>
          </cell>
          <cell r="CK270">
            <v>0</v>
          </cell>
          <cell r="CL270">
            <v>0</v>
          </cell>
          <cell r="CM270">
            <v>0.20423121989324308</v>
          </cell>
          <cell r="CN270">
            <v>1.6737762660198326E-2</v>
          </cell>
          <cell r="CO270">
            <v>2.8543222309827799E-2</v>
          </cell>
          <cell r="CP270">
            <v>3.7938509612602547E-2</v>
          </cell>
          <cell r="CQ270">
            <v>6.1159199248954091E-2</v>
          </cell>
          <cell r="CR270">
            <v>6.5854283715162554E-2</v>
          </cell>
          <cell r="CS270">
            <v>6.9417438626464684E-2</v>
          </cell>
          <cell r="CT270">
            <v>7.87432413538669E-2</v>
          </cell>
          <cell r="CU270">
            <v>0</v>
          </cell>
          <cell r="CV270">
            <v>0</v>
          </cell>
          <cell r="CW270">
            <v>0</v>
          </cell>
          <cell r="CX270">
            <v>0</v>
          </cell>
          <cell r="CY270">
            <v>0</v>
          </cell>
          <cell r="CZ270">
            <v>0</v>
          </cell>
          <cell r="DA270">
            <v>0</v>
          </cell>
          <cell r="DB270">
            <v>0</v>
          </cell>
          <cell r="DC270">
            <v>0</v>
          </cell>
          <cell r="DD270">
            <v>0</v>
          </cell>
          <cell r="DE270">
            <v>0</v>
          </cell>
          <cell r="DF270">
            <v>0</v>
          </cell>
          <cell r="DG270">
            <v>1.6737762660198326E-2</v>
          </cell>
          <cell r="DH270">
            <v>2.8543222309827799E-2</v>
          </cell>
          <cell r="DI270">
            <v>3.7938509612602547E-2</v>
          </cell>
          <cell r="DJ270">
            <v>6.1159199248954091E-2</v>
          </cell>
          <cell r="DK270">
            <v>0</v>
          </cell>
          <cell r="DL270">
            <v>0</v>
          </cell>
          <cell r="DM270">
            <v>0</v>
          </cell>
          <cell r="DN270">
            <v>0</v>
          </cell>
          <cell r="DO270">
            <v>0</v>
          </cell>
          <cell r="DP270">
            <v>0</v>
          </cell>
          <cell r="DQ270">
            <v>0</v>
          </cell>
          <cell r="DR270">
            <v>0</v>
          </cell>
          <cell r="DS270">
            <v>0</v>
          </cell>
          <cell r="DT270">
            <v>0</v>
          </cell>
          <cell r="DU270">
            <v>0</v>
          </cell>
          <cell r="DV270">
            <v>0</v>
          </cell>
          <cell r="DW270">
            <v>0</v>
          </cell>
          <cell r="DX270">
            <v>0</v>
          </cell>
          <cell r="DY270">
            <v>0</v>
          </cell>
          <cell r="DZ270">
            <v>0</v>
          </cell>
          <cell r="EA270">
            <v>0</v>
          </cell>
          <cell r="EB270">
            <v>0</v>
          </cell>
          <cell r="EC270">
            <v>0</v>
          </cell>
          <cell r="ED270">
            <v>0</v>
          </cell>
          <cell r="EE270">
            <v>0</v>
          </cell>
          <cell r="EF270">
            <v>0</v>
          </cell>
          <cell r="EG270">
            <v>0</v>
          </cell>
          <cell r="EH270">
            <v>0</v>
          </cell>
          <cell r="EI270">
            <v>0</v>
          </cell>
          <cell r="EJ270">
            <v>0</v>
          </cell>
          <cell r="EK270">
            <v>0</v>
          </cell>
          <cell r="EL270">
            <v>0</v>
          </cell>
          <cell r="EM270">
            <v>0</v>
          </cell>
          <cell r="EN270">
            <v>0</v>
          </cell>
          <cell r="EO270">
            <v>0</v>
          </cell>
        </row>
        <row r="271">
          <cell r="A271" t="str">
            <v>OPWR_ADJ_GA_PC</v>
          </cell>
          <cell r="B271" t="str">
            <v>General and administrative</v>
          </cell>
          <cell r="C271">
            <v>2</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0.21846494985637252</v>
          </cell>
          <cell r="AV271">
            <v>0.28100865902176458</v>
          </cell>
          <cell r="AW271">
            <v>0.25732442912537695</v>
          </cell>
          <cell r="AX271">
            <v>0.25606608156943733</v>
          </cell>
          <cell r="AY271">
            <v>0.2111904848243101</v>
          </cell>
          <cell r="AZ271">
            <v>0.24910094505310698</v>
          </cell>
          <cell r="BA271">
            <v>0.26384049554781264</v>
          </cell>
          <cell r="BB271">
            <v>0.32628797886393662</v>
          </cell>
          <cell r="BC271">
            <v>0.24831688522373929</v>
          </cell>
          <cell r="BD271">
            <v>0.2439800636521948</v>
          </cell>
          <cell r="BE271">
            <v>0.22763538991201704</v>
          </cell>
          <cell r="BF271">
            <v>0.21262488646684835</v>
          </cell>
          <cell r="BG271">
            <v>0.21272319003295787</v>
          </cell>
          <cell r="BH271">
            <v>0.20550099034161681</v>
          </cell>
          <cell r="BI271">
            <v>0.20023491145645103</v>
          </cell>
          <cell r="BJ271">
            <v>0.19690408182069474</v>
          </cell>
          <cell r="BK271">
            <v>0.158577990812862</v>
          </cell>
          <cell r="BL271">
            <v>0.17832972387655657</v>
          </cell>
          <cell r="BM271">
            <v>0.17695441319107663</v>
          </cell>
          <cell r="BN271">
            <v>0.13733060015943516</v>
          </cell>
          <cell r="BO271">
            <v>0.11132309134116546</v>
          </cell>
          <cell r="BP271">
            <v>0.16510735337534485</v>
          </cell>
          <cell r="BQ271">
            <v>0.15777937938728562</v>
          </cell>
          <cell r="BR271">
            <v>0.15051085288313965</v>
          </cell>
          <cell r="BS271">
            <v>0.10551859455807061</v>
          </cell>
          <cell r="BT271">
            <v>0.24</v>
          </cell>
          <cell r="BU271">
            <v>0.22900000000000001</v>
          </cell>
          <cell r="BV271">
            <v>0.159</v>
          </cell>
          <cell r="BW271">
            <v>0.125</v>
          </cell>
          <cell r="BX271">
            <v>0.23499999999999999</v>
          </cell>
          <cell r="BY271">
            <v>0.22</v>
          </cell>
          <cell r="BZ271">
            <v>0.15</v>
          </cell>
          <cell r="CA271">
            <v>0</v>
          </cell>
          <cell r="CB271">
            <v>0</v>
          </cell>
          <cell r="CC271">
            <v>0</v>
          </cell>
          <cell r="CD271">
            <v>0</v>
          </cell>
          <cell r="CE271">
            <v>0</v>
          </cell>
          <cell r="CF271">
            <v>0</v>
          </cell>
          <cell r="CG271">
            <v>0</v>
          </cell>
          <cell r="CH271">
            <v>0</v>
          </cell>
          <cell r="CI271">
            <v>0</v>
          </cell>
          <cell r="CJ271">
            <v>0</v>
          </cell>
          <cell r="CK271">
            <v>0</v>
          </cell>
          <cell r="CL271">
            <v>0</v>
          </cell>
          <cell r="CM271">
            <v>9.9088660330686112E-2</v>
          </cell>
          <cell r="CN271">
            <v>0.26464438062843282</v>
          </cell>
          <cell r="CO271">
            <v>0.23193024534714995</v>
          </cell>
          <cell r="CP271">
            <v>0.20348715574686294</v>
          </cell>
          <cell r="CQ271">
            <v>0.16166020033967204</v>
          </cell>
          <cell r="CR271">
            <v>0.14470715649802446</v>
          </cell>
          <cell r="CS271">
            <v>0.1293045562260427</v>
          </cell>
          <cell r="CT271">
            <v>0.10865789119362614</v>
          </cell>
          <cell r="CU271">
            <v>0</v>
          </cell>
          <cell r="CV271">
            <v>0</v>
          </cell>
          <cell r="CW271">
            <v>0</v>
          </cell>
          <cell r="CX271">
            <v>0</v>
          </cell>
          <cell r="CY271">
            <v>0</v>
          </cell>
          <cell r="CZ271">
            <v>0</v>
          </cell>
          <cell r="DA271">
            <v>0</v>
          </cell>
          <cell r="DB271">
            <v>0</v>
          </cell>
          <cell r="DC271">
            <v>0</v>
          </cell>
          <cell r="DD271">
            <v>0</v>
          </cell>
          <cell r="DE271">
            <v>0</v>
          </cell>
          <cell r="DF271">
            <v>0</v>
          </cell>
          <cell r="DG271">
            <v>0.26464438062843282</v>
          </cell>
          <cell r="DH271">
            <v>0.23193024534714995</v>
          </cell>
          <cell r="DI271">
            <v>0.20348715574686294</v>
          </cell>
          <cell r="DJ271">
            <v>0.16166020033967204</v>
          </cell>
          <cell r="DK271">
            <v>0</v>
          </cell>
          <cell r="DL271">
            <v>0</v>
          </cell>
          <cell r="DM271">
            <v>0</v>
          </cell>
          <cell r="DN271">
            <v>0</v>
          </cell>
          <cell r="DO271">
            <v>0</v>
          </cell>
          <cell r="DP271">
            <v>0</v>
          </cell>
          <cell r="DQ271">
            <v>0</v>
          </cell>
          <cell r="DR271">
            <v>0</v>
          </cell>
          <cell r="DS271">
            <v>0</v>
          </cell>
          <cell r="DT271">
            <v>0</v>
          </cell>
          <cell r="DU271">
            <v>0</v>
          </cell>
          <cell r="DV271">
            <v>0</v>
          </cell>
          <cell r="DW271">
            <v>0</v>
          </cell>
          <cell r="DX271">
            <v>0</v>
          </cell>
          <cell r="DY271">
            <v>0</v>
          </cell>
          <cell r="DZ271">
            <v>0</v>
          </cell>
          <cell r="EA271">
            <v>0</v>
          </cell>
          <cell r="EB271">
            <v>0</v>
          </cell>
          <cell r="EC271">
            <v>0</v>
          </cell>
          <cell r="ED271">
            <v>0</v>
          </cell>
          <cell r="EE271">
            <v>0</v>
          </cell>
          <cell r="EF271">
            <v>0</v>
          </cell>
          <cell r="EG271">
            <v>0</v>
          </cell>
          <cell r="EH271">
            <v>0</v>
          </cell>
          <cell r="EI271">
            <v>0</v>
          </cell>
          <cell r="EJ271">
            <v>0</v>
          </cell>
          <cell r="EK271">
            <v>0</v>
          </cell>
          <cell r="EL271">
            <v>0</v>
          </cell>
          <cell r="EM271">
            <v>0</v>
          </cell>
          <cell r="EN271">
            <v>0</v>
          </cell>
          <cell r="EO271">
            <v>0</v>
          </cell>
        </row>
        <row r="281">
          <cell r="A281" t="str">
            <v>OPWR_ADJ_OM_PC</v>
          </cell>
          <cell r="B281" t="str">
            <v>Operating Income</v>
          </cell>
          <cell r="C281">
            <v>2</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t="str">
            <v>NA</v>
          </cell>
          <cell r="AV281" t="str">
            <v>NA</v>
          </cell>
          <cell r="AW281" t="str">
            <v>NA</v>
          </cell>
          <cell r="AX281" t="str">
            <v>NA</v>
          </cell>
          <cell r="AY281">
            <v>0.22703702360662867</v>
          </cell>
          <cell r="AZ281">
            <v>0.13878899389478971</v>
          </cell>
          <cell r="BA281">
            <v>7.4332171893147558E-2</v>
          </cell>
          <cell r="BB281" t="str">
            <v>NA</v>
          </cell>
          <cell r="BC281">
            <v>8.7440854400432838E-2</v>
          </cell>
          <cell r="BD281">
            <v>9.8330631117516429E-2</v>
          </cell>
          <cell r="BE281">
            <v>0.13022569539319084</v>
          </cell>
          <cell r="BF281">
            <v>0.11664396003633062</v>
          </cell>
          <cell r="BG281">
            <v>0.19542935786461921</v>
          </cell>
          <cell r="BH281">
            <v>0.22140771445490387</v>
          </cell>
          <cell r="BI281">
            <v>0.14974701843151414</v>
          </cell>
          <cell r="BJ281">
            <v>0.11552873245492792</v>
          </cell>
          <cell r="BK281">
            <v>0.33349976699287653</v>
          </cell>
          <cell r="BL281">
            <v>0.26086897671900389</v>
          </cell>
          <cell r="BM281">
            <v>0.19161978661493703</v>
          </cell>
          <cell r="BN281">
            <v>0.18642523630565999</v>
          </cell>
          <cell r="BO281">
            <v>0.46788499514676835</v>
          </cell>
          <cell r="BP281">
            <v>0.23341851018559048</v>
          </cell>
          <cell r="BQ281">
            <v>0.2533790121140917</v>
          </cell>
          <cell r="BR281">
            <v>0.24349923262442447</v>
          </cell>
          <cell r="BS281">
            <v>0.47844928402505266</v>
          </cell>
          <cell r="BT281">
            <v>0.29782080765719871</v>
          </cell>
          <cell r="BU281">
            <v>0.2977570149376419</v>
          </cell>
          <cell r="BV281">
            <v>0.30858850149848704</v>
          </cell>
          <cell r="BW281">
            <v>0.50266911457462538</v>
          </cell>
          <cell r="BX281">
            <v>0.26847374384203138</v>
          </cell>
          <cell r="BY281">
            <v>0.28753237094860706</v>
          </cell>
          <cell r="BZ281">
            <v>0.32603070246871557</v>
          </cell>
          <cell r="CA281">
            <v>0</v>
          </cell>
          <cell r="CB281">
            <v>0</v>
          </cell>
          <cell r="CC281">
            <v>0</v>
          </cell>
          <cell r="CD281">
            <v>0</v>
          </cell>
          <cell r="CE281">
            <v>0</v>
          </cell>
          <cell r="CF281">
            <v>0</v>
          </cell>
          <cell r="CG281">
            <v>0</v>
          </cell>
          <cell r="CH281">
            <v>0</v>
          </cell>
          <cell r="CI281">
            <v>0</v>
          </cell>
          <cell r="CJ281">
            <v>0</v>
          </cell>
          <cell r="CK281">
            <v>0</v>
          </cell>
          <cell r="CL281">
            <v>0</v>
          </cell>
          <cell r="CM281" t="str">
            <v>NA</v>
          </cell>
          <cell r="CN281">
            <v>9.6746312766609957E-2</v>
          </cell>
          <cell r="CO281">
            <v>0.1087398710652029</v>
          </cell>
          <cell r="CP281">
            <v>0.16667927870983248</v>
          </cell>
          <cell r="CQ281">
            <v>0.244627682361055</v>
          </cell>
          <cell r="CR281">
            <v>0.30544721473650671</v>
          </cell>
          <cell r="CS281">
            <v>0.35148046098747343</v>
          </cell>
          <cell r="CT281">
            <v>0.35380446059510368</v>
          </cell>
          <cell r="CU281">
            <v>0</v>
          </cell>
          <cell r="CV281">
            <v>0</v>
          </cell>
          <cell r="CW281">
            <v>0</v>
          </cell>
          <cell r="CX281">
            <v>0</v>
          </cell>
          <cell r="CY281">
            <v>0</v>
          </cell>
          <cell r="CZ281">
            <v>0</v>
          </cell>
          <cell r="DA281">
            <v>0</v>
          </cell>
          <cell r="DB281">
            <v>0</v>
          </cell>
          <cell r="DC281">
            <v>0</v>
          </cell>
          <cell r="DD281">
            <v>0</v>
          </cell>
          <cell r="DE281">
            <v>0</v>
          </cell>
          <cell r="DF281">
            <v>0</v>
          </cell>
          <cell r="DG281">
            <v>9.6746312766609957E-2</v>
          </cell>
          <cell r="DH281">
            <v>0.1087398710652029</v>
          </cell>
          <cell r="DI281">
            <v>0.16667927870983248</v>
          </cell>
          <cell r="DJ281">
            <v>0.244627682361055</v>
          </cell>
          <cell r="DK281">
            <v>0</v>
          </cell>
          <cell r="DL281">
            <v>0</v>
          </cell>
          <cell r="DM281">
            <v>0</v>
          </cell>
          <cell r="DN281">
            <v>0</v>
          </cell>
          <cell r="DO281">
            <v>0</v>
          </cell>
          <cell r="DP281">
            <v>0</v>
          </cell>
          <cell r="DQ281">
            <v>0</v>
          </cell>
          <cell r="DR281">
            <v>0</v>
          </cell>
          <cell r="DS281">
            <v>0</v>
          </cell>
          <cell r="DT281">
            <v>0</v>
          </cell>
          <cell r="DU281">
            <v>0</v>
          </cell>
          <cell r="DV281">
            <v>0</v>
          </cell>
          <cell r="DW281">
            <v>0</v>
          </cell>
          <cell r="DX281">
            <v>0</v>
          </cell>
          <cell r="DY281">
            <v>0</v>
          </cell>
          <cell r="DZ281">
            <v>0</v>
          </cell>
          <cell r="EA281">
            <v>0</v>
          </cell>
          <cell r="EB281">
            <v>0</v>
          </cell>
          <cell r="EC281">
            <v>0</v>
          </cell>
          <cell r="ED281">
            <v>0</v>
          </cell>
          <cell r="EE281">
            <v>0</v>
          </cell>
          <cell r="EF281">
            <v>0</v>
          </cell>
          <cell r="EG281">
            <v>0</v>
          </cell>
          <cell r="EH281">
            <v>0</v>
          </cell>
          <cell r="EI281">
            <v>0</v>
          </cell>
          <cell r="EJ281">
            <v>0</v>
          </cell>
          <cell r="EK281">
            <v>0</v>
          </cell>
          <cell r="EL281">
            <v>0</v>
          </cell>
          <cell r="EM281">
            <v>0</v>
          </cell>
          <cell r="EN281">
            <v>0</v>
          </cell>
          <cell r="EO281">
            <v>0</v>
          </cell>
        </row>
        <row r="291">
          <cell r="A291" t="str">
            <v>OPWR_ADJ_TAXRATE</v>
          </cell>
          <cell r="B291" t="str">
            <v>Tax Rate</v>
          </cell>
          <cell r="C291">
            <v>2</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-0.57592722183344947</v>
          </cell>
          <cell r="AV291">
            <v>0.21638924455825853</v>
          </cell>
          <cell r="AW291">
            <v>8.0748663101604404E-2</v>
          </cell>
          <cell r="AX291">
            <v>3.7718057520037741E-2</v>
          </cell>
          <cell r="AY291">
            <v>0.27504432624113467</v>
          </cell>
          <cell r="AZ291">
            <v>0.22503328894806901</v>
          </cell>
          <cell r="BA291">
            <v>0.91705069124424687</v>
          </cell>
          <cell r="BB291">
            <v>0.3309636650868869</v>
          </cell>
          <cell r="BC291">
            <v>0.40951882845188098</v>
          </cell>
          <cell r="BD291">
            <v>-0.23870967741935456</v>
          </cell>
          <cell r="BE291">
            <v>0.37383798140770269</v>
          </cell>
          <cell r="BF291">
            <v>0.36551339285714285</v>
          </cell>
          <cell r="BG291">
            <v>0.38062780269058294</v>
          </cell>
          <cell r="BH291">
            <v>0.42465235077097691</v>
          </cell>
          <cell r="BI291">
            <v>0.31006621030187431</v>
          </cell>
          <cell r="BJ291">
            <v>0.12894016890686338</v>
          </cell>
          <cell r="BK291">
            <v>0.32123151261876015</v>
          </cell>
          <cell r="BL291">
            <v>0.30783363955236331</v>
          </cell>
          <cell r="BM291">
            <v>-2.111458333333327</v>
          </cell>
          <cell r="BN291">
            <v>0.2765757290686735</v>
          </cell>
          <cell r="BO291">
            <v>0.23781320343924131</v>
          </cell>
          <cell r="BP291">
            <v>0.33422530268468148</v>
          </cell>
          <cell r="BQ291">
            <v>0.33502855801580461</v>
          </cell>
          <cell r="BR291">
            <v>0.35920253599663904</v>
          </cell>
          <cell r="BS291">
            <v>0.25315048680210517</v>
          </cell>
          <cell r="BT291">
            <v>0.16800000000000001</v>
          </cell>
          <cell r="BU291">
            <v>0.16800000000000001</v>
          </cell>
          <cell r="BV291">
            <v>0.16800000000000001</v>
          </cell>
          <cell r="BW291">
            <v>0.16800000000000001</v>
          </cell>
          <cell r="BX291">
            <v>0.16800000000000001</v>
          </cell>
          <cell r="BY291">
            <v>0.16800000000000001</v>
          </cell>
          <cell r="BZ291">
            <v>0.16800000000000001</v>
          </cell>
          <cell r="CA291">
            <v>0</v>
          </cell>
          <cell r="CB291">
            <v>0</v>
          </cell>
          <cell r="CC291">
            <v>0</v>
          </cell>
          <cell r="CD291">
            <v>0</v>
          </cell>
          <cell r="CE291">
            <v>0</v>
          </cell>
          <cell r="CF291">
            <v>0</v>
          </cell>
          <cell r="CG291">
            <v>0</v>
          </cell>
          <cell r="CH291">
            <v>0</v>
          </cell>
          <cell r="CI291">
            <v>0</v>
          </cell>
          <cell r="CJ291">
            <v>0</v>
          </cell>
          <cell r="CK291">
            <v>0</v>
          </cell>
          <cell r="CL291">
            <v>0</v>
          </cell>
          <cell r="CM291">
            <v>-5.3395949214066034E-3</v>
          </cell>
          <cell r="CN291">
            <v>0.2095238095238095</v>
          </cell>
          <cell r="CO291">
            <v>0.29218498463339654</v>
          </cell>
          <cell r="CP291">
            <v>0.32224186070339922</v>
          </cell>
          <cell r="CQ291">
            <v>0.20199843260188086</v>
          </cell>
          <cell r="CR291">
            <v>0.2988760204755358</v>
          </cell>
          <cell r="CS291">
            <v>0.19389981477164298</v>
          </cell>
          <cell r="CT291">
            <v>0.16639815674506836</v>
          </cell>
          <cell r="CU291">
            <v>0</v>
          </cell>
          <cell r="CV291">
            <v>0</v>
          </cell>
          <cell r="CW291">
            <v>0</v>
          </cell>
          <cell r="CX291">
            <v>0</v>
          </cell>
          <cell r="CY291">
            <v>0</v>
          </cell>
          <cell r="CZ291">
            <v>0</v>
          </cell>
          <cell r="DA291">
            <v>0</v>
          </cell>
          <cell r="DB291">
            <v>0</v>
          </cell>
          <cell r="DC291">
            <v>0</v>
          </cell>
          <cell r="DD291">
            <v>0</v>
          </cell>
          <cell r="DE291">
            <v>0</v>
          </cell>
          <cell r="DF291">
            <v>0</v>
          </cell>
          <cell r="DG291">
            <v>0.2095238095238095</v>
          </cell>
          <cell r="DH291">
            <v>0.29218498463339654</v>
          </cell>
          <cell r="DI291">
            <v>0.32224186070339922</v>
          </cell>
          <cell r="DJ291">
            <v>0.20199843260188086</v>
          </cell>
          <cell r="DK291">
            <v>0</v>
          </cell>
          <cell r="DL291">
            <v>0</v>
          </cell>
          <cell r="DM291">
            <v>0</v>
          </cell>
          <cell r="DN291">
            <v>0</v>
          </cell>
          <cell r="DO291">
            <v>0</v>
          </cell>
          <cell r="DP291">
            <v>0</v>
          </cell>
          <cell r="DQ291">
            <v>0</v>
          </cell>
          <cell r="DR291">
            <v>0</v>
          </cell>
          <cell r="DS291">
            <v>0</v>
          </cell>
          <cell r="DT291">
            <v>0</v>
          </cell>
          <cell r="DU291">
            <v>0</v>
          </cell>
          <cell r="DV291">
            <v>0</v>
          </cell>
          <cell r="DW291">
            <v>0</v>
          </cell>
          <cell r="DX291">
            <v>0</v>
          </cell>
          <cell r="DY291">
            <v>0</v>
          </cell>
          <cell r="DZ291">
            <v>0</v>
          </cell>
          <cell r="EA291">
            <v>0</v>
          </cell>
          <cell r="EB291">
            <v>0</v>
          </cell>
          <cell r="EC291">
            <v>0</v>
          </cell>
          <cell r="ED291">
            <v>0</v>
          </cell>
          <cell r="EE291">
            <v>0</v>
          </cell>
          <cell r="EF291">
            <v>0</v>
          </cell>
          <cell r="EG291">
            <v>0</v>
          </cell>
          <cell r="EH291">
            <v>0</v>
          </cell>
          <cell r="EI291">
            <v>0</v>
          </cell>
          <cell r="EJ291">
            <v>0</v>
          </cell>
          <cell r="EK291">
            <v>0</v>
          </cell>
          <cell r="EL291">
            <v>0</v>
          </cell>
          <cell r="EM291">
            <v>0</v>
          </cell>
          <cell r="EN291">
            <v>0</v>
          </cell>
          <cell r="EO291">
            <v>0</v>
          </cell>
        </row>
        <row r="310">
          <cell r="A310" t="str">
            <v>PAYC_REV_GR</v>
          </cell>
          <cell r="B310" t="str">
            <v>Total Revenue</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t="str">
            <v>NA</v>
          </cell>
          <cell r="AV310" t="str">
            <v>NA</v>
          </cell>
          <cell r="AW310" t="str">
            <v>NA</v>
          </cell>
          <cell r="AX310" t="str">
            <v>NA</v>
          </cell>
          <cell r="AY310">
            <v>0.38975961296174977</v>
          </cell>
          <cell r="AZ310">
            <v>0.39913409782354314</v>
          </cell>
          <cell r="BA310">
            <v>0.3911029728565274</v>
          </cell>
          <cell r="BB310">
            <v>0.42112920636410567</v>
          </cell>
          <cell r="BC310">
            <v>0.34115386010080884</v>
          </cell>
          <cell r="BD310">
            <v>0.39274065401020319</v>
          </cell>
          <cell r="BE310">
            <v>0.41687959736740221</v>
          </cell>
          <cell r="BF310">
            <v>0.45442536327608996</v>
          </cell>
          <cell r="BG310">
            <v>0.49309179397052838</v>
          </cell>
          <cell r="BH310">
            <v>0.47039572449408529</v>
          </cell>
          <cell r="BI310">
            <v>0.51210448658396635</v>
          </cell>
          <cell r="BJ310">
            <v>0.47861035422343323</v>
          </cell>
          <cell r="BK310">
            <v>0.63206692984680002</v>
          </cell>
          <cell r="BL310">
            <v>0.50858636391481049</v>
          </cell>
          <cell r="BM310">
            <v>0.39727141308276126</v>
          </cell>
          <cell r="BN310">
            <v>0.34847507601584837</v>
          </cell>
          <cell r="BO310">
            <v>0.32601025231342806</v>
          </cell>
          <cell r="BP310">
            <v>0.32954791553871132</v>
          </cell>
          <cell r="BQ310">
            <v>0.30988684125444554</v>
          </cell>
          <cell r="BR310">
            <v>0.29854230725429898</v>
          </cell>
          <cell r="BS310">
            <v>0.28791377983063904</v>
          </cell>
          <cell r="BT310">
            <v>0.26375858979710265</v>
          </cell>
          <cell r="BU310">
            <v>0.24911686593541127</v>
          </cell>
          <cell r="BV310">
            <v>0.24406704670028523</v>
          </cell>
          <cell r="BW310">
            <v>0.2493402245380596</v>
          </cell>
          <cell r="BX310">
            <v>0.24909324682766276</v>
          </cell>
          <cell r="BY310">
            <v>0.24915159189151348</v>
          </cell>
          <cell r="BZ310">
            <v>0.24900010394435501</v>
          </cell>
          <cell r="CA310">
            <v>0</v>
          </cell>
          <cell r="CB310">
            <v>0</v>
          </cell>
          <cell r="CC310">
            <v>0</v>
          </cell>
          <cell r="CD310">
            <v>0</v>
          </cell>
          <cell r="CE310">
            <v>0</v>
          </cell>
          <cell r="CF310">
            <v>0</v>
          </cell>
          <cell r="CG310">
            <v>0</v>
          </cell>
          <cell r="CH310">
            <v>0</v>
          </cell>
          <cell r="CI310">
            <v>0</v>
          </cell>
          <cell r="CJ310">
            <v>0</v>
          </cell>
          <cell r="CK310">
            <v>0</v>
          </cell>
          <cell r="CL310">
            <v>0</v>
          </cell>
          <cell r="CM310" t="str">
            <v>NA</v>
          </cell>
          <cell r="CN310">
            <v>0.40087228225491467</v>
          </cell>
          <cell r="CO310">
            <v>0.4026728376130333</v>
          </cell>
          <cell r="CP310">
            <v>0.48846808764385896</v>
          </cell>
          <cell r="CQ310">
            <v>0.46510841163928385</v>
          </cell>
          <cell r="CR310">
            <v>0.31568841317247021</v>
          </cell>
          <cell r="CS310">
            <v>0.26181513784877852</v>
          </cell>
          <cell r="CT310">
            <v>0.24915214388148899</v>
          </cell>
          <cell r="CU310">
            <v>0</v>
          </cell>
          <cell r="CV310">
            <v>0</v>
          </cell>
          <cell r="CW310">
            <v>0</v>
          </cell>
          <cell r="CX310">
            <v>0</v>
          </cell>
          <cell r="CY310">
            <v>0</v>
          </cell>
          <cell r="CZ310">
            <v>0</v>
          </cell>
          <cell r="DA310">
            <v>0</v>
          </cell>
          <cell r="DB310">
            <v>0</v>
          </cell>
          <cell r="DC310">
            <v>0</v>
          </cell>
          <cell r="DD310">
            <v>0</v>
          </cell>
          <cell r="DE310">
            <v>0</v>
          </cell>
          <cell r="DF310">
            <v>0</v>
          </cell>
          <cell r="DG310" t="str">
            <v>NA</v>
          </cell>
          <cell r="DH310">
            <v>0.4026728376130333</v>
          </cell>
          <cell r="DI310">
            <v>0.48846808764385896</v>
          </cell>
          <cell r="DJ310">
            <v>0.46510841163928385</v>
          </cell>
          <cell r="DK310">
            <v>0</v>
          </cell>
          <cell r="DL310">
            <v>0</v>
          </cell>
          <cell r="DM310">
            <v>0</v>
          </cell>
          <cell r="DN310">
            <v>0</v>
          </cell>
          <cell r="DO310">
            <v>0</v>
          </cell>
          <cell r="DP310">
            <v>0</v>
          </cell>
          <cell r="DQ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cell r="EI310">
            <v>0</v>
          </cell>
          <cell r="EJ310">
            <v>0</v>
          </cell>
          <cell r="EK310">
            <v>0</v>
          </cell>
          <cell r="EL310">
            <v>0</v>
          </cell>
          <cell r="EM310">
            <v>0</v>
          </cell>
          <cell r="EN310">
            <v>0</v>
          </cell>
          <cell r="EO310">
            <v>0</v>
          </cell>
        </row>
      </sheetData>
      <sheetData sheetId="4"/>
      <sheetData sheetId="5"/>
      <sheetData sheetId="6"/>
      <sheetData sheetId="7"/>
      <sheetData sheetId="8"/>
      <sheetData sheetId="9"/>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Prod'n"/>
      <sheetName val="Pubfin"/>
      <sheetName val="FrancoSummary"/>
      <sheetName val="Model"/>
      <sheetName val="NEM-NDY-FN"/>
      <sheetName val="Valuation"/>
      <sheetName val="Nevada Operations"/>
      <sheetName val="Mesquite"/>
      <sheetName val="Yanacocha"/>
      <sheetName val="Zarafshan"/>
      <sheetName val="Minahasa"/>
      <sheetName val="La Herradura"/>
      <sheetName val="Batu Hijau"/>
      <sheetName val="Pheonix"/>
      <sheetName val="Llallagua"/>
      <sheetName val="VeraNancy"/>
      <sheetName val="Holloway"/>
      <sheetName val="Kori Kollo"/>
      <sheetName val="Golden Giant"/>
      <sheetName val="Crown Jewel"/>
      <sheetName val="Boddington"/>
      <sheetName val="DS_Key_Information"/>
      <sheetName val="DS_Valuation_Measures"/>
      <sheetName val="DS_Quarterly_Estimates_Data"/>
      <sheetName val="DS_Income_Statement"/>
      <sheetName val="DS_Cash_Flow"/>
      <sheetName val="DS_Balance_Sheet"/>
      <sheetName val="DS_Industry_Specif"/>
      <sheetName val="RBCGold"/>
    </sheetNames>
    <sheetDataSet>
      <sheetData sheetId="0" refreshError="1"/>
      <sheetData sheetId="1" refreshError="1"/>
      <sheetData sheetId="2" refreshError="1"/>
      <sheetData sheetId="3" refreshError="1"/>
      <sheetData sheetId="4" refreshError="1">
        <row r="9">
          <cell r="I9">
            <v>279.03025000000002</v>
          </cell>
        </row>
      </sheetData>
      <sheetData sheetId="5" refreshError="1"/>
      <sheetData sheetId="6" refreshError="1">
        <row r="40">
          <cell r="E40">
            <v>8.4527389918465197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Assumptions"/>
      <sheetName val="Income Statement"/>
      <sheetName val="Balance Sheet"/>
      <sheetName val="Quickview"/>
      <sheetName val="Estimate Changes"/>
      <sheetName val="Report Statistics"/>
      <sheetName val="Universe"/>
      <sheetName val="Competitors"/>
      <sheetName val="Calculations"/>
      <sheetName val="Macros"/>
    </sheetNames>
    <sheetDataSet>
      <sheetData sheetId="0"/>
      <sheetData sheetId="1"/>
      <sheetData sheetId="2">
        <row r="3">
          <cell r="D3" t="str">
            <v>N</v>
          </cell>
          <cell r="E3" t="str">
            <v>N</v>
          </cell>
          <cell r="F3" t="str">
            <v>N</v>
          </cell>
          <cell r="G3" t="str">
            <v>N</v>
          </cell>
          <cell r="H3" t="str">
            <v>N</v>
          </cell>
          <cell r="I3" t="str">
            <v>N</v>
          </cell>
          <cell r="J3" t="str">
            <v>N</v>
          </cell>
          <cell r="K3" t="str">
            <v>N</v>
          </cell>
          <cell r="L3" t="str">
            <v>T</v>
          </cell>
          <cell r="M3" t="str">
            <v>N</v>
          </cell>
          <cell r="N3" t="str">
            <v>N</v>
          </cell>
          <cell r="O3" t="str">
            <v>N</v>
          </cell>
          <cell r="P3" t="str">
            <v>N</v>
          </cell>
          <cell r="Q3" t="str">
            <v>N</v>
          </cell>
          <cell r="R3" t="str">
            <v>N</v>
          </cell>
          <cell r="S3" t="str">
            <v>N</v>
          </cell>
          <cell r="T3" t="str">
            <v>N</v>
          </cell>
          <cell r="U3" t="str">
            <v>T</v>
          </cell>
          <cell r="V3" t="str">
            <v>N</v>
          </cell>
          <cell r="W3" t="str">
            <v>N</v>
          </cell>
          <cell r="X3" t="str">
            <v>N</v>
          </cell>
          <cell r="Y3" t="str">
            <v>N</v>
          </cell>
          <cell r="Z3" t="str">
            <v>N</v>
          </cell>
          <cell r="AA3" t="str">
            <v>N</v>
          </cell>
          <cell r="AB3" t="str">
            <v>N</v>
          </cell>
          <cell r="AC3" t="str">
            <v>Y</v>
          </cell>
          <cell r="AD3" t="str">
            <v>T</v>
          </cell>
          <cell r="AE3" t="str">
            <v>N</v>
          </cell>
          <cell r="AF3" t="str">
            <v>P</v>
          </cell>
          <cell r="AG3" t="str">
            <v>N</v>
          </cell>
          <cell r="AH3" t="str">
            <v>P</v>
          </cell>
          <cell r="AI3" t="str">
            <v>N</v>
          </cell>
          <cell r="AJ3" t="str">
            <v>P</v>
          </cell>
          <cell r="AK3" t="str">
            <v>N</v>
          </cell>
          <cell r="AL3" t="str">
            <v>P</v>
          </cell>
          <cell r="AM3" t="str">
            <v>T</v>
          </cell>
          <cell r="AN3" t="str">
            <v>N</v>
          </cell>
          <cell r="AO3" t="str">
            <v>P</v>
          </cell>
          <cell r="AP3" t="str">
            <v>N</v>
          </cell>
          <cell r="AQ3" t="str">
            <v>P</v>
          </cell>
          <cell r="AR3" t="str">
            <v>N</v>
          </cell>
          <cell r="AS3" t="str">
            <v>P</v>
          </cell>
          <cell r="AT3" t="str">
            <v>N</v>
          </cell>
          <cell r="AU3" t="str">
            <v>P</v>
          </cell>
          <cell r="AV3" t="str">
            <v>T</v>
          </cell>
          <cell r="AW3" t="str">
            <v>N</v>
          </cell>
          <cell r="AX3" t="str">
            <v>P</v>
          </cell>
          <cell r="AY3" t="str">
            <v>N</v>
          </cell>
          <cell r="AZ3" t="str">
            <v>P</v>
          </cell>
          <cell r="BA3" t="str">
            <v>N</v>
          </cell>
          <cell r="BB3" t="str">
            <v>P</v>
          </cell>
          <cell r="BC3" t="str">
            <v>N</v>
          </cell>
          <cell r="BD3" t="str">
            <v>P</v>
          </cell>
          <cell r="BE3" t="str">
            <v>T</v>
          </cell>
        </row>
        <row r="4">
          <cell r="D4" t="str">
            <v>Y1Q1E</v>
          </cell>
          <cell r="E4" t="str">
            <v>Y1Q1A</v>
          </cell>
          <cell r="F4" t="str">
            <v>Y1Q2E</v>
          </cell>
          <cell r="G4" t="str">
            <v>Y1Q2A</v>
          </cell>
          <cell r="H4" t="str">
            <v>Y1Q3E</v>
          </cell>
          <cell r="I4" t="str">
            <v>Y1Q3A</v>
          </cell>
          <cell r="J4" t="str">
            <v>Y1Q4E</v>
          </cell>
          <cell r="K4" t="str">
            <v>Y1Q4A</v>
          </cell>
          <cell r="L4" t="str">
            <v>Y1T</v>
          </cell>
          <cell r="M4" t="str">
            <v>Y2Q1E</v>
          </cell>
          <cell r="N4" t="str">
            <v>Y2Q1A</v>
          </cell>
          <cell r="O4" t="str">
            <v>Y2Q2E</v>
          </cell>
          <cell r="P4" t="str">
            <v>Y2Q2A</v>
          </cell>
          <cell r="Q4" t="str">
            <v>Y2Q3E</v>
          </cell>
          <cell r="R4" t="str">
            <v>Y2Q3A</v>
          </cell>
          <cell r="S4" t="str">
            <v>Y2Q4E</v>
          </cell>
          <cell r="T4" t="str">
            <v>Y2Q4A</v>
          </cell>
          <cell r="U4" t="str">
            <v>Y2T</v>
          </cell>
          <cell r="V4" t="str">
            <v>Y3Q1E</v>
          </cell>
          <cell r="W4" t="str">
            <v>Y3Q1A</v>
          </cell>
          <cell r="X4" t="str">
            <v>Y3Q2E</v>
          </cell>
          <cell r="Y4" t="str">
            <v>Y3Q2A</v>
          </cell>
          <cell r="Z4" t="str">
            <v>Y3Q3E</v>
          </cell>
          <cell r="AA4" t="str">
            <v>Y3Q3A</v>
          </cell>
          <cell r="AB4" t="str">
            <v>Y3Q4E</v>
          </cell>
          <cell r="AC4" t="str">
            <v>Y3Q4A</v>
          </cell>
          <cell r="AD4" t="str">
            <v>Y3T</v>
          </cell>
          <cell r="AE4" t="str">
            <v>Y4Q1E</v>
          </cell>
          <cell r="AF4" t="str">
            <v>Y4Q1A</v>
          </cell>
          <cell r="AG4" t="str">
            <v>Y4Q2E</v>
          </cell>
          <cell r="AH4" t="str">
            <v>Y4Q2A</v>
          </cell>
          <cell r="AI4" t="str">
            <v>Y4Q3E</v>
          </cell>
          <cell r="AJ4" t="str">
            <v>Y4Q3A</v>
          </cell>
          <cell r="AK4" t="str">
            <v>Y4Q4E</v>
          </cell>
          <cell r="AL4" t="str">
            <v>Y4Q4A</v>
          </cell>
          <cell r="AM4" t="str">
            <v>Y4T</v>
          </cell>
          <cell r="AN4" t="str">
            <v>Y5Q1E</v>
          </cell>
          <cell r="AO4" t="str">
            <v>Y5Q1A</v>
          </cell>
          <cell r="AP4" t="str">
            <v>Y5Q2E</v>
          </cell>
          <cell r="AQ4" t="str">
            <v>Y5Q2A</v>
          </cell>
          <cell r="AR4" t="str">
            <v>Y5Q3E</v>
          </cell>
          <cell r="AS4" t="str">
            <v>Y5Q3A</v>
          </cell>
          <cell r="AT4" t="str">
            <v>Y5Q4E</v>
          </cell>
          <cell r="AU4" t="str">
            <v>Y5Q4A</v>
          </cell>
          <cell r="AV4" t="str">
            <v>Y5T</v>
          </cell>
          <cell r="AW4" t="str">
            <v>Y6Q1E</v>
          </cell>
          <cell r="AX4" t="str">
            <v>Y6Q1A</v>
          </cell>
          <cell r="AY4" t="str">
            <v>Y6Q2E</v>
          </cell>
          <cell r="AZ4" t="str">
            <v>Y6Q2A</v>
          </cell>
          <cell r="BA4" t="str">
            <v>Y6Q3E</v>
          </cell>
          <cell r="BB4" t="str">
            <v>Y6Q3A</v>
          </cell>
          <cell r="BC4" t="str">
            <v>Y6Q4E</v>
          </cell>
          <cell r="BD4" t="str">
            <v>Y6Q4A</v>
          </cell>
          <cell r="BE4" t="str">
            <v>Y6T</v>
          </cell>
        </row>
        <row r="6">
          <cell r="D6">
            <v>35885</v>
          </cell>
          <cell r="E6">
            <v>35885</v>
          </cell>
          <cell r="F6">
            <v>35976</v>
          </cell>
          <cell r="G6">
            <v>35976</v>
          </cell>
          <cell r="H6">
            <v>36068</v>
          </cell>
          <cell r="I6">
            <v>36068</v>
          </cell>
          <cell r="J6">
            <v>36160</v>
          </cell>
          <cell r="K6">
            <v>36160</v>
          </cell>
          <cell r="L6">
            <v>36160</v>
          </cell>
          <cell r="M6">
            <v>36250</v>
          </cell>
          <cell r="N6">
            <v>36250</v>
          </cell>
          <cell r="O6">
            <v>36341</v>
          </cell>
          <cell r="P6">
            <v>36341</v>
          </cell>
          <cell r="Q6">
            <v>36433</v>
          </cell>
          <cell r="R6">
            <v>36433</v>
          </cell>
          <cell r="S6">
            <v>36525</v>
          </cell>
          <cell r="T6">
            <v>36525</v>
          </cell>
          <cell r="U6">
            <v>36525</v>
          </cell>
          <cell r="V6">
            <v>36616</v>
          </cell>
          <cell r="W6">
            <v>36616</v>
          </cell>
          <cell r="X6">
            <v>36707</v>
          </cell>
          <cell r="Y6">
            <v>36707</v>
          </cell>
          <cell r="Z6">
            <v>36799</v>
          </cell>
          <cell r="AA6">
            <v>36799</v>
          </cell>
          <cell r="AB6">
            <v>36891</v>
          </cell>
          <cell r="AC6">
            <v>36891</v>
          </cell>
          <cell r="AD6">
            <v>36891</v>
          </cell>
          <cell r="AE6">
            <v>36981</v>
          </cell>
          <cell r="AF6">
            <v>36981</v>
          </cell>
          <cell r="AG6">
            <v>37072</v>
          </cell>
          <cell r="AH6">
            <v>37072</v>
          </cell>
          <cell r="AI6">
            <v>37164</v>
          </cell>
          <cell r="AJ6">
            <v>37164</v>
          </cell>
          <cell r="AK6">
            <v>37256</v>
          </cell>
          <cell r="AL6">
            <v>37256</v>
          </cell>
          <cell r="AM6">
            <v>37256</v>
          </cell>
          <cell r="AN6">
            <v>37346</v>
          </cell>
          <cell r="AO6">
            <v>37346</v>
          </cell>
          <cell r="AP6">
            <v>37437</v>
          </cell>
          <cell r="AQ6">
            <v>37437</v>
          </cell>
          <cell r="AR6">
            <v>37529</v>
          </cell>
          <cell r="AS6">
            <v>37529</v>
          </cell>
          <cell r="AT6">
            <v>37621</v>
          </cell>
          <cell r="AU6">
            <v>37621</v>
          </cell>
          <cell r="AV6">
            <v>37621</v>
          </cell>
          <cell r="AW6">
            <v>37711</v>
          </cell>
          <cell r="AX6">
            <v>37711</v>
          </cell>
          <cell r="AY6">
            <v>37802</v>
          </cell>
          <cell r="AZ6">
            <v>37802</v>
          </cell>
          <cell r="BA6">
            <v>37894</v>
          </cell>
          <cell r="BB6">
            <v>37894</v>
          </cell>
          <cell r="BC6">
            <v>37986</v>
          </cell>
          <cell r="BD6">
            <v>37986</v>
          </cell>
          <cell r="BE6">
            <v>37986</v>
          </cell>
        </row>
      </sheetData>
      <sheetData sheetId="3"/>
      <sheetData sheetId="4"/>
      <sheetData sheetId="5"/>
      <sheetData sheetId="6"/>
      <sheetData sheetId="7"/>
      <sheetData sheetId="8"/>
      <sheetData sheetId="9" refreshError="1"/>
      <sheetData sheetId="1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Upside_Downside"/>
      <sheetName val="Earnings Cheat Sheet"/>
      <sheetName val="QUICK SUMMARY"/>
      <sheetName val="economic indicators"/>
      <sheetName val="guidance"/>
      <sheetName val="BMTemplate"/>
      <sheetName val="Job Postings"/>
      <sheetName val="SENSITIVITY"/>
      <sheetName val="MULTIPLES PIVOT"/>
      <sheetName val="WACC"/>
      <sheetName val="DCF"/>
      <sheetName val="LINKS&amp;INPUTS"/>
      <sheetName val="customers"/>
      <sheetName val="Fund Ownership"/>
      <sheetName val="RBC ADSK Model"/>
    </sheetNames>
    <sheetDataSet>
      <sheetData sheetId="0"/>
      <sheetData sheetId="1" refreshError="1">
        <row r="13">
          <cell r="A13" t="str">
            <v>S&amp;M</v>
          </cell>
          <cell r="R13">
            <v>128</v>
          </cell>
          <cell r="S13">
            <v>134.6</v>
          </cell>
          <cell r="T13">
            <v>136.9</v>
          </cell>
          <cell r="U13">
            <v>156.5</v>
          </cell>
          <cell r="V13">
            <v>161.30000000000001</v>
          </cell>
          <cell r="W13">
            <v>157.9</v>
          </cell>
          <cell r="X13">
            <v>161.69999999999999</v>
          </cell>
          <cell r="Y13">
            <v>207.40000000000015</v>
          </cell>
          <cell r="Z13">
            <v>181.6</v>
          </cell>
          <cell r="AA13">
            <v>189.8</v>
          </cell>
          <cell r="AB13">
            <v>192.7</v>
          </cell>
          <cell r="AC13">
            <v>231.4</v>
          </cell>
          <cell r="AD13">
            <v>215</v>
          </cell>
          <cell r="AE13">
            <v>220.2</v>
          </cell>
          <cell r="AF13">
            <v>216.9</v>
          </cell>
          <cell r="AG13">
            <v>209.4</v>
          </cell>
          <cell r="AH13">
            <v>174.4</v>
          </cell>
          <cell r="AI13">
            <v>166.9</v>
          </cell>
          <cell r="AJ13">
            <v>166.8</v>
          </cell>
          <cell r="AK13">
            <v>182.7</v>
          </cell>
          <cell r="AL13">
            <v>175.9</v>
          </cell>
          <cell r="AM13">
            <v>168.3</v>
          </cell>
          <cell r="AN13">
            <v>177.5</v>
          </cell>
          <cell r="AO13">
            <v>218.8</v>
          </cell>
          <cell r="AP13">
            <v>190.1</v>
          </cell>
          <cell r="AQ13">
            <v>189.7</v>
          </cell>
          <cell r="AR13">
            <v>194.5</v>
          </cell>
          <cell r="AS13">
            <v>220</v>
          </cell>
          <cell r="AT13">
            <v>208.6</v>
          </cell>
          <cell r="AU13">
            <v>196.3</v>
          </cell>
          <cell r="AV13">
            <v>187.2</v>
          </cell>
          <cell r="AW13">
            <v>219.1</v>
          </cell>
          <cell r="AX13">
            <v>194.6</v>
          </cell>
          <cell r="AY13">
            <v>189</v>
          </cell>
          <cell r="AZ13">
            <v>190.00000000000003</v>
          </cell>
          <cell r="BA13">
            <v>204.99999999999994</v>
          </cell>
          <cell r="BB13">
            <v>199.99999999999994</v>
          </cell>
          <cell r="BC13">
            <v>208</v>
          </cell>
          <cell r="BD13">
            <v>209.00000000000003</v>
          </cell>
          <cell r="BE13">
            <v>234.80436760000003</v>
          </cell>
          <cell r="BF13">
            <v>237.54759488535461</v>
          </cell>
          <cell r="BG13">
            <v>241.15900974371209</v>
          </cell>
          <cell r="BH13">
            <v>247.58324411764713</v>
          </cell>
          <cell r="BI13">
            <v>268.90032111627897</v>
          </cell>
          <cell r="BJ13">
            <v>261.13506813882628</v>
          </cell>
          <cell r="BK13">
            <v>265.09351476971574</v>
          </cell>
          <cell r="BL13">
            <v>272.09383591176487</v>
          </cell>
          <cell r="BM13">
            <v>295.87932476651162</v>
          </cell>
          <cell r="BN13">
            <v>287.20876151342065</v>
          </cell>
          <cell r="BO13">
            <v>291.54984006881295</v>
          </cell>
          <cell r="BP13">
            <v>299.18174089617662</v>
          </cell>
          <cell r="BQ13">
            <v>325.72557641291161</v>
          </cell>
          <cell r="BR13">
            <v>0</v>
          </cell>
          <cell r="BS13">
            <v>0</v>
          </cell>
          <cell r="BT13">
            <v>0</v>
          </cell>
          <cell r="BU13">
            <v>0</v>
          </cell>
          <cell r="BV13">
            <v>556</v>
          </cell>
          <cell r="BW13">
            <v>688.30000000000018</v>
          </cell>
          <cell r="BX13">
            <v>795.49999999999989</v>
          </cell>
          <cell r="BY13">
            <v>861.5</v>
          </cell>
          <cell r="BZ13">
            <v>690.8</v>
          </cell>
          <cell r="CA13">
            <v>740.5</v>
          </cell>
          <cell r="CB13">
            <v>794.3</v>
          </cell>
          <cell r="CC13">
            <v>811.19999999999993</v>
          </cell>
          <cell r="CD13">
            <v>778.59999999999991</v>
          </cell>
          <cell r="CE13">
            <v>851.80436759999998</v>
          </cell>
          <cell r="CF13">
            <v>995.19016986299278</v>
          </cell>
          <cell r="CG13">
            <v>1094.2017435868186</v>
          </cell>
          <cell r="CH13">
            <v>1203.6659188913218</v>
          </cell>
        </row>
      </sheetData>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wards"/>
      <sheetName val="Input Foward"/>
      <sheetName val="Input"/>
      <sheetName val="rethink"/>
      <sheetName val="Goldsys Links"/>
      <sheetName val="Precious Metals"/>
      <sheetName val="Interest Rates"/>
      <sheetName val="Currencies"/>
      <sheetName val="Major Base Metals"/>
      <sheetName val="Other Metals"/>
      <sheetName val="Fertilizers"/>
      <sheetName val="Other Commodites"/>
      <sheetName val="Commodites Not Covered"/>
      <sheetName val="Official"/>
      <sheetName val="PRICES2"/>
    </sheetNames>
    <sheetDataSet>
      <sheetData sheetId="0" refreshError="1"/>
      <sheetData sheetId="1" refreshError="1"/>
      <sheetData sheetId="2" refreshError="1">
        <row r="1">
          <cell r="AF1" t="str">
            <v>Q2/02</v>
          </cell>
          <cell r="AG1" t="str">
            <v>Q3/02</v>
          </cell>
          <cell r="AH1" t="str">
            <v>Q4/02</v>
          </cell>
        </row>
        <row r="2">
          <cell r="AF2">
            <v>312.78466666666662</v>
          </cell>
          <cell r="AG2">
            <v>314.22733333333332</v>
          </cell>
          <cell r="AH2">
            <v>322.51433333333335</v>
          </cell>
        </row>
        <row r="3">
          <cell r="AF3">
            <v>4.7240866666666674</v>
          </cell>
          <cell r="AG3">
            <v>4.6719999999999997</v>
          </cell>
          <cell r="AH3">
            <v>4.5679999999999996</v>
          </cell>
        </row>
        <row r="4">
          <cell r="A4" t="str">
            <v>PLATINUM</v>
          </cell>
          <cell r="B4">
            <v>38084</v>
          </cell>
          <cell r="C4">
            <v>387.53</v>
          </cell>
          <cell r="D4">
            <v>388.25</v>
          </cell>
          <cell r="E4">
            <v>372.48</v>
          </cell>
          <cell r="F4">
            <v>347.01</v>
          </cell>
          <cell r="G4">
            <v>387.89</v>
          </cell>
          <cell r="H4">
            <v>359.745</v>
          </cell>
          <cell r="I4">
            <v>373.8175</v>
          </cell>
          <cell r="J4">
            <v>363.2</v>
          </cell>
          <cell r="K4">
            <v>356.7</v>
          </cell>
          <cell r="L4">
            <v>356.7</v>
          </cell>
          <cell r="M4">
            <v>431.6</v>
          </cell>
          <cell r="N4">
            <v>359.95</v>
          </cell>
          <cell r="O4">
            <v>394.15</v>
          </cell>
          <cell r="P4">
            <v>377.04999999999995</v>
          </cell>
          <cell r="Q4">
            <v>465.36900000000003</v>
          </cell>
          <cell r="R4">
            <v>522.08799999999997</v>
          </cell>
          <cell r="S4">
            <v>579.94399999999996</v>
          </cell>
          <cell r="T4">
            <v>595.95000000000005</v>
          </cell>
          <cell r="U4">
            <v>493.7285</v>
          </cell>
          <cell r="V4">
            <v>587.947</v>
          </cell>
          <cell r="W4">
            <v>540.83775000000003</v>
          </cell>
          <cell r="X4">
            <v>599.25300000000004</v>
          </cell>
          <cell r="Y4">
            <v>597.27800000000002</v>
          </cell>
          <cell r="Z4">
            <v>480.95100000000002</v>
          </cell>
          <cell r="AA4">
            <v>443.28199999999998</v>
          </cell>
          <cell r="AB4">
            <v>598.26549999999997</v>
          </cell>
          <cell r="AC4">
            <v>462.11649999999997</v>
          </cell>
          <cell r="AD4">
            <v>530.19100000000003</v>
          </cell>
          <cell r="AE4">
            <v>486.42866666666669</v>
          </cell>
          <cell r="AF4">
            <v>544.2163333333333</v>
          </cell>
          <cell r="AG4">
            <v>542.52</v>
          </cell>
          <cell r="AH4">
            <v>588.47699999999998</v>
          </cell>
          <cell r="AI4">
            <v>515.32249999999999</v>
          </cell>
          <cell r="AJ4">
            <v>565.49849999999992</v>
          </cell>
          <cell r="AK4">
            <v>540.41049999999996</v>
          </cell>
          <cell r="AL4">
            <v>656.06</v>
          </cell>
          <cell r="AM4">
            <v>643.87900000000002</v>
          </cell>
          <cell r="AN4">
            <v>696.56933333333325</v>
          </cell>
          <cell r="AO4">
            <v>767.93</v>
          </cell>
          <cell r="AP4">
            <v>649.96949999999993</v>
          </cell>
          <cell r="AQ4">
            <v>732.2496666666666</v>
          </cell>
          <cell r="AR4">
            <v>691.10958333333326</v>
          </cell>
          <cell r="AS4">
            <v>866.75833333333321</v>
          </cell>
          <cell r="AT4">
            <v>833</v>
          </cell>
          <cell r="AU4">
            <v>835</v>
          </cell>
          <cell r="AV4">
            <v>849.71</v>
          </cell>
          <cell r="AW4">
            <v>849.87916666666661</v>
          </cell>
          <cell r="AX4">
            <v>842.35500000000002</v>
          </cell>
          <cell r="AY4">
            <v>846.11708333333331</v>
          </cell>
          <cell r="AZ4">
            <v>863.99</v>
          </cell>
          <cell r="BA4">
            <v>871.7</v>
          </cell>
          <cell r="BB4">
            <v>896.91</v>
          </cell>
          <cell r="BC4">
            <v>950</v>
          </cell>
          <cell r="BD4">
            <v>867.84500000000003</v>
          </cell>
          <cell r="BE4">
            <v>923.45499999999993</v>
          </cell>
          <cell r="BF4">
            <v>895.65</v>
          </cell>
          <cell r="BG4">
            <v>950</v>
          </cell>
          <cell r="BH4">
            <v>925</v>
          </cell>
          <cell r="BI4">
            <v>900</v>
          </cell>
          <cell r="BJ4">
            <v>875</v>
          </cell>
          <cell r="BK4">
            <v>937.5</v>
          </cell>
          <cell r="BL4">
            <v>887.5</v>
          </cell>
          <cell r="BM4">
            <v>912.5</v>
          </cell>
          <cell r="BN4">
            <v>850</v>
          </cell>
          <cell r="BO4">
            <v>825</v>
          </cell>
          <cell r="BP4">
            <v>775</v>
          </cell>
          <cell r="BQ4">
            <v>750</v>
          </cell>
          <cell r="BT4">
            <v>800</v>
          </cell>
          <cell r="BU4">
            <v>750</v>
          </cell>
          <cell r="BV4">
            <v>725</v>
          </cell>
          <cell r="BW4">
            <v>725</v>
          </cell>
          <cell r="BX4">
            <v>700</v>
          </cell>
          <cell r="CA4">
            <v>725</v>
          </cell>
          <cell r="CB4">
            <v>700</v>
          </cell>
          <cell r="CC4">
            <v>700</v>
          </cell>
          <cell r="CD4">
            <v>700</v>
          </cell>
          <cell r="CE4">
            <v>700</v>
          </cell>
          <cell r="CH4">
            <v>700</v>
          </cell>
          <cell r="CO4">
            <v>700</v>
          </cell>
        </row>
        <row r="5">
          <cell r="A5" t="str">
            <v>PALLADIUM</v>
          </cell>
          <cell r="B5">
            <v>38084</v>
          </cell>
          <cell r="C5">
            <v>242</v>
          </cell>
          <cell r="D5">
            <v>321</v>
          </cell>
          <cell r="E5">
            <v>292.38</v>
          </cell>
          <cell r="F5">
            <v>284.45999999999998</v>
          </cell>
          <cell r="G5">
            <v>281.5</v>
          </cell>
          <cell r="H5">
            <v>288.41999999999996</v>
          </cell>
          <cell r="I5">
            <v>284.95999999999998</v>
          </cell>
          <cell r="J5">
            <v>341.3</v>
          </cell>
          <cell r="K5">
            <v>342</v>
          </cell>
          <cell r="L5">
            <v>344.7</v>
          </cell>
          <cell r="M5">
            <v>405.6</v>
          </cell>
          <cell r="N5">
            <v>341.65</v>
          </cell>
          <cell r="O5">
            <v>375.15</v>
          </cell>
          <cell r="P5">
            <v>358.4</v>
          </cell>
          <cell r="Q5">
            <v>584.745</v>
          </cell>
          <cell r="R5">
            <v>603.35400000000004</v>
          </cell>
          <cell r="S5">
            <v>734.03700000000003</v>
          </cell>
          <cell r="T5">
            <v>818.91899999999998</v>
          </cell>
          <cell r="U5">
            <v>594.04950000000008</v>
          </cell>
          <cell r="V5">
            <v>776.47800000000007</v>
          </cell>
          <cell r="W5">
            <v>685.26375000000007</v>
          </cell>
          <cell r="X5">
            <v>931.29700000000003</v>
          </cell>
          <cell r="Y5">
            <v>656.774</v>
          </cell>
          <cell r="Z5">
            <v>472.952</v>
          </cell>
          <cell r="AA5">
            <v>356.75700000000001</v>
          </cell>
          <cell r="AB5">
            <v>794.03549999999996</v>
          </cell>
          <cell r="AC5">
            <v>414.85450000000003</v>
          </cell>
          <cell r="AD5">
            <v>604.44500000000005</v>
          </cell>
          <cell r="AE5">
            <v>388.35500000000002</v>
          </cell>
          <cell r="AF5">
            <v>354.49799999999999</v>
          </cell>
          <cell r="AG5">
            <v>325.81200000000001</v>
          </cell>
          <cell r="AH5">
            <v>284.42099999999999</v>
          </cell>
          <cell r="AI5">
            <v>371.42650000000003</v>
          </cell>
          <cell r="AJ5">
            <v>305.11649999999997</v>
          </cell>
          <cell r="AK5">
            <v>338.2715</v>
          </cell>
          <cell r="AL5">
            <v>245.40066666666667</v>
          </cell>
          <cell r="AM5">
            <v>171.38800000000001</v>
          </cell>
          <cell r="AN5">
            <v>192.68133333333333</v>
          </cell>
          <cell r="AO5">
            <v>202.57366666666667</v>
          </cell>
          <cell r="AP5">
            <v>208.39433333333335</v>
          </cell>
          <cell r="AQ5">
            <v>197.6275</v>
          </cell>
          <cell r="AR5">
            <v>203.01091666666667</v>
          </cell>
          <cell r="AS5">
            <v>244.98466666666664</v>
          </cell>
          <cell r="AT5">
            <v>257</v>
          </cell>
          <cell r="AU5">
            <v>216</v>
          </cell>
          <cell r="AV5">
            <v>208.18</v>
          </cell>
          <cell r="AW5">
            <v>250.99233333333331</v>
          </cell>
          <cell r="AX5">
            <v>212.09</v>
          </cell>
          <cell r="AY5">
            <v>231.54116666666664</v>
          </cell>
          <cell r="AZ5">
            <v>189.7</v>
          </cell>
          <cell r="BA5">
            <v>191.65</v>
          </cell>
          <cell r="BB5">
            <v>187.5</v>
          </cell>
          <cell r="BC5">
            <v>245</v>
          </cell>
          <cell r="BD5">
            <v>190.67500000000001</v>
          </cell>
          <cell r="BE5">
            <v>216.25</v>
          </cell>
          <cell r="BF5">
            <v>203.46250000000001</v>
          </cell>
          <cell r="BG5">
            <v>265</v>
          </cell>
          <cell r="BH5">
            <v>270</v>
          </cell>
          <cell r="BI5">
            <v>280</v>
          </cell>
          <cell r="BJ5">
            <v>290</v>
          </cell>
          <cell r="BK5">
            <v>275</v>
          </cell>
          <cell r="BL5">
            <v>275</v>
          </cell>
          <cell r="BM5">
            <v>276.25</v>
          </cell>
          <cell r="BN5">
            <v>325</v>
          </cell>
          <cell r="BO5">
            <v>325</v>
          </cell>
          <cell r="BP5">
            <v>325</v>
          </cell>
          <cell r="BQ5">
            <v>325</v>
          </cell>
          <cell r="BT5">
            <v>325</v>
          </cell>
          <cell r="BU5">
            <v>350</v>
          </cell>
          <cell r="BV5">
            <v>350</v>
          </cell>
          <cell r="BW5">
            <v>350</v>
          </cell>
          <cell r="BX5">
            <v>350</v>
          </cell>
          <cell r="CA5">
            <v>350</v>
          </cell>
          <cell r="CB5">
            <v>375</v>
          </cell>
          <cell r="CC5">
            <v>375</v>
          </cell>
          <cell r="CD5">
            <v>375</v>
          </cell>
          <cell r="CE5">
            <v>375</v>
          </cell>
          <cell r="CH5">
            <v>375</v>
          </cell>
          <cell r="CO5">
            <v>375</v>
          </cell>
        </row>
        <row r="6">
          <cell r="AF6">
            <v>839.75</v>
          </cell>
          <cell r="AG6">
            <v>717.58333333333337</v>
          </cell>
          <cell r="AH6">
            <v>636</v>
          </cell>
        </row>
        <row r="8">
          <cell r="AF8">
            <v>4.2500000000000003E-2</v>
          </cell>
          <cell r="AG8">
            <v>4.2500000000000003E-2</v>
          </cell>
          <cell r="AH8">
            <v>4.4999999999999998E-2</v>
          </cell>
        </row>
        <row r="9">
          <cell r="AF9">
            <v>4.0399999999999998E-2</v>
          </cell>
          <cell r="AG9">
            <v>4.4999999999999998E-2</v>
          </cell>
          <cell r="AH9">
            <v>4.4999999999999998E-2</v>
          </cell>
        </row>
        <row r="10">
          <cell r="AF10">
            <v>4.2500000000000003E-2</v>
          </cell>
          <cell r="AG10">
            <v>4.2500000000000003E-2</v>
          </cell>
          <cell r="AH10">
            <v>4.4999999999999998E-2</v>
          </cell>
        </row>
        <row r="11">
          <cell r="AF11">
            <v>0</v>
          </cell>
          <cell r="AG11">
            <v>0</v>
          </cell>
          <cell r="AH11">
            <v>0</v>
          </cell>
        </row>
        <row r="12">
          <cell r="AF12">
            <v>4.7500000000000001E-2</v>
          </cell>
          <cell r="AG12">
            <v>4.7500000000000001E-2</v>
          </cell>
          <cell r="AH12">
            <v>4.4200000000000003E-2</v>
          </cell>
        </row>
        <row r="14">
          <cell r="AF14">
            <v>0.55166785243741756</v>
          </cell>
          <cell r="AG14">
            <v>0.54763061986322858</v>
          </cell>
          <cell r="AH14">
            <v>0.55789999999999995</v>
          </cell>
        </row>
        <row r="15">
          <cell r="AF15">
            <v>0.64350220886134546</v>
          </cell>
          <cell r="AG15">
            <v>0.63975548304983232</v>
          </cell>
          <cell r="AH15">
            <v>0.63715900928132108</v>
          </cell>
        </row>
        <row r="16">
          <cell r="AF16">
            <v>10.4593453125</v>
          </cell>
          <cell r="AG16">
            <v>10.41699393939394</v>
          </cell>
          <cell r="AH16">
            <v>9.6462338461538479</v>
          </cell>
        </row>
        <row r="17">
          <cell r="AF17">
            <v>1.462821620341421</v>
          </cell>
          <cell r="AG17">
            <v>1.5477664094359744</v>
          </cell>
          <cell r="AH17">
            <v>1.6113023522662075</v>
          </cell>
        </row>
        <row r="19">
          <cell r="AF19">
            <v>9</v>
          </cell>
          <cell r="AG19">
            <v>9</v>
          </cell>
          <cell r="AH19">
            <v>9</v>
          </cell>
        </row>
        <row r="20">
          <cell r="AF20">
            <v>126.70050392665762</v>
          </cell>
          <cell r="AG20">
            <v>119.28225433601253</v>
          </cell>
          <cell r="AH20">
            <v>122.48027331684935</v>
          </cell>
        </row>
        <row r="22">
          <cell r="AF22">
            <v>0.61495878507366208</v>
          </cell>
          <cell r="AG22">
            <v>0.59399999999999997</v>
          </cell>
          <cell r="AH22">
            <v>0.61353586540761496</v>
          </cell>
        </row>
        <row r="23">
          <cell r="AF23">
            <v>0.73065102921649761</v>
          </cell>
          <cell r="AG23">
            <v>0.68745072851491107</v>
          </cell>
          <cell r="AH23">
            <v>0.7047443960914842</v>
          </cell>
        </row>
        <row r="24">
          <cell r="AF24">
            <v>0.20610698795530483</v>
          </cell>
          <cell r="AG24">
            <v>0.19500000000000001</v>
          </cell>
          <cell r="AH24">
            <v>0.19698116048919045</v>
          </cell>
        </row>
        <row r="25">
          <cell r="AF25">
            <v>3.1508689471483096</v>
          </cell>
          <cell r="AG25">
            <v>3.1</v>
          </cell>
          <cell r="AH25">
            <v>3.3311143588333967</v>
          </cell>
        </row>
        <row r="26">
          <cell r="AF26">
            <v>9.9</v>
          </cell>
          <cell r="AG26">
            <v>9.83</v>
          </cell>
          <cell r="AH26">
            <v>9.93</v>
          </cell>
        </row>
        <row r="27">
          <cell r="AF27">
            <v>0.35435825279798533</v>
          </cell>
          <cell r="AG27">
            <v>0.34738608251210418</v>
          </cell>
          <cell r="AH27">
            <v>0.35025868380157688</v>
          </cell>
        </row>
        <row r="29">
          <cell r="AF29">
            <v>149.13254804240066</v>
          </cell>
          <cell r="AG29">
            <v>144.04987079999998</v>
          </cell>
          <cell r="AH29">
            <v>148.78747835544294</v>
          </cell>
        </row>
        <row r="30">
          <cell r="AF30">
            <v>150</v>
          </cell>
          <cell r="AG30">
            <v>142</v>
          </cell>
          <cell r="AH30">
            <v>147</v>
          </cell>
        </row>
        <row r="31">
          <cell r="AF31">
            <v>48.35</v>
          </cell>
          <cell r="AG31">
            <v>48.35</v>
          </cell>
          <cell r="AH31">
            <v>48.35</v>
          </cell>
        </row>
        <row r="32">
          <cell r="AF32">
            <v>33.75</v>
          </cell>
          <cell r="AG32">
            <v>33.75</v>
          </cell>
          <cell r="AH32">
            <v>33.75</v>
          </cell>
        </row>
        <row r="33">
          <cell r="AF33">
            <v>31.85</v>
          </cell>
          <cell r="AG33">
            <v>31.85</v>
          </cell>
          <cell r="AH33">
            <v>31.85</v>
          </cell>
        </row>
        <row r="34">
          <cell r="AF34">
            <v>7.593</v>
          </cell>
          <cell r="AG34">
            <v>6.6516666666666664</v>
          </cell>
          <cell r="AH34">
            <v>6.45</v>
          </cell>
        </row>
        <row r="35">
          <cell r="AF35">
            <v>89</v>
          </cell>
          <cell r="AG35">
            <v>89</v>
          </cell>
          <cell r="AH35">
            <v>89</v>
          </cell>
        </row>
        <row r="36">
          <cell r="AF36">
            <v>28.28</v>
          </cell>
          <cell r="AG36">
            <v>28.28</v>
          </cell>
          <cell r="AH36">
            <v>28.28</v>
          </cell>
        </row>
        <row r="37">
          <cell r="AF37">
            <v>36.130000000000003</v>
          </cell>
          <cell r="AG37">
            <v>36.130000000000003</v>
          </cell>
          <cell r="AH37">
            <v>36.130000000000003</v>
          </cell>
        </row>
        <row r="38">
          <cell r="AF38">
            <v>1.23875</v>
          </cell>
          <cell r="AG38">
            <v>1.1916666666666667</v>
          </cell>
          <cell r="AH38">
            <v>1.1825000000000001</v>
          </cell>
        </row>
        <row r="39">
          <cell r="AF39">
            <v>4.0883333333333338</v>
          </cell>
          <cell r="AG39">
            <v>4.4569999999999999</v>
          </cell>
          <cell r="AH39">
            <v>3.1270000000000002</v>
          </cell>
        </row>
        <row r="40">
          <cell r="AF40">
            <v>478</v>
          </cell>
          <cell r="AG40">
            <v>482</v>
          </cell>
          <cell r="AH40">
            <v>482</v>
          </cell>
        </row>
        <row r="41">
          <cell r="AF41">
            <v>335</v>
          </cell>
          <cell r="AG41">
            <v>335</v>
          </cell>
          <cell r="AH41">
            <v>335</v>
          </cell>
        </row>
        <row r="42">
          <cell r="AF42">
            <v>1.8825845579574791</v>
          </cell>
          <cell r="AG42">
            <v>1.8315322687215012</v>
          </cell>
          <cell r="AH42">
            <v>1.9201636380295579</v>
          </cell>
        </row>
        <row r="43">
          <cell r="AF43">
            <v>1775</v>
          </cell>
          <cell r="AG43">
            <v>1775</v>
          </cell>
          <cell r="AH43">
            <v>1775</v>
          </cell>
        </row>
        <row r="44">
          <cell r="AF44">
            <v>322</v>
          </cell>
          <cell r="AG44">
            <v>326</v>
          </cell>
          <cell r="AH44">
            <v>326</v>
          </cell>
        </row>
        <row r="46">
          <cell r="AF46">
            <v>160</v>
          </cell>
          <cell r="AG46">
            <v>160</v>
          </cell>
          <cell r="AH46">
            <v>160</v>
          </cell>
        </row>
        <row r="47">
          <cell r="AF47">
            <v>143</v>
          </cell>
          <cell r="AG47">
            <v>143</v>
          </cell>
          <cell r="AH47">
            <v>143</v>
          </cell>
        </row>
        <row r="48">
          <cell r="AF48">
            <v>116</v>
          </cell>
          <cell r="AG48">
            <v>116</v>
          </cell>
          <cell r="AH48">
            <v>116</v>
          </cell>
        </row>
        <row r="49">
          <cell r="AF49">
            <v>121</v>
          </cell>
          <cell r="AG49">
            <v>121</v>
          </cell>
          <cell r="AH49">
            <v>121</v>
          </cell>
        </row>
        <row r="50">
          <cell r="AF50">
            <v>0.28000000000000003</v>
          </cell>
          <cell r="AG50">
            <v>0.28000000000000003</v>
          </cell>
          <cell r="AH50">
            <v>0.28000000000000003</v>
          </cell>
        </row>
        <row r="51">
          <cell r="AF51">
            <v>3.85</v>
          </cell>
          <cell r="AG51">
            <v>3.85</v>
          </cell>
          <cell r="AH51">
            <v>3.85</v>
          </cell>
        </row>
        <row r="52">
          <cell r="AF52">
            <v>0.45</v>
          </cell>
          <cell r="AG52">
            <v>0.45</v>
          </cell>
          <cell r="AH52">
            <v>0.45</v>
          </cell>
        </row>
        <row r="53">
          <cell r="AF53">
            <v>26.29</v>
          </cell>
          <cell r="AG53">
            <v>28.25</v>
          </cell>
          <cell r="AH53">
            <v>28.27</v>
          </cell>
        </row>
        <row r="54">
          <cell r="AF54">
            <v>0.3</v>
          </cell>
          <cell r="AG54">
            <v>0.3</v>
          </cell>
          <cell r="AH54">
            <v>0.3</v>
          </cell>
        </row>
        <row r="55">
          <cell r="AF55">
            <v>0.65</v>
          </cell>
          <cell r="AG55">
            <v>0.65</v>
          </cell>
          <cell r="AH55">
            <v>0.65</v>
          </cell>
        </row>
        <row r="56">
          <cell r="AF56">
            <v>0.42</v>
          </cell>
          <cell r="AG56">
            <v>0.42</v>
          </cell>
          <cell r="AH56">
            <v>0.42</v>
          </cell>
        </row>
        <row r="57">
          <cell r="AF57">
            <v>3.39</v>
          </cell>
          <cell r="AG57">
            <v>3.2</v>
          </cell>
          <cell r="AH57">
            <v>4.32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Full model"/>
      <sheetName val="Output"/>
      <sheetName val="CF for NPV"/>
      <sheetName val="NPV Summary"/>
      <sheetName val="ResRes"/>
      <sheetName val="Options"/>
      <sheetName val="Uranium Pricing"/>
      <sheetName val="FinPub"/>
      <sheetName val="EPS Model"/>
      <sheetName val="Valuation"/>
      <sheetName val="Flex Model"/>
      <sheetName val="OLD ResREs"/>
      <sheetName val="RBCCM_Key_Information"/>
      <sheetName val="RBCCM_Valuation_Measures"/>
      <sheetName val="RBCCM_Quarterly_Estimates_Data"/>
      <sheetName val="RBCCM_Income_Statement"/>
      <sheetName val="RBCCM_Cash_Flow"/>
      <sheetName val="RBCCM_Balance_Sheet"/>
      <sheetName val="RBCCM_Industry_Specif"/>
    </sheetNames>
    <sheetDataSet>
      <sheetData sheetId="0" refreshError="1">
        <row r="4">
          <cell r="D4">
            <v>2204.62</v>
          </cell>
        </row>
      </sheetData>
      <sheetData sheetId="1"/>
      <sheetData sheetId="2" refreshError="1">
        <row r="13">
          <cell r="Q13">
            <v>2.15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P_S DATA"/>
      <sheetName val="CHARTS"/>
      <sheetName val="EARNINGS SUMMARY"/>
      <sheetName val="GUIDANCE_ESTIMATES"/>
      <sheetName val="LINKS"/>
      <sheetName val="MODEL"/>
      <sheetName val="Q&amp;A"/>
      <sheetName val="SENSITIVITY ANALYSIS"/>
      <sheetName val="RBC SNWL Model"/>
    </sheetNames>
    <sheetDataSet>
      <sheetData sheetId="0" refreshError="1"/>
      <sheetData sheetId="1" refreshError="1"/>
      <sheetData sheetId="2" refreshError="1"/>
      <sheetData sheetId="3" refreshError="1"/>
      <sheetData sheetId="4" refreshError="1"/>
      <sheetData sheetId="5" refreshError="1"/>
      <sheetData sheetId="6" refreshError="1">
        <row r="3">
          <cell r="A3" t="str">
            <v>$ in Millions</v>
          </cell>
          <cell r="B3" t="str">
            <v>1Q</v>
          </cell>
          <cell r="C3" t="str">
            <v>2Q</v>
          </cell>
          <cell r="D3" t="str">
            <v>3Q</v>
          </cell>
          <cell r="E3" t="str">
            <v>4Q</v>
          </cell>
          <cell r="F3" t="str">
            <v>1Q</v>
          </cell>
          <cell r="G3" t="str">
            <v>2Q</v>
          </cell>
          <cell r="H3" t="str">
            <v>3Q</v>
          </cell>
          <cell r="I3" t="str">
            <v>4Q</v>
          </cell>
          <cell r="J3" t="str">
            <v>1Q</v>
          </cell>
          <cell r="K3" t="str">
            <v>2Q</v>
          </cell>
          <cell r="L3" t="str">
            <v>3Q</v>
          </cell>
          <cell r="M3" t="str">
            <v>4Q</v>
          </cell>
          <cell r="N3" t="str">
            <v>1Q</v>
          </cell>
          <cell r="O3" t="str">
            <v>2Q</v>
          </cell>
          <cell r="P3" t="str">
            <v>3Q</v>
          </cell>
          <cell r="Q3" t="str">
            <v>4Q</v>
          </cell>
          <cell r="R3" t="str">
            <v>1Q</v>
          </cell>
          <cell r="S3" t="str">
            <v>2Q</v>
          </cell>
          <cell r="T3" t="str">
            <v>3Q</v>
          </cell>
          <cell r="U3" t="str">
            <v>4Q</v>
          </cell>
          <cell r="V3" t="str">
            <v>1Q</v>
          </cell>
          <cell r="W3" t="str">
            <v>2Q</v>
          </cell>
          <cell r="X3" t="str">
            <v>3QE</v>
          </cell>
          <cell r="Y3" t="str">
            <v>4QE</v>
          </cell>
          <cell r="Z3" t="str">
            <v>1QE</v>
          </cell>
          <cell r="AA3" t="str">
            <v>2QE</v>
          </cell>
          <cell r="AB3" t="str">
            <v>3QE</v>
          </cell>
          <cell r="AC3" t="str">
            <v>4QE</v>
          </cell>
        </row>
        <row r="44">
          <cell r="A44" t="str">
            <v>Street Revenue Estimates</v>
          </cell>
          <cell r="D44">
            <v>0</v>
          </cell>
          <cell r="E44">
            <v>0</v>
          </cell>
          <cell r="F44">
            <v>0</v>
          </cell>
          <cell r="G44">
            <v>0</v>
          </cell>
          <cell r="H44">
            <v>0</v>
          </cell>
          <cell r="I44">
            <v>0</v>
          </cell>
          <cell r="J44">
            <v>0</v>
          </cell>
          <cell r="K44">
            <v>27.97</v>
          </cell>
          <cell r="L44">
            <v>24.53</v>
          </cell>
          <cell r="M44">
            <v>23.57</v>
          </cell>
          <cell r="N44">
            <v>22.78</v>
          </cell>
          <cell r="O44">
            <v>20.53</v>
          </cell>
          <cell r="P44">
            <v>21.19</v>
          </cell>
          <cell r="Q44">
            <v>24.900000000000002</v>
          </cell>
          <cell r="R44">
            <v>29.05</v>
          </cell>
          <cell r="S44">
            <v>32.770000000000003</v>
          </cell>
          <cell r="T44">
            <v>30.64</v>
          </cell>
          <cell r="U44">
            <v>32.43</v>
          </cell>
          <cell r="V44">
            <v>31.95</v>
          </cell>
          <cell r="W44">
            <v>33.85</v>
          </cell>
          <cell r="X44">
            <v>35.119999999999997</v>
          </cell>
          <cell r="Y44">
            <v>37.56</v>
          </cell>
          <cell r="Z44">
            <v>37.380000000000003</v>
          </cell>
          <cell r="AA44">
            <v>38.869999999999997</v>
          </cell>
          <cell r="AB44">
            <v>40</v>
          </cell>
          <cell r="AC44">
            <v>41.96</v>
          </cell>
          <cell r="AG44">
            <v>89.4</v>
          </cell>
          <cell r="AH44">
            <v>124.89000000000001</v>
          </cell>
          <cell r="AI44">
            <v>138.47999999999999</v>
          </cell>
          <cell r="AJ44">
            <v>158.21</v>
          </cell>
        </row>
        <row r="45">
          <cell r="A45" t="str">
            <v>Street EPS Estimates</v>
          </cell>
          <cell r="D45">
            <v>8.6666670000000001E-2</v>
          </cell>
          <cell r="E45">
            <v>0.06</v>
          </cell>
          <cell r="F45">
            <v>7.375000000000001E-2</v>
          </cell>
          <cell r="G45">
            <v>8.0833340000000004E-2</v>
          </cell>
          <cell r="H45">
            <v>8.4545460000000003E-2</v>
          </cell>
          <cell r="I45">
            <v>8.1666680000000005E-2</v>
          </cell>
          <cell r="J45">
            <v>3.5217399999999996E-2</v>
          </cell>
          <cell r="K45">
            <v>3.3076920000000003E-2</v>
          </cell>
          <cell r="L45">
            <v>1.2173913000000001E-2</v>
          </cell>
          <cell r="M45">
            <v>0</v>
          </cell>
          <cell r="N45">
            <v>-2.7272730000000001E-3</v>
          </cell>
          <cell r="O45">
            <v>-2.0909090000000002E-2</v>
          </cell>
          <cell r="P45">
            <v>-4.4444450000000003E-2</v>
          </cell>
          <cell r="Q45">
            <v>-0.01</v>
          </cell>
          <cell r="R45">
            <v>2.076923E-2</v>
          </cell>
          <cell r="S45">
            <v>2.818182E-2</v>
          </cell>
          <cell r="T45">
            <v>0.01</v>
          </cell>
          <cell r="U45">
            <v>1.722222E-2</v>
          </cell>
          <cell r="V45">
            <v>1.1333335E-2</v>
          </cell>
          <cell r="W45">
            <v>0.04</v>
          </cell>
          <cell r="X45">
            <v>0.04</v>
          </cell>
          <cell r="Y45">
            <v>0.05</v>
          </cell>
          <cell r="Z45">
            <v>0.05</v>
          </cell>
          <cell r="AA45">
            <v>0.05</v>
          </cell>
          <cell r="AB45">
            <v>0.06</v>
          </cell>
          <cell r="AC45">
            <v>7.0000000000000007E-2</v>
          </cell>
          <cell r="AE45">
            <v>0.32079548000000002</v>
          </cell>
          <cell r="AF45">
            <v>8.0468233E-2</v>
          </cell>
          <cell r="AG45">
            <v>-7.8080812999999999E-2</v>
          </cell>
          <cell r="AH45">
            <v>7.6173270000000001E-2</v>
          </cell>
          <cell r="AI45">
            <v>0.141333335</v>
          </cell>
          <cell r="AJ45">
            <v>0.23</v>
          </cell>
        </row>
      </sheetData>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QPL"/>
      <sheetName val="FAME Persistence"/>
      <sheetName val="Balance"/>
      <sheetName val="Platform Rev"/>
      <sheetName val="Geography"/>
    </sheetNames>
    <sheetDataSet>
      <sheetData sheetId="0"/>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heetName val="LANDesk impact"/>
      <sheetName val="BS"/>
      <sheetName val="CF"/>
      <sheetName val="Ratio Metrics"/>
      <sheetName val="Support&gt;"/>
      <sheetName val="Ops Analysis"/>
      <sheetName val="Fund Owernship"/>
      <sheetName val="Ratios - Q"/>
      <sheetName val="DCF tabs&gt;"/>
      <sheetName val="inputs"/>
      <sheetName val="WACC"/>
      <sheetName val="capex &amp; depr"/>
      <sheetName val="MACRS Table"/>
      <sheetName val="IS inputs"/>
      <sheetName val="DFWC inputs"/>
      <sheetName val="ESOs"/>
      <sheetName val="DCF"/>
      <sheetName val="DCF - Forward Look"/>
      <sheetName val="DCF (with ESOs)"/>
      <sheetName val="DCF - Forward Look (with ESOs)"/>
    </sheetNames>
    <sheetDataSet>
      <sheetData sheetId="0"/>
      <sheetData sheetId="1"/>
      <sheetData sheetId="2"/>
      <sheetData sheetId="3"/>
      <sheetData sheetId="4"/>
      <sheetData sheetId="5"/>
      <sheetData sheetId="6"/>
      <sheetData sheetId="7"/>
      <sheetData sheetId="8"/>
      <sheetData sheetId="9"/>
      <sheetData sheetId="10" refreshError="1">
        <row r="4">
          <cell r="C4">
            <v>2.0000000000000004E-2</v>
          </cell>
        </row>
      </sheetData>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MULTIPLES"/>
      <sheetName val="SENSITIVITY"/>
      <sheetName val="CHARTS"/>
      <sheetName val="GUIDANCE_ESTIMATES"/>
      <sheetName val="LINKS"/>
      <sheetName val="Q&amp;A"/>
      <sheetName val="SENSITIVITY ANALYSIS"/>
      <sheetName val="DCF-old"/>
      <sheetName val="Restructuring"/>
      <sheetName val="RBC VIGN Model"/>
      <sheetName val="Comp Sheet"/>
      <sheetName val="Comp 2"/>
      <sheetName val="Comp 4"/>
      <sheetName val="Comp 5"/>
      <sheetName val="FX summary"/>
      <sheetName val="Qtr Preview"/>
      <sheetName val="FX"/>
      <sheetName val="Security Group Picture"/>
      <sheetName val="Infrastructure Group Picture"/>
      <sheetName val="Content Group Picture"/>
      <sheetName val="P-S-Gwth"/>
      <sheetName val="ECM Market"/>
      <sheetName val="Pricing-Broadband-ISPs"/>
      <sheetName val="AV Market"/>
      <sheetName val="URL Filtering"/>
    </sheetNames>
    <sheetDataSet>
      <sheetData sheetId="0"/>
      <sheetData sheetId="1" refreshError="1">
        <row r="315">
          <cell r="A315" t="str">
            <v>Stockholders' Equity:</v>
          </cell>
          <cell r="N315">
            <v>975.01400000000001</v>
          </cell>
          <cell r="O315">
            <v>947.38800000000003</v>
          </cell>
          <cell r="P315">
            <v>2139.2269999999999</v>
          </cell>
          <cell r="Q315">
            <v>2024.5130000000001</v>
          </cell>
          <cell r="R315">
            <v>1795.713</v>
          </cell>
          <cell r="S315">
            <v>1619.549</v>
          </cell>
          <cell r="T315">
            <v>1473.712</v>
          </cell>
          <cell r="U315">
            <v>510.30099999999999</v>
          </cell>
          <cell r="V315">
            <v>474.36099999999999</v>
          </cell>
          <cell r="W315">
            <v>457.50700000000001</v>
          </cell>
          <cell r="X315">
            <v>425.952</v>
          </cell>
          <cell r="Y315">
            <v>265.85199999999998</v>
          </cell>
          <cell r="Z315">
            <v>259.81799999999998</v>
          </cell>
          <cell r="AA315">
            <v>260.41300000000001</v>
          </cell>
          <cell r="AB315">
            <v>259.827</v>
          </cell>
          <cell r="AC315">
            <v>281.346</v>
          </cell>
          <cell r="AD315">
            <v>332.20600000000002</v>
          </cell>
          <cell r="AE315">
            <v>326.71600000000001</v>
          </cell>
          <cell r="AF315">
            <v>320.05900000000003</v>
          </cell>
          <cell r="AG315">
            <v>306.81799999999998</v>
          </cell>
          <cell r="AH315">
            <v>310.68299999999999</v>
          </cell>
          <cell r="AI315">
            <v>324.012</v>
          </cell>
          <cell r="AJ315">
            <v>326.97899999999998</v>
          </cell>
          <cell r="AK315">
            <v>330.10899999999998</v>
          </cell>
          <cell r="AL315">
            <v>333.178</v>
          </cell>
          <cell r="AM315">
            <v>335.83</v>
          </cell>
          <cell r="AN315">
            <v>341.90999999999997</v>
          </cell>
          <cell r="AO315">
            <v>346.08421496447062</v>
          </cell>
          <cell r="AP315">
            <v>350.65471387467011</v>
          </cell>
          <cell r="AQ315">
            <v>355.90399360232925</v>
          </cell>
          <cell r="AR315">
            <v>362.0851429027739</v>
          </cell>
          <cell r="AS315">
            <v>366.32018101728102</v>
          </cell>
          <cell r="BB315">
            <v>281.346</v>
          </cell>
          <cell r="BC315">
            <v>306.81799999999998</v>
          </cell>
          <cell r="BD315">
            <v>330.10899999999998</v>
          </cell>
          <cell r="BE315">
            <v>346.08421496447062</v>
          </cell>
          <cell r="BF315">
            <v>366.32018101728102</v>
          </cell>
        </row>
      </sheetData>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nePager"/>
      <sheetName val="Assumptions"/>
      <sheetName val="NAV"/>
      <sheetName val="Shares"/>
      <sheetName val="Statements"/>
      <sheetName val="PRODsum"/>
      <sheetName val="Seabee"/>
      <sheetName val="Santoy"/>
      <sheetName val="Madsen"/>
      <sheetName val="Amisk"/>
      <sheetName val="Calcs"/>
      <sheetName val="xAMCcomps"/>
      <sheetName val="xProduction"/>
      <sheetName val="xProd"/>
      <sheetName val="xResources"/>
      <sheetName val="xReserves"/>
      <sheetName val="xReserveReplacement"/>
      <sheetName val="xDiscount"/>
      <sheetName val="xBlueMatrix"/>
      <sheetName val="RBCCM_Key_Information"/>
      <sheetName val="RBCCM_Valuation_Measures"/>
      <sheetName val="RBCCM_Quarterly_Estimates_Data"/>
      <sheetName val="RBCCM_Income_Statement"/>
      <sheetName val="RBCCM_Cash_Flow"/>
      <sheetName val="RBCCM_Balance_Sheet"/>
      <sheetName val="RBCCM_Industry_Specif"/>
      <sheetName val="xComps"/>
    </sheetNames>
    <sheetDataSet>
      <sheetData sheetId="0"/>
      <sheetData sheetId="1"/>
      <sheetData sheetId="2" refreshError="1">
        <row r="21">
          <cell r="C21">
            <v>1</v>
          </cell>
          <cell r="D21">
            <v>3.2003668702069197</v>
          </cell>
          <cell r="E21">
            <v>0.21610735841173695</v>
          </cell>
          <cell r="F21">
            <v>0.34334902222356734</v>
          </cell>
          <cell r="G21">
            <v>3.4742855985870298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Pointsec"/>
      <sheetName val="Earnings Summary"/>
      <sheetName val="SENSITIVITY"/>
      <sheetName val="MULTIPLES"/>
      <sheetName val="CHARTS"/>
      <sheetName val="LINKS"/>
      <sheetName val="Q&amp;A MGMT"/>
      <sheetName val="UPCOMING EVENTS"/>
      <sheetName val="2005 Analyst Day"/>
      <sheetName val="Diagrams"/>
      <sheetName val="Rev Doodle"/>
      <sheetName val="Def Rev 1"/>
      <sheetName val="Def Rev 2"/>
      <sheetName val="VALUATION CHARTS"/>
      <sheetName val="GUIDANCE_ESTIMATES"/>
      <sheetName val="trough valuation"/>
      <sheetName val="Ownership"/>
      <sheetName val="Pricing"/>
      <sheetName val="SENSITIVITY ANALYSIS"/>
      <sheetName val="NA Tech Conference"/>
      <sheetName val="DCF"/>
      <sheetName val="First Call Consensus Summary"/>
      <sheetName val="Mgmt Conversations"/>
      <sheetName val="RBC CHKP model"/>
      <sheetName val="Earnings Summary Q2_05"/>
      <sheetName val="Earnings Summary Q1_05"/>
      <sheetName val="Comp Sheet"/>
      <sheetName val="Comp 2"/>
      <sheetName val="Comp 4"/>
      <sheetName val="Comp 5"/>
      <sheetName val="FX summary"/>
      <sheetName val="Qtr Preview"/>
      <sheetName val="FX"/>
      <sheetName val="Security Group Picture"/>
      <sheetName val="Infrastructure Group Picture"/>
      <sheetName val="Content Group Picture"/>
      <sheetName val="P-S-Gwth"/>
      <sheetName val="ECM Market"/>
      <sheetName val="Pricing-Broadband-ISPs"/>
      <sheetName val="AV Market"/>
      <sheetName val="URL Filtering"/>
      <sheetName val="#REF"/>
      <sheetName val="Sheet1"/>
      <sheetName val="MULTIPLES - CHARTS"/>
      <sheetName val="guidance range"/>
      <sheetName val="job postings"/>
      <sheetName val="RBCCM_Key_Information"/>
      <sheetName val="RBCCM_Valuation_Measures"/>
      <sheetName val="RBCCM_Quarterly_Estimates_Data"/>
      <sheetName val="RBCCM_Income_Statement"/>
      <sheetName val="RBCCM_Cash_Flow"/>
      <sheetName val="RBCCM_Balance_Sheet"/>
      <sheetName val="RBCCM_Industry_Specif"/>
      <sheetName val="Upside_Downside"/>
      <sheetName val="BMTemplate"/>
    </sheetNames>
    <sheetDataSet>
      <sheetData sheetId="0"/>
      <sheetData sheetId="1" refreshError="1">
        <row r="91">
          <cell r="A91" t="str">
            <v>Total Deferred Revenue</v>
          </cell>
          <cell r="F91">
            <v>2.2994522215459527</v>
          </cell>
          <cell r="G91">
            <v>3.9535467671060891</v>
          </cell>
          <cell r="H91">
            <v>2.4138950480413897</v>
          </cell>
          <cell r="I91">
            <v>1.1009389671361502</v>
          </cell>
          <cell r="J91">
            <v>1.5899814471243039</v>
          </cell>
          <cell r="K91">
            <v>6.9171842650103512</v>
          </cell>
          <cell r="L91">
            <v>3.5483234714003942</v>
          </cell>
          <cell r="M91">
            <v>4.6670391061452507</v>
          </cell>
          <cell r="N91">
            <v>1.5189828080229228</v>
          </cell>
          <cell r="O91">
            <v>1.1621338912133894</v>
          </cell>
          <cell r="P91">
            <v>1</v>
          </cell>
          <cell r="Q91">
            <v>1.3261041009463723</v>
          </cell>
          <cell r="R91">
            <v>1.2771221384899756</v>
          </cell>
          <cell r="S91">
            <v>1.5919206579583935</v>
          </cell>
          <cell r="T91">
            <v>3.4210754553339116</v>
          </cell>
          <cell r="U91">
            <v>3.7378369215121205</v>
          </cell>
          <cell r="V91">
            <v>3.5220730565095226</v>
          </cell>
          <cell r="W91">
            <v>3.3472235184321044</v>
          </cell>
          <cell r="X91">
            <v>1.584134379597842</v>
          </cell>
          <cell r="Y91">
            <v>1.1683095693865504</v>
          </cell>
          <cell r="Z91">
            <v>0.70358045318346873</v>
          </cell>
          <cell r="AA91">
            <v>0.17696246283315983</v>
          </cell>
          <cell r="AB91">
            <v>-4.8063692696026776E-2</v>
          </cell>
          <cell r="AC91">
            <v>-0.21038431709047703</v>
          </cell>
          <cell r="AD91">
            <v>-0.23202431610942253</v>
          </cell>
          <cell r="AE91">
            <v>-0.13701241256030725</v>
          </cell>
          <cell r="AF91">
            <v>-5.6820447386259444E-2</v>
          </cell>
          <cell r="AG91">
            <v>3.6822252176002851E-2</v>
          </cell>
          <cell r="AH91">
            <v>7.3541673263042395E-2</v>
          </cell>
          <cell r="AI91">
            <v>9.1837166046668903E-2</v>
          </cell>
          <cell r="AJ91">
            <v>4.7782616048025715E-2</v>
          </cell>
          <cell r="AK91">
            <v>6.7138984349017827E-2</v>
          </cell>
          <cell r="AL91">
            <v>0.22271596684919923</v>
          </cell>
          <cell r="AM91">
            <v>0.25801924230985163</v>
          </cell>
          <cell r="AN91">
            <v>0.25865216821166664</v>
          </cell>
          <cell r="AO91">
            <v>0.3326596719205962</v>
          </cell>
          <cell r="AP91">
            <v>0.20738757427374543</v>
          </cell>
          <cell r="AQ91">
            <v>0.18644928484046444</v>
          </cell>
          <cell r="AR91">
            <v>0.15670906162094586</v>
          </cell>
          <cell r="AS91">
            <v>0.19759910427030616</v>
          </cell>
          <cell r="AT91">
            <v>0.19106443621640343</v>
          </cell>
          <cell r="AU91">
            <v>0.14486005551088163</v>
          </cell>
          <cell r="AV91">
            <v>0.20143002639728966</v>
          </cell>
          <cell r="AW91">
            <v>0.20799654433780287</v>
          </cell>
          <cell r="AX91">
            <v>0.33294009113527723</v>
          </cell>
          <cell r="AY91">
            <v>0.33808385539984825</v>
          </cell>
          <cell r="AZ91">
            <v>0.33503708060851417</v>
          </cell>
          <cell r="BA91">
            <v>0.27007162807557239</v>
          </cell>
          <cell r="BB91">
            <v>0.14196568600227374</v>
          </cell>
          <cell r="BC91">
            <v>0.1409552000000002</v>
          </cell>
          <cell r="BD91">
            <v>0.14095520000000022</v>
          </cell>
          <cell r="BE91">
            <v>0.11956114488019737</v>
          </cell>
          <cell r="BF91">
            <v>7.9234446409497603E-2</v>
          </cell>
          <cell r="BG91">
            <v>0.22861654148456387</v>
          </cell>
          <cell r="BH91">
            <v>0.24588479986417067</v>
          </cell>
          <cell r="BI91">
            <v>0.22982829664769647</v>
          </cell>
          <cell r="BJ91">
            <v>0.24962682934743799</v>
          </cell>
          <cell r="BK91">
            <v>0.11606787844362403</v>
          </cell>
          <cell r="BL91">
            <v>7.6594961808134354E-2</v>
          </cell>
          <cell r="BM91">
            <v>5.9789227012118369E-2</v>
          </cell>
          <cell r="BN91">
            <v>4.8733829373467534E-2</v>
          </cell>
          <cell r="BO91">
            <v>6.7138984349017827E-2</v>
          </cell>
          <cell r="BP91">
            <v>0.3326596719205962</v>
          </cell>
          <cell r="BQ91">
            <v>0.19759910427030616</v>
          </cell>
          <cell r="BR91">
            <v>0.20799654433780287</v>
          </cell>
          <cell r="BS91">
            <v>0.27007162807557239</v>
          </cell>
          <cell r="BT91">
            <v>0.11956114488019737</v>
          </cell>
          <cell r="BU91">
            <v>6.8322981366459881E-2</v>
          </cell>
          <cell r="BV91">
            <v>-0.19076155658276522</v>
          </cell>
          <cell r="BW91">
            <v>1.307527828585741E-2</v>
          </cell>
          <cell r="BX91">
            <v>0.19138548033622152</v>
          </cell>
          <cell r="BY91">
            <v>0.12416563179136915</v>
          </cell>
          <cell r="BZ91">
            <v>0.11573446544419148</v>
          </cell>
          <cell r="CA91">
            <v>7.7805823891294493E-2</v>
          </cell>
          <cell r="CB91">
            <v>0.14320096269554761</v>
          </cell>
          <cell r="CC91">
            <v>0.22105263157894736</v>
          </cell>
          <cell r="CD91">
            <v>0.11573446544419148</v>
          </cell>
          <cell r="CE91" t="e">
            <v>#DIV/0!</v>
          </cell>
          <cell r="CF91">
            <v>0.18371912703782534</v>
          </cell>
          <cell r="CG91">
            <v>0.24325045998256029</v>
          </cell>
          <cell r="CH91">
            <v>0.11810621975529038</v>
          </cell>
          <cell r="CI91">
            <v>0.26385737439222057</v>
          </cell>
          <cell r="CJ91">
            <v>0.11655647696940341</v>
          </cell>
          <cell r="CK91">
            <v>0.19697217832585026</v>
          </cell>
          <cell r="CL91">
            <v>0.11983638482970377</v>
          </cell>
          <cell r="CM91">
            <v>6.5114879017352231E-2</v>
          </cell>
          <cell r="CN91">
            <v>6.5118416689450259E-2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ummary"/>
      <sheetName val="MarketData"/>
      <sheetName val="Definitions"/>
    </sheetNames>
    <sheetDataSet>
      <sheetData sheetId="0"/>
      <sheetData sheetId="1"/>
      <sheetData sheetId="2" refreshError="1">
        <row r="14">
          <cell r="A14" t="str">
            <v>Table 1-1</v>
          </cell>
          <cell r="B14" t="str">
            <v>(Top)</v>
          </cell>
          <cell r="C14" t="str">
            <v>(Front Page)</v>
          </cell>
        </row>
        <row r="15">
          <cell r="A15" t="str">
            <v>Top 10 Vendors Ranked by Unit Shipments</v>
          </cell>
        </row>
        <row r="16">
          <cell r="A16" t="str">
            <v>Vendor Name</v>
          </cell>
          <cell r="B16" t="str">
            <v>2Q01</v>
          </cell>
          <cell r="C16" t="str">
            <v>3Q01</v>
          </cell>
          <cell r="D16" t="str">
            <v>4Q01</v>
          </cell>
          <cell r="E16" t="str">
            <v>1Q02</v>
          </cell>
          <cell r="F16" t="str">
            <v>2Q02</v>
          </cell>
          <cell r="G16" t="str">
            <v>2Q02/2Q01</v>
          </cell>
        </row>
        <row r="17">
          <cell r="A17" t="str">
            <v>NEC</v>
          </cell>
          <cell r="B17">
            <v>651</v>
          </cell>
          <cell r="C17">
            <v>520.9</v>
          </cell>
          <cell r="D17">
            <v>575</v>
          </cell>
          <cell r="E17">
            <v>800</v>
          </cell>
          <cell r="F17">
            <v>695.36</v>
          </cell>
          <cell r="G17">
            <v>6.8141321044546954E-2</v>
          </cell>
        </row>
        <row r="18">
          <cell r="A18" t="str">
            <v>Fujitsu</v>
          </cell>
          <cell r="B18">
            <v>610</v>
          </cell>
          <cell r="C18">
            <v>554.79999999999995</v>
          </cell>
          <cell r="D18">
            <v>580</v>
          </cell>
          <cell r="E18">
            <v>751</v>
          </cell>
          <cell r="F18">
            <v>542</v>
          </cell>
          <cell r="G18">
            <v>-0.11147540983606552</v>
          </cell>
        </row>
        <row r="19">
          <cell r="A19" t="str">
            <v>Sony</v>
          </cell>
          <cell r="B19">
            <v>368.2</v>
          </cell>
          <cell r="C19">
            <v>223</v>
          </cell>
          <cell r="D19">
            <v>450</v>
          </cell>
          <cell r="E19">
            <v>462</v>
          </cell>
          <cell r="F19">
            <v>358</v>
          </cell>
          <cell r="G19">
            <v>-2.7702335687126545E-2</v>
          </cell>
        </row>
        <row r="20">
          <cell r="A20" t="str">
            <v>Toshiba</v>
          </cell>
          <cell r="B20">
            <v>257.10000000000002</v>
          </cell>
          <cell r="C20">
            <v>214</v>
          </cell>
          <cell r="D20">
            <v>150</v>
          </cell>
          <cell r="E20">
            <v>267</v>
          </cell>
          <cell r="F20">
            <v>202</v>
          </cell>
          <cell r="G20">
            <v>-0.21431349669389355</v>
          </cell>
        </row>
        <row r="21">
          <cell r="A21" t="str">
            <v>IBM</v>
          </cell>
          <cell r="B21">
            <v>290.10000000000002</v>
          </cell>
          <cell r="C21">
            <v>217.3</v>
          </cell>
          <cell r="D21">
            <v>208.5</v>
          </cell>
          <cell r="E21">
            <v>196.5</v>
          </cell>
          <cell r="F21">
            <v>188.1</v>
          </cell>
          <cell r="G21">
            <v>-0.35160289555325752</v>
          </cell>
        </row>
        <row r="22">
          <cell r="A22" t="str">
            <v>Dell Computer</v>
          </cell>
          <cell r="B22">
            <v>177.6</v>
          </cell>
          <cell r="C22">
            <v>182.1</v>
          </cell>
          <cell r="D22">
            <v>179</v>
          </cell>
          <cell r="E22">
            <v>210.3</v>
          </cell>
          <cell r="F22">
            <v>188</v>
          </cell>
          <cell r="G22">
            <v>5.8558558558558627E-2</v>
          </cell>
        </row>
        <row r="23">
          <cell r="A23" t="str">
            <v>Hitachi</v>
          </cell>
          <cell r="B23">
            <v>144</v>
          </cell>
          <cell r="C23">
            <v>162</v>
          </cell>
          <cell r="D23">
            <v>164</v>
          </cell>
          <cell r="E23">
            <v>188.6</v>
          </cell>
          <cell r="F23">
            <v>133</v>
          </cell>
          <cell r="G23">
            <v>-7.638888888888884E-2</v>
          </cell>
        </row>
        <row r="24">
          <cell r="A24" t="str">
            <v>Sharp</v>
          </cell>
          <cell r="B24">
            <v>110</v>
          </cell>
          <cell r="C24">
            <v>84.2</v>
          </cell>
          <cell r="D24">
            <v>102.4</v>
          </cell>
          <cell r="E24">
            <v>112.5</v>
          </cell>
          <cell r="F24">
            <v>104.9</v>
          </cell>
          <cell r="G24">
            <v>-4.6363636363636274E-2</v>
          </cell>
        </row>
        <row r="25">
          <cell r="A25" t="str">
            <v>Apple Computer</v>
          </cell>
          <cell r="B25">
            <v>128</v>
          </cell>
          <cell r="C25">
            <v>97.9</v>
          </cell>
          <cell r="D25">
            <v>96</v>
          </cell>
          <cell r="E25">
            <v>131</v>
          </cell>
          <cell r="F25">
            <v>97.8</v>
          </cell>
          <cell r="G25">
            <v>-0.23593749999999999</v>
          </cell>
        </row>
        <row r="26">
          <cell r="A26" t="str">
            <v>Sotec</v>
          </cell>
          <cell r="B26">
            <v>100.1</v>
          </cell>
          <cell r="C26">
            <v>70</v>
          </cell>
          <cell r="D26">
            <v>91.5</v>
          </cell>
          <cell r="E26">
            <v>98</v>
          </cell>
          <cell r="F26">
            <v>80.5</v>
          </cell>
          <cell r="G26">
            <v>-0.19580419580419572</v>
          </cell>
        </row>
        <row r="27">
          <cell r="A27" t="str">
            <v>Others</v>
          </cell>
          <cell r="B27">
            <v>416.59</v>
          </cell>
          <cell r="C27">
            <v>264.76000000000067</v>
          </cell>
          <cell r="D27">
            <v>248.01</v>
          </cell>
          <cell r="E27">
            <v>288.66000000000003</v>
          </cell>
          <cell r="F27">
            <v>233.17</v>
          </cell>
          <cell r="G27">
            <v>-0.44028901317842595</v>
          </cell>
        </row>
        <row r="28">
          <cell r="A28" t="str">
            <v>Total</v>
          </cell>
          <cell r="B28">
            <v>3252.69</v>
          </cell>
          <cell r="C28">
            <v>2590.96</v>
          </cell>
          <cell r="D28">
            <v>2844.41</v>
          </cell>
          <cell r="E28">
            <v>3505.56</v>
          </cell>
          <cell r="F28">
            <v>2822.83</v>
          </cell>
          <cell r="G28">
            <v>-0.13215523151606823</v>
          </cell>
        </row>
        <row r="29">
          <cell r="A29" t="str">
            <v>Market Share</v>
          </cell>
        </row>
        <row r="30">
          <cell r="A30" t="str">
            <v>NEC</v>
          </cell>
          <cell r="B30">
            <v>0.20014203628381433</v>
          </cell>
          <cell r="C30">
            <v>0.20104517244573439</v>
          </cell>
          <cell r="D30">
            <v>0.20215088542087814</v>
          </cell>
          <cell r="E30">
            <v>0.22820890242928377</v>
          </cell>
          <cell r="F30">
            <v>0.24633435240521037</v>
          </cell>
        </row>
        <row r="31">
          <cell r="A31" t="str">
            <v>Fujitsu</v>
          </cell>
          <cell r="B31">
            <v>0.18753708468990282</v>
          </cell>
          <cell r="C31">
            <v>0.21412912588384225</v>
          </cell>
          <cell r="D31">
            <v>0.20390871920714665</v>
          </cell>
          <cell r="E31">
            <v>0.21423110715549015</v>
          </cell>
          <cell r="F31">
            <v>0.19200589479352281</v>
          </cell>
        </row>
        <row r="32">
          <cell r="A32" t="str">
            <v>Sony</v>
          </cell>
          <cell r="B32">
            <v>0.11319861407020035</v>
          </cell>
          <cell r="C32">
            <v>8.6068484268379292E-2</v>
          </cell>
          <cell r="D32">
            <v>0.1582050407641655</v>
          </cell>
          <cell r="E32">
            <v>0.13179064115291136</v>
          </cell>
          <cell r="F32">
            <v>0.12682308180088778</v>
          </cell>
        </row>
        <row r="33">
          <cell r="A33" t="str">
            <v>Toshiba</v>
          </cell>
          <cell r="B33">
            <v>7.904226962913774E-2</v>
          </cell>
          <cell r="C33">
            <v>8.2594868311359496E-2</v>
          </cell>
          <cell r="D33">
            <v>5.2735013588055171E-2</v>
          </cell>
          <cell r="E33">
            <v>7.6164721185773457E-2</v>
          </cell>
          <cell r="F33">
            <v>7.1559392524523258E-2</v>
          </cell>
        </row>
        <row r="34">
          <cell r="A34" t="str">
            <v>IBM</v>
          </cell>
          <cell r="B34">
            <v>8.9187718473017721E-2</v>
          </cell>
          <cell r="C34">
            <v>8.3868527495600087E-2</v>
          </cell>
          <cell r="D34">
            <v>7.3301668887396684E-2</v>
          </cell>
          <cell r="E34">
            <v>5.6053811659192827E-2</v>
          </cell>
          <cell r="F34">
            <v>6.6635256108231816E-2</v>
          </cell>
        </row>
        <row r="35">
          <cell r="A35" t="str">
            <v>Dell Computer</v>
          </cell>
          <cell r="B35">
            <v>5.4600961050699573E-2</v>
          </cell>
          <cell r="C35">
            <v>7.0282829530367116E-2</v>
          </cell>
          <cell r="D35">
            <v>6.2930449548412509E-2</v>
          </cell>
          <cell r="E35">
            <v>5.9990415226097972E-2</v>
          </cell>
          <cell r="F35">
            <v>6.6599830666387985E-2</v>
          </cell>
        </row>
        <row r="36">
          <cell r="A36" t="str">
            <v>Hitachi</v>
          </cell>
          <cell r="B36">
            <v>4.4271049500567219E-2</v>
          </cell>
          <cell r="C36">
            <v>6.2525087226356246E-2</v>
          </cell>
          <cell r="D36">
            <v>5.7656948189606989E-2</v>
          </cell>
          <cell r="E36">
            <v>5.3800248747703644E-2</v>
          </cell>
          <cell r="F36">
            <v>4.7115837652285122E-2</v>
          </cell>
        </row>
        <row r="37">
          <cell r="A37" t="str">
            <v>Sharp</v>
          </cell>
          <cell r="B37">
            <v>3.3818162812933296E-2</v>
          </cell>
          <cell r="C37">
            <v>3.2497607064562943E-2</v>
          </cell>
          <cell r="D37">
            <v>3.6000435942778998E-2</v>
          </cell>
          <cell r="E37">
            <v>3.2091876904118029E-2</v>
          </cell>
          <cell r="F37">
            <v>3.7161288494170747E-2</v>
          </cell>
        </row>
        <row r="38">
          <cell r="A38" t="str">
            <v>Apple Computer</v>
          </cell>
          <cell r="B38">
            <v>3.9352044000504197E-2</v>
          </cell>
          <cell r="C38">
            <v>3.778522246580418E-2</v>
          </cell>
          <cell r="D38">
            <v>3.3750408696355309E-2</v>
          </cell>
          <cell r="E38">
            <v>3.7369207772795218E-2</v>
          </cell>
          <cell r="F38">
            <v>3.4646082123259279E-2</v>
          </cell>
        </row>
        <row r="39">
          <cell r="A39" t="str">
            <v>Sotec</v>
          </cell>
          <cell r="B39">
            <v>3.0774528159769297E-2</v>
          </cell>
          <cell r="C39">
            <v>2.7017012999042824E-2</v>
          </cell>
          <cell r="D39">
            <v>3.2168358288713651E-2</v>
          </cell>
          <cell r="E39">
            <v>2.7955590547587263E-2</v>
          </cell>
          <cell r="F39">
            <v>2.8517480684277837E-2</v>
          </cell>
        </row>
        <row r="40">
          <cell r="A40" t="str">
            <v>Others</v>
          </cell>
          <cell r="B40">
            <v>0.12807553132945351</v>
          </cell>
          <cell r="C40">
            <v>0.10218606230895139</v>
          </cell>
          <cell r="D40">
            <v>8.7192071466490342E-2</v>
          </cell>
          <cell r="E40">
            <v>8.2343477219046279E-2</v>
          </cell>
          <cell r="F40">
            <v>8.2601502747242886E-2</v>
          </cell>
        </row>
        <row r="41">
          <cell r="A41" t="str">
            <v>Source: Gartner Dataquest (August 2002)</v>
          </cell>
        </row>
        <row r="43">
          <cell r="A43" t="str">
            <v>Table 1-2</v>
          </cell>
          <cell r="B43" t="str">
            <v>(Top)</v>
          </cell>
          <cell r="C43" t="str">
            <v>(Front Page)</v>
          </cell>
        </row>
        <row r="44">
          <cell r="A44" t="str">
            <v>Total Market Revenue by Vendor (Millions of Yen)</v>
          </cell>
        </row>
        <row r="45">
          <cell r="A45" t="str">
            <v>Vendor Name</v>
          </cell>
          <cell r="B45" t="str">
            <v>2Q01</v>
          </cell>
          <cell r="C45" t="str">
            <v>3Q01</v>
          </cell>
          <cell r="D45" t="str">
            <v>4Q01</v>
          </cell>
          <cell r="E45" t="str">
            <v>1Q02</v>
          </cell>
          <cell r="F45" t="str">
            <v>2Q02</v>
          </cell>
          <cell r="G45" t="str">
            <v>2Q02/2Q01</v>
          </cell>
        </row>
        <row r="46">
          <cell r="A46" t="str">
            <v>NEC</v>
          </cell>
          <cell r="B46">
            <v>107795.972096</v>
          </cell>
          <cell r="C46">
            <v>80805.593087999994</v>
          </cell>
          <cell r="D46">
            <v>92748.980223999999</v>
          </cell>
          <cell r="E46">
            <v>130790.24435199999</v>
          </cell>
          <cell r="F46">
            <v>118411.681792</v>
          </cell>
          <cell r="G46">
            <v>9.8479650858809054E-2</v>
          </cell>
        </row>
        <row r="47">
          <cell r="A47" t="str">
            <v>Fujitsu</v>
          </cell>
          <cell r="B47">
            <v>103981.473792</v>
          </cell>
          <cell r="C47">
            <v>88440.553472</v>
          </cell>
          <cell r="D47">
            <v>95563.513856000005</v>
          </cell>
          <cell r="E47">
            <v>123445.14969599999</v>
          </cell>
          <cell r="F47">
            <v>94140.555263999995</v>
          </cell>
          <cell r="G47">
            <v>-9.4641075656278439E-2</v>
          </cell>
        </row>
        <row r="48">
          <cell r="A48" t="str">
            <v>Sony</v>
          </cell>
          <cell r="B48">
            <v>67482.509311999995</v>
          </cell>
          <cell r="C48">
            <v>33701.988352</v>
          </cell>
          <cell r="D48">
            <v>77276.094463999994</v>
          </cell>
          <cell r="E48">
            <v>80877.682688000001</v>
          </cell>
          <cell r="F48">
            <v>62304.956416000001</v>
          </cell>
          <cell r="G48">
            <v>-7.6724368266479104E-2</v>
          </cell>
        </row>
        <row r="49">
          <cell r="A49" t="str">
            <v>Toshiba</v>
          </cell>
          <cell r="B49">
            <v>42142.298111999997</v>
          </cell>
          <cell r="C49">
            <v>33950.783488000001</v>
          </cell>
          <cell r="D49">
            <v>25025.128447999999</v>
          </cell>
          <cell r="E49">
            <v>46026.301440000003</v>
          </cell>
          <cell r="F49">
            <v>36138.090495999997</v>
          </cell>
          <cell r="G49">
            <v>-0.14247461303706888</v>
          </cell>
        </row>
        <row r="50">
          <cell r="A50" t="str">
            <v>IBM</v>
          </cell>
          <cell r="B50">
            <v>47070.199807999998</v>
          </cell>
          <cell r="C50">
            <v>32902.529024000003</v>
          </cell>
          <cell r="D50">
            <v>33920.710656000003</v>
          </cell>
          <cell r="E50">
            <v>34466.291711999998</v>
          </cell>
          <cell r="F50">
            <v>33845.870591999999</v>
          </cell>
          <cell r="G50">
            <v>-0.28094907754677523</v>
          </cell>
        </row>
        <row r="51">
          <cell r="A51" t="str">
            <v>Dell Computer</v>
          </cell>
          <cell r="B51">
            <v>20364.158975999999</v>
          </cell>
          <cell r="C51">
            <v>24732.293119999998</v>
          </cell>
          <cell r="D51">
            <v>24158.097408000001</v>
          </cell>
          <cell r="E51">
            <v>30028.627968000001</v>
          </cell>
          <cell r="F51">
            <v>30342.471679999999</v>
          </cell>
          <cell r="G51">
            <v>0.48999385222634784</v>
          </cell>
        </row>
        <row r="52">
          <cell r="A52" t="str">
            <v>Hitachi</v>
          </cell>
          <cell r="B52">
            <v>24444.796928</v>
          </cell>
          <cell r="C52">
            <v>26822.303744000001</v>
          </cell>
          <cell r="D52">
            <v>26065.659904</v>
          </cell>
          <cell r="E52">
            <v>28491.655168000001</v>
          </cell>
          <cell r="F52">
            <v>21452.759040000001</v>
          </cell>
          <cell r="G52">
            <v>-0.12239978498544224</v>
          </cell>
        </row>
        <row r="53">
          <cell r="A53" t="str">
            <v>Apple Computer</v>
          </cell>
          <cell r="B53">
            <v>26070.532095999999</v>
          </cell>
          <cell r="C53">
            <v>17969.661951999999</v>
          </cell>
          <cell r="D53">
            <v>18298.318847999999</v>
          </cell>
          <cell r="E53">
            <v>27189.180415999999</v>
          </cell>
          <cell r="F53">
            <v>19384.416256</v>
          </cell>
          <cell r="G53">
            <v>-0.25646257680432416</v>
          </cell>
        </row>
        <row r="54">
          <cell r="A54" t="str">
            <v>Sharp</v>
          </cell>
          <cell r="B54">
            <v>16893.277183999999</v>
          </cell>
          <cell r="C54">
            <v>13093.834752000001</v>
          </cell>
          <cell r="D54">
            <v>13499.070464</v>
          </cell>
          <cell r="E54">
            <v>14811.020288</v>
          </cell>
          <cell r="F54">
            <v>15684.221952</v>
          </cell>
          <cell r="G54">
            <v>-7.1570200312886745E-2</v>
          </cell>
        </row>
        <row r="55">
          <cell r="A55" t="str">
            <v>Sotec</v>
          </cell>
          <cell r="B55">
            <v>13104.216064</v>
          </cell>
          <cell r="C55">
            <v>8181.2244479999999</v>
          </cell>
          <cell r="D55">
            <v>11108.037632</v>
          </cell>
          <cell r="E55">
            <v>11119.673344000001</v>
          </cell>
          <cell r="F55">
            <v>10359.041024</v>
          </cell>
          <cell r="G55">
            <v>-0.20948792561056473</v>
          </cell>
        </row>
        <row r="56">
          <cell r="A56" t="str">
            <v>Others</v>
          </cell>
          <cell r="B56">
            <v>58766.019968000066</v>
          </cell>
          <cell r="C56">
            <v>35465.544988000067</v>
          </cell>
          <cell r="D56">
            <v>33745.476976000005</v>
          </cell>
          <cell r="E56">
            <v>38723.88436799997</v>
          </cell>
          <cell r="F56">
            <v>30651.769744000048</v>
          </cell>
          <cell r="G56">
            <v>-0.47840997636574856</v>
          </cell>
        </row>
        <row r="57">
          <cell r="A57" t="str">
            <v>Total</v>
          </cell>
          <cell r="B57">
            <v>528115.45433600002</v>
          </cell>
          <cell r="C57">
            <v>396066.310428</v>
          </cell>
          <cell r="D57">
            <v>451409.08888</v>
          </cell>
          <cell r="E57">
            <v>565969.71143999998</v>
          </cell>
          <cell r="F57">
            <v>472715.834256</v>
          </cell>
          <cell r="G57">
            <v>-0.1049005849481417</v>
          </cell>
        </row>
        <row r="58">
          <cell r="A58" t="str">
            <v>Market Share</v>
          </cell>
        </row>
        <row r="59">
          <cell r="A59" t="str">
            <v>NEC</v>
          </cell>
          <cell r="B59">
            <v>0.20411440568716543</v>
          </cell>
          <cell r="C59">
            <v>0.20402036467246931</v>
          </cell>
          <cell r="D59">
            <v>0.20546546914711294</v>
          </cell>
          <cell r="E59">
            <v>0.23109053666357804</v>
          </cell>
          <cell r="F59">
            <v>0.25049231104848918</v>
          </cell>
        </row>
        <row r="60">
          <cell r="A60" t="str">
            <v>Fujitsu</v>
          </cell>
          <cell r="B60">
            <v>0.19689155645470741</v>
          </cell>
          <cell r="C60">
            <v>0.22329733972179744</v>
          </cell>
          <cell r="D60">
            <v>0.21170046463420691</v>
          </cell>
          <cell r="E60">
            <v>0.21811264313406065</v>
          </cell>
          <cell r="F60">
            <v>0.19914830103410081</v>
          </cell>
        </row>
        <row r="61">
          <cell r="A61" t="str">
            <v>Sony</v>
          </cell>
          <cell r="B61">
            <v>0.12777984199846187</v>
          </cell>
          <cell r="C61">
            <v>8.5091782523943324E-2</v>
          </cell>
          <cell r="D61">
            <v>0.17118860999394417</v>
          </cell>
          <cell r="E61">
            <v>0.1429010794274175</v>
          </cell>
          <cell r="F61">
            <v>0.13180213545006544</v>
          </cell>
        </row>
        <row r="62">
          <cell r="A62" t="str">
            <v>Toshiba</v>
          </cell>
          <cell r="B62">
            <v>7.9797509741474121E-2</v>
          </cell>
          <cell r="C62">
            <v>8.5719947882746866E-2</v>
          </cell>
          <cell r="D62">
            <v>5.5437803678455702E-2</v>
          </cell>
          <cell r="E62">
            <v>8.1322905642591758E-2</v>
          </cell>
          <cell r="F62">
            <v>7.6447810454407919E-2</v>
          </cell>
        </row>
        <row r="63">
          <cell r="A63" t="str">
            <v>IBM</v>
          </cell>
          <cell r="B63">
            <v>8.9128616520380746E-2</v>
          </cell>
          <cell r="C63">
            <v>8.3073283835842129E-2</v>
          </cell>
          <cell r="D63">
            <v>7.5144057777306497E-2</v>
          </cell>
          <cell r="E63">
            <v>6.0897767169036686E-2</v>
          </cell>
          <cell r="F63">
            <v>7.1598766403222949E-2</v>
          </cell>
        </row>
        <row r="64">
          <cell r="A64" t="str">
            <v>Dell Computer</v>
          </cell>
          <cell r="B64">
            <v>3.8560051232743933E-2</v>
          </cell>
          <cell r="C64">
            <v>6.2444829233957347E-2</v>
          </cell>
          <cell r="D64">
            <v>5.3517082405095416E-2</v>
          </cell>
          <cell r="E64">
            <v>5.3056952273290367E-2</v>
          </cell>
          <cell r="F64">
            <v>6.4187550915774882E-2</v>
          </cell>
        </row>
        <row r="65">
          <cell r="A65" t="str">
            <v>Hitachi</v>
          </cell>
          <cell r="B65">
            <v>4.6286842635072024E-2</v>
          </cell>
          <cell r="C65">
            <v>6.7721750216561197E-2</v>
          </cell>
          <cell r="D65">
            <v>5.7742877904102513E-2</v>
          </cell>
          <cell r="E65">
            <v>5.0341307303368797E-2</v>
          </cell>
          <cell r="F65">
            <v>4.5381934526826588E-2</v>
          </cell>
        </row>
        <row r="66">
          <cell r="A66" t="str">
            <v>Apple Computer</v>
          </cell>
          <cell r="B66">
            <v>4.9365213386490456E-2</v>
          </cell>
          <cell r="C66">
            <v>4.537033693318044E-2</v>
          </cell>
          <cell r="D66">
            <v>4.0536000046876144E-2</v>
          </cell>
          <cell r="E66">
            <v>4.8039992010919477E-2</v>
          </cell>
          <cell r="F66">
            <v>4.1006488150558414E-2</v>
          </cell>
        </row>
        <row r="67">
          <cell r="A67" t="str">
            <v>Sharp</v>
          </cell>
          <cell r="B67">
            <v>3.1987848576103366E-2</v>
          </cell>
          <cell r="C67">
            <v>3.3059703406357506E-2</v>
          </cell>
          <cell r="D67">
            <v>2.9904294788332265E-2</v>
          </cell>
          <cell r="E67">
            <v>2.6169280773552767E-2</v>
          </cell>
          <cell r="F67">
            <v>3.3178964645187208E-2</v>
          </cell>
        </row>
        <row r="68">
          <cell r="A68" t="str">
            <v>Sotec</v>
          </cell>
          <cell r="B68">
            <v>2.4813165296357291E-2</v>
          </cell>
          <cell r="C68">
            <v>2.0656198804586905E-2</v>
          </cell>
          <cell r="D68">
            <v>2.4607474474119189E-2</v>
          </cell>
          <cell r="E68">
            <v>1.9647117362001851E-2</v>
          </cell>
          <cell r="F68">
            <v>2.1913886257488985E-2</v>
          </cell>
        </row>
        <row r="69">
          <cell r="A69" t="str">
            <v>Others</v>
          </cell>
          <cell r="B69">
            <v>0.11127494847104338</v>
          </cell>
          <cell r="C69">
            <v>8.9544462768557709E-2</v>
          </cell>
          <cell r="D69">
            <v>7.4755865150448284E-2</v>
          </cell>
          <cell r="E69">
            <v>6.8420418240182093E-2</v>
          </cell>
          <cell r="F69">
            <v>6.4841851113877719E-2</v>
          </cell>
        </row>
        <row r="70">
          <cell r="A70" t="str">
            <v>Source: Gartner Dataquest (August 2002)</v>
          </cell>
        </row>
        <row r="72">
          <cell r="A72" t="str">
            <v>Table 1-3</v>
          </cell>
          <cell r="B72" t="str">
            <v>(Top)</v>
          </cell>
          <cell r="C72" t="str">
            <v>(Front Page)</v>
          </cell>
        </row>
        <row r="73">
          <cell r="A73" t="str">
            <v>Total Market Shipments by Platform (Thousands of Units)</v>
          </cell>
        </row>
        <row r="74">
          <cell r="A74" t="str">
            <v>Product Type</v>
          </cell>
          <cell r="B74" t="str">
            <v>2Q01</v>
          </cell>
          <cell r="C74" t="str">
            <v>3Q01</v>
          </cell>
          <cell r="D74" t="str">
            <v>4Q01</v>
          </cell>
          <cell r="E74" t="str">
            <v>1Q02</v>
          </cell>
          <cell r="F74" t="str">
            <v>2Q02</v>
          </cell>
          <cell r="G74" t="str">
            <v>2Q02/2Q01</v>
          </cell>
        </row>
        <row r="75">
          <cell r="A75" t="str">
            <v>Small Form Factor No Slots</v>
          </cell>
          <cell r="B75">
            <v>27.9</v>
          </cell>
          <cell r="C75">
            <v>29.2</v>
          </cell>
          <cell r="D75">
            <v>24.5</v>
          </cell>
          <cell r="E75">
            <v>23.27</v>
          </cell>
          <cell r="F75">
            <v>22.59</v>
          </cell>
          <cell r="G75">
            <v>-0.19032258064516128</v>
          </cell>
        </row>
        <row r="76">
          <cell r="A76" t="str">
            <v>All-In-One</v>
          </cell>
          <cell r="B76">
            <v>97.47</v>
          </cell>
          <cell r="C76">
            <v>108.06</v>
          </cell>
          <cell r="D76">
            <v>87.25</v>
          </cell>
          <cell r="E76">
            <v>168.4</v>
          </cell>
          <cell r="F76">
            <v>119</v>
          </cell>
          <cell r="G76">
            <v>0.22088847850620708</v>
          </cell>
        </row>
        <row r="77">
          <cell r="A77" t="str">
            <v>Deskbound</v>
          </cell>
          <cell r="B77">
            <v>1428.35</v>
          </cell>
          <cell r="C77">
            <v>1198.28</v>
          </cell>
          <cell r="D77">
            <v>1265.1300000000001</v>
          </cell>
          <cell r="E77">
            <v>1505.17</v>
          </cell>
          <cell r="F77">
            <v>1141.79</v>
          </cell>
          <cell r="G77">
            <v>-0.20062309657996991</v>
          </cell>
        </row>
        <row r="78">
          <cell r="A78" t="str">
            <v>Notebook</v>
          </cell>
          <cell r="B78">
            <v>1365.2</v>
          </cell>
          <cell r="C78">
            <v>1018.62</v>
          </cell>
          <cell r="D78">
            <v>1200.45</v>
          </cell>
          <cell r="E78">
            <v>1492.61</v>
          </cell>
          <cell r="F78">
            <v>1243.4100000000001</v>
          </cell>
          <cell r="G78">
            <v>-8.9210372106651059E-2</v>
          </cell>
        </row>
        <row r="79">
          <cell r="A79" t="str">
            <v>Ultraportable</v>
          </cell>
          <cell r="B79">
            <v>333.77</v>
          </cell>
          <cell r="C79">
            <v>236.8</v>
          </cell>
          <cell r="D79">
            <v>267.08</v>
          </cell>
          <cell r="E79">
            <v>316.11</v>
          </cell>
          <cell r="F79">
            <v>296.04000000000002</v>
          </cell>
          <cell r="G79">
            <v>-0.1130419150912304</v>
          </cell>
        </row>
        <row r="80">
          <cell r="A80" t="str">
            <v>Total</v>
          </cell>
          <cell r="B80">
            <v>3252.69</v>
          </cell>
          <cell r="C80">
            <v>2590.96</v>
          </cell>
          <cell r="D80">
            <v>2844.41</v>
          </cell>
          <cell r="E80">
            <v>3505.56</v>
          </cell>
          <cell r="F80">
            <v>2822.83</v>
          </cell>
          <cell r="G80">
            <v>-0.13215523151606823</v>
          </cell>
        </row>
        <row r="81">
          <cell r="A81" t="str">
            <v>Market Share</v>
          </cell>
          <cell r="G81">
            <v>0</v>
          </cell>
        </row>
        <row r="82">
          <cell r="A82" t="str">
            <v>Small Form Factor No Slots</v>
          </cell>
          <cell r="B82">
            <v>8.5775158407348992E-3</v>
          </cell>
          <cell r="C82">
            <v>1.1269953993886436E-2</v>
          </cell>
          <cell r="D82">
            <v>8.6133855527156782E-3</v>
          </cell>
          <cell r="E82">
            <v>6.6380264494117916E-3</v>
          </cell>
          <cell r="F82">
            <v>8.0026073125197064E-3</v>
          </cell>
        </row>
        <row r="83">
          <cell r="A83" t="str">
            <v>All-In-One</v>
          </cell>
          <cell r="B83">
            <v>2.996596663069644E-2</v>
          </cell>
          <cell r="C83">
            <v>4.1706548923950967E-2</v>
          </cell>
          <cell r="D83">
            <v>3.0674199570385426E-2</v>
          </cell>
          <cell r="E83">
            <v>4.8037973961364236E-2</v>
          </cell>
          <cell r="F83">
            <v>4.2156275794149843E-2</v>
          </cell>
        </row>
        <row r="84">
          <cell r="A84" t="str">
            <v>Deskbound</v>
          </cell>
          <cell r="B84">
            <v>0.43912884412593878</v>
          </cell>
          <cell r="C84">
            <v>0.46248494766418624</v>
          </cell>
          <cell r="D84">
            <v>0.44477765160437494</v>
          </cell>
          <cell r="E84">
            <v>0.42936649208685634</v>
          </cell>
          <cell r="F84">
            <v>0.40448415242859115</v>
          </cell>
        </row>
        <row r="85">
          <cell r="A85" t="str">
            <v>Notebook</v>
          </cell>
          <cell r="B85">
            <v>0.41971414429287757</v>
          </cell>
          <cell r="C85">
            <v>0.39314385401550006</v>
          </cell>
          <cell r="D85">
            <v>0.42203831374520556</v>
          </cell>
          <cell r="E85">
            <v>0.42578361231871653</v>
          </cell>
          <cell r="F85">
            <v>0.44048348643028457</v>
          </cell>
        </row>
        <row r="86">
          <cell r="A86" t="str">
            <v>Ultraportable</v>
          </cell>
          <cell r="B86">
            <v>0.10261352910975223</v>
          </cell>
          <cell r="C86">
            <v>9.13946954024763E-2</v>
          </cell>
          <cell r="D86">
            <v>9.3896449527318487E-2</v>
          </cell>
          <cell r="E86">
            <v>9.0173895183651126E-2</v>
          </cell>
          <cell r="F86">
            <v>0.10487347803445479</v>
          </cell>
        </row>
        <row r="87">
          <cell r="A87" t="str">
            <v>Source: Gartner Dataquest (August 2002)</v>
          </cell>
        </row>
        <row r="89">
          <cell r="A89" t="str">
            <v>Table 1-4</v>
          </cell>
          <cell r="B89" t="str">
            <v>(Top)</v>
          </cell>
          <cell r="C89" t="str">
            <v>(Front Page)</v>
          </cell>
        </row>
        <row r="90">
          <cell r="A90" t="str">
            <v>Total Market Shipments by CPU Type (Thousands of Units)</v>
          </cell>
        </row>
        <row r="91">
          <cell r="A91" t="str">
            <v>CPU Type</v>
          </cell>
          <cell r="B91" t="str">
            <v>2Q01</v>
          </cell>
          <cell r="C91" t="str">
            <v>3Q01</v>
          </cell>
          <cell r="D91" t="str">
            <v>4Q01</v>
          </cell>
          <cell r="E91" t="str">
            <v>1Q02</v>
          </cell>
          <cell r="F91" t="str">
            <v>2Q02</v>
          </cell>
          <cell r="G91" t="str">
            <v>2Q02/2Q01</v>
          </cell>
        </row>
        <row r="92">
          <cell r="A92" t="str">
            <v>486DX4/Pentium</v>
          </cell>
          <cell r="B92">
            <v>0.90000000286100001</v>
          </cell>
          <cell r="C92">
            <v>0.62999999809270002</v>
          </cell>
          <cell r="D92">
            <v>0.85000000953669996</v>
          </cell>
          <cell r="E92">
            <v>0.60000000190729996</v>
          </cell>
          <cell r="F92">
            <v>0.39999999237060002</v>
          </cell>
          <cell r="G92">
            <v>-0.55555556544550611</v>
          </cell>
        </row>
        <row r="93">
          <cell r="A93" t="str">
            <v>Pentium II</v>
          </cell>
          <cell r="B93">
            <v>1</v>
          </cell>
          <cell r="C93">
            <v>0.80000001525879993</v>
          </cell>
          <cell r="D93">
            <v>0.5</v>
          </cell>
          <cell r="E93">
            <v>0.2499999917969</v>
          </cell>
          <cell r="F93">
            <v>0.1000000019073</v>
          </cell>
          <cell r="G93">
            <v>-0.89999999809270004</v>
          </cell>
        </row>
        <row r="94">
          <cell r="A94" t="str">
            <v>Pentium III</v>
          </cell>
          <cell r="B94">
            <v>1409.90999975776</v>
          </cell>
          <cell r="C94">
            <v>1114.5199972227799</v>
          </cell>
          <cell r="D94">
            <v>990.60000156736305</v>
          </cell>
          <cell r="E94">
            <v>1165.5600023406098</v>
          </cell>
          <cell r="F94">
            <v>560.31000020647002</v>
          </cell>
          <cell r="G94">
            <v>-0.60259165457175401</v>
          </cell>
        </row>
        <row r="95">
          <cell r="A95" t="str">
            <v>Pentium 4</v>
          </cell>
          <cell r="B95">
            <v>42.330000367760704</v>
          </cell>
          <cell r="C95">
            <v>55.640000207424201</v>
          </cell>
          <cell r="D95">
            <v>421.87999431514697</v>
          </cell>
          <cell r="E95">
            <v>597.33000390195798</v>
          </cell>
          <cell r="F95">
            <v>655.55499784701999</v>
          </cell>
          <cell r="G95">
            <v>14.486770426449194</v>
          </cell>
        </row>
        <row r="96">
          <cell r="A96" t="str">
            <v>Celeron</v>
          </cell>
          <cell r="B96">
            <v>932.90000012421592</v>
          </cell>
          <cell r="C96">
            <v>738.86999765181497</v>
          </cell>
          <cell r="D96">
            <v>739.01999657559304</v>
          </cell>
          <cell r="E96">
            <v>887.76999581897201</v>
          </cell>
          <cell r="F96">
            <v>740.38500787186604</v>
          </cell>
          <cell r="G96">
            <v>-0.20636187397011085</v>
          </cell>
        </row>
        <row r="97">
          <cell r="A97" t="str">
            <v>K6/K6-2/K6-3</v>
          </cell>
          <cell r="B97">
            <v>63.709999766379603</v>
          </cell>
          <cell r="C97">
            <v>11.5</v>
          </cell>
          <cell r="D97">
            <v>6</v>
          </cell>
          <cell r="E97">
            <v>4.0000000610352</v>
          </cell>
          <cell r="F97">
            <v>0</v>
          </cell>
          <cell r="G97">
            <v>-1</v>
          </cell>
        </row>
        <row r="98">
          <cell r="A98" t="str">
            <v>Athlon</v>
          </cell>
          <cell r="B98">
            <v>133.11999983072198</v>
          </cell>
          <cell r="C98">
            <v>124.550000284791</v>
          </cell>
          <cell r="D98">
            <v>150.02000154042202</v>
          </cell>
          <cell r="E98">
            <v>152.89999972057299</v>
          </cell>
          <cell r="F98">
            <v>118.740000730514</v>
          </cell>
          <cell r="G98">
            <v>-0.10802282991657053</v>
          </cell>
        </row>
        <row r="99">
          <cell r="A99" t="str">
            <v>Duron</v>
          </cell>
          <cell r="B99">
            <v>466.44000264024697</v>
          </cell>
          <cell r="C99">
            <v>386.06999764478201</v>
          </cell>
          <cell r="D99">
            <v>379.24000043618599</v>
          </cell>
          <cell r="E99">
            <v>520.04999961233102</v>
          </cell>
          <cell r="F99">
            <v>576.58999519526901</v>
          </cell>
          <cell r="G99">
            <v>0.23615039861831466</v>
          </cell>
        </row>
        <row r="100">
          <cell r="A100" t="str">
            <v>Crusoe</v>
          </cell>
          <cell r="B100">
            <v>74.379998624801601</v>
          </cell>
          <cell r="C100">
            <v>60.480000042438498</v>
          </cell>
          <cell r="D100">
            <v>60.299999272525305</v>
          </cell>
          <cell r="E100">
            <v>46.099999758124405</v>
          </cell>
          <cell r="F100">
            <v>72.949999319374598</v>
          </cell>
          <cell r="G100">
            <v>-1.922558929639695E-2</v>
          </cell>
        </row>
        <row r="101">
          <cell r="A101" t="str">
            <v>PPC-G3/G4</v>
          </cell>
          <cell r="B101">
            <v>128.00000053405699</v>
          </cell>
          <cell r="C101">
            <v>97.900001281738298</v>
          </cell>
          <cell r="D101">
            <v>96.000001602172901</v>
          </cell>
          <cell r="E101">
            <v>130.99999942779499</v>
          </cell>
          <cell r="F101">
            <v>97.799999694824209</v>
          </cell>
          <cell r="G101">
            <v>-0.23593750557209925</v>
          </cell>
        </row>
        <row r="102">
          <cell r="A102" t="str">
            <v>Total</v>
          </cell>
          <cell r="B102">
            <v>3252.6900016488044</v>
          </cell>
          <cell r="C102">
            <v>2590.9599943491203</v>
          </cell>
          <cell r="D102">
            <v>2844.4099953189461</v>
          </cell>
          <cell r="E102">
            <v>3505.5600006351028</v>
          </cell>
          <cell r="F102">
            <v>2822.8300008596161</v>
          </cell>
          <cell r="G102">
            <v>-0.1321552316917044</v>
          </cell>
        </row>
        <row r="103">
          <cell r="A103" t="str">
            <v>Market Share</v>
          </cell>
        </row>
        <row r="104">
          <cell r="A104" t="str">
            <v>486DX4/Pentium</v>
          </cell>
          <cell r="B104">
            <v>2.7669406011786724E-4</v>
          </cell>
          <cell r="C104">
            <v>2.4315311678556559E-4</v>
          </cell>
          <cell r="D104">
            <v>2.9883174751022093E-4</v>
          </cell>
          <cell r="E104">
            <v>1.711566773350329E-4</v>
          </cell>
          <cell r="F104">
            <v>1.4170176462939351E-4</v>
          </cell>
        </row>
        <row r="105">
          <cell r="A105" t="str">
            <v>Pentium II</v>
          </cell>
          <cell r="B105">
            <v>3.0743784359809733E-4</v>
          </cell>
          <cell r="C105">
            <v>3.0876586940886729E-4</v>
          </cell>
          <cell r="D105">
            <v>1.7578337891613777E-4</v>
          </cell>
          <cell r="E105">
            <v>7.131527965620541E-5</v>
          </cell>
          <cell r="F105">
            <v>3.5425442508704992E-5</v>
          </cell>
        </row>
        <row r="106">
          <cell r="A106" t="str">
            <v>Pentium III</v>
          </cell>
          <cell r="B106">
            <v>0.43345968999291967</v>
          </cell>
          <cell r="C106">
            <v>0.43015716169047236</v>
          </cell>
          <cell r="D106">
            <v>0.34826203085968493</v>
          </cell>
          <cell r="E106">
            <v>0.33248896100179293</v>
          </cell>
          <cell r="F106">
            <v>0.19849229320782436</v>
          </cell>
        </row>
        <row r="107">
          <cell r="A107" t="str">
            <v>Pentium 4</v>
          </cell>
          <cell r="B107">
            <v>1.3013844032571017E-2</v>
          </cell>
          <cell r="C107">
            <v>2.1474665887846571E-2</v>
          </cell>
          <cell r="D107">
            <v>0.14831898179567507</v>
          </cell>
          <cell r="E107">
            <v>0.17039503069231154</v>
          </cell>
          <cell r="F107">
            <v>0.23223325444585347</v>
          </cell>
        </row>
        <row r="108">
          <cell r="A108" t="str">
            <v>Celeron</v>
          </cell>
          <cell r="B108">
            <v>0.28680876433085367</v>
          </cell>
          <cell r="C108">
            <v>0.28517229106712927</v>
          </cell>
          <cell r="D108">
            <v>0.25981486416930061</v>
          </cell>
          <cell r="E108">
            <v>0.25324627039849112</v>
          </cell>
          <cell r="F108">
            <v>0.26228466030416353</v>
          </cell>
        </row>
        <row r="109">
          <cell r="A109" t="str">
            <v>K6/K6-2/K6-3</v>
          </cell>
          <cell r="B109">
            <v>1.9586864943811028E-2</v>
          </cell>
          <cell r="C109">
            <v>4.4385092880945606E-3</v>
          </cell>
          <cell r="D109">
            <v>2.1094005469936535E-3</v>
          </cell>
          <cell r="E109">
            <v>1.1410445293506656E-3</v>
          </cell>
          <cell r="F109">
            <v>0</v>
          </cell>
        </row>
        <row r="110">
          <cell r="A110" t="str">
            <v>Athlon</v>
          </cell>
          <cell r="B110">
            <v>4.0926125687736244E-2</v>
          </cell>
          <cell r="C110">
            <v>4.8070985486628262E-2</v>
          </cell>
          <cell r="D110">
            <v>5.2742045551559154E-2</v>
          </cell>
          <cell r="E110">
            <v>4.3616426389185205E-2</v>
          </cell>
          <cell r="F110">
            <v>4.2064169891334213E-2</v>
          </cell>
        </row>
        <row r="111">
          <cell r="A111" t="str">
            <v>Duron</v>
          </cell>
          <cell r="B111">
            <v>0.14340130857960834</v>
          </cell>
          <cell r="C111">
            <v>0.14900654525226173</v>
          </cell>
          <cell r="D111">
            <v>0.13332817739366068</v>
          </cell>
          <cell r="E111">
            <v>0.14835004949797279</v>
          </cell>
          <cell r="F111">
            <v>0.20425955336300244</v>
          </cell>
        </row>
        <row r="112">
          <cell r="A112" t="str">
            <v>Crusoe</v>
          </cell>
          <cell r="B112">
            <v>2.2867226384038448E-2</v>
          </cell>
          <cell r="C112">
            <v>2.3342699298462843E-2</v>
          </cell>
          <cell r="D112">
            <v>2.1199475241530298E-2</v>
          </cell>
          <cell r="E112">
            <v>1.3150537931107287E-2</v>
          </cell>
          <cell r="F112">
            <v>2.5842859576084874E-2</v>
          </cell>
        </row>
        <row r="113">
          <cell r="A113" t="str">
            <v>PPC-G3/G4</v>
          </cell>
          <cell r="B113">
            <v>3.9352044144745787E-2</v>
          </cell>
          <cell r="C113">
            <v>3.7785223042909981E-2</v>
          </cell>
          <cell r="D113">
            <v>3.3750409315169184E-2</v>
          </cell>
          <cell r="E113">
            <v>3.7369207602797182E-2</v>
          </cell>
          <cell r="F113">
            <v>3.4646082004598885E-2</v>
          </cell>
        </row>
        <row r="114">
          <cell r="A114" t="str">
            <v>Source: Gartner Dataquest (August 2002)</v>
          </cell>
        </row>
        <row r="116">
          <cell r="A116" t="str">
            <v>Table 1-5</v>
          </cell>
          <cell r="B116" t="str">
            <v>(Top)</v>
          </cell>
          <cell r="C116" t="str">
            <v>(Front Page)</v>
          </cell>
        </row>
        <row r="117">
          <cell r="A117" t="str">
            <v>Total Market Shipments by Distribution Channels (Thousands of Units)</v>
          </cell>
        </row>
        <row r="118">
          <cell r="A118" t="str">
            <v>Distribution Channel</v>
          </cell>
          <cell r="B118" t="str">
            <v>2Q01</v>
          </cell>
          <cell r="C118" t="str">
            <v>3Q01</v>
          </cell>
          <cell r="D118" t="str">
            <v>4Q01</v>
          </cell>
          <cell r="E118" t="str">
            <v>1Q02</v>
          </cell>
          <cell r="F118" t="str">
            <v>2Q02</v>
          </cell>
          <cell r="G118" t="str">
            <v>2Q02/2Q01</v>
          </cell>
        </row>
        <row r="119">
          <cell r="A119" t="str">
            <v>Vendor Direct</v>
          </cell>
          <cell r="B119">
            <v>718.97655202865599</v>
          </cell>
          <cell r="C119">
            <v>682.59855062103202</v>
          </cell>
          <cell r="D119">
            <v>638.21884947967499</v>
          </cell>
          <cell r="E119">
            <v>746.30694962310702</v>
          </cell>
          <cell r="F119">
            <v>579.53454996490393</v>
          </cell>
          <cell r="G119">
            <v>-0.19394513168795857</v>
          </cell>
        </row>
        <row r="120">
          <cell r="A120" t="str">
            <v>VAR/Dealer</v>
          </cell>
          <cell r="B120">
            <v>982.21185375976506</v>
          </cell>
          <cell r="C120">
            <v>929.66355310058498</v>
          </cell>
          <cell r="D120">
            <v>830.67904928588803</v>
          </cell>
          <cell r="E120">
            <v>1122.7942996521001</v>
          </cell>
          <cell r="F120">
            <v>828.04225390625004</v>
          </cell>
          <cell r="G120">
            <v>-0.15696165675803653</v>
          </cell>
        </row>
        <row r="121">
          <cell r="A121" t="str">
            <v>Indirect Retail</v>
          </cell>
          <cell r="B121">
            <v>1551.50159901809</v>
          </cell>
          <cell r="C121">
            <v>978.6979001064301</v>
          </cell>
          <cell r="D121">
            <v>1375.5120995674101</v>
          </cell>
          <cell r="E121">
            <v>1636.4587499961799</v>
          </cell>
          <cell r="F121">
            <v>1415.2531999526</v>
          </cell>
          <cell r="G121">
            <v>-8.7817118043396536E-2</v>
          </cell>
        </row>
        <row r="122">
          <cell r="A122" t="str">
            <v>Total</v>
          </cell>
          <cell r="B122">
            <v>3252.6900048065108</v>
          </cell>
          <cell r="C122">
            <v>2590.9600038280469</v>
          </cell>
          <cell r="D122">
            <v>2844.4099983329734</v>
          </cell>
          <cell r="E122">
            <v>3505.5599992713869</v>
          </cell>
          <cell r="F122">
            <v>2822.8300038237539</v>
          </cell>
          <cell r="G122">
            <v>-0.13215523162291865</v>
          </cell>
        </row>
        <row r="123">
          <cell r="A123" t="str">
            <v>Market Share</v>
          </cell>
        </row>
        <row r="124">
          <cell r="A124" t="str">
            <v>Vendor Direct</v>
          </cell>
          <cell r="B124">
            <v>0.22104060053869934</v>
          </cell>
          <cell r="C124">
            <v>0.26345391268584545</v>
          </cell>
          <cell r="D124">
            <v>0.22437653146125791</v>
          </cell>
          <cell r="E124">
            <v>0.21289236235529363</v>
          </cell>
          <cell r="F124">
            <v>0.20530267468458144</v>
          </cell>
        </row>
        <row r="125">
          <cell r="A125" t="str">
            <v>VAR/Dealer</v>
          </cell>
          <cell r="B125">
            <v>0.30196909398324073</v>
          </cell>
          <cell r="C125">
            <v>0.35881046088208296</v>
          </cell>
          <cell r="D125">
            <v>0.29203913984718272</v>
          </cell>
          <cell r="E125">
            <v>0.32028956853839824</v>
          </cell>
          <cell r="F125">
            <v>0.2933376267024933</v>
          </cell>
        </row>
        <row r="126">
          <cell r="A126" t="str">
            <v>Indirect Retail</v>
          </cell>
          <cell r="B126">
            <v>0.47699030547805998</v>
          </cell>
          <cell r="C126">
            <v>0.37773562643207165</v>
          </cell>
          <cell r="D126">
            <v>0.48358432869155926</v>
          </cell>
          <cell r="E126">
            <v>0.46681806910630819</v>
          </cell>
          <cell r="F126">
            <v>0.50135969861292529</v>
          </cell>
        </row>
        <row r="127">
          <cell r="A127" t="str">
            <v>Source: Gartner Dataquest (August 2002)</v>
          </cell>
        </row>
        <row r="129">
          <cell r="A129" t="str">
            <v>Table 1-6</v>
          </cell>
          <cell r="B129" t="str">
            <v>(Top)</v>
          </cell>
          <cell r="C129" t="str">
            <v>(Front Page)</v>
          </cell>
        </row>
        <row r="130">
          <cell r="A130" t="str">
            <v>Total Market Shipments by Major Maket (Thousands of Units)</v>
          </cell>
        </row>
        <row r="131">
          <cell r="A131" t="str">
            <v>Major Market</v>
          </cell>
          <cell r="B131" t="str">
            <v>2Q01</v>
          </cell>
          <cell r="C131" t="str">
            <v>3Q01</v>
          </cell>
          <cell r="D131" t="str">
            <v>4Q01</v>
          </cell>
          <cell r="E131" t="str">
            <v>1Q02</v>
          </cell>
          <cell r="F131" t="str">
            <v>2Q02</v>
          </cell>
          <cell r="G131" t="str">
            <v>2Q02/2Q01</v>
          </cell>
        </row>
        <row r="132">
          <cell r="A132" t="str">
            <v>Business</v>
          </cell>
          <cell r="B132">
            <v>1417.0590590095499</v>
          </cell>
          <cell r="C132">
            <v>1313.4165573043799</v>
          </cell>
          <cell r="D132">
            <v>1144.1927861099198</v>
          </cell>
          <cell r="E132">
            <v>1530.0913090858398</v>
          </cell>
          <cell r="F132">
            <v>1165.2827426605199</v>
          </cell>
          <cell r="G132">
            <v>-0.17767524560691805</v>
          </cell>
        </row>
        <row r="133">
          <cell r="A133" t="str">
            <v>Government</v>
          </cell>
          <cell r="B133">
            <v>137.96702177751001</v>
          </cell>
          <cell r="C133">
            <v>146.892644441127</v>
          </cell>
          <cell r="D133">
            <v>120.930823853969</v>
          </cell>
          <cell r="E133">
            <v>181.270470690488</v>
          </cell>
          <cell r="F133">
            <v>130.856514735221</v>
          </cell>
          <cell r="G133">
            <v>-5.1537729456504811E-2</v>
          </cell>
        </row>
        <row r="134">
          <cell r="A134" t="str">
            <v>Education</v>
          </cell>
          <cell r="B134">
            <v>157.67240081182098</v>
          </cell>
          <cell r="C134">
            <v>155.45018000459601</v>
          </cell>
          <cell r="D134">
            <v>139.68956625437698</v>
          </cell>
          <cell r="E134">
            <v>184.41782306849902</v>
          </cell>
          <cell r="F134">
            <v>138.15270177412</v>
          </cell>
          <cell r="G134">
            <v>-0.12379908555459473</v>
          </cell>
        </row>
        <row r="135">
          <cell r="A135" t="str">
            <v>Home</v>
          </cell>
          <cell r="B135">
            <v>1539.99151829528</v>
          </cell>
          <cell r="C135">
            <v>975.20061679887704</v>
          </cell>
          <cell r="D135">
            <v>1439.5968374679001</v>
          </cell>
          <cell r="E135">
            <v>1609.7803957777001</v>
          </cell>
          <cell r="F135">
            <v>1388.5380231409001</v>
          </cell>
          <cell r="G135">
            <v>-9.8346967080723879E-2</v>
          </cell>
        </row>
        <row r="136">
          <cell r="A136" t="str">
            <v>Total</v>
          </cell>
          <cell r="B136">
            <v>3252.6899998941608</v>
          </cell>
          <cell r="C136">
            <v>2590.9599985489799</v>
          </cell>
          <cell r="D136">
            <v>2844.4100136861662</v>
          </cell>
          <cell r="E136">
            <v>3505.559998622527</v>
          </cell>
          <cell r="F136">
            <v>2822.8299823107609</v>
          </cell>
          <cell r="G136">
            <v>-0.13215523692617104</v>
          </cell>
        </row>
        <row r="137">
          <cell r="A137" t="str">
            <v>Market Share</v>
          </cell>
        </row>
        <row r="138">
          <cell r="A138" t="str">
            <v>Business</v>
          </cell>
          <cell r="B138">
            <v>0.43565758158805773</v>
          </cell>
          <cell r="C138">
            <v>0.5069227460246144</v>
          </cell>
          <cell r="D138">
            <v>0.40226014555022677</v>
          </cell>
          <cell r="E138">
            <v>0.43647557300034034</v>
          </cell>
          <cell r="F138">
            <v>0.4128065629041614</v>
          </cell>
        </row>
        <row r="139">
          <cell r="A139" t="str">
            <v>Government</v>
          </cell>
          <cell r="B139">
            <v>4.2416283685810609E-2</v>
          </cell>
          <cell r="C139">
            <v>5.6694292665032099E-2</v>
          </cell>
          <cell r="D139">
            <v>4.2515257389791949E-2</v>
          </cell>
          <cell r="E139">
            <v>5.1709418969213571E-2</v>
          </cell>
          <cell r="F139">
            <v>4.6356498816872496E-2</v>
          </cell>
        </row>
        <row r="140">
          <cell r="A140" t="str">
            <v>Education</v>
          </cell>
          <cell r="B140">
            <v>4.8474462926670382E-2</v>
          </cell>
          <cell r="C140">
            <v>5.9997136231996269E-2</v>
          </cell>
          <cell r="D140">
            <v>4.9110207593928625E-2</v>
          </cell>
          <cell r="E140">
            <v>5.2607236259246473E-2</v>
          </cell>
          <cell r="F140">
            <v>4.8941205329351284E-2</v>
          </cell>
        </row>
        <row r="141">
          <cell r="A141" t="str">
            <v>Home</v>
          </cell>
          <cell r="B141">
            <v>0.47345167179946129</v>
          </cell>
          <cell r="C141">
            <v>0.37638582507835722</v>
          </cell>
          <cell r="D141">
            <v>0.50611438946605247</v>
          </cell>
          <cell r="E141">
            <v>0.45920777177119959</v>
          </cell>
          <cell r="F141">
            <v>0.49189573294961486</v>
          </cell>
        </row>
        <row r="142">
          <cell r="A142" t="str">
            <v>Source: Gartner Dataquest (August 2002)</v>
          </cell>
        </row>
        <row r="144">
          <cell r="A144" t="str">
            <v>Table 1-7</v>
          </cell>
          <cell r="B144" t="str">
            <v>(Top)</v>
          </cell>
          <cell r="C144" t="str">
            <v>(Front Page)</v>
          </cell>
        </row>
        <row r="145">
          <cell r="A145" t="str">
            <v>Total Market Shipments by Price Range (Thousands of Units)</v>
          </cell>
        </row>
        <row r="146">
          <cell r="A146" t="str">
            <v>Price Range</v>
          </cell>
          <cell r="B146" t="str">
            <v>2Q01</v>
          </cell>
          <cell r="C146" t="str">
            <v>3Q01</v>
          </cell>
          <cell r="D146" t="str">
            <v>4Q01</v>
          </cell>
          <cell r="E146" t="str">
            <v>1Q02</v>
          </cell>
          <cell r="F146" t="str">
            <v>2Q02</v>
          </cell>
          <cell r="G146" t="str">
            <v>2Q02/2Q01</v>
          </cell>
        </row>
        <row r="147">
          <cell r="A147" t="str">
            <v>Less than 100,000 yens</v>
          </cell>
          <cell r="B147">
            <v>200.01000002288802</v>
          </cell>
          <cell r="C147">
            <v>116.219999909162</v>
          </cell>
          <cell r="D147">
            <v>130.6</v>
          </cell>
          <cell r="E147">
            <v>136.20000000023802</v>
          </cell>
          <cell r="F147">
            <v>78.409999992370601</v>
          </cell>
          <cell r="G147">
            <v>-0.60796960160293079</v>
          </cell>
        </row>
        <row r="148">
          <cell r="A148" t="str">
            <v>100,000-129,999 yens</v>
          </cell>
          <cell r="B148">
            <v>143.399999999806</v>
          </cell>
          <cell r="C148">
            <v>197.42000004959101</v>
          </cell>
          <cell r="D148">
            <v>135.34999999713901</v>
          </cell>
          <cell r="E148">
            <v>141.840000038385</v>
          </cell>
          <cell r="F148">
            <v>132.015000001907</v>
          </cell>
          <cell r="G148">
            <v>-7.939330542478662E-2</v>
          </cell>
        </row>
        <row r="149">
          <cell r="A149" t="str">
            <v>120,000-149,999 yens</v>
          </cell>
          <cell r="B149">
            <v>515.28000028103497</v>
          </cell>
          <cell r="C149">
            <v>559.96499983716001</v>
          </cell>
          <cell r="D149">
            <v>457.849999990463</v>
          </cell>
          <cell r="E149">
            <v>392.95799999642304</v>
          </cell>
          <cell r="F149">
            <v>328.94999990224795</v>
          </cell>
          <cell r="G149">
            <v>-0.36160922270835694</v>
          </cell>
        </row>
        <row r="150">
          <cell r="A150" t="str">
            <v>150,000-199,999 yens</v>
          </cell>
          <cell r="B150">
            <v>1263.06999986445</v>
          </cell>
          <cell r="C150">
            <v>832.08499980521196</v>
          </cell>
          <cell r="D150">
            <v>1179.01999989366</v>
          </cell>
          <cell r="E150">
            <v>1651.74200026893</v>
          </cell>
          <cell r="F150">
            <v>1296.8749996628701</v>
          </cell>
          <cell r="G150">
            <v>2.6764153848993333E-2</v>
          </cell>
        </row>
        <row r="151">
          <cell r="A151" t="str">
            <v>200,000-249,999 yens</v>
          </cell>
          <cell r="B151">
            <v>698.53999970614893</v>
          </cell>
          <cell r="C151">
            <v>600.96999906492204</v>
          </cell>
          <cell r="D151">
            <v>604.14999960702596</v>
          </cell>
          <cell r="E151">
            <v>704.89000094614903</v>
          </cell>
          <cell r="F151">
            <v>630.759999887302</v>
          </cell>
          <cell r="G151">
            <v>-9.7030950049187714E-2</v>
          </cell>
        </row>
        <row r="152">
          <cell r="A152" t="str">
            <v>250,000-299,999 yens</v>
          </cell>
          <cell r="B152">
            <v>326.63999998855496</v>
          </cell>
          <cell r="C152">
            <v>219.15000000572198</v>
          </cell>
          <cell r="D152">
            <v>212.119999914228</v>
          </cell>
          <cell r="E152">
            <v>348.58000031852697</v>
          </cell>
          <cell r="F152">
            <v>238.57999987164098</v>
          </cell>
          <cell r="G152">
            <v>-0.26959343656624879</v>
          </cell>
        </row>
        <row r="153">
          <cell r="A153" t="str">
            <v>300,000-349,999 yens</v>
          </cell>
          <cell r="B153">
            <v>55.1099999818802</v>
          </cell>
          <cell r="C153">
            <v>30.840000021457701</v>
          </cell>
          <cell r="D153">
            <v>91.239999998092699</v>
          </cell>
          <cell r="E153">
            <v>68.050000039517897</v>
          </cell>
          <cell r="F153">
            <v>69.049999953270003</v>
          </cell>
          <cell r="G153">
            <v>0.25294864772224979</v>
          </cell>
        </row>
        <row r="154">
          <cell r="A154" t="str">
            <v>350,000-399,999 yens</v>
          </cell>
          <cell r="B154">
            <v>38.760000009536697</v>
          </cell>
          <cell r="C154">
            <v>23.909999999523198</v>
          </cell>
          <cell r="D154">
            <v>21.9</v>
          </cell>
          <cell r="E154">
            <v>30.7</v>
          </cell>
          <cell r="F154">
            <v>32.020000099182099</v>
          </cell>
          <cell r="G154">
            <v>-0.17389060651951127</v>
          </cell>
        </row>
        <row r="155">
          <cell r="A155" t="str">
            <v>Over 400,000 yens</v>
          </cell>
          <cell r="B155">
            <v>11.879999980926499</v>
          </cell>
          <cell r="C155">
            <v>10.400000030517599</v>
          </cell>
          <cell r="D155">
            <v>12.180000000476801</v>
          </cell>
          <cell r="E155">
            <v>30.6</v>
          </cell>
          <cell r="F155">
            <v>16.170000085830701</v>
          </cell>
          <cell r="G155">
            <v>0.36111112052119987</v>
          </cell>
        </row>
        <row r="156">
          <cell r="A156" t="str">
            <v>Total</v>
          </cell>
          <cell r="B156">
            <v>3252.6899998352264</v>
          </cell>
          <cell r="C156">
            <v>2590.9599987232682</v>
          </cell>
          <cell r="D156">
            <v>2844.4099994010858</v>
          </cell>
          <cell r="E156">
            <v>3505.5600016081694</v>
          </cell>
          <cell r="F156">
            <v>2822.8299994566219</v>
          </cell>
          <cell r="G156">
            <v>-0.13215523163916032</v>
          </cell>
        </row>
        <row r="157">
          <cell r="A157" t="str">
            <v>Market Share</v>
          </cell>
        </row>
        <row r="158">
          <cell r="A158" t="str">
            <v>Less than 100,000 yens</v>
          </cell>
          <cell r="B158">
            <v>6.1490643139376966E-2</v>
          </cell>
          <cell r="C158">
            <v>4.4855960712026056E-2</v>
          </cell>
          <cell r="D158">
            <v>4.591461850700107E-2</v>
          </cell>
          <cell r="E158">
            <v>3.8852565620829914E-2</v>
          </cell>
          <cell r="F158">
            <v>2.7777088952386102E-2</v>
          </cell>
        </row>
        <row r="159">
          <cell r="A159" t="str">
            <v>100,000-129,999 yens</v>
          </cell>
          <cell r="B159">
            <v>4.4086586796488539E-2</v>
          </cell>
          <cell r="C159">
            <v>7.6195695860558438E-2</v>
          </cell>
          <cell r="D159">
            <v>4.7584560603301941E-2</v>
          </cell>
          <cell r="E159">
            <v>4.0461438393100145E-2</v>
          </cell>
          <cell r="F159">
            <v>4.6766897059801374E-2</v>
          </cell>
        </row>
        <row r="160">
          <cell r="A160" t="str">
            <v>120,000-149,999 yens</v>
          </cell>
          <cell r="B160">
            <v>0.1584165722239555</v>
          </cell>
          <cell r="C160">
            <v>0.21612259552949123</v>
          </cell>
          <cell r="D160">
            <v>0.16096483983914667</v>
          </cell>
          <cell r="E160">
            <v>0.11209564229856407</v>
          </cell>
          <cell r="F160">
            <v>0.11653199093305969</v>
          </cell>
        </row>
        <row r="161">
          <cell r="A161" t="str">
            <v>150,000-199,999 yens</v>
          </cell>
          <cell r="B161">
            <v>0.38831551728828573</v>
          </cell>
          <cell r="C161">
            <v>0.32114930381605022</v>
          </cell>
          <cell r="D161">
            <v>0.41450423818715043</v>
          </cell>
          <cell r="E161">
            <v>0.47117778600600085</v>
          </cell>
          <cell r="F161">
            <v>0.4594236988810913</v>
          </cell>
        </row>
        <row r="162">
          <cell r="A162" t="str">
            <v>200,000-249,999 yens</v>
          </cell>
          <cell r="B162">
            <v>0.21475763129641476</v>
          </cell>
          <cell r="C162">
            <v>0.23194877549674964</v>
          </cell>
          <cell r="D162">
            <v>0.21239905630138931</v>
          </cell>
          <cell r="E162">
            <v>0.2010777167193778</v>
          </cell>
          <cell r="F162">
            <v>0.2234495169771894</v>
          </cell>
        </row>
        <row r="163">
          <cell r="A163" t="str">
            <v>250,000-299,999 yens</v>
          </cell>
          <cell r="B163">
            <v>0.10042149728535513</v>
          </cell>
          <cell r="C163">
            <v>8.4582548597319604E-2</v>
          </cell>
          <cell r="D163">
            <v>7.4574340534202754E-2</v>
          </cell>
          <cell r="E163">
            <v>9.9436324056246791E-2</v>
          </cell>
          <cell r="F163">
            <v>8.4518019121791327E-2</v>
          </cell>
        </row>
        <row r="164">
          <cell r="A164" t="str">
            <v>300,000-349,999 yens</v>
          </cell>
          <cell r="B164">
            <v>1.6942899564567154E-2</v>
          </cell>
          <cell r="C164">
            <v>1.1902924026868242E-2</v>
          </cell>
          <cell r="D164">
            <v>3.2076950937911214E-2</v>
          </cell>
          <cell r="E164">
            <v>1.941201976525864E-2</v>
          </cell>
          <cell r="F164">
            <v>2.4461267581314398E-2</v>
          </cell>
        </row>
        <row r="165">
          <cell r="A165" t="str">
            <v>350,000-399,999 yens</v>
          </cell>
          <cell r="B165">
            <v>1.191629082743827E-2</v>
          </cell>
          <cell r="C165">
            <v>9.2282397301792322E-3</v>
          </cell>
          <cell r="D165">
            <v>7.699311985477208E-3</v>
          </cell>
          <cell r="E165">
            <v>8.7575166267062684E-3</v>
          </cell>
          <cell r="F165">
            <v>1.1343226515711452E-2</v>
          </cell>
        </row>
        <row r="166">
          <cell r="A166" t="str">
            <v>Over 400,000 yens</v>
          </cell>
          <cell r="B166">
            <v>3.6523615781178997E-3</v>
          </cell>
          <cell r="C166">
            <v>4.0139562307570723E-3</v>
          </cell>
          <cell r="D166">
            <v>4.2820831044193351E-3</v>
          </cell>
          <cell r="E166">
            <v>8.7289905139156954E-3</v>
          </cell>
          <cell r="F166">
            <v>5.728293977654811E-3</v>
          </cell>
        </row>
        <row r="167">
          <cell r="A167" t="str">
            <v>Note: Above data are based on street price.</v>
          </cell>
        </row>
        <row r="168">
          <cell r="A168" t="str">
            <v>Source: Gartner Dataquest (August 2002)</v>
          </cell>
        </row>
      </sheetData>
      <sheetData sheetId="3" refreshError="1">
        <row r="11">
          <cell r="A11" t="str">
            <v>Table 2-1</v>
          </cell>
          <cell r="B11" t="str">
            <v>(Top)</v>
          </cell>
          <cell r="C11" t="str">
            <v>(Front Page)</v>
          </cell>
        </row>
        <row r="12">
          <cell r="A12" t="str">
            <v>Quarterly Exchange Rate</v>
          </cell>
        </row>
        <row r="13">
          <cell r="B13" t="str">
            <v>2Q01</v>
          </cell>
          <cell r="C13" t="str">
            <v>3Q01</v>
          </cell>
          <cell r="D13" t="str">
            <v>4Q01</v>
          </cell>
          <cell r="E13" t="str">
            <v>1Q02</v>
          </cell>
          <cell r="F13" t="str">
            <v>2Q02</v>
          </cell>
        </row>
        <row r="14">
          <cell r="A14" t="str">
            <v>Yen/US $</v>
          </cell>
          <cell r="B14">
            <v>122.63</v>
          </cell>
          <cell r="C14">
            <v>121.4933</v>
          </cell>
          <cell r="D14">
            <v>123.8167</v>
          </cell>
          <cell r="E14">
            <v>132.46</v>
          </cell>
          <cell r="F14">
            <v>126.81333333333301</v>
          </cell>
        </row>
        <row r="15">
          <cell r="A15" t="str">
            <v>Source: Gartner Dataquest (August 2002)</v>
          </cell>
        </row>
      </sheetData>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TPL"/>
      <sheetName val="Process List"/>
      <sheetName val="rptTypeI"/>
      <sheetName val="TPLTypeI"/>
      <sheetName val="rtvTypeI"/>
      <sheetName val="rptTypeII"/>
      <sheetName val="TPLTypeII"/>
      <sheetName val="rptTypeIII"/>
      <sheetName val="TPLTypeIII"/>
      <sheetName val="rptTypeIV"/>
      <sheetName val="TPLTypeIV"/>
      <sheetName val="rptTypeV"/>
      <sheetName val="TPLTypeV"/>
      <sheetName val="rptTypeVIRev"/>
      <sheetName val="TPLTypeVIRev"/>
      <sheetName val="rptTypeVIUnits"/>
      <sheetName val="TPLTypeVIUnits"/>
      <sheetName val="rptTypeA1"/>
      <sheetName val="TPLTypeA1"/>
      <sheetName val="rptTypeA2"/>
      <sheetName val="TPLTypeA2"/>
      <sheetName val="rptTypeA3"/>
      <sheetName val="TPLTypeA3"/>
      <sheetName val="rptTypeA4"/>
      <sheetName val="TPLTypeA4"/>
      <sheetName val="dynTypeII"/>
      <sheetName val="dynTypeIII"/>
      <sheetName val="dynTypeIV"/>
      <sheetName val="dynTypeV"/>
      <sheetName val="Retrieve_Sheet"/>
      <sheetName val="dynTypeVIRev"/>
      <sheetName val="dynTypeVIUnits"/>
      <sheetName val="dynTypeA1"/>
      <sheetName val="dynTypeA2"/>
      <sheetName val="dynTypeA3"/>
      <sheetName val="dynTypeA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PRT New"/>
      <sheetName val="AMAT_Balance"/>
      <sheetName val="AMAT_CFlow"/>
      <sheetName val="Cap IQ Formulas"/>
      <sheetName val="Revenue Model"/>
      <sheetName val="AMAT_Income"/>
      <sheetName val="Sheet1"/>
      <sheetName val="ModelToWizard"/>
      <sheetName val="XPRT"/>
      <sheetName val="Chart1"/>
      <sheetName val="Quarterly Figures"/>
      <sheetName val="AMAT_FC"/>
      <sheetName val="AMAT_Q"/>
      <sheetName val="Earnings Report"/>
      <sheetName val="AMAT_EPS"/>
      <sheetName val="Partners Upload Sheet"/>
      <sheetName val="__FDSCACHE__"/>
      <sheetName val="Competitors"/>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ToWizard"/>
      <sheetName val="XPRT"/>
      <sheetName val="Sheet1"/>
      <sheetName val="Revenue Model"/>
      <sheetName val="NVLS_FC"/>
      <sheetName val="NVLS_Eps"/>
      <sheetName val="NVLS_Q"/>
      <sheetName val="NVLS_Income"/>
      <sheetName val="NVLS_Balance"/>
      <sheetName val="__FDSCACHE__"/>
      <sheetName val="NVLS_CFlow"/>
      <sheetName val="Chart_Data"/>
      <sheetName val="Earnings Report"/>
      <sheetName val="Admin"/>
      <sheetName val="Module2"/>
      <sheetName val="Module1"/>
    </sheetNames>
    <sheetDataSet>
      <sheetData sheetId="0" refreshError="1"/>
      <sheetData sheetId="1" refreshError="1"/>
      <sheetData sheetId="2" refreshError="1"/>
      <sheetData sheetId="3" refreshError="1"/>
      <sheetData sheetId="4" refreshError="1">
        <row r="11">
          <cell r="G11">
            <v>0.10651732279141272</v>
          </cell>
        </row>
        <row r="15">
          <cell r="G15">
            <v>136.08802571917045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Needham">
      <a:dk1>
        <a:sysClr val="windowText" lastClr="000000"/>
      </a:dk1>
      <a:lt1>
        <a:sysClr val="window" lastClr="FFFFFF"/>
      </a:lt1>
      <a:dk2>
        <a:srgbClr val="1F497D"/>
      </a:dk2>
      <a:lt2>
        <a:srgbClr val="EEECE1"/>
      </a:lt2>
      <a:accent1>
        <a:srgbClr val="6B0901"/>
      </a:accent1>
      <a:accent2>
        <a:srgbClr val="969696"/>
      </a:accent2>
      <a:accent3>
        <a:srgbClr val="6684B5"/>
      </a:accent3>
      <a:accent4>
        <a:srgbClr val="CCD6E6"/>
      </a:accent4>
      <a:accent5>
        <a:srgbClr val="4BACC6"/>
      </a:accent5>
      <a:accent6>
        <a:srgbClr val="F79646"/>
      </a:accent6>
      <a:hlink>
        <a:srgbClr val="0000FF"/>
      </a:hlink>
      <a:folHlink>
        <a:srgbClr val="800080"/>
      </a:folHlink>
    </a:clrScheme>
    <a:fontScheme name="Needham">
      <a:majorFont>
        <a:latin typeface="Cambria"/>
        <a:ea typeface=""/>
        <a:cs typeface=""/>
      </a:majorFont>
      <a:minorFont>
        <a:latin typeface="Cambri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hyperlink" Target="https://needham.bluematrix.com/sellside/Preference.action?exceltoolkit&amp;from=3"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2B024-27B3-4ED1-9761-E0C65751C451}">
  <dimension ref="A1:B1"/>
  <sheetViews>
    <sheetView workbookViewId="0"/>
  </sheetViews>
  <sheetFormatPr defaultRowHeight="13.5"/>
  <sheetData>
    <row r="1" spans="1:2">
      <c r="B1" t="s">
        <v>422</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N60"/>
  <sheetViews>
    <sheetView showGridLines="0" zoomScaleNormal="100" workbookViewId="0">
      <selection activeCell="O10" sqref="O10"/>
    </sheetView>
  </sheetViews>
  <sheetFormatPr defaultColWidth="7.625" defaultRowHeight="12.75"/>
  <cols>
    <col min="1" max="1" width="1.625" style="396" customWidth="1"/>
    <col min="2" max="2" width="3.625" style="396" customWidth="1"/>
    <col min="3" max="3" width="22.125" style="396" customWidth="1"/>
    <col min="4" max="5" width="7.625" style="396" customWidth="1"/>
    <col min="6" max="6" width="8.25" style="416" customWidth="1"/>
    <col min="7" max="8" width="7.625" style="396" customWidth="1"/>
    <col min="9" max="9" width="8.625" style="396" bestFit="1" customWidth="1"/>
    <col min="10" max="11" width="7.625" style="396" customWidth="1"/>
    <col min="12" max="12" width="7.625" style="416" customWidth="1"/>
    <col min="13" max="249" width="7.625" style="396"/>
    <col min="250" max="250" width="3.625" style="396" customWidth="1"/>
    <col min="251" max="251" width="24" style="396" customWidth="1"/>
    <col min="252" max="252" width="10.125" style="396" bestFit="1" customWidth="1"/>
    <col min="253" max="253" width="6.625" style="396" bestFit="1" customWidth="1"/>
    <col min="254" max="255" width="7.625" style="396"/>
    <col min="256" max="256" width="6.625" style="396" bestFit="1" customWidth="1"/>
    <col min="257" max="260" width="7.625" style="396"/>
    <col min="261" max="261" width="2.5" style="396" customWidth="1"/>
    <col min="262" max="505" width="7.625" style="396"/>
    <col min="506" max="506" width="3.625" style="396" customWidth="1"/>
    <col min="507" max="507" width="24" style="396" customWidth="1"/>
    <col min="508" max="508" width="10.125" style="396" bestFit="1" customWidth="1"/>
    <col min="509" max="509" width="6.625" style="396" bestFit="1" customWidth="1"/>
    <col min="510" max="511" width="7.625" style="396"/>
    <col min="512" max="512" width="6.625" style="396" bestFit="1" customWidth="1"/>
    <col min="513" max="516" width="7.625" style="396"/>
    <col min="517" max="517" width="2.5" style="396" customWidth="1"/>
    <col min="518" max="761" width="7.625" style="396"/>
    <col min="762" max="762" width="3.625" style="396" customWidth="1"/>
    <col min="763" max="763" width="24" style="396" customWidth="1"/>
    <col min="764" max="764" width="10.125" style="396" bestFit="1" customWidth="1"/>
    <col min="765" max="765" width="6.625" style="396" bestFit="1" customWidth="1"/>
    <col min="766" max="767" width="7.625" style="396"/>
    <col min="768" max="768" width="6.625" style="396" bestFit="1" customWidth="1"/>
    <col min="769" max="772" width="7.625" style="396"/>
    <col min="773" max="773" width="2.5" style="396" customWidth="1"/>
    <col min="774" max="1017" width="7.625" style="396"/>
    <col min="1018" max="1018" width="3.625" style="396" customWidth="1"/>
    <col min="1019" max="1019" width="24" style="396" customWidth="1"/>
    <col min="1020" max="1020" width="10.125" style="396" bestFit="1" customWidth="1"/>
    <col min="1021" max="1021" width="6.625" style="396" bestFit="1" customWidth="1"/>
    <col min="1022" max="1023" width="7.625" style="396"/>
    <col min="1024" max="1024" width="6.625" style="396" bestFit="1" customWidth="1"/>
    <col min="1025" max="1028" width="7.625" style="396"/>
    <col min="1029" max="1029" width="2.5" style="396" customWidth="1"/>
    <col min="1030" max="1273" width="7.625" style="396"/>
    <col min="1274" max="1274" width="3.625" style="396" customWidth="1"/>
    <col min="1275" max="1275" width="24" style="396" customWidth="1"/>
    <col min="1276" max="1276" width="10.125" style="396" bestFit="1" customWidth="1"/>
    <col min="1277" max="1277" width="6.625" style="396" bestFit="1" customWidth="1"/>
    <col min="1278" max="1279" width="7.625" style="396"/>
    <col min="1280" max="1280" width="6.625" style="396" bestFit="1" customWidth="1"/>
    <col min="1281" max="1284" width="7.625" style="396"/>
    <col min="1285" max="1285" width="2.5" style="396" customWidth="1"/>
    <col min="1286" max="1529" width="7.625" style="396"/>
    <col min="1530" max="1530" width="3.625" style="396" customWidth="1"/>
    <col min="1531" max="1531" width="24" style="396" customWidth="1"/>
    <col min="1532" max="1532" width="10.125" style="396" bestFit="1" customWidth="1"/>
    <col min="1533" max="1533" width="6.625" style="396" bestFit="1" customWidth="1"/>
    <col min="1534" max="1535" width="7.625" style="396"/>
    <col min="1536" max="1536" width="6.625" style="396" bestFit="1" customWidth="1"/>
    <col min="1537" max="1540" width="7.625" style="396"/>
    <col min="1541" max="1541" width="2.5" style="396" customWidth="1"/>
    <col min="1542" max="1785" width="7.625" style="396"/>
    <col min="1786" max="1786" width="3.625" style="396" customWidth="1"/>
    <col min="1787" max="1787" width="24" style="396" customWidth="1"/>
    <col min="1788" max="1788" width="10.125" style="396" bestFit="1" customWidth="1"/>
    <col min="1789" max="1789" width="6.625" style="396" bestFit="1" customWidth="1"/>
    <col min="1790" max="1791" width="7.625" style="396"/>
    <col min="1792" max="1792" width="6.625" style="396" bestFit="1" customWidth="1"/>
    <col min="1793" max="1796" width="7.625" style="396"/>
    <col min="1797" max="1797" width="2.5" style="396" customWidth="1"/>
    <col min="1798" max="2041" width="7.625" style="396"/>
    <col min="2042" max="2042" width="3.625" style="396" customWidth="1"/>
    <col min="2043" max="2043" width="24" style="396" customWidth="1"/>
    <col min="2044" max="2044" width="10.125" style="396" bestFit="1" customWidth="1"/>
    <col min="2045" max="2045" width="6.625" style="396" bestFit="1" customWidth="1"/>
    <col min="2046" max="2047" width="7.625" style="396"/>
    <col min="2048" max="2048" width="6.625" style="396" bestFit="1" customWidth="1"/>
    <col min="2049" max="2052" width="7.625" style="396"/>
    <col min="2053" max="2053" width="2.5" style="396" customWidth="1"/>
    <col min="2054" max="2297" width="7.625" style="396"/>
    <col min="2298" max="2298" width="3.625" style="396" customWidth="1"/>
    <col min="2299" max="2299" width="24" style="396" customWidth="1"/>
    <col min="2300" max="2300" width="10.125" style="396" bestFit="1" customWidth="1"/>
    <col min="2301" max="2301" width="6.625" style="396" bestFit="1" customWidth="1"/>
    <col min="2302" max="2303" width="7.625" style="396"/>
    <col min="2304" max="2304" width="6.625" style="396" bestFit="1" customWidth="1"/>
    <col min="2305" max="2308" width="7.625" style="396"/>
    <col min="2309" max="2309" width="2.5" style="396" customWidth="1"/>
    <col min="2310" max="2553" width="7.625" style="396"/>
    <col min="2554" max="2554" width="3.625" style="396" customWidth="1"/>
    <col min="2555" max="2555" width="24" style="396" customWidth="1"/>
    <col min="2556" max="2556" width="10.125" style="396" bestFit="1" customWidth="1"/>
    <col min="2557" max="2557" width="6.625" style="396" bestFit="1" customWidth="1"/>
    <col min="2558" max="2559" width="7.625" style="396"/>
    <col min="2560" max="2560" width="6.625" style="396" bestFit="1" customWidth="1"/>
    <col min="2561" max="2564" width="7.625" style="396"/>
    <col min="2565" max="2565" width="2.5" style="396" customWidth="1"/>
    <col min="2566" max="2809" width="7.625" style="396"/>
    <col min="2810" max="2810" width="3.625" style="396" customWidth="1"/>
    <col min="2811" max="2811" width="24" style="396" customWidth="1"/>
    <col min="2812" max="2812" width="10.125" style="396" bestFit="1" customWidth="1"/>
    <col min="2813" max="2813" width="6.625" style="396" bestFit="1" customWidth="1"/>
    <col min="2814" max="2815" width="7.625" style="396"/>
    <col min="2816" max="2816" width="6.625" style="396" bestFit="1" customWidth="1"/>
    <col min="2817" max="2820" width="7.625" style="396"/>
    <col min="2821" max="2821" width="2.5" style="396" customWidth="1"/>
    <col min="2822" max="3065" width="7.625" style="396"/>
    <col min="3066" max="3066" width="3.625" style="396" customWidth="1"/>
    <col min="3067" max="3067" width="24" style="396" customWidth="1"/>
    <col min="3068" max="3068" width="10.125" style="396" bestFit="1" customWidth="1"/>
    <col min="3069" max="3069" width="6.625" style="396" bestFit="1" customWidth="1"/>
    <col min="3070" max="3071" width="7.625" style="396"/>
    <col min="3072" max="3072" width="6.625" style="396" bestFit="1" customWidth="1"/>
    <col min="3073" max="3076" width="7.625" style="396"/>
    <col min="3077" max="3077" width="2.5" style="396" customWidth="1"/>
    <col min="3078" max="3321" width="7.625" style="396"/>
    <col min="3322" max="3322" width="3.625" style="396" customWidth="1"/>
    <col min="3323" max="3323" width="24" style="396" customWidth="1"/>
    <col min="3324" max="3324" width="10.125" style="396" bestFit="1" customWidth="1"/>
    <col min="3325" max="3325" width="6.625" style="396" bestFit="1" customWidth="1"/>
    <col min="3326" max="3327" width="7.625" style="396"/>
    <col min="3328" max="3328" width="6.625" style="396" bestFit="1" customWidth="1"/>
    <col min="3329" max="3332" width="7.625" style="396"/>
    <col min="3333" max="3333" width="2.5" style="396" customWidth="1"/>
    <col min="3334" max="3577" width="7.625" style="396"/>
    <col min="3578" max="3578" width="3.625" style="396" customWidth="1"/>
    <col min="3579" max="3579" width="24" style="396" customWidth="1"/>
    <col min="3580" max="3580" width="10.125" style="396" bestFit="1" customWidth="1"/>
    <col min="3581" max="3581" width="6.625" style="396" bestFit="1" customWidth="1"/>
    <col min="3582" max="3583" width="7.625" style="396"/>
    <col min="3584" max="3584" width="6.625" style="396" bestFit="1" customWidth="1"/>
    <col min="3585" max="3588" width="7.625" style="396"/>
    <col min="3589" max="3589" width="2.5" style="396" customWidth="1"/>
    <col min="3590" max="3833" width="7.625" style="396"/>
    <col min="3834" max="3834" width="3.625" style="396" customWidth="1"/>
    <col min="3835" max="3835" width="24" style="396" customWidth="1"/>
    <col min="3836" max="3836" width="10.125" style="396" bestFit="1" customWidth="1"/>
    <col min="3837" max="3837" width="6.625" style="396" bestFit="1" customWidth="1"/>
    <col min="3838" max="3839" width="7.625" style="396"/>
    <col min="3840" max="3840" width="6.625" style="396" bestFit="1" customWidth="1"/>
    <col min="3841" max="3844" width="7.625" style="396"/>
    <col min="3845" max="3845" width="2.5" style="396" customWidth="1"/>
    <col min="3846" max="4089" width="7.625" style="396"/>
    <col min="4090" max="4090" width="3.625" style="396" customWidth="1"/>
    <col min="4091" max="4091" width="24" style="396" customWidth="1"/>
    <col min="4092" max="4092" width="10.125" style="396" bestFit="1" customWidth="1"/>
    <col min="4093" max="4093" width="6.625" style="396" bestFit="1" customWidth="1"/>
    <col min="4094" max="4095" width="7.625" style="396"/>
    <col min="4096" max="4096" width="6.625" style="396" bestFit="1" customWidth="1"/>
    <col min="4097" max="4100" width="7.625" style="396"/>
    <col min="4101" max="4101" width="2.5" style="396" customWidth="1"/>
    <col min="4102" max="4345" width="7.625" style="396"/>
    <col min="4346" max="4346" width="3.625" style="396" customWidth="1"/>
    <col min="4347" max="4347" width="24" style="396" customWidth="1"/>
    <col min="4348" max="4348" width="10.125" style="396" bestFit="1" customWidth="1"/>
    <col min="4349" max="4349" width="6.625" style="396" bestFit="1" customWidth="1"/>
    <col min="4350" max="4351" width="7.625" style="396"/>
    <col min="4352" max="4352" width="6.625" style="396" bestFit="1" customWidth="1"/>
    <col min="4353" max="4356" width="7.625" style="396"/>
    <col min="4357" max="4357" width="2.5" style="396" customWidth="1"/>
    <col min="4358" max="4601" width="7.625" style="396"/>
    <col min="4602" max="4602" width="3.625" style="396" customWidth="1"/>
    <col min="4603" max="4603" width="24" style="396" customWidth="1"/>
    <col min="4604" max="4604" width="10.125" style="396" bestFit="1" customWidth="1"/>
    <col min="4605" max="4605" width="6.625" style="396" bestFit="1" customWidth="1"/>
    <col min="4606" max="4607" width="7.625" style="396"/>
    <col min="4608" max="4608" width="6.625" style="396" bestFit="1" customWidth="1"/>
    <col min="4609" max="4612" width="7.625" style="396"/>
    <col min="4613" max="4613" width="2.5" style="396" customWidth="1"/>
    <col min="4614" max="4857" width="7.625" style="396"/>
    <col min="4858" max="4858" width="3.625" style="396" customWidth="1"/>
    <col min="4859" max="4859" width="24" style="396" customWidth="1"/>
    <col min="4860" max="4860" width="10.125" style="396" bestFit="1" customWidth="1"/>
    <col min="4861" max="4861" width="6.625" style="396" bestFit="1" customWidth="1"/>
    <col min="4862" max="4863" width="7.625" style="396"/>
    <col min="4864" max="4864" width="6.625" style="396" bestFit="1" customWidth="1"/>
    <col min="4865" max="4868" width="7.625" style="396"/>
    <col min="4869" max="4869" width="2.5" style="396" customWidth="1"/>
    <col min="4870" max="5113" width="7.625" style="396"/>
    <col min="5114" max="5114" width="3.625" style="396" customWidth="1"/>
    <col min="5115" max="5115" width="24" style="396" customWidth="1"/>
    <col min="5116" max="5116" width="10.125" style="396" bestFit="1" customWidth="1"/>
    <col min="5117" max="5117" width="6.625" style="396" bestFit="1" customWidth="1"/>
    <col min="5118" max="5119" width="7.625" style="396"/>
    <col min="5120" max="5120" width="6.625" style="396" bestFit="1" customWidth="1"/>
    <col min="5121" max="5124" width="7.625" style="396"/>
    <col min="5125" max="5125" width="2.5" style="396" customWidth="1"/>
    <col min="5126" max="5369" width="7.625" style="396"/>
    <col min="5370" max="5370" width="3.625" style="396" customWidth="1"/>
    <col min="5371" max="5371" width="24" style="396" customWidth="1"/>
    <col min="5372" max="5372" width="10.125" style="396" bestFit="1" customWidth="1"/>
    <col min="5373" max="5373" width="6.625" style="396" bestFit="1" customWidth="1"/>
    <col min="5374" max="5375" width="7.625" style="396"/>
    <col min="5376" max="5376" width="6.625" style="396" bestFit="1" customWidth="1"/>
    <col min="5377" max="5380" width="7.625" style="396"/>
    <col min="5381" max="5381" width="2.5" style="396" customWidth="1"/>
    <col min="5382" max="5625" width="7.625" style="396"/>
    <col min="5626" max="5626" width="3.625" style="396" customWidth="1"/>
    <col min="5627" max="5627" width="24" style="396" customWidth="1"/>
    <col min="5628" max="5628" width="10.125" style="396" bestFit="1" customWidth="1"/>
    <col min="5629" max="5629" width="6.625" style="396" bestFit="1" customWidth="1"/>
    <col min="5630" max="5631" width="7.625" style="396"/>
    <col min="5632" max="5632" width="6.625" style="396" bestFit="1" customWidth="1"/>
    <col min="5633" max="5636" width="7.625" style="396"/>
    <col min="5637" max="5637" width="2.5" style="396" customWidth="1"/>
    <col min="5638" max="5881" width="7.625" style="396"/>
    <col min="5882" max="5882" width="3.625" style="396" customWidth="1"/>
    <col min="5883" max="5883" width="24" style="396" customWidth="1"/>
    <col min="5884" max="5884" width="10.125" style="396" bestFit="1" customWidth="1"/>
    <col min="5885" max="5885" width="6.625" style="396" bestFit="1" customWidth="1"/>
    <col min="5886" max="5887" width="7.625" style="396"/>
    <col min="5888" max="5888" width="6.625" style="396" bestFit="1" customWidth="1"/>
    <col min="5889" max="5892" width="7.625" style="396"/>
    <col min="5893" max="5893" width="2.5" style="396" customWidth="1"/>
    <col min="5894" max="6137" width="7.625" style="396"/>
    <col min="6138" max="6138" width="3.625" style="396" customWidth="1"/>
    <col min="6139" max="6139" width="24" style="396" customWidth="1"/>
    <col min="6140" max="6140" width="10.125" style="396" bestFit="1" customWidth="1"/>
    <col min="6141" max="6141" width="6.625" style="396" bestFit="1" customWidth="1"/>
    <col min="6142" max="6143" width="7.625" style="396"/>
    <col min="6144" max="6144" width="6.625" style="396" bestFit="1" customWidth="1"/>
    <col min="6145" max="6148" width="7.625" style="396"/>
    <col min="6149" max="6149" width="2.5" style="396" customWidth="1"/>
    <col min="6150" max="6393" width="7.625" style="396"/>
    <col min="6394" max="6394" width="3.625" style="396" customWidth="1"/>
    <col min="6395" max="6395" width="24" style="396" customWidth="1"/>
    <col min="6396" max="6396" width="10.125" style="396" bestFit="1" customWidth="1"/>
    <col min="6397" max="6397" width="6.625" style="396" bestFit="1" customWidth="1"/>
    <col min="6398" max="6399" width="7.625" style="396"/>
    <col min="6400" max="6400" width="6.625" style="396" bestFit="1" customWidth="1"/>
    <col min="6401" max="6404" width="7.625" style="396"/>
    <col min="6405" max="6405" width="2.5" style="396" customWidth="1"/>
    <col min="6406" max="6649" width="7.625" style="396"/>
    <col min="6650" max="6650" width="3.625" style="396" customWidth="1"/>
    <col min="6651" max="6651" width="24" style="396" customWidth="1"/>
    <col min="6652" max="6652" width="10.125" style="396" bestFit="1" customWidth="1"/>
    <col min="6653" max="6653" width="6.625" style="396" bestFit="1" customWidth="1"/>
    <col min="6654" max="6655" width="7.625" style="396"/>
    <col min="6656" max="6656" width="6.625" style="396" bestFit="1" customWidth="1"/>
    <col min="6657" max="6660" width="7.625" style="396"/>
    <col min="6661" max="6661" width="2.5" style="396" customWidth="1"/>
    <col min="6662" max="6905" width="7.625" style="396"/>
    <col min="6906" max="6906" width="3.625" style="396" customWidth="1"/>
    <col min="6907" max="6907" width="24" style="396" customWidth="1"/>
    <col min="6908" max="6908" width="10.125" style="396" bestFit="1" customWidth="1"/>
    <col min="6909" max="6909" width="6.625" style="396" bestFit="1" customWidth="1"/>
    <col min="6910" max="6911" width="7.625" style="396"/>
    <col min="6912" max="6912" width="6.625" style="396" bestFit="1" customWidth="1"/>
    <col min="6913" max="6916" width="7.625" style="396"/>
    <col min="6917" max="6917" width="2.5" style="396" customWidth="1"/>
    <col min="6918" max="7161" width="7.625" style="396"/>
    <col min="7162" max="7162" width="3.625" style="396" customWidth="1"/>
    <col min="7163" max="7163" width="24" style="396" customWidth="1"/>
    <col min="7164" max="7164" width="10.125" style="396" bestFit="1" customWidth="1"/>
    <col min="7165" max="7165" width="6.625" style="396" bestFit="1" customWidth="1"/>
    <col min="7166" max="7167" width="7.625" style="396"/>
    <col min="7168" max="7168" width="6.625" style="396" bestFit="1" customWidth="1"/>
    <col min="7169" max="7172" width="7.625" style="396"/>
    <col min="7173" max="7173" width="2.5" style="396" customWidth="1"/>
    <col min="7174" max="7417" width="7.625" style="396"/>
    <col min="7418" max="7418" width="3.625" style="396" customWidth="1"/>
    <col min="7419" max="7419" width="24" style="396" customWidth="1"/>
    <col min="7420" max="7420" width="10.125" style="396" bestFit="1" customWidth="1"/>
    <col min="7421" max="7421" width="6.625" style="396" bestFit="1" customWidth="1"/>
    <col min="7422" max="7423" width="7.625" style="396"/>
    <col min="7424" max="7424" width="6.625" style="396" bestFit="1" customWidth="1"/>
    <col min="7425" max="7428" width="7.625" style="396"/>
    <col min="7429" max="7429" width="2.5" style="396" customWidth="1"/>
    <col min="7430" max="7673" width="7.625" style="396"/>
    <col min="7674" max="7674" width="3.625" style="396" customWidth="1"/>
    <col min="7675" max="7675" width="24" style="396" customWidth="1"/>
    <col min="7676" max="7676" width="10.125" style="396" bestFit="1" customWidth="1"/>
    <col min="7677" max="7677" width="6.625" style="396" bestFit="1" customWidth="1"/>
    <col min="7678" max="7679" width="7.625" style="396"/>
    <col min="7680" max="7680" width="6.625" style="396" bestFit="1" customWidth="1"/>
    <col min="7681" max="7684" width="7.625" style="396"/>
    <col min="7685" max="7685" width="2.5" style="396" customWidth="1"/>
    <col min="7686" max="7929" width="7.625" style="396"/>
    <col min="7930" max="7930" width="3.625" style="396" customWidth="1"/>
    <col min="7931" max="7931" width="24" style="396" customWidth="1"/>
    <col min="7932" max="7932" width="10.125" style="396" bestFit="1" customWidth="1"/>
    <col min="7933" max="7933" width="6.625" style="396" bestFit="1" customWidth="1"/>
    <col min="7934" max="7935" width="7.625" style="396"/>
    <col min="7936" max="7936" width="6.625" style="396" bestFit="1" customWidth="1"/>
    <col min="7937" max="7940" width="7.625" style="396"/>
    <col min="7941" max="7941" width="2.5" style="396" customWidth="1"/>
    <col min="7942" max="8185" width="7.625" style="396"/>
    <col min="8186" max="8186" width="3.625" style="396" customWidth="1"/>
    <col min="8187" max="8187" width="24" style="396" customWidth="1"/>
    <col min="8188" max="8188" width="10.125" style="396" bestFit="1" customWidth="1"/>
    <col min="8189" max="8189" width="6.625" style="396" bestFit="1" customWidth="1"/>
    <col min="8190" max="8191" width="7.625" style="396"/>
    <col min="8192" max="8192" width="6.625" style="396" bestFit="1" customWidth="1"/>
    <col min="8193" max="8196" width="7.625" style="396"/>
    <col min="8197" max="8197" width="2.5" style="396" customWidth="1"/>
    <col min="8198" max="8441" width="7.625" style="396"/>
    <col min="8442" max="8442" width="3.625" style="396" customWidth="1"/>
    <col min="8443" max="8443" width="24" style="396" customWidth="1"/>
    <col min="8444" max="8444" width="10.125" style="396" bestFit="1" customWidth="1"/>
    <col min="8445" max="8445" width="6.625" style="396" bestFit="1" customWidth="1"/>
    <col min="8446" max="8447" width="7.625" style="396"/>
    <col min="8448" max="8448" width="6.625" style="396" bestFit="1" customWidth="1"/>
    <col min="8449" max="8452" width="7.625" style="396"/>
    <col min="8453" max="8453" width="2.5" style="396" customWidth="1"/>
    <col min="8454" max="8697" width="7.625" style="396"/>
    <col min="8698" max="8698" width="3.625" style="396" customWidth="1"/>
    <col min="8699" max="8699" width="24" style="396" customWidth="1"/>
    <col min="8700" max="8700" width="10.125" style="396" bestFit="1" customWidth="1"/>
    <col min="8701" max="8701" width="6.625" style="396" bestFit="1" customWidth="1"/>
    <col min="8702" max="8703" width="7.625" style="396"/>
    <col min="8704" max="8704" width="6.625" style="396" bestFit="1" customWidth="1"/>
    <col min="8705" max="8708" width="7.625" style="396"/>
    <col min="8709" max="8709" width="2.5" style="396" customWidth="1"/>
    <col min="8710" max="8953" width="7.625" style="396"/>
    <col min="8954" max="8954" width="3.625" style="396" customWidth="1"/>
    <col min="8955" max="8955" width="24" style="396" customWidth="1"/>
    <col min="8956" max="8956" width="10.125" style="396" bestFit="1" customWidth="1"/>
    <col min="8957" max="8957" width="6.625" style="396" bestFit="1" customWidth="1"/>
    <col min="8958" max="8959" width="7.625" style="396"/>
    <col min="8960" max="8960" width="6.625" style="396" bestFit="1" customWidth="1"/>
    <col min="8961" max="8964" width="7.625" style="396"/>
    <col min="8965" max="8965" width="2.5" style="396" customWidth="1"/>
    <col min="8966" max="9209" width="7.625" style="396"/>
    <col min="9210" max="9210" width="3.625" style="396" customWidth="1"/>
    <col min="9211" max="9211" width="24" style="396" customWidth="1"/>
    <col min="9212" max="9212" width="10.125" style="396" bestFit="1" customWidth="1"/>
    <col min="9213" max="9213" width="6.625" style="396" bestFit="1" customWidth="1"/>
    <col min="9214" max="9215" width="7.625" style="396"/>
    <col min="9216" max="9216" width="6.625" style="396" bestFit="1" customWidth="1"/>
    <col min="9217" max="9220" width="7.625" style="396"/>
    <col min="9221" max="9221" width="2.5" style="396" customWidth="1"/>
    <col min="9222" max="9465" width="7.625" style="396"/>
    <col min="9466" max="9466" width="3.625" style="396" customWidth="1"/>
    <col min="9467" max="9467" width="24" style="396" customWidth="1"/>
    <col min="9468" max="9468" width="10.125" style="396" bestFit="1" customWidth="1"/>
    <col min="9469" max="9469" width="6.625" style="396" bestFit="1" customWidth="1"/>
    <col min="9470" max="9471" width="7.625" style="396"/>
    <col min="9472" max="9472" width="6.625" style="396" bestFit="1" customWidth="1"/>
    <col min="9473" max="9476" width="7.625" style="396"/>
    <col min="9477" max="9477" width="2.5" style="396" customWidth="1"/>
    <col min="9478" max="9721" width="7.625" style="396"/>
    <col min="9722" max="9722" width="3.625" style="396" customWidth="1"/>
    <col min="9723" max="9723" width="24" style="396" customWidth="1"/>
    <col min="9724" max="9724" width="10.125" style="396" bestFit="1" customWidth="1"/>
    <col min="9725" max="9725" width="6.625" style="396" bestFit="1" customWidth="1"/>
    <col min="9726" max="9727" width="7.625" style="396"/>
    <col min="9728" max="9728" width="6.625" style="396" bestFit="1" customWidth="1"/>
    <col min="9729" max="9732" width="7.625" style="396"/>
    <col min="9733" max="9733" width="2.5" style="396" customWidth="1"/>
    <col min="9734" max="9977" width="7.625" style="396"/>
    <col min="9978" max="9978" width="3.625" style="396" customWidth="1"/>
    <col min="9979" max="9979" width="24" style="396" customWidth="1"/>
    <col min="9980" max="9980" width="10.125" style="396" bestFit="1" customWidth="1"/>
    <col min="9981" max="9981" width="6.625" style="396" bestFit="1" customWidth="1"/>
    <col min="9982" max="9983" width="7.625" style="396"/>
    <col min="9984" max="9984" width="6.625" style="396" bestFit="1" customWidth="1"/>
    <col min="9985" max="9988" width="7.625" style="396"/>
    <col min="9989" max="9989" width="2.5" style="396" customWidth="1"/>
    <col min="9990" max="10233" width="7.625" style="396"/>
    <col min="10234" max="10234" width="3.625" style="396" customWidth="1"/>
    <col min="10235" max="10235" width="24" style="396" customWidth="1"/>
    <col min="10236" max="10236" width="10.125" style="396" bestFit="1" customWidth="1"/>
    <col min="10237" max="10237" width="6.625" style="396" bestFit="1" customWidth="1"/>
    <col min="10238" max="10239" width="7.625" style="396"/>
    <col min="10240" max="10240" width="6.625" style="396" bestFit="1" customWidth="1"/>
    <col min="10241" max="10244" width="7.625" style="396"/>
    <col min="10245" max="10245" width="2.5" style="396" customWidth="1"/>
    <col min="10246" max="10489" width="7.625" style="396"/>
    <col min="10490" max="10490" width="3.625" style="396" customWidth="1"/>
    <col min="10491" max="10491" width="24" style="396" customWidth="1"/>
    <col min="10492" max="10492" width="10.125" style="396" bestFit="1" customWidth="1"/>
    <col min="10493" max="10493" width="6.625" style="396" bestFit="1" customWidth="1"/>
    <col min="10494" max="10495" width="7.625" style="396"/>
    <col min="10496" max="10496" width="6.625" style="396" bestFit="1" customWidth="1"/>
    <col min="10497" max="10500" width="7.625" style="396"/>
    <col min="10501" max="10501" width="2.5" style="396" customWidth="1"/>
    <col min="10502" max="10745" width="7.625" style="396"/>
    <col min="10746" max="10746" width="3.625" style="396" customWidth="1"/>
    <col min="10747" max="10747" width="24" style="396" customWidth="1"/>
    <col min="10748" max="10748" width="10.125" style="396" bestFit="1" customWidth="1"/>
    <col min="10749" max="10749" width="6.625" style="396" bestFit="1" customWidth="1"/>
    <col min="10750" max="10751" width="7.625" style="396"/>
    <col min="10752" max="10752" width="6.625" style="396" bestFit="1" customWidth="1"/>
    <col min="10753" max="10756" width="7.625" style="396"/>
    <col min="10757" max="10757" width="2.5" style="396" customWidth="1"/>
    <col min="10758" max="11001" width="7.625" style="396"/>
    <col min="11002" max="11002" width="3.625" style="396" customWidth="1"/>
    <col min="11003" max="11003" width="24" style="396" customWidth="1"/>
    <col min="11004" max="11004" width="10.125" style="396" bestFit="1" customWidth="1"/>
    <col min="11005" max="11005" width="6.625" style="396" bestFit="1" customWidth="1"/>
    <col min="11006" max="11007" width="7.625" style="396"/>
    <col min="11008" max="11008" width="6.625" style="396" bestFit="1" customWidth="1"/>
    <col min="11009" max="11012" width="7.625" style="396"/>
    <col min="11013" max="11013" width="2.5" style="396" customWidth="1"/>
    <col min="11014" max="11257" width="7.625" style="396"/>
    <col min="11258" max="11258" width="3.625" style="396" customWidth="1"/>
    <col min="11259" max="11259" width="24" style="396" customWidth="1"/>
    <col min="11260" max="11260" width="10.125" style="396" bestFit="1" customWidth="1"/>
    <col min="11261" max="11261" width="6.625" style="396" bestFit="1" customWidth="1"/>
    <col min="11262" max="11263" width="7.625" style="396"/>
    <col min="11264" max="11264" width="6.625" style="396" bestFit="1" customWidth="1"/>
    <col min="11265" max="11268" width="7.625" style="396"/>
    <col min="11269" max="11269" width="2.5" style="396" customWidth="1"/>
    <col min="11270" max="11513" width="7.625" style="396"/>
    <col min="11514" max="11514" width="3.625" style="396" customWidth="1"/>
    <col min="11515" max="11515" width="24" style="396" customWidth="1"/>
    <col min="11516" max="11516" width="10.125" style="396" bestFit="1" customWidth="1"/>
    <col min="11517" max="11517" width="6.625" style="396" bestFit="1" customWidth="1"/>
    <col min="11518" max="11519" width="7.625" style="396"/>
    <col min="11520" max="11520" width="6.625" style="396" bestFit="1" customWidth="1"/>
    <col min="11521" max="11524" width="7.625" style="396"/>
    <col min="11525" max="11525" width="2.5" style="396" customWidth="1"/>
    <col min="11526" max="11769" width="7.625" style="396"/>
    <col min="11770" max="11770" width="3.625" style="396" customWidth="1"/>
    <col min="11771" max="11771" width="24" style="396" customWidth="1"/>
    <col min="11772" max="11772" width="10.125" style="396" bestFit="1" customWidth="1"/>
    <col min="11773" max="11773" width="6.625" style="396" bestFit="1" customWidth="1"/>
    <col min="11774" max="11775" width="7.625" style="396"/>
    <col min="11776" max="11776" width="6.625" style="396" bestFit="1" customWidth="1"/>
    <col min="11777" max="11780" width="7.625" style="396"/>
    <col min="11781" max="11781" width="2.5" style="396" customWidth="1"/>
    <col min="11782" max="12025" width="7.625" style="396"/>
    <col min="12026" max="12026" width="3.625" style="396" customWidth="1"/>
    <col min="12027" max="12027" width="24" style="396" customWidth="1"/>
    <col min="12028" max="12028" width="10.125" style="396" bestFit="1" customWidth="1"/>
    <col min="12029" max="12029" width="6.625" style="396" bestFit="1" customWidth="1"/>
    <col min="12030" max="12031" width="7.625" style="396"/>
    <col min="12032" max="12032" width="6.625" style="396" bestFit="1" customWidth="1"/>
    <col min="12033" max="12036" width="7.625" style="396"/>
    <col min="12037" max="12037" width="2.5" style="396" customWidth="1"/>
    <col min="12038" max="12281" width="7.625" style="396"/>
    <col min="12282" max="12282" width="3.625" style="396" customWidth="1"/>
    <col min="12283" max="12283" width="24" style="396" customWidth="1"/>
    <col min="12284" max="12284" width="10.125" style="396" bestFit="1" customWidth="1"/>
    <col min="12285" max="12285" width="6.625" style="396" bestFit="1" customWidth="1"/>
    <col min="12286" max="12287" width="7.625" style="396"/>
    <col min="12288" max="12288" width="6.625" style="396" bestFit="1" customWidth="1"/>
    <col min="12289" max="12292" width="7.625" style="396"/>
    <col min="12293" max="12293" width="2.5" style="396" customWidth="1"/>
    <col min="12294" max="12537" width="7.625" style="396"/>
    <col min="12538" max="12538" width="3.625" style="396" customWidth="1"/>
    <col min="12539" max="12539" width="24" style="396" customWidth="1"/>
    <col min="12540" max="12540" width="10.125" style="396" bestFit="1" customWidth="1"/>
    <col min="12541" max="12541" width="6.625" style="396" bestFit="1" customWidth="1"/>
    <col min="12542" max="12543" width="7.625" style="396"/>
    <col min="12544" max="12544" width="6.625" style="396" bestFit="1" customWidth="1"/>
    <col min="12545" max="12548" width="7.625" style="396"/>
    <col min="12549" max="12549" width="2.5" style="396" customWidth="1"/>
    <col min="12550" max="12793" width="7.625" style="396"/>
    <col min="12794" max="12794" width="3.625" style="396" customWidth="1"/>
    <col min="12795" max="12795" width="24" style="396" customWidth="1"/>
    <col min="12796" max="12796" width="10.125" style="396" bestFit="1" customWidth="1"/>
    <col min="12797" max="12797" width="6.625" style="396" bestFit="1" customWidth="1"/>
    <col min="12798" max="12799" width="7.625" style="396"/>
    <col min="12800" max="12800" width="6.625" style="396" bestFit="1" customWidth="1"/>
    <col min="12801" max="12804" width="7.625" style="396"/>
    <col min="12805" max="12805" width="2.5" style="396" customWidth="1"/>
    <col min="12806" max="13049" width="7.625" style="396"/>
    <col min="13050" max="13050" width="3.625" style="396" customWidth="1"/>
    <col min="13051" max="13051" width="24" style="396" customWidth="1"/>
    <col min="13052" max="13052" width="10.125" style="396" bestFit="1" customWidth="1"/>
    <col min="13053" max="13053" width="6.625" style="396" bestFit="1" customWidth="1"/>
    <col min="13054" max="13055" width="7.625" style="396"/>
    <col min="13056" max="13056" width="6.625" style="396" bestFit="1" customWidth="1"/>
    <col min="13057" max="13060" width="7.625" style="396"/>
    <col min="13061" max="13061" width="2.5" style="396" customWidth="1"/>
    <col min="13062" max="13305" width="7.625" style="396"/>
    <col min="13306" max="13306" width="3.625" style="396" customWidth="1"/>
    <col min="13307" max="13307" width="24" style="396" customWidth="1"/>
    <col min="13308" max="13308" width="10.125" style="396" bestFit="1" customWidth="1"/>
    <col min="13309" max="13309" width="6.625" style="396" bestFit="1" customWidth="1"/>
    <col min="13310" max="13311" width="7.625" style="396"/>
    <col min="13312" max="13312" width="6.625" style="396" bestFit="1" customWidth="1"/>
    <col min="13313" max="13316" width="7.625" style="396"/>
    <col min="13317" max="13317" width="2.5" style="396" customWidth="1"/>
    <col min="13318" max="13561" width="7.625" style="396"/>
    <col min="13562" max="13562" width="3.625" style="396" customWidth="1"/>
    <col min="13563" max="13563" width="24" style="396" customWidth="1"/>
    <col min="13564" max="13564" width="10.125" style="396" bestFit="1" customWidth="1"/>
    <col min="13565" max="13565" width="6.625" style="396" bestFit="1" customWidth="1"/>
    <col min="13566" max="13567" width="7.625" style="396"/>
    <col min="13568" max="13568" width="6.625" style="396" bestFit="1" customWidth="1"/>
    <col min="13569" max="13572" width="7.625" style="396"/>
    <col min="13573" max="13573" width="2.5" style="396" customWidth="1"/>
    <col min="13574" max="13817" width="7.625" style="396"/>
    <col min="13818" max="13818" width="3.625" style="396" customWidth="1"/>
    <col min="13819" max="13819" width="24" style="396" customWidth="1"/>
    <col min="13820" max="13820" width="10.125" style="396" bestFit="1" customWidth="1"/>
    <col min="13821" max="13821" width="6.625" style="396" bestFit="1" customWidth="1"/>
    <col min="13822" max="13823" width="7.625" style="396"/>
    <col min="13824" max="13824" width="6.625" style="396" bestFit="1" customWidth="1"/>
    <col min="13825" max="13828" width="7.625" style="396"/>
    <col min="13829" max="13829" width="2.5" style="396" customWidth="1"/>
    <col min="13830" max="14073" width="7.625" style="396"/>
    <col min="14074" max="14074" width="3.625" style="396" customWidth="1"/>
    <col min="14075" max="14075" width="24" style="396" customWidth="1"/>
    <col min="14076" max="14076" width="10.125" style="396" bestFit="1" customWidth="1"/>
    <col min="14077" max="14077" width="6.625" style="396" bestFit="1" customWidth="1"/>
    <col min="14078" max="14079" width="7.625" style="396"/>
    <col min="14080" max="14080" width="6.625" style="396" bestFit="1" customWidth="1"/>
    <col min="14081" max="14084" width="7.625" style="396"/>
    <col min="14085" max="14085" width="2.5" style="396" customWidth="1"/>
    <col min="14086" max="14329" width="7.625" style="396"/>
    <col min="14330" max="14330" width="3.625" style="396" customWidth="1"/>
    <col min="14331" max="14331" width="24" style="396" customWidth="1"/>
    <col min="14332" max="14332" width="10.125" style="396" bestFit="1" customWidth="1"/>
    <col min="14333" max="14333" width="6.625" style="396" bestFit="1" customWidth="1"/>
    <col min="14334" max="14335" width="7.625" style="396"/>
    <col min="14336" max="14336" width="6.625" style="396" bestFit="1" customWidth="1"/>
    <col min="14337" max="14340" width="7.625" style="396"/>
    <col min="14341" max="14341" width="2.5" style="396" customWidth="1"/>
    <col min="14342" max="14585" width="7.625" style="396"/>
    <col min="14586" max="14586" width="3.625" style="396" customWidth="1"/>
    <col min="14587" max="14587" width="24" style="396" customWidth="1"/>
    <col min="14588" max="14588" width="10.125" style="396" bestFit="1" customWidth="1"/>
    <col min="14589" max="14589" width="6.625" style="396" bestFit="1" customWidth="1"/>
    <col min="14590" max="14591" width="7.625" style="396"/>
    <col min="14592" max="14592" width="6.625" style="396" bestFit="1" customWidth="1"/>
    <col min="14593" max="14596" width="7.625" style="396"/>
    <col min="14597" max="14597" width="2.5" style="396" customWidth="1"/>
    <col min="14598" max="14841" width="7.625" style="396"/>
    <col min="14842" max="14842" width="3.625" style="396" customWidth="1"/>
    <col min="14843" max="14843" width="24" style="396" customWidth="1"/>
    <col min="14844" max="14844" width="10.125" style="396" bestFit="1" customWidth="1"/>
    <col min="14845" max="14845" width="6.625" style="396" bestFit="1" customWidth="1"/>
    <col min="14846" max="14847" width="7.625" style="396"/>
    <col min="14848" max="14848" width="6.625" style="396" bestFit="1" customWidth="1"/>
    <col min="14849" max="14852" width="7.625" style="396"/>
    <col min="14853" max="14853" width="2.5" style="396" customWidth="1"/>
    <col min="14854" max="15097" width="7.625" style="396"/>
    <col min="15098" max="15098" width="3.625" style="396" customWidth="1"/>
    <col min="15099" max="15099" width="24" style="396" customWidth="1"/>
    <col min="15100" max="15100" width="10.125" style="396" bestFit="1" customWidth="1"/>
    <col min="15101" max="15101" width="6.625" style="396" bestFit="1" customWidth="1"/>
    <col min="15102" max="15103" width="7.625" style="396"/>
    <col min="15104" max="15104" width="6.625" style="396" bestFit="1" customWidth="1"/>
    <col min="15105" max="15108" width="7.625" style="396"/>
    <col min="15109" max="15109" width="2.5" style="396" customWidth="1"/>
    <col min="15110" max="15353" width="7.625" style="396"/>
    <col min="15354" max="15354" width="3.625" style="396" customWidth="1"/>
    <col min="15355" max="15355" width="24" style="396" customWidth="1"/>
    <col min="15356" max="15356" width="10.125" style="396" bestFit="1" customWidth="1"/>
    <col min="15357" max="15357" width="6.625" style="396" bestFit="1" customWidth="1"/>
    <col min="15358" max="15359" width="7.625" style="396"/>
    <col min="15360" max="15360" width="6.625" style="396" bestFit="1" customWidth="1"/>
    <col min="15361" max="15364" width="7.625" style="396"/>
    <col min="15365" max="15365" width="2.5" style="396" customWidth="1"/>
    <col min="15366" max="15609" width="7.625" style="396"/>
    <col min="15610" max="15610" width="3.625" style="396" customWidth="1"/>
    <col min="15611" max="15611" width="24" style="396" customWidth="1"/>
    <col min="15612" max="15612" width="10.125" style="396" bestFit="1" customWidth="1"/>
    <col min="15613" max="15613" width="6.625" style="396" bestFit="1" customWidth="1"/>
    <col min="15614" max="15615" width="7.625" style="396"/>
    <col min="15616" max="15616" width="6.625" style="396" bestFit="1" customWidth="1"/>
    <col min="15617" max="15620" width="7.625" style="396"/>
    <col min="15621" max="15621" width="2.5" style="396" customWidth="1"/>
    <col min="15622" max="15865" width="7.625" style="396"/>
    <col min="15866" max="15866" width="3.625" style="396" customWidth="1"/>
    <col min="15867" max="15867" width="24" style="396" customWidth="1"/>
    <col min="15868" max="15868" width="10.125" style="396" bestFit="1" customWidth="1"/>
    <col min="15869" max="15869" width="6.625" style="396" bestFit="1" customWidth="1"/>
    <col min="15870" max="15871" width="7.625" style="396"/>
    <col min="15872" max="15872" width="6.625" style="396" bestFit="1" customWidth="1"/>
    <col min="15873" max="15876" width="7.625" style="396"/>
    <col min="15877" max="15877" width="2.5" style="396" customWidth="1"/>
    <col min="15878" max="16121" width="7.625" style="396"/>
    <col min="16122" max="16122" width="3.625" style="396" customWidth="1"/>
    <col min="16123" max="16123" width="24" style="396" customWidth="1"/>
    <col min="16124" max="16124" width="10.125" style="396" bestFit="1" customWidth="1"/>
    <col min="16125" max="16125" width="6.625" style="396" bestFit="1" customWidth="1"/>
    <col min="16126" max="16127" width="7.625" style="396"/>
    <col min="16128" max="16128" width="6.625" style="396" bestFit="1" customWidth="1"/>
    <col min="16129" max="16132" width="7.625" style="396"/>
    <col min="16133" max="16133" width="2.5" style="396" customWidth="1"/>
    <col min="16134" max="16384" width="7.625" style="396"/>
  </cols>
  <sheetData>
    <row r="1" spans="2:14" ht="10.5" customHeight="1"/>
    <row r="2" spans="2:14" ht="15">
      <c r="B2" s="663" t="str">
        <f>IS!B2</f>
        <v xml:space="preserve">CS DISCO (LAW) </v>
      </c>
      <c r="C2" s="395"/>
      <c r="D2" s="395"/>
      <c r="E2" s="395"/>
      <c r="F2" s="664"/>
      <c r="G2" s="395"/>
      <c r="H2" s="395"/>
      <c r="I2" s="395"/>
      <c r="J2" s="395"/>
      <c r="K2" s="400"/>
      <c r="L2" s="394"/>
    </row>
    <row r="3" spans="2:14" ht="5.45" customHeight="1">
      <c r="B3" s="665"/>
      <c r="C3" s="665"/>
      <c r="D3" s="395"/>
      <c r="E3" s="395"/>
      <c r="F3" s="394"/>
      <c r="G3" s="395"/>
      <c r="H3" s="395"/>
      <c r="I3" s="395"/>
      <c r="J3" s="395"/>
      <c r="K3" s="395"/>
      <c r="L3" s="666"/>
    </row>
    <row r="4" spans="2:14" ht="15" customHeight="1">
      <c r="B4" s="801" t="s">
        <v>192</v>
      </c>
      <c r="C4" s="802"/>
      <c r="D4" s="803" t="str">
        <f>IS!AF4</f>
        <v>4Q24</v>
      </c>
      <c r="E4" s="803" t="str">
        <f>K4</f>
        <v>4Q25</v>
      </c>
      <c r="F4" s="804" t="s">
        <v>425</v>
      </c>
      <c r="G4" s="803" t="str">
        <f>IS!AJ4</f>
        <v>3Q25</v>
      </c>
      <c r="H4" s="803" t="str">
        <f>K4</f>
        <v>4Q25</v>
      </c>
      <c r="I4" s="804" t="s">
        <v>426</v>
      </c>
      <c r="J4" s="803" t="s">
        <v>449</v>
      </c>
      <c r="K4" s="803" t="str">
        <f>IS!AK4</f>
        <v>4Q25</v>
      </c>
      <c r="L4" s="804" t="s">
        <v>427</v>
      </c>
      <c r="M4" s="667"/>
      <c r="N4" s="667"/>
    </row>
    <row r="5" spans="2:14" ht="15" customHeight="1">
      <c r="B5" s="671" t="s">
        <v>447</v>
      </c>
      <c r="C5" s="672"/>
      <c r="D5" s="690">
        <f>IS!AF5</f>
        <v>30764</v>
      </c>
      <c r="E5" s="690">
        <f t="shared" ref="E5" si="0">K5</f>
        <v>35136</v>
      </c>
      <c r="F5" s="763">
        <f>E5/D5-1</f>
        <v>0.14211415940709915</v>
      </c>
      <c r="G5" s="690">
        <f>IS!AJ5</f>
        <v>35233</v>
      </c>
      <c r="H5" s="690">
        <f t="shared" ref="H5" si="1">K5</f>
        <v>35136</v>
      </c>
      <c r="I5" s="763">
        <f>H5/G5-1</f>
        <v>-2.7531007861947288E-3</v>
      </c>
      <c r="J5" s="690">
        <v>34240.332000000002</v>
      </c>
      <c r="K5" s="690">
        <f>IS!AK5</f>
        <v>35136</v>
      </c>
      <c r="L5" s="763">
        <f>K5/J5-1</f>
        <v>2.6158274399909365E-2</v>
      </c>
      <c r="M5" s="691"/>
      <c r="N5" s="691"/>
    </row>
    <row r="6" spans="2:14" ht="15" customHeight="1">
      <c r="B6" s="893" t="s">
        <v>448</v>
      </c>
      <c r="C6" s="672"/>
      <c r="D6" s="690">
        <f>IS!AF8</f>
        <v>6235</v>
      </c>
      <c r="E6" s="690">
        <f t="shared" ref="E6" si="2">K6</f>
        <v>6035</v>
      </c>
      <c r="F6" s="763">
        <f>E6/D6-1</f>
        <v>-3.2076984763432237E-2</v>
      </c>
      <c r="G6" s="690">
        <f>IS!AJ8</f>
        <v>5686</v>
      </c>
      <c r="H6" s="690">
        <f t="shared" ref="H6" si="3">K6</f>
        <v>6035</v>
      </c>
      <c r="I6" s="763">
        <f>H6/G6-1</f>
        <v>6.1378825184664088E-2</v>
      </c>
      <c r="J6" s="690">
        <v>5511.74</v>
      </c>
      <c r="K6" s="690">
        <f>IS!AK8</f>
        <v>6035</v>
      </c>
      <c r="L6" s="763">
        <f>K6/J6-1</f>
        <v>9.4935537597927278E-2</v>
      </c>
      <c r="M6" s="691"/>
      <c r="N6" s="691"/>
    </row>
    <row r="7" spans="2:14" ht="15" customHeight="1">
      <c r="B7" s="668" t="s">
        <v>292</v>
      </c>
      <c r="C7" s="669"/>
      <c r="D7" s="894">
        <f>IS!AF11</f>
        <v>36999</v>
      </c>
      <c r="E7" s="895">
        <f>K7</f>
        <v>41171</v>
      </c>
      <c r="F7" s="896">
        <f>E7/D7-1</f>
        <v>0.11275980431903565</v>
      </c>
      <c r="G7" s="894">
        <f>IS!AJ11</f>
        <v>40919</v>
      </c>
      <c r="H7" s="897">
        <f>K7</f>
        <v>41171</v>
      </c>
      <c r="I7" s="896">
        <f>H7/G7-1</f>
        <v>6.1585082724406881E-3</v>
      </c>
      <c r="J7" s="894">
        <v>39752.072</v>
      </c>
      <c r="K7" s="894">
        <f>IS!AK11</f>
        <v>41171</v>
      </c>
      <c r="L7" s="896">
        <f>K7/J7-1</f>
        <v>3.5694441285978762E-2</v>
      </c>
      <c r="M7" s="670"/>
      <c r="N7" s="670"/>
    </row>
    <row r="8" spans="2:14" ht="15" customHeight="1">
      <c r="B8" s="682" t="s">
        <v>161</v>
      </c>
      <c r="C8" s="672"/>
      <c r="D8" s="673">
        <f>IS!AF14</f>
        <v>9092</v>
      </c>
      <c r="E8" s="673">
        <f>K8</f>
        <v>9661</v>
      </c>
      <c r="F8" s="759">
        <f>E8/D8-1</f>
        <v>6.2582490101187771E-2</v>
      </c>
      <c r="G8" s="673">
        <f>IS!AJ14</f>
        <v>9447</v>
      </c>
      <c r="H8" s="673">
        <f>K8</f>
        <v>9661</v>
      </c>
      <c r="I8" s="759">
        <f>H8/G8-1</f>
        <v>2.2652693976923821E-2</v>
      </c>
      <c r="J8" s="673">
        <v>9540.4972799999996</v>
      </c>
      <c r="K8" s="673">
        <f>IS!AK14</f>
        <v>9661</v>
      </c>
      <c r="L8" s="759">
        <f>K8/J8-1</f>
        <v>1.2630653986203999E-2</v>
      </c>
      <c r="M8" s="674"/>
      <c r="N8" s="674"/>
    </row>
    <row r="9" spans="2:14" s="675" customFormat="1" ht="15" customHeight="1">
      <c r="B9" s="668" t="s">
        <v>159</v>
      </c>
      <c r="C9" s="669"/>
      <c r="D9" s="676">
        <f>D7-D8</f>
        <v>27907</v>
      </c>
      <c r="E9" s="676">
        <f t="shared" ref="E9:E43" si="4">K9</f>
        <v>31510</v>
      </c>
      <c r="F9" s="760">
        <f>E9/D9-1</f>
        <v>0.12910739241050639</v>
      </c>
      <c r="G9" s="676">
        <f>G7-G8</f>
        <v>31472</v>
      </c>
      <c r="H9" s="676">
        <f t="shared" ref="H9:H43" si="5">K9</f>
        <v>31510</v>
      </c>
      <c r="I9" s="760">
        <f>H9/G9-1</f>
        <v>1.2074224707676606E-3</v>
      </c>
      <c r="J9" s="676">
        <v>30211.574720000001</v>
      </c>
      <c r="K9" s="676">
        <f>K7-K8</f>
        <v>31510</v>
      </c>
      <c r="L9" s="760">
        <f>K9/J9-1</f>
        <v>4.2977742538539143E-2</v>
      </c>
      <c r="M9" s="677"/>
      <c r="N9" s="677"/>
    </row>
    <row r="10" spans="2:14" s="678" customFormat="1" ht="12.4" customHeight="1">
      <c r="B10" s="679" t="s">
        <v>160</v>
      </c>
      <c r="C10" s="680"/>
      <c r="D10" s="681">
        <f>D9/D7</f>
        <v>0.75426362874672293</v>
      </c>
      <c r="E10" s="681">
        <f t="shared" si="4"/>
        <v>0.76534453863156104</v>
      </c>
      <c r="F10" s="761"/>
      <c r="G10" s="681">
        <f>G9/G7</f>
        <v>0.76912925535814658</v>
      </c>
      <c r="H10" s="681">
        <f t="shared" si="5"/>
        <v>0.76534453863156104</v>
      </c>
      <c r="I10" s="761"/>
      <c r="J10" s="681">
        <v>0.76</v>
      </c>
      <c r="K10" s="681">
        <f>K9/K7</f>
        <v>0.76534453863156104</v>
      </c>
      <c r="L10" s="761"/>
      <c r="M10" s="681"/>
      <c r="N10" s="681"/>
    </row>
    <row r="11" spans="2:14" ht="7.9" customHeight="1">
      <c r="B11" s="682"/>
      <c r="C11" s="672"/>
      <c r="D11" s="683"/>
      <c r="E11" s="684"/>
      <c r="F11" s="762"/>
      <c r="G11" s="683"/>
      <c r="H11" s="685"/>
      <c r="I11" s="762"/>
      <c r="J11" s="683"/>
      <c r="K11" s="683"/>
      <c r="L11" s="762"/>
      <c r="M11" s="686"/>
      <c r="N11" s="686"/>
    </row>
    <row r="12" spans="2:14" ht="15" customHeight="1">
      <c r="B12" s="687" t="s">
        <v>157</v>
      </c>
      <c r="C12" s="688"/>
      <c r="D12" s="685"/>
      <c r="E12" s="684"/>
      <c r="F12" s="762"/>
      <c r="G12" s="685"/>
      <c r="H12" s="685"/>
      <c r="I12" s="762"/>
      <c r="J12" s="685"/>
      <c r="K12" s="685"/>
      <c r="L12" s="762"/>
      <c r="M12" s="689"/>
      <c r="N12" s="689"/>
    </row>
    <row r="13" spans="2:14" ht="15" customHeight="1">
      <c r="B13" s="671" t="s">
        <v>424</v>
      </c>
      <c r="C13" s="672"/>
      <c r="D13" s="690">
        <f>IS!AF19</f>
        <v>13871</v>
      </c>
      <c r="E13" s="690">
        <f t="shared" si="4"/>
        <v>13891</v>
      </c>
      <c r="F13" s="763">
        <f>E13/D13-1</f>
        <v>1.4418571119600987E-3</v>
      </c>
      <c r="G13" s="690">
        <f>IS!AJ19</f>
        <v>13612</v>
      </c>
      <c r="H13" s="690">
        <f t="shared" si="5"/>
        <v>13891</v>
      </c>
      <c r="I13" s="763">
        <f>H13/G13-1</f>
        <v>2.0496620628856821E-2</v>
      </c>
      <c r="J13" s="690">
        <v>13793.968983999999</v>
      </c>
      <c r="K13" s="690">
        <f>IS!AK19</f>
        <v>13891</v>
      </c>
      <c r="L13" s="763">
        <f>K13/J13-1</f>
        <v>7.0343072477943025E-3</v>
      </c>
      <c r="M13" s="691"/>
      <c r="N13" s="691"/>
    </row>
    <row r="14" spans="2:14" ht="15" customHeight="1">
      <c r="B14" s="671" t="s">
        <v>84</v>
      </c>
      <c r="C14" s="395"/>
      <c r="D14" s="690">
        <f>IS!AF21</f>
        <v>11934</v>
      </c>
      <c r="E14" s="690">
        <f t="shared" si="4"/>
        <v>12965</v>
      </c>
      <c r="F14" s="763">
        <f>E14/D14-1</f>
        <v>8.6391821685939396E-2</v>
      </c>
      <c r="G14" s="690">
        <f>IS!AJ21</f>
        <v>11461</v>
      </c>
      <c r="H14" s="690">
        <f t="shared" si="5"/>
        <v>12965</v>
      </c>
      <c r="I14" s="763">
        <f>H14/G14-1</f>
        <v>0.13122764156705347</v>
      </c>
      <c r="J14" s="690">
        <v>12323.142320000001</v>
      </c>
      <c r="K14" s="690">
        <f>IS!AK21</f>
        <v>12965</v>
      </c>
      <c r="L14" s="763">
        <f>K14/J14-1</f>
        <v>5.2085552802412005E-2</v>
      </c>
      <c r="M14" s="691"/>
      <c r="N14" s="691"/>
    </row>
    <row r="15" spans="2:14" ht="15" customHeight="1">
      <c r="B15" s="692" t="s">
        <v>85</v>
      </c>
      <c r="C15" s="395"/>
      <c r="D15" s="690">
        <f>IS!AF23</f>
        <v>7294</v>
      </c>
      <c r="E15" s="690">
        <f t="shared" si="4"/>
        <v>7879</v>
      </c>
      <c r="F15" s="763">
        <f>E15/D15-1</f>
        <v>8.0202906498491933E-2</v>
      </c>
      <c r="G15" s="690">
        <f>IS!AJ23</f>
        <v>7748</v>
      </c>
      <c r="H15" s="690">
        <f t="shared" si="5"/>
        <v>7879</v>
      </c>
      <c r="I15" s="763">
        <f>H15/G15-1</f>
        <v>1.6907589055240146E-2</v>
      </c>
      <c r="J15" s="690">
        <v>7473.3895359999997</v>
      </c>
      <c r="K15" s="690">
        <f>IS!AK23</f>
        <v>7879</v>
      </c>
      <c r="L15" s="763">
        <f>K15/J15-1</f>
        <v>5.4273962576972368E-2</v>
      </c>
      <c r="M15" s="691"/>
      <c r="N15" s="691"/>
    </row>
    <row r="16" spans="2:14" ht="15" customHeight="1">
      <c r="B16" s="693" t="s">
        <v>193</v>
      </c>
      <c r="C16" s="694"/>
      <c r="D16" s="695">
        <f>SUM(D13:D15)</f>
        <v>33099</v>
      </c>
      <c r="E16" s="695">
        <f t="shared" si="4"/>
        <v>34735</v>
      </c>
      <c r="F16" s="764">
        <f>E16/D16-1</f>
        <v>4.9427475150306766E-2</v>
      </c>
      <c r="G16" s="695">
        <f>SUM(G13:G15)</f>
        <v>32821</v>
      </c>
      <c r="H16" s="695">
        <f t="shared" si="5"/>
        <v>34735</v>
      </c>
      <c r="I16" s="764">
        <f>H16/G16-1</f>
        <v>5.8316321867097232E-2</v>
      </c>
      <c r="J16" s="695">
        <v>33590.500840000001</v>
      </c>
      <c r="K16" s="695">
        <f>SUM(K13:K15)</f>
        <v>34735</v>
      </c>
      <c r="L16" s="764">
        <f>K16/J16-1</f>
        <v>3.4072107631009541E-2</v>
      </c>
      <c r="M16" s="691"/>
      <c r="N16" s="691">
        <f>K16-J16</f>
        <v>1144.4991599999994</v>
      </c>
    </row>
    <row r="17" spans="2:14" ht="7.9" customHeight="1">
      <c r="B17" s="682"/>
      <c r="C17" s="672"/>
      <c r="D17" s="690"/>
      <c r="E17" s="690"/>
      <c r="F17" s="763"/>
      <c r="G17" s="690"/>
      <c r="H17" s="690"/>
      <c r="I17" s="763"/>
      <c r="J17" s="690"/>
      <c r="K17" s="690"/>
      <c r="L17" s="763"/>
      <c r="M17" s="691"/>
      <c r="N17" s="691"/>
    </row>
    <row r="18" spans="2:14" s="675" customFormat="1" ht="15" customHeight="1">
      <c r="B18" s="687" t="s">
        <v>153</v>
      </c>
      <c r="C18" s="688"/>
      <c r="D18" s="696">
        <f>D9-D16</f>
        <v>-5192</v>
      </c>
      <c r="E18" s="696">
        <f t="shared" si="4"/>
        <v>-3225</v>
      </c>
      <c r="F18" s="765">
        <f>E18/D18-1</f>
        <v>-0.37885208012326654</v>
      </c>
      <c r="G18" s="696">
        <f>G9-G16</f>
        <v>-1349</v>
      </c>
      <c r="H18" s="696">
        <f t="shared" si="5"/>
        <v>-3225</v>
      </c>
      <c r="I18" s="765">
        <f>H18/G18-1</f>
        <v>1.3906597479614531</v>
      </c>
      <c r="J18" s="696">
        <v>-3378.9261200000001</v>
      </c>
      <c r="K18" s="696">
        <f>K9-K16</f>
        <v>-3225</v>
      </c>
      <c r="L18" s="765">
        <f>K18/J18-1</f>
        <v>-4.5554745659842966E-2</v>
      </c>
      <c r="M18" s="697"/>
      <c r="N18" s="697"/>
    </row>
    <row r="19" spans="2:14" s="678" customFormat="1" ht="12.4" customHeight="1">
      <c r="B19" s="698" t="s">
        <v>152</v>
      </c>
      <c r="C19" s="680"/>
      <c r="D19" s="699">
        <f>D18/D7</f>
        <v>-0.14032811697613448</v>
      </c>
      <c r="E19" s="699">
        <f t="shared" si="4"/>
        <v>-7.8331835515289883E-2</v>
      </c>
      <c r="F19" s="766"/>
      <c r="G19" s="699">
        <f>G18/G7</f>
        <v>-3.2967570077470122E-2</v>
      </c>
      <c r="H19" s="699">
        <f t="shared" si="5"/>
        <v>-7.8331835515289883E-2</v>
      </c>
      <c r="I19" s="766"/>
      <c r="J19" s="699">
        <v>-8.5000000000000006E-2</v>
      </c>
      <c r="K19" s="699">
        <f>K18/K7</f>
        <v>-7.8331835515289883E-2</v>
      </c>
      <c r="L19" s="766"/>
      <c r="M19" s="699"/>
      <c r="N19" s="699"/>
    </row>
    <row r="20" spans="2:14" s="706" customFormat="1" ht="7.9" customHeight="1">
      <c r="B20" s="700"/>
      <c r="C20" s="701"/>
      <c r="D20" s="702"/>
      <c r="E20" s="703"/>
      <c r="F20" s="767"/>
      <c r="G20" s="702"/>
      <c r="H20" s="702"/>
      <c r="I20" s="767"/>
      <c r="J20" s="704"/>
      <c r="K20" s="704"/>
      <c r="L20" s="767"/>
      <c r="M20" s="705"/>
      <c r="N20" s="705"/>
    </row>
    <row r="21" spans="2:14" ht="15" customHeight="1">
      <c r="B21" s="682" t="s">
        <v>194</v>
      </c>
      <c r="C21" s="672"/>
      <c r="D21" s="707">
        <f>IS!AF33</f>
        <v>20938</v>
      </c>
      <c r="E21" s="707">
        <f t="shared" si="4"/>
        <v>6017</v>
      </c>
      <c r="F21" s="763">
        <f>E21/D21-1</f>
        <v>-0.7126277581430891</v>
      </c>
      <c r="G21" s="707">
        <f>IS!AJ33</f>
        <v>13113</v>
      </c>
      <c r="H21" s="707">
        <f t="shared" si="5"/>
        <v>6017</v>
      </c>
      <c r="I21" s="763">
        <f>H21/G21-1</f>
        <v>-0.54114237779302976</v>
      </c>
      <c r="J21" s="707">
        <v>6000</v>
      </c>
      <c r="K21" s="707">
        <f>IS!AK33</f>
        <v>6017</v>
      </c>
      <c r="L21" s="763">
        <f>K21/J21-1</f>
        <v>2.8333333333332433E-3</v>
      </c>
      <c r="M21" s="708"/>
      <c r="N21" s="708"/>
    </row>
    <row r="22" spans="2:14" ht="7.9" customHeight="1">
      <c r="B22" s="709"/>
      <c r="C22" s="710"/>
      <c r="D22" s="711"/>
      <c r="E22" s="712"/>
      <c r="F22" s="768"/>
      <c r="G22" s="711"/>
      <c r="H22" s="712"/>
      <c r="I22" s="768"/>
      <c r="J22" s="711"/>
      <c r="K22" s="711"/>
      <c r="L22" s="768"/>
      <c r="M22" s="708"/>
      <c r="N22" s="708"/>
    </row>
    <row r="23" spans="2:14" ht="15" customHeight="1">
      <c r="B23" s="687" t="s">
        <v>1</v>
      </c>
      <c r="C23" s="710"/>
      <c r="D23" s="713">
        <f>D18-D21</f>
        <v>-26130</v>
      </c>
      <c r="E23" s="713">
        <f t="shared" si="4"/>
        <v>-9242</v>
      </c>
      <c r="F23" s="763">
        <f>E23/D23-1</f>
        <v>-0.64630692690394187</v>
      </c>
      <c r="G23" s="713">
        <f>G18-G21</f>
        <v>-14462</v>
      </c>
      <c r="H23" s="713">
        <f t="shared" si="5"/>
        <v>-9242</v>
      </c>
      <c r="I23" s="763">
        <f>H23/G23-1</f>
        <v>-0.36094592725764074</v>
      </c>
      <c r="J23" s="713">
        <v>-9378.9261200000001</v>
      </c>
      <c r="K23" s="713">
        <f>K18-K21</f>
        <v>-9242</v>
      </c>
      <c r="L23" s="763">
        <f>K23/J23-1</f>
        <v>-1.4599338799355044E-2</v>
      </c>
      <c r="M23" s="714"/>
      <c r="N23" s="714"/>
    </row>
    <row r="24" spans="2:14" s="678" customFormat="1" ht="12.4" customHeight="1">
      <c r="B24" s="698" t="s">
        <v>148</v>
      </c>
      <c r="C24" s="680"/>
      <c r="D24" s="699">
        <f>D23/D7</f>
        <v>-0.70623530365685561</v>
      </c>
      <c r="E24" s="699">
        <f t="shared" si="4"/>
        <v>-0.22447839498676253</v>
      </c>
      <c r="F24" s="766"/>
      <c r="G24" s="699">
        <f>G23/G7</f>
        <v>-0.35342994696840097</v>
      </c>
      <c r="H24" s="699">
        <f t="shared" si="5"/>
        <v>-0.22447839498676253</v>
      </c>
      <c r="I24" s="766"/>
      <c r="J24" s="699">
        <v>-0.23593552859332717</v>
      </c>
      <c r="K24" s="699">
        <f>K23/K7</f>
        <v>-0.22447839498676253</v>
      </c>
      <c r="L24" s="766"/>
      <c r="M24" s="715"/>
      <c r="N24" s="715"/>
    </row>
    <row r="25" spans="2:14" ht="7.9" customHeight="1">
      <c r="B25" s="687"/>
      <c r="C25" s="688"/>
      <c r="D25" s="690"/>
      <c r="E25" s="690"/>
      <c r="F25" s="763"/>
      <c r="G25" s="690"/>
      <c r="H25" s="690"/>
      <c r="I25" s="763"/>
      <c r="J25" s="690"/>
      <c r="K25" s="690"/>
      <c r="L25" s="763"/>
      <c r="M25" s="691"/>
      <c r="N25" s="691"/>
    </row>
    <row r="26" spans="2:14" ht="15" customHeight="1">
      <c r="B26" s="682" t="s">
        <v>195</v>
      </c>
      <c r="C26" s="688"/>
      <c r="D26" s="716">
        <f>IS!AF40</f>
        <v>953</v>
      </c>
      <c r="E26" s="716">
        <f t="shared" si="4"/>
        <v>996</v>
      </c>
      <c r="F26" s="769">
        <f>E26/D26-1</f>
        <v>4.5120671563483761E-2</v>
      </c>
      <c r="G26" s="716">
        <f>IS!AJ40</f>
        <v>937</v>
      </c>
      <c r="H26" s="716">
        <f t="shared" si="5"/>
        <v>996</v>
      </c>
      <c r="I26" s="769">
        <f>H26/G26-1</f>
        <v>6.2966915688367209E-2</v>
      </c>
      <c r="J26" s="716">
        <v>850</v>
      </c>
      <c r="K26" s="716">
        <f>IS!AK40</f>
        <v>996</v>
      </c>
      <c r="L26" s="769">
        <f>K26/J26-1</f>
        <v>0.17176470588235304</v>
      </c>
      <c r="M26" s="717"/>
      <c r="N26" s="717"/>
    </row>
    <row r="27" spans="2:14" ht="7.9" customHeight="1">
      <c r="B27" s="682"/>
      <c r="C27" s="688"/>
      <c r="D27" s="716"/>
      <c r="E27" s="716"/>
      <c r="F27" s="769"/>
      <c r="G27" s="716"/>
      <c r="H27" s="716"/>
      <c r="I27" s="769"/>
      <c r="J27" s="716"/>
      <c r="K27" s="716"/>
      <c r="L27" s="769"/>
      <c r="M27" s="717"/>
      <c r="N27" s="717"/>
    </row>
    <row r="28" spans="2:14" ht="15" customHeight="1">
      <c r="B28" s="687" t="s">
        <v>4</v>
      </c>
      <c r="C28" s="710"/>
      <c r="D28" s="713">
        <f>IS!AF50</f>
        <v>-4287</v>
      </c>
      <c r="E28" s="713">
        <f>K28</f>
        <v>-2159</v>
      </c>
      <c r="F28" s="763">
        <f>E28/D28-1</f>
        <v>-0.49638441800793098</v>
      </c>
      <c r="G28" s="713">
        <f>IS!AJ50</f>
        <v>-297</v>
      </c>
      <c r="H28" s="713">
        <f>K28</f>
        <v>-2159</v>
      </c>
      <c r="I28" s="763">
        <f>H28/G28-1</f>
        <v>6.269360269360269</v>
      </c>
      <c r="J28" s="713">
        <v>-2455.4761199999994</v>
      </c>
      <c r="K28" s="713">
        <f>IS!AK50</f>
        <v>-2159</v>
      </c>
      <c r="L28" s="763">
        <f>K28/J28-1</f>
        <v>-0.12074078733048299</v>
      </c>
      <c r="M28" s="714"/>
      <c r="N28" s="714"/>
    </row>
    <row r="29" spans="2:14" s="678" customFormat="1" ht="12.4" customHeight="1">
      <c r="B29" s="698" t="s">
        <v>507</v>
      </c>
      <c r="C29" s="680"/>
      <c r="D29" s="699">
        <f>D28/D7</f>
        <v>-0.11586799643233602</v>
      </c>
      <c r="E29" s="699">
        <f>K29</f>
        <v>-5.2439824148065389E-2</v>
      </c>
      <c r="F29" s="766"/>
      <c r="G29" s="699">
        <f>G28/G7</f>
        <v>-7.2582418925193678E-3</v>
      </c>
      <c r="H29" s="699">
        <f>K29</f>
        <v>-5.2439824148065389E-2</v>
      </c>
      <c r="I29" s="766"/>
      <c r="J29" s="699">
        <v>-6.1769764353415323E-2</v>
      </c>
      <c r="K29" s="699">
        <f>K28/K7</f>
        <v>-5.2439824148065389E-2</v>
      </c>
      <c r="L29" s="766"/>
      <c r="M29" s="715"/>
      <c r="N29" s="715"/>
    </row>
    <row r="30" spans="2:14" ht="7.9" customHeight="1">
      <c r="B30" s="682"/>
      <c r="C30" s="688"/>
      <c r="D30" s="716"/>
      <c r="E30" s="716"/>
      <c r="F30" s="769"/>
      <c r="G30" s="716"/>
      <c r="H30" s="716"/>
      <c r="I30" s="769"/>
      <c r="J30" s="716"/>
      <c r="K30" s="716"/>
      <c r="L30" s="769"/>
      <c r="M30" s="717"/>
      <c r="N30" s="717"/>
    </row>
    <row r="31" spans="2:14" ht="15" customHeight="1">
      <c r="B31" s="718" t="s">
        <v>196</v>
      </c>
      <c r="C31" s="719"/>
      <c r="D31" s="720">
        <f>D18+D26</f>
        <v>-4239</v>
      </c>
      <c r="E31" s="720">
        <f t="shared" si="4"/>
        <v>-2229</v>
      </c>
      <c r="F31" s="769">
        <f>E31/D31-1</f>
        <v>-0.47416843595187541</v>
      </c>
      <c r="G31" s="720">
        <f>G18+G26</f>
        <v>-412</v>
      </c>
      <c r="H31" s="720">
        <f t="shared" si="5"/>
        <v>-2229</v>
      </c>
      <c r="I31" s="769">
        <f>H31/G31-1</f>
        <v>4.4101941747572813</v>
      </c>
      <c r="J31" s="720">
        <v>-2528.9261200000001</v>
      </c>
      <c r="K31" s="720">
        <f>K18+K26</f>
        <v>-2229</v>
      </c>
      <c r="L31" s="769">
        <f>K31/J31-1</f>
        <v>-0.11859821353737299</v>
      </c>
      <c r="M31" s="721"/>
      <c r="N31" s="721"/>
    </row>
    <row r="32" spans="2:14" ht="15" customHeight="1">
      <c r="B32" s="722" t="s">
        <v>142</v>
      </c>
      <c r="C32" s="723"/>
      <c r="D32" s="724">
        <f>IS!AF54</f>
        <v>23</v>
      </c>
      <c r="E32" s="724">
        <f t="shared" si="4"/>
        <v>256</v>
      </c>
      <c r="F32" s="770">
        <f>E32/D32-1</f>
        <v>10.130434782608695</v>
      </c>
      <c r="G32" s="724">
        <f>IS!AJ54</f>
        <v>140</v>
      </c>
      <c r="H32" s="724">
        <f t="shared" si="5"/>
        <v>256</v>
      </c>
      <c r="I32" s="770">
        <f>H32/G32-1</f>
        <v>0.82857142857142851</v>
      </c>
      <c r="J32" s="724">
        <v>100</v>
      </c>
      <c r="K32" s="724">
        <f>IS!AK54</f>
        <v>256</v>
      </c>
      <c r="L32" s="770">
        <f>K32/J32-1</f>
        <v>1.56</v>
      </c>
      <c r="M32" s="721"/>
      <c r="N32" s="721"/>
    </row>
    <row r="33" spans="2:14" ht="15" customHeight="1">
      <c r="B33" s="725" t="s">
        <v>197</v>
      </c>
      <c r="C33" s="726"/>
      <c r="D33" s="727">
        <f>D31-D32</f>
        <v>-4262</v>
      </c>
      <c r="E33" s="727">
        <f t="shared" si="4"/>
        <v>-2485</v>
      </c>
      <c r="F33" s="771">
        <f>E33/D33-1</f>
        <v>-0.41694040356640072</v>
      </c>
      <c r="G33" s="727">
        <f>G31-G32</f>
        <v>-552</v>
      </c>
      <c r="H33" s="727">
        <f t="shared" si="5"/>
        <v>-2485</v>
      </c>
      <c r="I33" s="771">
        <f>H33/G33-1</f>
        <v>3.5018115942028984</v>
      </c>
      <c r="J33" s="727">
        <v>-2628.9261200000001</v>
      </c>
      <c r="K33" s="727">
        <f>K31-K32</f>
        <v>-2485</v>
      </c>
      <c r="L33" s="771">
        <f>K33/J33-1</f>
        <v>-5.4747114764868376E-2</v>
      </c>
      <c r="M33" s="728"/>
      <c r="N33" s="728"/>
    </row>
    <row r="34" spans="2:14" ht="7.9" customHeight="1">
      <c r="B34" s="729"/>
      <c r="C34" s="397"/>
      <c r="D34" s="730"/>
      <c r="E34" s="730"/>
      <c r="F34" s="762"/>
      <c r="G34" s="730"/>
      <c r="H34" s="730"/>
      <c r="I34" s="762"/>
      <c r="J34" s="730"/>
      <c r="K34" s="730"/>
      <c r="L34" s="762"/>
      <c r="M34" s="731"/>
      <c r="N34" s="731"/>
    </row>
    <row r="35" spans="2:14" ht="15" customHeight="1">
      <c r="B35" s="718" t="s">
        <v>198</v>
      </c>
      <c r="C35" s="719"/>
      <c r="D35" s="720">
        <f>D23+D26</f>
        <v>-25177</v>
      </c>
      <c r="E35" s="720">
        <f t="shared" si="4"/>
        <v>-8246</v>
      </c>
      <c r="F35" s="769">
        <f>E35/D35-1</f>
        <v>-0.67247884974381378</v>
      </c>
      <c r="G35" s="720">
        <f>G23+G26</f>
        <v>-13525</v>
      </c>
      <c r="H35" s="720">
        <f t="shared" si="5"/>
        <v>-8246</v>
      </c>
      <c r="I35" s="769">
        <f>H35/G35-1</f>
        <v>-0.39031423290203326</v>
      </c>
      <c r="J35" s="720">
        <v>-8528.9261200000001</v>
      </c>
      <c r="K35" s="720">
        <f>K23+K26</f>
        <v>-8246</v>
      </c>
      <c r="L35" s="769">
        <f>K35/J35-1</f>
        <v>-3.3172537318215123E-2</v>
      </c>
      <c r="M35" s="721"/>
      <c r="N35" s="721"/>
    </row>
    <row r="36" spans="2:14" ht="15" customHeight="1">
      <c r="B36" s="722" t="s">
        <v>142</v>
      </c>
      <c r="C36" s="723"/>
      <c r="D36" s="724">
        <f>IS!AF60</f>
        <v>23</v>
      </c>
      <c r="E36" s="724">
        <f t="shared" si="4"/>
        <v>256</v>
      </c>
      <c r="F36" s="770">
        <f>E36/D36-1</f>
        <v>10.130434782608695</v>
      </c>
      <c r="G36" s="724">
        <f>IS!AJ60</f>
        <v>140</v>
      </c>
      <c r="H36" s="724">
        <f t="shared" si="5"/>
        <v>256</v>
      </c>
      <c r="I36" s="770">
        <f>H36/G36-1</f>
        <v>0.82857142857142851</v>
      </c>
      <c r="J36" s="724">
        <v>100</v>
      </c>
      <c r="K36" s="724">
        <f>IS!AK60</f>
        <v>256</v>
      </c>
      <c r="L36" s="770">
        <f>K36/J36-1</f>
        <v>1.56</v>
      </c>
      <c r="M36" s="721"/>
      <c r="N36" s="721"/>
    </row>
    <row r="37" spans="2:14" ht="15" customHeight="1">
      <c r="B37" s="725" t="s">
        <v>2</v>
      </c>
      <c r="C37" s="726"/>
      <c r="D37" s="727">
        <f>D35-D36</f>
        <v>-25200</v>
      </c>
      <c r="E37" s="727">
        <f t="shared" si="4"/>
        <v>-8502</v>
      </c>
      <c r="F37" s="771">
        <f>E37/D37-1</f>
        <v>-0.66261904761904766</v>
      </c>
      <c r="G37" s="727">
        <f>G35-G36</f>
        <v>-13665</v>
      </c>
      <c r="H37" s="727">
        <f t="shared" si="5"/>
        <v>-8502</v>
      </c>
      <c r="I37" s="771">
        <f>H37/G37-1</f>
        <v>-0.37782656421514815</v>
      </c>
      <c r="J37" s="727">
        <v>-8628.9261200000001</v>
      </c>
      <c r="K37" s="727">
        <f>K35-K36</f>
        <v>-8502</v>
      </c>
      <c r="L37" s="771">
        <f>K37/J37-1</f>
        <v>-1.4709376141929464E-2</v>
      </c>
      <c r="M37" s="728"/>
      <c r="N37" s="728"/>
    </row>
    <row r="38" spans="2:14" ht="7.9" customHeight="1" thickBot="1">
      <c r="B38" s="732"/>
      <c r="C38" s="733"/>
      <c r="D38" s="734"/>
      <c r="E38" s="734"/>
      <c r="F38" s="769"/>
      <c r="G38" s="734"/>
      <c r="H38" s="734"/>
      <c r="I38" s="769"/>
      <c r="J38" s="734"/>
      <c r="K38" s="734"/>
      <c r="L38" s="769"/>
      <c r="M38" s="728"/>
      <c r="N38" s="728"/>
    </row>
    <row r="39" spans="2:14" ht="15" customHeight="1">
      <c r="B39" s="735" t="s">
        <v>139</v>
      </c>
      <c r="C39" s="736"/>
      <c r="D39" s="737">
        <f>IS!AF65</f>
        <v>-7.0912781604605499E-2</v>
      </c>
      <c r="E39" s="737">
        <f t="shared" si="4"/>
        <v>-3.9524120051532455E-2</v>
      </c>
      <c r="F39" s="772">
        <f>E39/D39-1</f>
        <v>-0.44263757312594942</v>
      </c>
      <c r="G39" s="737">
        <f>IS!AJ65</f>
        <v>-8.8897478017199733E-3</v>
      </c>
      <c r="H39" s="737">
        <f t="shared" si="5"/>
        <v>-3.9524120051532455E-2</v>
      </c>
      <c r="I39" s="772">
        <f>H39/G39-1</f>
        <v>3.4460338957968411</v>
      </c>
      <c r="J39" s="737">
        <v>-4.1918657978465737E-2</v>
      </c>
      <c r="K39" s="737">
        <f>IS!AK65</f>
        <v>-3.9524120051532455E-2</v>
      </c>
      <c r="L39" s="772">
        <f>K39/J39-1</f>
        <v>-5.7123439594926717E-2</v>
      </c>
      <c r="M39" s="738"/>
      <c r="N39" s="738"/>
    </row>
    <row r="40" spans="2:14" ht="15" customHeight="1" thickBot="1">
      <c r="B40" s="739" t="s">
        <v>3</v>
      </c>
      <c r="C40" s="740"/>
      <c r="D40" s="741">
        <f>IS!AF67</f>
        <v>-0.41928721174004191</v>
      </c>
      <c r="E40" s="741">
        <f t="shared" si="4"/>
        <v>-0.13522497733526315</v>
      </c>
      <c r="F40" s="773"/>
      <c r="G40" s="741">
        <f>IS!AJ67</f>
        <v>-0.22006957193931781</v>
      </c>
      <c r="H40" s="741">
        <f t="shared" si="5"/>
        <v>-0.13522497733526315</v>
      </c>
      <c r="I40" s="773"/>
      <c r="J40" s="741">
        <v>-0.13758964163881843</v>
      </c>
      <c r="K40" s="741">
        <f>IS!AK67</f>
        <v>-0.13522497733526315</v>
      </c>
      <c r="L40" s="773"/>
    </row>
    <row r="41" spans="2:14" ht="7.9" customHeight="1">
      <c r="B41" s="718"/>
      <c r="C41" s="719"/>
      <c r="D41" s="742"/>
      <c r="E41" s="743"/>
      <c r="F41" s="769"/>
      <c r="G41" s="742"/>
      <c r="H41" s="743"/>
      <c r="I41" s="769"/>
      <c r="J41" s="742"/>
      <c r="K41" s="742"/>
      <c r="L41" s="769"/>
    </row>
    <row r="42" spans="2:14" ht="15" customHeight="1">
      <c r="B42" s="718" t="s">
        <v>137</v>
      </c>
      <c r="C42" s="719"/>
      <c r="D42" s="744">
        <f>IS!Z70</f>
        <v>60350</v>
      </c>
      <c r="E42" s="744">
        <f t="shared" si="4"/>
        <v>59815</v>
      </c>
      <c r="F42" s="769"/>
      <c r="G42" s="744">
        <f>IS!AC70</f>
        <v>61188</v>
      </c>
      <c r="H42" s="744">
        <f t="shared" si="5"/>
        <v>59815</v>
      </c>
      <c r="I42" s="769"/>
      <c r="J42" s="744">
        <v>59815</v>
      </c>
      <c r="K42" s="744">
        <f>IS!AD70</f>
        <v>59815</v>
      </c>
      <c r="L42" s="769"/>
    </row>
    <row r="43" spans="2:14" ht="15" customHeight="1">
      <c r="B43" s="745" t="s">
        <v>136</v>
      </c>
      <c r="C43" s="746"/>
      <c r="D43" s="747">
        <f>IS!Z71</f>
        <v>60350</v>
      </c>
      <c r="E43" s="747">
        <f t="shared" si="4"/>
        <v>59815</v>
      </c>
      <c r="F43" s="770"/>
      <c r="G43" s="747">
        <f>IS!AC71</f>
        <v>61188</v>
      </c>
      <c r="H43" s="747">
        <f t="shared" si="5"/>
        <v>59815</v>
      </c>
      <c r="I43" s="770"/>
      <c r="J43" s="747">
        <v>59815</v>
      </c>
      <c r="K43" s="747">
        <f>IS!AD71</f>
        <v>59815</v>
      </c>
      <c r="L43" s="770"/>
    </row>
    <row r="44" spans="2:14" ht="14.45" customHeight="1">
      <c r="B44" s="719"/>
      <c r="C44" s="719"/>
      <c r="D44" s="748"/>
      <c r="E44" s="748"/>
      <c r="F44" s="749"/>
      <c r="G44" s="748"/>
      <c r="H44" s="748"/>
      <c r="I44" s="750"/>
      <c r="J44" s="748"/>
      <c r="K44" s="748"/>
      <c r="L44" s="394"/>
    </row>
    <row r="45" spans="2:14" ht="21.6" customHeight="1">
      <c r="B45" s="719"/>
      <c r="C45" s="719"/>
      <c r="D45" s="748"/>
      <c r="E45" s="748"/>
      <c r="F45" s="749"/>
      <c r="G45" s="748"/>
      <c r="H45" s="748"/>
      <c r="I45" s="750"/>
      <c r="J45" s="748"/>
      <c r="K45" s="748"/>
      <c r="L45" s="394"/>
    </row>
    <row r="46" spans="2:14">
      <c r="B46" s="394" t="s">
        <v>199</v>
      </c>
      <c r="C46" s="395"/>
      <c r="D46" s="751"/>
      <c r="E46" s="752"/>
      <c r="F46" s="753"/>
      <c r="G46" s="751"/>
      <c r="H46" s="754"/>
      <c r="I46" s="395"/>
      <c r="J46" s="662"/>
      <c r="K46" s="751"/>
      <c r="L46" s="394"/>
    </row>
    <row r="47" spans="2:14">
      <c r="B47" s="397"/>
      <c r="C47" s="397"/>
      <c r="D47" s="398"/>
      <c r="E47" s="399"/>
      <c r="F47" s="755"/>
      <c r="G47" s="398"/>
      <c r="H47" s="400"/>
      <c r="I47" s="755"/>
      <c r="J47" s="400"/>
      <c r="K47" s="398"/>
      <c r="L47" s="755"/>
    </row>
    <row r="48" spans="2:14">
      <c r="B48" s="397"/>
      <c r="C48" s="397"/>
      <c r="D48" s="399"/>
      <c r="E48" s="399"/>
      <c r="F48" s="755"/>
      <c r="G48" s="399"/>
      <c r="H48" s="400"/>
      <c r="I48" s="755"/>
      <c r="J48" s="400"/>
      <c r="K48" s="399"/>
      <c r="L48" s="755"/>
    </row>
    <row r="49" spans="2:12" s="401" customFormat="1" ht="13.9">
      <c r="E49" s="756"/>
      <c r="F49" s="757"/>
      <c r="H49" s="756"/>
      <c r="L49" s="757"/>
    </row>
    <row r="50" spans="2:12">
      <c r="B50" s="402"/>
      <c r="C50" s="395"/>
      <c r="D50" s="403"/>
      <c r="E50" s="404"/>
      <c r="F50" s="405"/>
      <c r="G50" s="403"/>
      <c r="H50" s="406"/>
      <c r="I50" s="407"/>
      <c r="J50" s="758"/>
      <c r="K50" s="403"/>
      <c r="L50" s="415"/>
    </row>
    <row r="51" spans="2:12">
      <c r="B51" s="395"/>
      <c r="C51" s="395"/>
      <c r="D51" s="409"/>
      <c r="E51" s="408"/>
      <c r="F51" s="413"/>
      <c r="G51" s="409"/>
      <c r="H51" s="395"/>
      <c r="I51" s="395"/>
      <c r="J51" s="395"/>
      <c r="K51" s="395"/>
      <c r="L51" s="394"/>
    </row>
    <row r="52" spans="2:12">
      <c r="B52" s="395"/>
      <c r="C52" s="395"/>
      <c r="D52" s="409"/>
      <c r="E52" s="410"/>
      <c r="F52" s="414"/>
      <c r="G52" s="409"/>
      <c r="H52" s="395"/>
      <c r="I52" s="395"/>
      <c r="J52" s="395"/>
      <c r="K52" s="395"/>
      <c r="L52" s="394"/>
    </row>
    <row r="53" spans="2:12">
      <c r="B53" s="395"/>
      <c r="C53" s="395"/>
      <c r="D53" s="395"/>
      <c r="E53" s="395"/>
      <c r="F53" s="394"/>
      <c r="G53" s="395"/>
      <c r="H53" s="395"/>
      <c r="I53" s="395"/>
      <c r="J53" s="395"/>
      <c r="K53" s="395"/>
      <c r="L53" s="394"/>
    </row>
    <row r="54" spans="2:12">
      <c r="B54" s="402"/>
      <c r="C54" s="402"/>
      <c r="D54" s="411"/>
      <c r="E54" s="395"/>
      <c r="F54" s="394"/>
      <c r="G54" s="411"/>
      <c r="H54" s="395"/>
      <c r="I54" s="395"/>
      <c r="J54" s="395"/>
      <c r="K54" s="395"/>
      <c r="L54" s="394"/>
    </row>
    <row r="55" spans="2:12">
      <c r="B55" s="395"/>
      <c r="C55" s="395"/>
      <c r="D55" s="412"/>
      <c r="E55" s="409"/>
      <c r="F55" s="415"/>
      <c r="G55" s="412"/>
      <c r="H55" s="395"/>
      <c r="I55" s="395"/>
      <c r="J55" s="395"/>
      <c r="K55" s="395"/>
      <c r="L55" s="394"/>
    </row>
    <row r="56" spans="2:12">
      <c r="B56" s="395"/>
      <c r="C56" s="395"/>
      <c r="D56" s="412"/>
      <c r="E56" s="409"/>
      <c r="F56" s="415"/>
      <c r="G56" s="412"/>
      <c r="H56" s="395"/>
      <c r="I56" s="395"/>
      <c r="J56" s="395"/>
      <c r="K56" s="395"/>
      <c r="L56" s="394"/>
    </row>
    <row r="57" spans="2:12">
      <c r="B57" s="395"/>
      <c r="C57" s="395"/>
      <c r="D57" s="412"/>
      <c r="E57" s="409"/>
      <c r="F57" s="415"/>
      <c r="G57" s="412"/>
      <c r="H57" s="395"/>
      <c r="I57" s="395"/>
      <c r="J57" s="395"/>
      <c r="K57" s="395"/>
      <c r="L57" s="394"/>
    </row>
    <row r="58" spans="2:12">
      <c r="B58" s="395"/>
      <c r="C58" s="395"/>
      <c r="D58" s="395"/>
      <c r="E58" s="395"/>
      <c r="F58" s="394"/>
      <c r="G58" s="395"/>
      <c r="H58" s="395"/>
      <c r="I58" s="395"/>
      <c r="J58" s="395"/>
      <c r="K58" s="395"/>
      <c r="L58" s="394"/>
    </row>
    <row r="59" spans="2:12">
      <c r="B59" s="394"/>
      <c r="C59" s="394"/>
      <c r="D59" s="395"/>
      <c r="E59" s="395"/>
      <c r="F59" s="394"/>
      <c r="G59" s="395"/>
      <c r="H59" s="395"/>
      <c r="I59" s="395"/>
      <c r="J59" s="395"/>
      <c r="K59" s="395"/>
      <c r="L59" s="394"/>
    </row>
    <row r="60" spans="2:12">
      <c r="B60" s="395"/>
      <c r="C60" s="395"/>
      <c r="D60" s="395"/>
      <c r="E60" s="395"/>
      <c r="F60" s="394"/>
      <c r="G60" s="395"/>
      <c r="H60" s="395"/>
      <c r="I60" s="395"/>
      <c r="J60" s="395"/>
      <c r="K60" s="395"/>
      <c r="L60" s="394"/>
    </row>
  </sheetData>
  <pageMargins left="0.75" right="0.75" top="1" bottom="1" header="0.5" footer="0.5"/>
  <pageSetup scale="85" orientation="portrait" r:id="rId1"/>
  <headerFooter alignWithMargins="0"/>
  <ignoredErrors>
    <ignoredError sqref="L26"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35655-11CC-40EB-8072-866A85BD1DB5}">
  <sheetPr>
    <pageSetUpPr autoPageBreaks="0"/>
  </sheetPr>
  <dimension ref="A1:T159"/>
  <sheetViews>
    <sheetView showGridLines="0" zoomScaleNormal="100" workbookViewId="0">
      <selection activeCell="C5" sqref="C5:F13"/>
    </sheetView>
  </sheetViews>
  <sheetFormatPr defaultColWidth="8.75" defaultRowHeight="12.75" outlineLevelCol="1"/>
  <cols>
    <col min="1" max="1" width="8.75" style="558"/>
    <col min="2" max="2" width="0.875" style="558" customWidth="1"/>
    <col min="3" max="3" width="18.5" style="558" customWidth="1"/>
    <col min="4" max="5" width="11.125" style="558" customWidth="1"/>
    <col min="6" max="6" width="6.25" style="558" customWidth="1"/>
    <col min="7" max="7" width="8.25" style="558" hidden="1" customWidth="1" outlineLevel="1"/>
    <col min="8" max="8" width="8.875" style="558" hidden="1" customWidth="1" outlineLevel="1"/>
    <col min="9" max="9" width="6.875" style="558" hidden="1" customWidth="1" outlineLevel="1"/>
    <col min="10" max="10" width="13.25" style="558" hidden="1" customWidth="1" outlineLevel="1"/>
    <col min="11" max="11" width="4.375" style="558" customWidth="1" collapsed="1"/>
    <col min="12" max="12" width="25.875" style="558" bestFit="1" customWidth="1"/>
    <col min="13" max="14" width="8.75" style="558"/>
    <col min="15" max="16" width="8.75" style="22"/>
    <col min="17" max="17" width="7.625" style="22" customWidth="1"/>
    <col min="18" max="16384" width="8.75" style="22"/>
  </cols>
  <sheetData>
    <row r="1" spans="1:20" s="558" customFormat="1">
      <c r="A1" s="22"/>
      <c r="B1" s="22"/>
      <c r="C1" s="22"/>
      <c r="D1" s="22"/>
      <c r="E1" s="22"/>
      <c r="F1" s="22"/>
      <c r="G1" s="22"/>
      <c r="H1" s="22"/>
      <c r="I1" s="22"/>
      <c r="J1" s="22"/>
      <c r="K1" s="22"/>
      <c r="L1" s="22"/>
      <c r="M1" s="22"/>
      <c r="N1" s="22"/>
      <c r="O1" s="22"/>
      <c r="P1" s="22"/>
      <c r="Q1" s="22"/>
      <c r="R1" s="22"/>
      <c r="S1" s="22"/>
      <c r="T1" s="22"/>
    </row>
    <row r="2" spans="1:20" s="558" customFormat="1">
      <c r="A2" s="22"/>
      <c r="B2" s="22"/>
      <c r="C2" s="22"/>
      <c r="D2" s="22"/>
      <c r="E2" s="22"/>
      <c r="F2" s="22"/>
      <c r="G2" s="22"/>
      <c r="H2" s="22"/>
      <c r="I2" s="22"/>
      <c r="J2" s="22"/>
      <c r="K2" s="22"/>
      <c r="L2" s="22"/>
      <c r="M2" s="22"/>
      <c r="N2" s="22"/>
      <c r="O2" s="22"/>
      <c r="P2" s="22"/>
      <c r="Q2" s="22"/>
      <c r="R2" s="22"/>
      <c r="S2" s="22"/>
      <c r="T2" s="22"/>
    </row>
    <row r="3" spans="1:20" s="558" customFormat="1">
      <c r="A3" s="22"/>
      <c r="B3" s="22"/>
      <c r="C3" s="22"/>
      <c r="D3" s="22"/>
      <c r="E3" s="22"/>
      <c r="F3" s="22"/>
      <c r="G3" s="22"/>
      <c r="H3" s="22"/>
      <c r="I3" s="22"/>
      <c r="J3" s="22"/>
      <c r="K3" s="22"/>
      <c r="L3" s="22"/>
      <c r="M3" s="22"/>
      <c r="N3" s="22"/>
      <c r="O3" s="22"/>
      <c r="P3" s="22"/>
      <c r="Q3" s="22"/>
      <c r="R3" s="22"/>
      <c r="S3" s="22"/>
      <c r="T3" s="22"/>
    </row>
    <row r="4" spans="1:20" s="558" customFormat="1">
      <c r="A4" s="22"/>
      <c r="B4" s="22"/>
      <c r="C4" s="22"/>
      <c r="D4" s="22"/>
      <c r="E4" s="22"/>
      <c r="F4" s="22"/>
      <c r="G4" s="22"/>
      <c r="H4" s="22"/>
      <c r="I4" s="22"/>
      <c r="J4" s="22"/>
      <c r="K4" s="22"/>
      <c r="L4" s="22"/>
      <c r="M4" s="22"/>
      <c r="N4" s="22"/>
      <c r="O4" s="22"/>
      <c r="P4" s="22"/>
      <c r="Q4" s="22"/>
      <c r="R4" s="22"/>
      <c r="S4" s="22"/>
      <c r="T4" s="22"/>
    </row>
    <row r="5" spans="1:20" s="558" customFormat="1" ht="24.95" customHeight="1">
      <c r="A5" s="22"/>
      <c r="B5" s="22"/>
      <c r="C5" s="778" t="s">
        <v>497</v>
      </c>
      <c r="D5" s="779" t="s">
        <v>499</v>
      </c>
      <c r="E5" s="779" t="s">
        <v>500</v>
      </c>
      <c r="F5" s="780" t="s">
        <v>438</v>
      </c>
      <c r="G5" s="779" t="s">
        <v>498</v>
      </c>
      <c r="H5" s="779" t="str">
        <f>LEFT(G5,4)&amp; " Result"</f>
        <v>3Q26 Result</v>
      </c>
      <c r="I5" s="779" t="str">
        <f>LEFT(G5,4)&amp; " Beat"</f>
        <v>3Q26 Beat</v>
      </c>
      <c r="J5" s="781" t="s">
        <v>439</v>
      </c>
      <c r="K5" s="22"/>
      <c r="L5" s="22"/>
      <c r="M5" s="22"/>
      <c r="N5" s="22"/>
      <c r="O5" s="22"/>
      <c r="P5" s="22"/>
      <c r="Q5" s="22"/>
      <c r="R5" s="22"/>
      <c r="S5" s="22"/>
      <c r="T5" s="22"/>
    </row>
    <row r="6" spans="1:20" s="558" customFormat="1">
      <c r="A6" s="22"/>
      <c r="B6" s="22"/>
      <c r="C6" s="813" t="s">
        <v>123</v>
      </c>
      <c r="D6" s="932">
        <v>170.4</v>
      </c>
      <c r="E6" s="932">
        <f>AVERAGE(167,177)</f>
        <v>172</v>
      </c>
      <c r="F6" s="815">
        <f>E6-D6</f>
        <v>1.5999999999999943</v>
      </c>
      <c r="G6" s="816">
        <v>38.5</v>
      </c>
      <c r="H6" s="814">
        <f>Comparison!K7/1000</f>
        <v>41.170999999999999</v>
      </c>
      <c r="I6" s="815">
        <f>H6-G6</f>
        <v>2.6709999999999994</v>
      </c>
      <c r="J6" s="815">
        <f>F6-I6</f>
        <v>-1.0710000000000051</v>
      </c>
      <c r="K6" s="22"/>
      <c r="L6" s="22"/>
      <c r="M6" s="22"/>
      <c r="N6" s="22"/>
      <c r="O6" s="22"/>
      <c r="P6" s="22"/>
      <c r="Q6" s="22"/>
      <c r="R6" s="22"/>
      <c r="S6" s="22"/>
      <c r="T6" s="22"/>
    </row>
    <row r="7" spans="1:20">
      <c r="A7" s="22"/>
      <c r="B7" s="22"/>
      <c r="C7" s="817" t="s">
        <v>479</v>
      </c>
      <c r="D7" s="933">
        <f>D6/(IS!AL11/1000)-1</f>
        <v>8.6395195378995204E-2</v>
      </c>
      <c r="E7" s="933">
        <f>E6/(IS!AL11/1000)-1</f>
        <v>9.6596089232318993E-2</v>
      </c>
      <c r="F7" s="819"/>
      <c r="G7" s="820"/>
      <c r="H7" s="818"/>
      <c r="I7" s="819"/>
      <c r="J7" s="821"/>
      <c r="K7" s="22"/>
      <c r="L7" s="22"/>
      <c r="M7" s="22"/>
      <c r="N7" s="22"/>
    </row>
    <row r="8" spans="1:20" s="558" customFormat="1" ht="15" customHeight="1">
      <c r="A8" s="22"/>
      <c r="B8" s="22"/>
      <c r="C8" s="883" t="s">
        <v>447</v>
      </c>
      <c r="D8" s="934">
        <v>148.1</v>
      </c>
      <c r="E8" s="934">
        <f>AVERAGE(145.5,152.5)</f>
        <v>149</v>
      </c>
      <c r="F8" s="885">
        <f>E8-D8</f>
        <v>0.90000000000000568</v>
      </c>
      <c r="G8" s="886">
        <v>33.25</v>
      </c>
      <c r="H8" s="884">
        <f>Comparison!K5/1000</f>
        <v>35.136000000000003</v>
      </c>
      <c r="I8" s="885">
        <f>H8-G8</f>
        <v>1.8860000000000028</v>
      </c>
      <c r="J8" s="885">
        <f>F8-I8</f>
        <v>-0.9859999999999971</v>
      </c>
      <c r="K8" s="22"/>
      <c r="L8" s="22"/>
      <c r="M8" s="22"/>
      <c r="N8" s="22"/>
      <c r="O8" s="22"/>
      <c r="P8" s="22"/>
      <c r="Q8" s="22"/>
      <c r="R8" s="22"/>
      <c r="S8" s="22"/>
      <c r="T8" s="22"/>
    </row>
    <row r="9" spans="1:20">
      <c r="A9" s="22"/>
      <c r="B9" s="22"/>
      <c r="C9" s="817" t="s">
        <v>479</v>
      </c>
      <c r="D9" s="933">
        <f>D8*1000/IS!AL5-1</f>
        <v>0.10522388059701493</v>
      </c>
      <c r="E9" s="933">
        <f>E8*1000/IS!AL5-1</f>
        <v>0.11194029850746268</v>
      </c>
      <c r="F9" s="819"/>
      <c r="G9" s="820"/>
      <c r="H9" s="818"/>
      <c r="I9" s="819"/>
      <c r="J9" s="821"/>
      <c r="K9" s="22"/>
      <c r="L9" s="22"/>
      <c r="M9" s="22"/>
      <c r="N9" s="22"/>
    </row>
    <row r="10" spans="1:20" s="558" customFormat="1" ht="15" customHeight="1">
      <c r="A10" s="22"/>
      <c r="B10" s="22"/>
      <c r="C10" s="883" t="s">
        <v>448</v>
      </c>
      <c r="D10" s="934">
        <f>D6-D8</f>
        <v>22.300000000000011</v>
      </c>
      <c r="E10" s="934">
        <f>E6-E8</f>
        <v>23</v>
      </c>
      <c r="F10" s="885">
        <f>E10-D10</f>
        <v>0.69999999999998863</v>
      </c>
      <c r="G10" s="886">
        <f>G6-G8</f>
        <v>5.25</v>
      </c>
      <c r="H10" s="884">
        <f>Comparison!K6/1000</f>
        <v>6.0350000000000001</v>
      </c>
      <c r="I10" s="885">
        <f>H10-G10</f>
        <v>0.78500000000000014</v>
      </c>
      <c r="J10" s="885">
        <f>F10-I10</f>
        <v>-8.5000000000011511E-2</v>
      </c>
      <c r="K10" s="22"/>
      <c r="L10" s="22"/>
      <c r="M10" s="22"/>
      <c r="N10" s="22"/>
      <c r="O10" s="22"/>
      <c r="P10" s="22"/>
      <c r="Q10" s="22"/>
      <c r="R10" s="22"/>
      <c r="S10" s="22"/>
      <c r="T10" s="22"/>
    </row>
    <row r="11" spans="1:20">
      <c r="A11" s="22"/>
      <c r="B11" s="22"/>
      <c r="C11" s="817" t="s">
        <v>479</v>
      </c>
      <c r="D11" s="933">
        <f>D10*1000/IS!AL8-1</f>
        <v>-2.4027309729090507E-2</v>
      </c>
      <c r="E11" s="933">
        <f>E10*1000/IS!AL8-1</f>
        <v>6.6086043152873142E-3</v>
      </c>
      <c r="F11" s="819"/>
      <c r="G11" s="820"/>
      <c r="H11" s="818"/>
      <c r="I11" s="819"/>
      <c r="J11" s="821"/>
      <c r="K11" s="22"/>
      <c r="L11" s="22"/>
      <c r="M11" s="22"/>
      <c r="N11" s="22"/>
    </row>
    <row r="12" spans="1:20" ht="15" customHeight="1">
      <c r="A12" s="22"/>
      <c r="B12" s="22"/>
      <c r="C12" s="813" t="s">
        <v>4</v>
      </c>
      <c r="D12" s="932">
        <v>-2.9</v>
      </c>
      <c r="E12" s="932">
        <f>AVERAGE(-8.5,-4.5)</f>
        <v>-6.5</v>
      </c>
      <c r="F12" s="815">
        <f>E12-D12</f>
        <v>-3.6</v>
      </c>
      <c r="G12" s="816">
        <v>-4</v>
      </c>
      <c r="H12" s="814">
        <f>Comparison!K28/1000</f>
        <v>-2.1589999999999998</v>
      </c>
      <c r="I12" s="815">
        <f>H12-G12</f>
        <v>1.8410000000000002</v>
      </c>
      <c r="J12" s="815">
        <f>F12-I12</f>
        <v>-5.4410000000000007</v>
      </c>
      <c r="K12" s="22"/>
      <c r="L12" s="22"/>
      <c r="M12" s="22"/>
      <c r="N12" s="22"/>
    </row>
    <row r="13" spans="1:20" ht="13.15" thickBot="1">
      <c r="A13" s="22"/>
      <c r="B13" s="22"/>
      <c r="C13" s="822" t="s">
        <v>480</v>
      </c>
      <c r="D13" s="935">
        <f>D12/D6</f>
        <v>-1.7018779342723004E-2</v>
      </c>
      <c r="E13" s="935">
        <f>E12/E6</f>
        <v>-3.7790697674418602E-2</v>
      </c>
      <c r="F13" s="824"/>
      <c r="G13" s="825"/>
      <c r="H13" s="823"/>
      <c r="I13" s="824"/>
      <c r="J13" s="826"/>
      <c r="K13" s="22"/>
      <c r="L13" s="22"/>
      <c r="M13" s="22"/>
      <c r="N13" s="22"/>
    </row>
    <row r="14" spans="1:20" ht="13.15">
      <c r="A14" s="22"/>
      <c r="B14" s="22"/>
      <c r="C14" s="22"/>
      <c r="D14" s="22"/>
      <c r="E14" s="22"/>
      <c r="F14" s="22"/>
      <c r="G14" s="22"/>
      <c r="H14" s="22"/>
      <c r="I14" s="22"/>
      <c r="J14" s="22"/>
      <c r="K14" s="22"/>
      <c r="L14" s="833" t="s">
        <v>459</v>
      </c>
      <c r="M14" s="837" t="s">
        <v>460</v>
      </c>
      <c r="N14" s="837" t="s">
        <v>461</v>
      </c>
      <c r="O14" s="837" t="s">
        <v>462</v>
      </c>
      <c r="P14" s="838" t="s">
        <v>463</v>
      </c>
      <c r="Q14" s="838" t="s">
        <v>494</v>
      </c>
    </row>
    <row r="15" spans="1:20">
      <c r="A15" s="22"/>
      <c r="B15" s="22"/>
      <c r="C15" s="22"/>
      <c r="D15" s="22"/>
      <c r="E15" s="22"/>
      <c r="F15" s="22"/>
      <c r="G15" s="22"/>
      <c r="H15" s="22" t="s">
        <v>490</v>
      </c>
      <c r="I15" s="22"/>
      <c r="J15" s="22"/>
      <c r="K15" s="22"/>
      <c r="L15" s="170" t="s">
        <v>464</v>
      </c>
      <c r="M15" s="834">
        <v>0.3</v>
      </c>
      <c r="N15" s="834">
        <v>3.5999999999999997E-2</v>
      </c>
      <c r="O15" s="834">
        <v>7.9000000000000001E-2</v>
      </c>
      <c r="P15" s="828">
        <f>AVERAGE(145500,157500)/IS!AG11-1</f>
        <v>4.5974551404643682E-2</v>
      </c>
      <c r="Q15" s="828" t="s">
        <v>496</v>
      </c>
    </row>
    <row r="16" spans="1:20">
      <c r="A16" s="22"/>
      <c r="B16" s="22"/>
      <c r="C16" s="22"/>
      <c r="D16" s="22"/>
      <c r="E16" s="22"/>
      <c r="F16" s="22"/>
      <c r="G16" s="22"/>
      <c r="H16" s="22"/>
      <c r="I16" s="22"/>
      <c r="J16" s="22"/>
      <c r="K16" s="22"/>
      <c r="L16" s="170" t="s">
        <v>465</v>
      </c>
      <c r="M16" s="834">
        <f>IS!W12</f>
        <v>0.18233020237533015</v>
      </c>
      <c r="N16" s="834">
        <f>IS!AB12</f>
        <v>2.1451290775944987E-2</v>
      </c>
      <c r="O16" s="834">
        <f>IS!AG12</f>
        <v>4.8888406111955884E-2</v>
      </c>
      <c r="P16" s="828">
        <f>IS!AL12</f>
        <v>8.2904702397801788E-2</v>
      </c>
      <c r="Q16" s="828"/>
    </row>
    <row r="17" spans="1:17" s="827" customFormat="1">
      <c r="L17" s="829" t="s">
        <v>468</v>
      </c>
      <c r="M17" s="835">
        <f>M16-M15</f>
        <v>-0.11766979762466984</v>
      </c>
      <c r="N17" s="835">
        <f>N16-N15</f>
        <v>-1.4548709224055011E-2</v>
      </c>
      <c r="O17" s="835">
        <f>O16-O15</f>
        <v>-3.0111593888044116E-2</v>
      </c>
      <c r="P17" s="830">
        <f>P16-P15</f>
        <v>3.6930150993158106E-2</v>
      </c>
      <c r="Q17" s="830"/>
    </row>
    <row r="18" spans="1:17">
      <c r="A18" s="22"/>
      <c r="B18" s="22"/>
      <c r="C18" s="22"/>
      <c r="D18" s="22"/>
      <c r="E18" s="22"/>
      <c r="F18" s="22"/>
      <c r="G18" s="22"/>
      <c r="H18" s="22"/>
      <c r="I18" s="22"/>
      <c r="J18" s="22"/>
      <c r="K18" s="22"/>
      <c r="L18" s="170"/>
      <c r="M18" s="834"/>
      <c r="N18" s="834"/>
      <c r="O18" s="834"/>
      <c r="P18" s="828"/>
      <c r="Q18" s="828"/>
    </row>
    <row r="19" spans="1:17">
      <c r="A19" s="22"/>
      <c r="B19" s="22"/>
      <c r="C19" s="22"/>
      <c r="D19" s="22"/>
      <c r="E19" s="22"/>
      <c r="F19" s="22"/>
      <c r="G19" s="22"/>
      <c r="H19" s="22"/>
      <c r="I19" s="22"/>
      <c r="J19" s="22"/>
      <c r="K19" s="22"/>
      <c r="L19" s="170" t="s">
        <v>467</v>
      </c>
      <c r="M19" s="834">
        <v>-0.31900000000000001</v>
      </c>
      <c r="N19" s="834">
        <v>-0.28599999999999998</v>
      </c>
      <c r="O19" s="834">
        <v>-0.151</v>
      </c>
      <c r="P19" s="828">
        <f>-17/AVERAGE(145.5,157.5)</f>
        <v>-0.11221122112211221</v>
      </c>
      <c r="Q19" s="828" t="s">
        <v>496</v>
      </c>
    </row>
    <row r="20" spans="1:17">
      <c r="A20" s="22"/>
      <c r="B20" s="22"/>
      <c r="C20" s="22"/>
      <c r="D20" s="22"/>
      <c r="E20" s="22"/>
      <c r="F20" s="22"/>
      <c r="G20" s="22"/>
      <c r="H20" s="22"/>
      <c r="I20" s="22"/>
      <c r="J20" s="22"/>
      <c r="K20" s="22"/>
      <c r="L20" s="170" t="s">
        <v>466</v>
      </c>
      <c r="M20" s="834">
        <f>IS!W51</f>
        <v>-0.32934388638212886</v>
      </c>
      <c r="N20" s="834">
        <f>IS!AB51</f>
        <v>-0.18751538851473676</v>
      </c>
      <c r="O20" s="834">
        <f>IS!AG51</f>
        <v>-0.12923136404747274</v>
      </c>
      <c r="P20" s="828">
        <f>IS!AL51</f>
        <v>-6.5241091750664656E-2</v>
      </c>
      <c r="Q20" s="828"/>
    </row>
    <row r="21" spans="1:17" s="827" customFormat="1" ht="13.15" thickBot="1">
      <c r="L21" s="831" t="s">
        <v>468</v>
      </c>
      <c r="M21" s="836">
        <f>M20-M19</f>
        <v>-1.0343886382128853E-2</v>
      </c>
      <c r="N21" s="836">
        <f>N20-N19</f>
        <v>9.8484611485263218E-2</v>
      </c>
      <c r="O21" s="836">
        <f>O20-O19</f>
        <v>2.176863595252726E-2</v>
      </c>
      <c r="P21" s="832">
        <f>P20-P19</f>
        <v>4.6970129371447553E-2</v>
      </c>
      <c r="Q21" s="832"/>
    </row>
    <row r="22" spans="1:17">
      <c r="A22" s="22"/>
      <c r="B22" s="22"/>
      <c r="C22" s="22"/>
      <c r="D22" s="22"/>
      <c r="E22" s="22"/>
      <c r="F22" s="22"/>
      <c r="G22" s="22"/>
      <c r="H22" s="22"/>
      <c r="I22" s="22"/>
      <c r="J22" s="22"/>
      <c r="K22" s="22"/>
      <c r="L22" s="22"/>
      <c r="M22" s="22"/>
      <c r="N22" s="22"/>
    </row>
    <row r="23" spans="1:17">
      <c r="A23" s="22"/>
      <c r="B23" s="22"/>
      <c r="C23" s="22"/>
      <c r="D23" s="22"/>
      <c r="E23" s="22"/>
      <c r="F23" s="22"/>
      <c r="G23" s="22"/>
      <c r="H23" s="22"/>
      <c r="I23" s="22"/>
      <c r="J23" s="22"/>
      <c r="K23" s="22"/>
      <c r="L23" s="827" t="s">
        <v>469</v>
      </c>
      <c r="M23" s="22"/>
      <c r="N23" s="22"/>
    </row>
    <row r="24" spans="1:17">
      <c r="A24" s="22"/>
      <c r="B24" s="22"/>
      <c r="C24" s="22"/>
      <c r="D24" s="22"/>
      <c r="E24" s="22"/>
      <c r="F24" s="22"/>
      <c r="G24" s="22"/>
      <c r="H24" s="22"/>
      <c r="I24" s="22"/>
      <c r="J24" s="22"/>
      <c r="K24" s="22"/>
      <c r="L24" s="22"/>
      <c r="M24" s="22"/>
      <c r="N24" s="22"/>
    </row>
    <row r="25" spans="1:17">
      <c r="A25" s="22"/>
      <c r="B25" s="22"/>
      <c r="C25" s="22"/>
      <c r="D25" s="22"/>
      <c r="E25" s="22"/>
      <c r="F25" s="22"/>
      <c r="G25" s="22"/>
      <c r="H25" s="22"/>
      <c r="I25" s="22"/>
      <c r="J25" s="22"/>
      <c r="K25" s="22"/>
      <c r="L25" s="22"/>
      <c r="M25" s="22"/>
      <c r="N25" s="22"/>
    </row>
    <row r="26" spans="1:17">
      <c r="A26" s="22"/>
      <c r="B26" s="22"/>
      <c r="C26" s="22"/>
      <c r="D26" s="22"/>
      <c r="E26" s="22"/>
      <c r="F26" s="22"/>
      <c r="G26" s="22"/>
      <c r="H26" s="22"/>
      <c r="I26" s="22"/>
      <c r="J26" s="22"/>
      <c r="K26" s="22"/>
      <c r="L26" s="22"/>
      <c r="M26" s="22"/>
      <c r="N26" s="22"/>
    </row>
    <row r="27" spans="1:17">
      <c r="A27" s="22"/>
      <c r="B27" s="22"/>
      <c r="C27" s="22"/>
      <c r="D27" s="22"/>
      <c r="E27" s="22"/>
      <c r="F27" s="22"/>
      <c r="G27" s="22"/>
      <c r="H27" s="22"/>
      <c r="I27" s="22"/>
      <c r="J27" s="22"/>
      <c r="K27" s="22"/>
      <c r="L27" s="22"/>
      <c r="M27" s="22"/>
      <c r="N27" s="22"/>
    </row>
    <row r="28" spans="1:17">
      <c r="A28" s="22"/>
      <c r="B28" s="22"/>
      <c r="C28" s="22"/>
      <c r="D28" s="22"/>
      <c r="E28" s="22"/>
      <c r="F28" s="22"/>
      <c r="G28" s="22"/>
      <c r="H28" s="22"/>
      <c r="I28" s="22"/>
      <c r="J28" s="22"/>
      <c r="K28" s="22"/>
      <c r="L28" s="22"/>
      <c r="M28" s="22"/>
      <c r="N28" s="22"/>
    </row>
    <row r="29" spans="1:17">
      <c r="A29" s="22"/>
      <c r="B29" s="22"/>
      <c r="C29" s="22"/>
      <c r="D29" s="22"/>
      <c r="E29" s="22"/>
      <c r="F29" s="22"/>
      <c r="G29" s="22"/>
      <c r="H29" s="22"/>
      <c r="I29" s="22"/>
      <c r="J29" s="22"/>
      <c r="K29" s="22"/>
      <c r="L29" s="22"/>
      <c r="M29" s="22"/>
      <c r="N29" s="22"/>
    </row>
    <row r="30" spans="1:17">
      <c r="A30" s="22"/>
      <c r="B30" s="22"/>
      <c r="C30" s="22"/>
      <c r="D30" s="22"/>
      <c r="E30" s="22"/>
      <c r="F30" s="22"/>
      <c r="G30" s="22"/>
      <c r="H30" s="22"/>
      <c r="I30" s="22"/>
      <c r="J30" s="22"/>
      <c r="K30" s="22"/>
      <c r="L30" s="22"/>
      <c r="M30" s="22"/>
      <c r="N30" s="22"/>
    </row>
    <row r="31" spans="1:17">
      <c r="A31" s="22"/>
      <c r="B31" s="22"/>
      <c r="C31" s="22"/>
      <c r="D31" s="22"/>
      <c r="E31" s="22"/>
      <c r="F31" s="22"/>
      <c r="G31" s="22"/>
      <c r="H31" s="22"/>
      <c r="I31" s="22"/>
      <c r="J31" s="22"/>
      <c r="K31" s="22"/>
      <c r="L31" s="22"/>
      <c r="M31" s="22"/>
      <c r="N31" s="22"/>
    </row>
    <row r="32" spans="1:17">
      <c r="A32" s="22"/>
      <c r="B32" s="22"/>
      <c r="C32" s="22"/>
      <c r="D32" s="22"/>
      <c r="E32" s="22"/>
      <c r="F32" s="22"/>
      <c r="G32" s="22"/>
      <c r="H32" s="22"/>
      <c r="I32" s="22"/>
      <c r="J32" s="22"/>
      <c r="K32" s="22"/>
      <c r="L32" s="22"/>
      <c r="M32" s="22"/>
      <c r="N32" s="22"/>
    </row>
    <row r="33" spans="1:14">
      <c r="A33" s="22"/>
      <c r="B33" s="22"/>
      <c r="C33" s="22"/>
      <c r="D33" s="22"/>
      <c r="E33" s="22"/>
      <c r="F33" s="22"/>
      <c r="G33" s="22"/>
      <c r="H33" s="22"/>
      <c r="I33" s="22"/>
      <c r="J33" s="22"/>
      <c r="K33" s="22"/>
      <c r="L33" s="22"/>
      <c r="M33" s="22"/>
      <c r="N33" s="22"/>
    </row>
    <row r="34" spans="1:14">
      <c r="A34" s="22"/>
      <c r="B34" s="22"/>
      <c r="C34" s="22"/>
      <c r="D34" s="22"/>
      <c r="E34" s="22"/>
      <c r="F34" s="22"/>
      <c r="G34" s="22"/>
      <c r="H34" s="22"/>
      <c r="I34" s="22"/>
      <c r="J34" s="22"/>
      <c r="K34" s="22"/>
      <c r="L34" s="22"/>
      <c r="M34" s="22"/>
      <c r="N34" s="22"/>
    </row>
    <row r="35" spans="1:14">
      <c r="A35" s="22"/>
      <c r="B35" s="22"/>
      <c r="C35" s="22"/>
      <c r="D35" s="22"/>
      <c r="E35" s="22"/>
      <c r="F35" s="22"/>
      <c r="G35" s="22"/>
      <c r="H35" s="22"/>
      <c r="I35" s="22"/>
      <c r="J35" s="22"/>
      <c r="K35" s="22"/>
      <c r="L35" s="22"/>
      <c r="M35" s="22"/>
      <c r="N35" s="22"/>
    </row>
    <row r="36" spans="1:14">
      <c r="A36" s="22"/>
      <c r="B36" s="22"/>
      <c r="C36" s="22"/>
      <c r="D36" s="22"/>
      <c r="E36" s="22"/>
      <c r="F36" s="22"/>
      <c r="G36" s="22"/>
      <c r="H36" s="22"/>
      <c r="I36" s="22"/>
      <c r="J36" s="22"/>
      <c r="K36" s="22"/>
      <c r="L36" s="22"/>
      <c r="M36" s="22"/>
      <c r="N36" s="22"/>
    </row>
    <row r="37" spans="1:14">
      <c r="A37" s="22"/>
      <c r="B37" s="22"/>
      <c r="C37" s="22"/>
      <c r="D37" s="22"/>
      <c r="E37" s="22"/>
      <c r="F37" s="22"/>
      <c r="G37" s="22"/>
      <c r="H37" s="22"/>
      <c r="I37" s="22"/>
      <c r="J37" s="22"/>
      <c r="K37" s="22"/>
      <c r="L37" s="22"/>
      <c r="M37" s="22"/>
      <c r="N37" s="22"/>
    </row>
    <row r="38" spans="1:14">
      <c r="A38" s="22"/>
      <c r="B38" s="22"/>
      <c r="C38" s="22"/>
      <c r="D38" s="22"/>
      <c r="E38" s="22"/>
      <c r="F38" s="22"/>
      <c r="G38" s="22"/>
      <c r="H38" s="22"/>
      <c r="I38" s="22"/>
      <c r="J38" s="22"/>
      <c r="K38" s="22"/>
      <c r="L38" s="22"/>
      <c r="M38" s="22"/>
      <c r="N38" s="22"/>
    </row>
    <row r="39" spans="1:14">
      <c r="A39" s="22"/>
      <c r="B39" s="22"/>
      <c r="C39" s="22"/>
      <c r="D39" s="22"/>
      <c r="E39" s="22"/>
      <c r="F39" s="22"/>
      <c r="G39" s="22"/>
      <c r="H39" s="22"/>
      <c r="I39" s="22"/>
      <c r="J39" s="22"/>
      <c r="K39" s="22"/>
      <c r="L39" s="22"/>
      <c r="M39" s="22"/>
      <c r="N39" s="22"/>
    </row>
    <row r="40" spans="1:14">
      <c r="A40" s="22"/>
      <c r="B40" s="22"/>
      <c r="C40" s="22"/>
      <c r="D40" s="22"/>
      <c r="E40" s="22"/>
      <c r="F40" s="22"/>
      <c r="G40" s="22"/>
      <c r="H40" s="22"/>
      <c r="I40" s="22"/>
      <c r="J40" s="22"/>
      <c r="K40" s="22"/>
      <c r="L40" s="22"/>
      <c r="M40" s="22"/>
      <c r="N40" s="22"/>
    </row>
    <row r="41" spans="1:14">
      <c r="A41" s="22"/>
      <c r="B41" s="22"/>
      <c r="C41" s="22"/>
      <c r="D41" s="22"/>
      <c r="E41" s="22"/>
      <c r="F41" s="22"/>
      <c r="G41" s="22"/>
      <c r="H41" s="22"/>
      <c r="I41" s="22"/>
      <c r="J41" s="22"/>
      <c r="K41" s="22"/>
      <c r="L41" s="22"/>
      <c r="M41" s="22"/>
      <c r="N41" s="22"/>
    </row>
    <row r="42" spans="1:14">
      <c r="A42" s="22"/>
      <c r="B42" s="22"/>
      <c r="C42" s="22"/>
      <c r="D42" s="22"/>
      <c r="E42" s="22"/>
      <c r="F42" s="22"/>
      <c r="G42" s="22"/>
      <c r="H42" s="22"/>
      <c r="I42" s="22"/>
      <c r="J42" s="22"/>
      <c r="K42" s="22"/>
      <c r="L42" s="22"/>
      <c r="M42" s="22"/>
      <c r="N42" s="22"/>
    </row>
    <row r="43" spans="1:14">
      <c r="A43" s="22"/>
      <c r="B43" s="22"/>
      <c r="C43" s="22"/>
      <c r="D43" s="22"/>
      <c r="E43" s="22"/>
      <c r="F43" s="22"/>
      <c r="G43" s="22"/>
      <c r="H43" s="22"/>
      <c r="I43" s="22"/>
      <c r="J43" s="22"/>
      <c r="K43" s="22"/>
      <c r="L43" s="22"/>
      <c r="M43" s="22"/>
      <c r="N43" s="22"/>
    </row>
    <row r="44" spans="1:14">
      <c r="A44" s="22"/>
      <c r="B44" s="22"/>
      <c r="C44" s="22"/>
      <c r="D44" s="22"/>
      <c r="E44" s="22"/>
      <c r="F44" s="22"/>
      <c r="G44" s="22"/>
      <c r="H44" s="22"/>
      <c r="I44" s="22"/>
      <c r="J44" s="22"/>
      <c r="K44" s="22"/>
      <c r="L44" s="22"/>
      <c r="M44" s="22"/>
      <c r="N44" s="22"/>
    </row>
    <row r="45" spans="1:14">
      <c r="A45" s="22"/>
      <c r="B45" s="22"/>
      <c r="C45" s="22"/>
      <c r="D45" s="22"/>
      <c r="E45" s="22"/>
      <c r="F45" s="22"/>
      <c r="G45" s="22"/>
      <c r="H45" s="22"/>
      <c r="I45" s="22"/>
      <c r="J45" s="22"/>
      <c r="K45" s="22"/>
      <c r="L45" s="22"/>
      <c r="M45" s="22"/>
      <c r="N45" s="22"/>
    </row>
    <row r="46" spans="1:14">
      <c r="A46" s="22"/>
      <c r="B46" s="22"/>
      <c r="C46" s="22"/>
      <c r="D46" s="22"/>
      <c r="E46" s="22"/>
      <c r="F46" s="22"/>
      <c r="G46" s="22"/>
      <c r="H46" s="22"/>
      <c r="I46" s="22"/>
      <c r="J46" s="22"/>
      <c r="K46" s="22"/>
      <c r="L46" s="22"/>
      <c r="M46" s="22"/>
      <c r="N46" s="22"/>
    </row>
    <row r="47" spans="1:14">
      <c r="A47" s="22"/>
      <c r="B47" s="22"/>
      <c r="C47" s="22"/>
      <c r="D47" s="22"/>
      <c r="E47" s="22"/>
      <c r="F47" s="22"/>
      <c r="G47" s="22"/>
      <c r="H47" s="22"/>
      <c r="I47" s="22"/>
      <c r="J47" s="22"/>
      <c r="K47" s="22"/>
      <c r="L47" s="22"/>
      <c r="M47" s="22"/>
      <c r="N47" s="22"/>
    </row>
    <row r="48" spans="1:14">
      <c r="A48" s="22"/>
      <c r="B48" s="22"/>
      <c r="C48" s="22"/>
      <c r="D48" s="22"/>
      <c r="E48" s="22"/>
      <c r="F48" s="22"/>
      <c r="G48" s="22"/>
      <c r="H48" s="22"/>
      <c r="I48" s="22"/>
      <c r="J48" s="22"/>
      <c r="K48" s="22"/>
      <c r="L48" s="22"/>
      <c r="M48" s="22"/>
      <c r="N48" s="22"/>
    </row>
    <row r="49" spans="1:14">
      <c r="A49" s="22"/>
      <c r="B49" s="22"/>
      <c r="C49" s="22"/>
      <c r="D49" s="22"/>
      <c r="E49" s="22"/>
      <c r="F49" s="22"/>
      <c r="G49" s="22"/>
      <c r="H49" s="22"/>
      <c r="I49" s="22"/>
      <c r="J49" s="22"/>
      <c r="K49" s="22"/>
      <c r="L49" s="22"/>
      <c r="M49" s="22"/>
      <c r="N49" s="22"/>
    </row>
    <row r="50" spans="1:14">
      <c r="A50" s="22"/>
      <c r="B50" s="22"/>
      <c r="C50" s="22"/>
      <c r="D50" s="22"/>
      <c r="E50" s="22"/>
      <c r="F50" s="22"/>
      <c r="G50" s="22"/>
      <c r="H50" s="22"/>
      <c r="I50" s="22"/>
      <c r="J50" s="22"/>
      <c r="K50" s="22"/>
      <c r="L50" s="22"/>
      <c r="M50" s="22"/>
      <c r="N50" s="22"/>
    </row>
    <row r="51" spans="1:14">
      <c r="A51" s="22"/>
      <c r="B51" s="22"/>
      <c r="C51" s="22"/>
      <c r="D51" s="22"/>
      <c r="E51" s="22"/>
      <c r="F51" s="22"/>
      <c r="G51" s="22"/>
      <c r="H51" s="22"/>
      <c r="I51" s="22"/>
      <c r="J51" s="22"/>
      <c r="K51" s="22"/>
      <c r="L51" s="22"/>
      <c r="M51" s="22"/>
      <c r="N51" s="22"/>
    </row>
    <row r="52" spans="1:14">
      <c r="A52" s="22"/>
      <c r="B52" s="22"/>
      <c r="C52" s="22"/>
      <c r="D52" s="22"/>
      <c r="E52" s="22"/>
      <c r="F52" s="22"/>
      <c r="G52" s="22"/>
      <c r="H52" s="22"/>
      <c r="I52" s="22"/>
      <c r="J52" s="22"/>
      <c r="K52" s="22"/>
      <c r="L52" s="22"/>
      <c r="M52" s="22"/>
      <c r="N52" s="22"/>
    </row>
    <row r="53" spans="1:14">
      <c r="A53" s="22"/>
      <c r="B53" s="22"/>
      <c r="C53" s="22"/>
      <c r="D53" s="22"/>
      <c r="E53" s="22"/>
      <c r="F53" s="22"/>
      <c r="G53" s="22"/>
      <c r="H53" s="22"/>
      <c r="I53" s="22"/>
      <c r="J53" s="22"/>
      <c r="K53" s="22"/>
      <c r="L53" s="22"/>
      <c r="M53" s="22"/>
      <c r="N53" s="22"/>
    </row>
    <row r="54" spans="1:14">
      <c r="A54" s="22"/>
      <c r="B54" s="22"/>
      <c r="C54" s="22"/>
      <c r="D54" s="22"/>
      <c r="E54" s="22"/>
      <c r="F54" s="22"/>
      <c r="G54" s="22"/>
      <c r="H54" s="22"/>
      <c r="I54" s="22"/>
      <c r="J54" s="22"/>
      <c r="K54" s="22"/>
      <c r="L54" s="22"/>
      <c r="M54" s="22"/>
      <c r="N54" s="22"/>
    </row>
    <row r="55" spans="1:14">
      <c r="A55" s="22"/>
      <c r="B55" s="22"/>
      <c r="C55" s="22"/>
      <c r="D55" s="22"/>
      <c r="E55" s="22"/>
      <c r="F55" s="22"/>
      <c r="G55" s="22"/>
      <c r="H55" s="22"/>
      <c r="I55" s="22"/>
      <c r="J55" s="22"/>
      <c r="K55" s="22"/>
      <c r="L55" s="22"/>
      <c r="M55" s="22"/>
      <c r="N55" s="22"/>
    </row>
    <row r="56" spans="1:14">
      <c r="A56" s="22"/>
      <c r="B56" s="22"/>
      <c r="C56" s="22"/>
      <c r="D56" s="22"/>
      <c r="E56" s="22"/>
      <c r="F56" s="22"/>
      <c r="G56" s="22"/>
      <c r="H56" s="22"/>
      <c r="I56" s="22"/>
      <c r="J56" s="22"/>
      <c r="K56" s="22"/>
      <c r="L56" s="22"/>
      <c r="M56" s="22"/>
      <c r="N56" s="22"/>
    </row>
    <row r="57" spans="1:14">
      <c r="A57" s="22"/>
      <c r="B57" s="22"/>
      <c r="C57" s="22"/>
      <c r="D57" s="22"/>
      <c r="E57" s="22"/>
      <c r="F57" s="22"/>
      <c r="G57" s="22"/>
      <c r="H57" s="22"/>
      <c r="I57" s="22"/>
      <c r="J57" s="22"/>
      <c r="K57" s="22"/>
      <c r="L57" s="22"/>
      <c r="M57" s="22"/>
      <c r="N57" s="22"/>
    </row>
    <row r="58" spans="1:14">
      <c r="A58" s="22"/>
      <c r="B58" s="22"/>
      <c r="C58" s="22"/>
      <c r="D58" s="22"/>
      <c r="E58" s="22"/>
      <c r="F58" s="22"/>
      <c r="G58" s="22"/>
      <c r="H58" s="22"/>
      <c r="I58" s="22"/>
      <c r="J58" s="22"/>
      <c r="K58" s="22"/>
      <c r="L58" s="22"/>
      <c r="M58" s="22"/>
      <c r="N58" s="22"/>
    </row>
    <row r="59" spans="1:14">
      <c r="A59" s="22"/>
      <c r="B59" s="22"/>
      <c r="C59" s="22"/>
      <c r="D59" s="22"/>
      <c r="E59" s="22"/>
      <c r="F59" s="22"/>
      <c r="G59" s="22"/>
      <c r="H59" s="22"/>
      <c r="I59" s="22"/>
      <c r="J59" s="22"/>
      <c r="K59" s="22"/>
      <c r="L59" s="22"/>
      <c r="M59" s="22"/>
      <c r="N59" s="22"/>
    </row>
    <row r="60" spans="1:14">
      <c r="A60" s="22"/>
      <c r="B60" s="22"/>
      <c r="C60" s="22"/>
      <c r="D60" s="22"/>
      <c r="E60" s="22"/>
      <c r="F60" s="22"/>
      <c r="G60" s="22"/>
      <c r="H60" s="22"/>
      <c r="I60" s="22"/>
      <c r="J60" s="22"/>
      <c r="K60" s="22"/>
      <c r="L60" s="22"/>
      <c r="M60" s="22"/>
      <c r="N60" s="22"/>
    </row>
    <row r="61" spans="1:14">
      <c r="A61" s="22"/>
      <c r="B61" s="22"/>
      <c r="C61" s="22"/>
      <c r="D61" s="22"/>
      <c r="E61" s="22"/>
      <c r="F61" s="22"/>
      <c r="G61" s="22"/>
      <c r="H61" s="22"/>
      <c r="I61" s="22"/>
      <c r="J61" s="22"/>
      <c r="K61" s="22"/>
      <c r="L61" s="22"/>
      <c r="M61" s="22"/>
      <c r="N61" s="22"/>
    </row>
    <row r="62" spans="1:14">
      <c r="A62" s="22"/>
      <c r="B62" s="22"/>
      <c r="C62" s="22"/>
      <c r="D62" s="22"/>
      <c r="E62" s="22"/>
      <c r="F62" s="22"/>
      <c r="G62" s="22"/>
      <c r="H62" s="22"/>
      <c r="I62" s="22"/>
      <c r="J62" s="22"/>
      <c r="K62" s="22"/>
      <c r="L62" s="22"/>
      <c r="M62" s="22"/>
      <c r="N62" s="22"/>
    </row>
    <row r="63" spans="1:14">
      <c r="A63" s="22"/>
      <c r="B63" s="22"/>
      <c r="C63" s="22"/>
      <c r="D63" s="22"/>
      <c r="E63" s="22"/>
      <c r="F63" s="22"/>
      <c r="G63" s="22"/>
      <c r="H63" s="22"/>
      <c r="I63" s="22"/>
      <c r="J63" s="22"/>
      <c r="K63" s="22"/>
      <c r="L63" s="22"/>
      <c r="M63" s="22"/>
      <c r="N63" s="22"/>
    </row>
    <row r="64" spans="1:14">
      <c r="A64" s="22"/>
      <c r="B64" s="22"/>
      <c r="C64" s="22"/>
      <c r="D64" s="22"/>
      <c r="E64" s="22"/>
      <c r="F64" s="22"/>
      <c r="G64" s="22"/>
      <c r="H64" s="22"/>
      <c r="I64" s="22"/>
      <c r="J64" s="22"/>
      <c r="K64" s="22"/>
      <c r="L64" s="22"/>
      <c r="M64" s="22"/>
      <c r="N64" s="22"/>
    </row>
    <row r="65" spans="1:14">
      <c r="A65" s="22"/>
      <c r="B65" s="22"/>
      <c r="C65" s="22"/>
      <c r="D65" s="22"/>
      <c r="E65" s="22"/>
      <c r="F65" s="22"/>
      <c r="G65" s="22"/>
      <c r="H65" s="22"/>
      <c r="I65" s="22"/>
      <c r="J65" s="22"/>
      <c r="K65" s="22"/>
      <c r="L65" s="22"/>
      <c r="M65" s="22"/>
      <c r="N65" s="22"/>
    </row>
    <row r="66" spans="1:14">
      <c r="A66" s="22"/>
      <c r="B66" s="22"/>
      <c r="C66" s="22"/>
      <c r="D66" s="22"/>
      <c r="E66" s="22"/>
      <c r="F66" s="22"/>
      <c r="G66" s="22"/>
      <c r="H66" s="22"/>
      <c r="I66" s="22"/>
      <c r="J66" s="22"/>
      <c r="K66" s="22"/>
      <c r="L66" s="22"/>
      <c r="M66" s="22"/>
      <c r="N66" s="22"/>
    </row>
    <row r="67" spans="1:14">
      <c r="A67" s="22"/>
      <c r="B67" s="22"/>
      <c r="C67" s="22"/>
      <c r="D67" s="22"/>
      <c r="E67" s="22"/>
      <c r="F67" s="22"/>
      <c r="G67" s="22"/>
      <c r="H67" s="22"/>
      <c r="I67" s="22"/>
      <c r="J67" s="22"/>
      <c r="K67" s="22"/>
      <c r="L67" s="22"/>
      <c r="M67" s="22"/>
      <c r="N67" s="22"/>
    </row>
    <row r="68" spans="1:14">
      <c r="A68" s="22"/>
      <c r="B68" s="22"/>
      <c r="C68" s="22"/>
      <c r="D68" s="22"/>
      <c r="E68" s="22"/>
      <c r="F68" s="22"/>
      <c r="G68" s="22"/>
      <c r="H68" s="22"/>
      <c r="I68" s="22"/>
      <c r="J68" s="22"/>
      <c r="K68" s="22"/>
      <c r="L68" s="22"/>
      <c r="M68" s="22"/>
      <c r="N68" s="22"/>
    </row>
    <row r="69" spans="1:14">
      <c r="A69" s="22"/>
      <c r="B69" s="22"/>
      <c r="C69" s="22"/>
      <c r="D69" s="22"/>
      <c r="E69" s="22"/>
      <c r="F69" s="22"/>
      <c r="G69" s="22"/>
      <c r="H69" s="22"/>
      <c r="I69" s="22"/>
      <c r="J69" s="22"/>
      <c r="K69" s="22"/>
      <c r="L69" s="22"/>
      <c r="M69" s="22"/>
      <c r="N69" s="22"/>
    </row>
    <row r="70" spans="1:14">
      <c r="A70" s="22"/>
      <c r="B70" s="22"/>
      <c r="C70" s="22"/>
      <c r="D70" s="22"/>
      <c r="E70" s="22"/>
      <c r="F70" s="22"/>
      <c r="G70" s="22"/>
      <c r="H70" s="22"/>
      <c r="I70" s="22"/>
      <c r="J70" s="22"/>
      <c r="K70" s="22"/>
      <c r="L70" s="22"/>
      <c r="M70" s="22"/>
      <c r="N70" s="22"/>
    </row>
    <row r="71" spans="1:14">
      <c r="A71" s="22"/>
      <c r="B71" s="22"/>
      <c r="C71" s="22"/>
      <c r="D71" s="22"/>
      <c r="E71" s="22"/>
      <c r="F71" s="22"/>
      <c r="G71" s="22"/>
      <c r="H71" s="22"/>
      <c r="I71" s="22"/>
      <c r="J71" s="22"/>
      <c r="K71" s="22"/>
      <c r="L71" s="22"/>
      <c r="M71" s="22"/>
      <c r="N71" s="22"/>
    </row>
    <row r="72" spans="1:14">
      <c r="A72" s="22"/>
      <c r="B72" s="22"/>
      <c r="C72" s="22"/>
      <c r="D72" s="22"/>
      <c r="E72" s="22"/>
      <c r="F72" s="22"/>
      <c r="G72" s="22"/>
      <c r="H72" s="22"/>
      <c r="I72" s="22"/>
      <c r="J72" s="22"/>
      <c r="K72" s="22"/>
      <c r="L72" s="22"/>
      <c r="M72" s="22"/>
      <c r="N72" s="22"/>
    </row>
    <row r="73" spans="1:14">
      <c r="A73" s="22"/>
      <c r="B73" s="22"/>
      <c r="C73" s="22"/>
      <c r="D73" s="22"/>
      <c r="E73" s="22"/>
      <c r="F73" s="22"/>
      <c r="G73" s="22"/>
      <c r="H73" s="22"/>
      <c r="I73" s="22"/>
      <c r="J73" s="22"/>
      <c r="K73" s="22"/>
      <c r="L73" s="22"/>
      <c r="M73" s="22"/>
      <c r="N73" s="22"/>
    </row>
    <row r="74" spans="1:14">
      <c r="A74" s="22"/>
      <c r="B74" s="22"/>
      <c r="C74" s="22"/>
      <c r="D74" s="22"/>
      <c r="E74" s="22"/>
      <c r="F74" s="22"/>
      <c r="G74" s="22"/>
      <c r="H74" s="22"/>
      <c r="I74" s="22"/>
      <c r="J74" s="22"/>
      <c r="K74" s="22"/>
      <c r="L74" s="22"/>
      <c r="M74" s="22"/>
      <c r="N74" s="22"/>
    </row>
    <row r="75" spans="1:14">
      <c r="A75" s="22"/>
      <c r="B75" s="22"/>
      <c r="C75" s="22"/>
      <c r="D75" s="22"/>
      <c r="E75" s="22"/>
      <c r="F75" s="22"/>
      <c r="G75" s="22"/>
      <c r="H75" s="22"/>
      <c r="I75" s="22"/>
      <c r="J75" s="22"/>
      <c r="K75" s="22"/>
      <c r="L75" s="22"/>
      <c r="M75" s="22"/>
      <c r="N75" s="22"/>
    </row>
    <row r="76" spans="1:14">
      <c r="A76" s="22"/>
      <c r="B76" s="22"/>
      <c r="C76" s="22"/>
      <c r="D76" s="22"/>
      <c r="E76" s="22"/>
      <c r="F76" s="22"/>
      <c r="G76" s="22"/>
      <c r="H76" s="22"/>
      <c r="I76" s="22"/>
      <c r="J76" s="22"/>
      <c r="K76" s="22"/>
      <c r="L76" s="22"/>
      <c r="M76" s="22"/>
      <c r="N76" s="22"/>
    </row>
    <row r="77" spans="1:14">
      <c r="A77" s="22"/>
      <c r="B77" s="22"/>
      <c r="C77" s="22"/>
      <c r="D77" s="22"/>
      <c r="E77" s="22"/>
      <c r="F77" s="22"/>
      <c r="G77" s="22"/>
      <c r="H77" s="22"/>
      <c r="I77" s="22"/>
      <c r="J77" s="22"/>
      <c r="K77" s="22"/>
      <c r="L77" s="22"/>
      <c r="M77" s="22"/>
      <c r="N77" s="22"/>
    </row>
    <row r="78" spans="1:14">
      <c r="A78" s="22"/>
      <c r="B78" s="22"/>
      <c r="C78" s="22"/>
      <c r="D78" s="22"/>
      <c r="E78" s="22"/>
      <c r="F78" s="22"/>
      <c r="G78" s="22"/>
      <c r="H78" s="22"/>
      <c r="I78" s="22"/>
      <c r="J78" s="22"/>
      <c r="K78" s="22"/>
      <c r="L78" s="22"/>
      <c r="M78" s="22"/>
      <c r="N78" s="22"/>
    </row>
    <row r="79" spans="1:14">
      <c r="A79" s="22"/>
      <c r="B79" s="22"/>
      <c r="C79" s="22"/>
      <c r="D79" s="22"/>
      <c r="E79" s="22"/>
      <c r="F79" s="22"/>
      <c r="G79" s="22"/>
      <c r="H79" s="22"/>
      <c r="I79" s="22"/>
      <c r="J79" s="22"/>
      <c r="K79" s="22"/>
      <c r="L79" s="22"/>
      <c r="M79" s="22"/>
      <c r="N79" s="22"/>
    </row>
    <row r="80" spans="1:14">
      <c r="A80" s="22"/>
      <c r="B80" s="22"/>
      <c r="C80" s="22"/>
      <c r="D80" s="22"/>
      <c r="E80" s="22"/>
      <c r="F80" s="22"/>
      <c r="G80" s="22"/>
      <c r="H80" s="22"/>
      <c r="I80" s="22"/>
      <c r="J80" s="22"/>
      <c r="K80" s="22"/>
      <c r="L80" s="22"/>
      <c r="M80" s="22"/>
      <c r="N80" s="22"/>
    </row>
    <row r="81" spans="1:14">
      <c r="A81" s="22"/>
      <c r="B81" s="22"/>
      <c r="C81" s="22"/>
      <c r="D81" s="22"/>
      <c r="E81" s="22"/>
      <c r="F81" s="22"/>
      <c r="G81" s="22"/>
      <c r="H81" s="22"/>
      <c r="I81" s="22"/>
      <c r="J81" s="22"/>
      <c r="K81" s="22"/>
      <c r="L81" s="22"/>
      <c r="M81" s="22"/>
      <c r="N81" s="22"/>
    </row>
    <row r="82" spans="1:14">
      <c r="A82" s="22"/>
      <c r="B82" s="22"/>
      <c r="C82" s="22"/>
      <c r="D82" s="22"/>
      <c r="E82" s="22"/>
      <c r="F82" s="22"/>
      <c r="G82" s="22"/>
      <c r="H82" s="22"/>
      <c r="I82" s="22"/>
      <c r="J82" s="22"/>
      <c r="K82" s="22"/>
      <c r="L82" s="22"/>
      <c r="M82" s="22"/>
      <c r="N82" s="22"/>
    </row>
    <row r="83" spans="1:14">
      <c r="A83" s="22"/>
      <c r="B83" s="22"/>
      <c r="C83" s="22"/>
      <c r="D83" s="22"/>
      <c r="E83" s="22"/>
      <c r="F83" s="22"/>
      <c r="G83" s="22"/>
      <c r="H83" s="22"/>
      <c r="I83" s="22"/>
      <c r="J83" s="22"/>
      <c r="K83" s="22"/>
      <c r="L83" s="22"/>
      <c r="M83" s="22"/>
      <c r="N83" s="22"/>
    </row>
    <row r="84" spans="1:14">
      <c r="A84" s="22"/>
      <c r="B84" s="22"/>
      <c r="C84" s="22"/>
      <c r="D84" s="22"/>
      <c r="E84" s="22"/>
      <c r="F84" s="22"/>
      <c r="G84" s="22"/>
      <c r="H84" s="22"/>
      <c r="I84" s="22"/>
      <c r="J84" s="22"/>
      <c r="K84" s="22"/>
      <c r="L84" s="22"/>
      <c r="M84" s="22"/>
      <c r="N84" s="22"/>
    </row>
    <row r="85" spans="1:14">
      <c r="A85" s="22"/>
      <c r="B85" s="22"/>
      <c r="C85" s="22"/>
      <c r="D85" s="22"/>
      <c r="E85" s="22"/>
      <c r="F85" s="22"/>
      <c r="G85" s="22"/>
      <c r="H85" s="22"/>
      <c r="I85" s="22"/>
      <c r="J85" s="22"/>
      <c r="K85" s="22"/>
      <c r="L85" s="22"/>
      <c r="M85" s="22"/>
      <c r="N85" s="22"/>
    </row>
    <row r="86" spans="1:14">
      <c r="A86" s="22"/>
      <c r="B86" s="22"/>
      <c r="C86" s="22"/>
      <c r="D86" s="22"/>
      <c r="E86" s="22"/>
      <c r="F86" s="22"/>
      <c r="G86" s="22"/>
      <c r="H86" s="22"/>
      <c r="I86" s="22"/>
      <c r="J86" s="22"/>
      <c r="K86" s="22"/>
      <c r="L86" s="22"/>
      <c r="M86" s="22"/>
      <c r="N86" s="22"/>
    </row>
    <row r="87" spans="1:14">
      <c r="A87" s="22"/>
      <c r="B87" s="22"/>
      <c r="C87" s="22"/>
      <c r="D87" s="22"/>
      <c r="E87" s="22"/>
      <c r="F87" s="22"/>
      <c r="G87" s="22"/>
      <c r="H87" s="22"/>
      <c r="I87" s="22"/>
      <c r="J87" s="22"/>
      <c r="K87" s="22"/>
      <c r="L87" s="22"/>
      <c r="M87" s="22"/>
      <c r="N87" s="22"/>
    </row>
    <row r="88" spans="1:14">
      <c r="A88" s="22"/>
      <c r="B88" s="22"/>
      <c r="C88" s="22"/>
      <c r="D88" s="22"/>
      <c r="E88" s="22"/>
      <c r="F88" s="22"/>
      <c r="G88" s="22"/>
      <c r="H88" s="22"/>
      <c r="I88" s="22"/>
      <c r="J88" s="22"/>
      <c r="K88" s="22"/>
      <c r="L88" s="22"/>
      <c r="M88" s="22"/>
      <c r="N88" s="22"/>
    </row>
    <row r="89" spans="1:14">
      <c r="A89" s="22"/>
      <c r="B89" s="22"/>
      <c r="C89" s="22"/>
      <c r="D89" s="22"/>
      <c r="E89" s="22"/>
      <c r="F89" s="22"/>
      <c r="G89" s="22"/>
      <c r="H89" s="22"/>
      <c r="I89" s="22"/>
      <c r="J89" s="22"/>
      <c r="K89" s="22"/>
      <c r="L89" s="22"/>
      <c r="M89" s="22"/>
      <c r="N89" s="22"/>
    </row>
    <row r="90" spans="1:14">
      <c r="A90" s="22"/>
      <c r="B90" s="22"/>
      <c r="C90" s="22"/>
      <c r="D90" s="22"/>
      <c r="E90" s="22"/>
      <c r="F90" s="22"/>
      <c r="G90" s="22"/>
      <c r="H90" s="22"/>
      <c r="I90" s="22"/>
      <c r="J90" s="22"/>
      <c r="K90" s="22"/>
      <c r="L90" s="22"/>
      <c r="M90" s="22"/>
      <c r="N90" s="22"/>
    </row>
    <row r="91" spans="1:14">
      <c r="A91" s="22"/>
      <c r="B91" s="22"/>
      <c r="C91" s="22"/>
      <c r="D91" s="22"/>
      <c r="E91" s="22"/>
      <c r="F91" s="22"/>
      <c r="G91" s="22"/>
      <c r="H91" s="22"/>
      <c r="I91" s="22"/>
      <c r="J91" s="22"/>
      <c r="K91" s="22"/>
      <c r="L91" s="22"/>
      <c r="M91" s="22"/>
      <c r="N91" s="22"/>
    </row>
    <row r="92" spans="1:14">
      <c r="A92" s="22"/>
      <c r="B92" s="22"/>
      <c r="C92" s="22"/>
      <c r="D92" s="22"/>
      <c r="E92" s="22"/>
      <c r="F92" s="22"/>
      <c r="G92" s="22"/>
      <c r="H92" s="22"/>
      <c r="I92" s="22"/>
      <c r="J92" s="22"/>
      <c r="K92" s="22"/>
      <c r="L92" s="22"/>
      <c r="M92" s="22"/>
      <c r="N92" s="22"/>
    </row>
    <row r="93" spans="1:14">
      <c r="A93" s="22"/>
      <c r="B93" s="22"/>
      <c r="C93" s="22"/>
      <c r="D93" s="22"/>
      <c r="E93" s="22"/>
      <c r="F93" s="22"/>
      <c r="G93" s="22"/>
      <c r="H93" s="22"/>
      <c r="I93" s="22"/>
      <c r="J93" s="22"/>
      <c r="K93" s="22"/>
      <c r="L93" s="22"/>
      <c r="M93" s="22"/>
      <c r="N93" s="22"/>
    </row>
    <row r="94" spans="1:14">
      <c r="A94" s="22"/>
      <c r="B94" s="22"/>
      <c r="C94" s="22"/>
      <c r="D94" s="22"/>
      <c r="E94" s="22"/>
      <c r="F94" s="22"/>
      <c r="G94" s="22"/>
      <c r="H94" s="22"/>
      <c r="I94" s="22"/>
      <c r="J94" s="22"/>
      <c r="K94" s="22"/>
      <c r="L94" s="22"/>
      <c r="M94" s="22"/>
      <c r="N94" s="22"/>
    </row>
    <row r="95" spans="1:14">
      <c r="A95" s="22"/>
      <c r="B95" s="22"/>
      <c r="C95" s="22"/>
      <c r="D95" s="22"/>
      <c r="E95" s="22"/>
      <c r="F95" s="22"/>
      <c r="G95" s="22"/>
      <c r="H95" s="22"/>
      <c r="I95" s="22"/>
      <c r="J95" s="22"/>
      <c r="K95" s="22"/>
      <c r="L95" s="22"/>
      <c r="M95" s="22"/>
      <c r="N95" s="22"/>
    </row>
    <row r="96" spans="1:14">
      <c r="A96" s="22"/>
      <c r="B96" s="22"/>
      <c r="C96" s="22"/>
      <c r="D96" s="22"/>
      <c r="E96" s="22"/>
      <c r="F96" s="22"/>
      <c r="G96" s="22"/>
      <c r="H96" s="22"/>
      <c r="I96" s="22"/>
      <c r="J96" s="22"/>
      <c r="K96" s="22"/>
      <c r="L96" s="22"/>
      <c r="M96" s="22"/>
      <c r="N96" s="22"/>
    </row>
    <row r="97" spans="1:14">
      <c r="A97" s="22"/>
      <c r="B97" s="22"/>
      <c r="C97" s="22"/>
      <c r="D97" s="22"/>
      <c r="E97" s="22"/>
      <c r="F97" s="22"/>
      <c r="G97" s="22"/>
      <c r="H97" s="22"/>
      <c r="I97" s="22"/>
      <c r="J97" s="22"/>
      <c r="K97" s="22"/>
      <c r="L97" s="22"/>
      <c r="M97" s="22"/>
      <c r="N97" s="22"/>
    </row>
    <row r="98" spans="1:14">
      <c r="A98" s="22"/>
      <c r="B98" s="22"/>
      <c r="C98" s="22"/>
      <c r="D98" s="22"/>
      <c r="E98" s="22"/>
      <c r="F98" s="22"/>
      <c r="G98" s="22"/>
      <c r="H98" s="22"/>
      <c r="I98" s="22"/>
      <c r="J98" s="22"/>
      <c r="K98" s="22"/>
      <c r="L98" s="22"/>
      <c r="M98" s="22"/>
      <c r="N98" s="22"/>
    </row>
    <row r="99" spans="1:14">
      <c r="A99" s="22"/>
      <c r="B99" s="22"/>
      <c r="C99" s="22"/>
      <c r="D99" s="22"/>
      <c r="E99" s="22"/>
      <c r="F99" s="22"/>
      <c r="G99" s="22"/>
      <c r="H99" s="22"/>
      <c r="I99" s="22"/>
      <c r="J99" s="22"/>
      <c r="K99" s="22"/>
      <c r="L99" s="22"/>
      <c r="M99" s="22"/>
      <c r="N99" s="22"/>
    </row>
    <row r="100" spans="1:14">
      <c r="A100" s="22"/>
      <c r="B100" s="22"/>
      <c r="C100" s="22"/>
      <c r="D100" s="22"/>
      <c r="E100" s="22"/>
      <c r="F100" s="22"/>
      <c r="G100" s="22"/>
      <c r="H100" s="22"/>
      <c r="I100" s="22"/>
      <c r="J100" s="22"/>
      <c r="K100" s="22"/>
      <c r="L100" s="22"/>
      <c r="M100" s="22"/>
      <c r="N100" s="22"/>
    </row>
    <row r="101" spans="1:14">
      <c r="A101" s="22"/>
      <c r="B101" s="22"/>
      <c r="C101" s="22"/>
      <c r="D101" s="22"/>
      <c r="E101" s="22"/>
      <c r="F101" s="22"/>
      <c r="G101" s="22"/>
      <c r="H101" s="22"/>
      <c r="I101" s="22"/>
      <c r="J101" s="22"/>
      <c r="K101" s="22"/>
      <c r="L101" s="22"/>
      <c r="M101" s="22"/>
      <c r="N101" s="22"/>
    </row>
    <row r="102" spans="1:14">
      <c r="A102" s="22"/>
      <c r="B102" s="22"/>
      <c r="C102" s="22"/>
      <c r="D102" s="22"/>
      <c r="E102" s="22"/>
      <c r="F102" s="22"/>
      <c r="G102" s="22"/>
      <c r="H102" s="22"/>
      <c r="I102" s="22"/>
      <c r="J102" s="22"/>
      <c r="K102" s="22"/>
      <c r="L102" s="22"/>
      <c r="M102" s="22"/>
      <c r="N102" s="22"/>
    </row>
    <row r="103" spans="1:14">
      <c r="A103" s="22"/>
      <c r="B103" s="22"/>
      <c r="C103" s="22"/>
      <c r="D103" s="22"/>
      <c r="E103" s="22"/>
      <c r="F103" s="22"/>
      <c r="G103" s="22"/>
      <c r="H103" s="22"/>
      <c r="I103" s="22"/>
      <c r="J103" s="22"/>
      <c r="K103" s="22"/>
      <c r="L103" s="22"/>
      <c r="M103" s="22"/>
      <c r="N103" s="22"/>
    </row>
    <row r="104" spans="1:14">
      <c r="A104" s="22"/>
      <c r="B104" s="22"/>
      <c r="C104" s="22"/>
      <c r="D104" s="22"/>
      <c r="E104" s="22"/>
      <c r="F104" s="22"/>
      <c r="G104" s="22"/>
      <c r="H104" s="22"/>
      <c r="I104" s="22"/>
      <c r="J104" s="22"/>
      <c r="K104" s="22"/>
      <c r="L104" s="22"/>
      <c r="M104" s="22"/>
      <c r="N104" s="22"/>
    </row>
    <row r="105" spans="1:14">
      <c r="A105" s="22"/>
      <c r="B105" s="22"/>
      <c r="C105" s="22"/>
      <c r="D105" s="22"/>
      <c r="E105" s="22"/>
      <c r="F105" s="22"/>
      <c r="G105" s="22"/>
      <c r="H105" s="22"/>
      <c r="I105" s="22"/>
      <c r="J105" s="22"/>
      <c r="K105" s="22"/>
      <c r="L105" s="22"/>
      <c r="M105" s="22"/>
      <c r="N105" s="22"/>
    </row>
    <row r="106" spans="1:14">
      <c r="A106" s="22"/>
      <c r="B106" s="22"/>
      <c r="C106" s="22"/>
      <c r="D106" s="22"/>
      <c r="E106" s="22"/>
      <c r="F106" s="22"/>
      <c r="G106" s="22"/>
      <c r="H106" s="22"/>
      <c r="I106" s="22"/>
      <c r="J106" s="22"/>
      <c r="K106" s="22"/>
      <c r="L106" s="22"/>
      <c r="M106" s="22"/>
      <c r="N106" s="22"/>
    </row>
    <row r="107" spans="1:14">
      <c r="A107" s="22"/>
      <c r="B107" s="22"/>
      <c r="C107" s="22"/>
      <c r="D107" s="22"/>
      <c r="E107" s="22"/>
      <c r="F107" s="22"/>
      <c r="G107" s="22"/>
      <c r="H107" s="22"/>
      <c r="I107" s="22"/>
      <c r="J107" s="22"/>
      <c r="K107" s="22"/>
      <c r="L107" s="22"/>
      <c r="M107" s="22"/>
      <c r="N107" s="22"/>
    </row>
    <row r="108" spans="1:14">
      <c r="A108" s="22"/>
      <c r="B108" s="22"/>
      <c r="C108" s="22"/>
      <c r="D108" s="22"/>
      <c r="E108" s="22"/>
      <c r="F108" s="22"/>
      <c r="G108" s="22"/>
      <c r="H108" s="22"/>
      <c r="I108" s="22"/>
      <c r="J108" s="22"/>
      <c r="K108" s="22"/>
      <c r="L108" s="22"/>
      <c r="M108" s="22"/>
      <c r="N108" s="22"/>
    </row>
    <row r="109" spans="1:14">
      <c r="A109" s="22"/>
      <c r="B109" s="22"/>
      <c r="C109" s="22"/>
      <c r="D109" s="22"/>
      <c r="E109" s="22"/>
      <c r="F109" s="22"/>
      <c r="G109" s="22"/>
      <c r="H109" s="22"/>
      <c r="I109" s="22"/>
      <c r="J109" s="22"/>
      <c r="K109" s="22"/>
      <c r="L109" s="22"/>
      <c r="M109" s="22"/>
      <c r="N109" s="22"/>
    </row>
    <row r="110" spans="1:14">
      <c r="A110" s="22"/>
      <c r="B110" s="22"/>
      <c r="C110" s="22"/>
      <c r="D110" s="22"/>
      <c r="E110" s="22"/>
      <c r="F110" s="22"/>
      <c r="G110" s="22"/>
      <c r="H110" s="22"/>
      <c r="I110" s="22"/>
      <c r="J110" s="22"/>
      <c r="K110" s="22"/>
      <c r="L110" s="22"/>
      <c r="M110" s="22"/>
      <c r="N110" s="22"/>
    </row>
    <row r="111" spans="1:14">
      <c r="A111" s="22"/>
      <c r="B111" s="22"/>
      <c r="C111" s="22"/>
      <c r="D111" s="22"/>
      <c r="E111" s="22"/>
      <c r="F111" s="22"/>
      <c r="G111" s="22"/>
      <c r="H111" s="22"/>
      <c r="I111" s="22"/>
      <c r="J111" s="22"/>
      <c r="K111" s="22"/>
      <c r="L111" s="22"/>
      <c r="M111" s="22"/>
      <c r="N111" s="22"/>
    </row>
    <row r="112" spans="1:14">
      <c r="A112" s="22"/>
      <c r="B112" s="22"/>
      <c r="C112" s="22"/>
      <c r="D112" s="22"/>
      <c r="E112" s="22"/>
      <c r="F112" s="22"/>
      <c r="G112" s="22"/>
      <c r="H112" s="22"/>
      <c r="I112" s="22"/>
      <c r="J112" s="22"/>
      <c r="K112" s="22"/>
      <c r="L112" s="22"/>
      <c r="M112" s="22"/>
      <c r="N112" s="22"/>
    </row>
    <row r="113" spans="1:14">
      <c r="A113" s="22"/>
      <c r="B113" s="22"/>
      <c r="C113" s="22"/>
      <c r="D113" s="22"/>
      <c r="E113" s="22"/>
      <c r="F113" s="22"/>
      <c r="G113" s="22"/>
      <c r="H113" s="22"/>
      <c r="I113" s="22"/>
      <c r="J113" s="22"/>
      <c r="K113" s="22"/>
      <c r="L113" s="22"/>
      <c r="M113" s="22"/>
      <c r="N113" s="22"/>
    </row>
    <row r="114" spans="1:14">
      <c r="A114" s="22"/>
      <c r="B114" s="22"/>
      <c r="C114" s="22"/>
      <c r="D114" s="22"/>
      <c r="E114" s="22"/>
      <c r="F114" s="22"/>
      <c r="G114" s="22"/>
      <c r="H114" s="22"/>
      <c r="I114" s="22"/>
      <c r="J114" s="22"/>
      <c r="K114" s="22"/>
      <c r="L114" s="22"/>
      <c r="M114" s="22"/>
      <c r="N114" s="22"/>
    </row>
    <row r="115" spans="1:14">
      <c r="A115" s="22"/>
      <c r="B115" s="22"/>
      <c r="C115" s="22"/>
      <c r="D115" s="22"/>
      <c r="E115" s="22"/>
      <c r="F115" s="22"/>
      <c r="G115" s="22"/>
      <c r="H115" s="22"/>
      <c r="I115" s="22"/>
      <c r="J115" s="22"/>
      <c r="K115" s="22"/>
      <c r="L115" s="22"/>
      <c r="M115" s="22"/>
      <c r="N115" s="22"/>
    </row>
    <row r="116" spans="1:14">
      <c r="A116" s="22"/>
      <c r="B116" s="22"/>
      <c r="C116" s="22"/>
      <c r="D116" s="22"/>
      <c r="E116" s="22"/>
      <c r="F116" s="22"/>
      <c r="G116" s="22"/>
      <c r="H116" s="22"/>
      <c r="I116" s="22"/>
      <c r="J116" s="22"/>
      <c r="K116" s="22"/>
      <c r="L116" s="22"/>
      <c r="M116" s="22"/>
      <c r="N116" s="22"/>
    </row>
    <row r="117" spans="1:14">
      <c r="A117" s="22"/>
      <c r="B117" s="22"/>
      <c r="C117" s="22"/>
      <c r="D117" s="22"/>
      <c r="E117" s="22"/>
      <c r="F117" s="22"/>
      <c r="G117" s="22"/>
      <c r="H117" s="22"/>
      <c r="I117" s="22"/>
      <c r="J117" s="22"/>
      <c r="K117" s="22"/>
      <c r="L117" s="22"/>
      <c r="M117" s="22"/>
      <c r="N117" s="22"/>
    </row>
    <row r="118" spans="1:14">
      <c r="A118" s="22"/>
      <c r="B118" s="22"/>
      <c r="C118" s="22"/>
      <c r="D118" s="22"/>
      <c r="E118" s="22"/>
      <c r="F118" s="22"/>
      <c r="G118" s="22"/>
      <c r="H118" s="22"/>
      <c r="I118" s="22"/>
      <c r="J118" s="22"/>
      <c r="K118" s="22"/>
      <c r="L118" s="22"/>
      <c r="M118" s="22"/>
      <c r="N118" s="22"/>
    </row>
    <row r="119" spans="1:14">
      <c r="A119" s="22"/>
      <c r="B119" s="22"/>
      <c r="C119" s="22"/>
      <c r="D119" s="22"/>
      <c r="E119" s="22"/>
      <c r="F119" s="22"/>
      <c r="G119" s="22"/>
      <c r="H119" s="22"/>
      <c r="I119" s="22"/>
      <c r="J119" s="22"/>
      <c r="K119" s="22"/>
      <c r="L119" s="22"/>
      <c r="M119" s="22"/>
      <c r="N119" s="22"/>
    </row>
    <row r="120" spans="1:14">
      <c r="A120" s="22"/>
      <c r="B120" s="22"/>
      <c r="C120" s="22"/>
      <c r="D120" s="22"/>
      <c r="E120" s="22"/>
      <c r="F120" s="22"/>
      <c r="G120" s="22"/>
      <c r="H120" s="22"/>
      <c r="I120" s="22"/>
      <c r="J120" s="22"/>
      <c r="K120" s="22"/>
      <c r="L120" s="22"/>
      <c r="M120" s="22"/>
      <c r="N120" s="22"/>
    </row>
    <row r="121" spans="1:14">
      <c r="A121" s="22"/>
      <c r="B121" s="22"/>
      <c r="C121" s="22"/>
      <c r="D121" s="22"/>
      <c r="E121" s="22"/>
      <c r="F121" s="22"/>
      <c r="G121" s="22"/>
      <c r="H121" s="22"/>
      <c r="I121" s="22"/>
      <c r="J121" s="22"/>
      <c r="K121" s="22"/>
      <c r="L121" s="22"/>
      <c r="M121" s="22"/>
      <c r="N121" s="22"/>
    </row>
    <row r="122" spans="1:14">
      <c r="A122" s="22"/>
      <c r="B122" s="22"/>
      <c r="C122" s="22"/>
      <c r="D122" s="22"/>
      <c r="E122" s="22"/>
      <c r="F122" s="22"/>
      <c r="G122" s="22"/>
      <c r="H122" s="22"/>
      <c r="I122" s="22"/>
      <c r="J122" s="22"/>
      <c r="K122" s="22"/>
      <c r="L122" s="22"/>
      <c r="M122" s="22"/>
      <c r="N122" s="22"/>
    </row>
    <row r="123" spans="1:14">
      <c r="A123" s="22"/>
      <c r="B123" s="22"/>
      <c r="C123" s="22"/>
      <c r="D123" s="22"/>
      <c r="E123" s="22"/>
      <c r="F123" s="22"/>
      <c r="G123" s="22"/>
      <c r="H123" s="22"/>
      <c r="I123" s="22"/>
      <c r="J123" s="22"/>
      <c r="K123" s="22"/>
      <c r="L123" s="22"/>
      <c r="M123" s="22"/>
      <c r="N123" s="22"/>
    </row>
    <row r="124" spans="1:14">
      <c r="A124" s="22"/>
      <c r="B124" s="22"/>
      <c r="C124" s="22"/>
      <c r="D124" s="22"/>
      <c r="E124" s="22"/>
      <c r="F124" s="22"/>
      <c r="G124" s="22"/>
      <c r="H124" s="22"/>
      <c r="I124" s="22"/>
      <c r="J124" s="22"/>
      <c r="K124" s="22"/>
      <c r="L124" s="22"/>
      <c r="M124" s="22"/>
      <c r="N124" s="22"/>
    </row>
    <row r="125" spans="1:14">
      <c r="A125" s="22"/>
      <c r="B125" s="22"/>
      <c r="C125" s="22"/>
      <c r="D125" s="22"/>
      <c r="E125" s="22"/>
      <c r="F125" s="22"/>
      <c r="G125" s="22"/>
      <c r="H125" s="22"/>
      <c r="I125" s="22"/>
      <c r="J125" s="22"/>
      <c r="K125" s="22"/>
      <c r="L125" s="22"/>
      <c r="M125" s="22"/>
      <c r="N125" s="22"/>
    </row>
    <row r="126" spans="1:14">
      <c r="A126" s="22"/>
      <c r="B126" s="22"/>
      <c r="C126" s="22"/>
      <c r="D126" s="22"/>
      <c r="E126" s="22"/>
      <c r="F126" s="22"/>
      <c r="G126" s="22"/>
      <c r="H126" s="22"/>
      <c r="I126" s="22"/>
      <c r="J126" s="22"/>
      <c r="K126" s="22"/>
      <c r="L126" s="22"/>
      <c r="M126" s="22"/>
      <c r="N126" s="22"/>
    </row>
    <row r="127" spans="1:14">
      <c r="A127" s="22"/>
      <c r="B127" s="22"/>
      <c r="C127" s="22"/>
      <c r="D127" s="22"/>
      <c r="E127" s="22"/>
      <c r="F127" s="22"/>
      <c r="G127" s="22"/>
      <c r="H127" s="22"/>
      <c r="I127" s="22"/>
      <c r="J127" s="22"/>
      <c r="K127" s="22"/>
      <c r="L127" s="22"/>
      <c r="M127" s="22"/>
      <c r="N127" s="22"/>
    </row>
    <row r="128" spans="1:14">
      <c r="A128" s="22"/>
      <c r="B128" s="22"/>
      <c r="C128" s="22"/>
      <c r="D128" s="22"/>
      <c r="E128" s="22"/>
      <c r="F128" s="22"/>
      <c r="G128" s="22"/>
      <c r="H128" s="22"/>
      <c r="I128" s="22"/>
      <c r="J128" s="22"/>
      <c r="K128" s="22"/>
      <c r="L128" s="22"/>
      <c r="M128" s="22"/>
      <c r="N128" s="22"/>
    </row>
    <row r="129" spans="1:14">
      <c r="A129" s="22"/>
      <c r="B129" s="22"/>
      <c r="C129" s="22"/>
      <c r="D129" s="22"/>
      <c r="E129" s="22"/>
      <c r="F129" s="22"/>
      <c r="G129" s="22"/>
      <c r="H129" s="22"/>
      <c r="I129" s="22"/>
      <c r="J129" s="22"/>
      <c r="K129" s="22"/>
      <c r="L129" s="22"/>
      <c r="M129" s="22"/>
      <c r="N129" s="22"/>
    </row>
    <row r="130" spans="1:14">
      <c r="A130" s="22"/>
      <c r="B130" s="22"/>
      <c r="C130" s="22"/>
      <c r="D130" s="22"/>
      <c r="E130" s="22"/>
      <c r="F130" s="22"/>
      <c r="G130" s="22"/>
      <c r="H130" s="22"/>
      <c r="I130" s="22"/>
      <c r="J130" s="22"/>
      <c r="K130" s="22"/>
      <c r="L130" s="22"/>
      <c r="M130" s="22"/>
      <c r="N130" s="22"/>
    </row>
    <row r="131" spans="1:14">
      <c r="A131" s="22"/>
      <c r="B131" s="22"/>
      <c r="C131" s="22"/>
      <c r="D131" s="22"/>
      <c r="E131" s="22"/>
      <c r="F131" s="22"/>
      <c r="G131" s="22"/>
      <c r="H131" s="22"/>
      <c r="I131" s="22"/>
      <c r="J131" s="22"/>
      <c r="K131" s="22"/>
      <c r="L131" s="22"/>
      <c r="M131" s="22"/>
      <c r="N131" s="22"/>
    </row>
    <row r="132" spans="1:14">
      <c r="A132" s="22"/>
      <c r="B132" s="22"/>
      <c r="C132" s="22"/>
      <c r="D132" s="22"/>
      <c r="E132" s="22"/>
      <c r="F132" s="22"/>
      <c r="G132" s="22"/>
      <c r="H132" s="22"/>
      <c r="I132" s="22"/>
      <c r="J132" s="22"/>
      <c r="K132" s="22"/>
      <c r="L132" s="22"/>
      <c r="M132" s="22"/>
      <c r="N132" s="22"/>
    </row>
    <row r="133" spans="1:14">
      <c r="A133" s="22"/>
      <c r="B133" s="22"/>
      <c r="C133" s="22"/>
      <c r="D133" s="22"/>
      <c r="E133" s="22"/>
      <c r="F133" s="22"/>
      <c r="G133" s="22"/>
      <c r="H133" s="22"/>
      <c r="I133" s="22"/>
      <c r="J133" s="22"/>
      <c r="K133" s="22"/>
      <c r="L133" s="22"/>
      <c r="M133" s="22"/>
      <c r="N133" s="22"/>
    </row>
    <row r="134" spans="1:14">
      <c r="A134" s="22"/>
      <c r="B134" s="22"/>
      <c r="C134" s="22"/>
      <c r="D134" s="22"/>
      <c r="E134" s="22"/>
      <c r="F134" s="22"/>
      <c r="G134" s="22"/>
      <c r="H134" s="22"/>
      <c r="I134" s="22"/>
      <c r="J134" s="22"/>
      <c r="K134" s="22"/>
      <c r="L134" s="22"/>
      <c r="M134" s="22"/>
      <c r="N134" s="22"/>
    </row>
    <row r="135" spans="1:14">
      <c r="A135" s="22"/>
      <c r="B135" s="22"/>
      <c r="C135" s="22"/>
      <c r="D135" s="22"/>
      <c r="E135" s="22"/>
      <c r="F135" s="22"/>
      <c r="G135" s="22"/>
      <c r="H135" s="22"/>
      <c r="I135" s="22"/>
      <c r="J135" s="22"/>
      <c r="K135" s="22"/>
      <c r="L135" s="22"/>
      <c r="M135" s="22"/>
      <c r="N135" s="22"/>
    </row>
    <row r="136" spans="1:14">
      <c r="A136" s="22"/>
      <c r="B136" s="22"/>
      <c r="C136" s="22"/>
      <c r="D136" s="22"/>
      <c r="E136" s="22"/>
      <c r="F136" s="22"/>
      <c r="G136" s="22"/>
      <c r="H136" s="22"/>
      <c r="I136" s="22"/>
      <c r="J136" s="22"/>
      <c r="K136" s="22"/>
      <c r="L136" s="22"/>
      <c r="M136" s="22"/>
      <c r="N136" s="22"/>
    </row>
    <row r="137" spans="1:14">
      <c r="A137" s="22"/>
      <c r="B137" s="22"/>
      <c r="C137" s="22"/>
      <c r="D137" s="22"/>
      <c r="E137" s="22"/>
      <c r="F137" s="22"/>
      <c r="G137" s="22"/>
      <c r="H137" s="22"/>
      <c r="I137" s="22"/>
      <c r="J137" s="22"/>
      <c r="K137" s="22"/>
      <c r="L137" s="22"/>
      <c r="M137" s="22"/>
      <c r="N137" s="22"/>
    </row>
    <row r="138" spans="1:14">
      <c r="A138" s="22"/>
      <c r="B138" s="22"/>
      <c r="C138" s="22"/>
      <c r="D138" s="22"/>
      <c r="E138" s="22"/>
      <c r="F138" s="22"/>
      <c r="G138" s="22"/>
      <c r="H138" s="22"/>
      <c r="I138" s="22"/>
      <c r="J138" s="22"/>
      <c r="K138" s="22"/>
      <c r="L138" s="22"/>
      <c r="M138" s="22"/>
      <c r="N138" s="22"/>
    </row>
    <row r="139" spans="1:14">
      <c r="A139" s="22"/>
      <c r="B139" s="22"/>
      <c r="C139" s="22"/>
      <c r="D139" s="22"/>
      <c r="E139" s="22"/>
      <c r="F139" s="22"/>
      <c r="G139" s="22"/>
      <c r="H139" s="22"/>
      <c r="I139" s="22"/>
      <c r="J139" s="22"/>
      <c r="K139" s="22"/>
      <c r="L139" s="22"/>
      <c r="M139" s="22"/>
      <c r="N139" s="22"/>
    </row>
    <row r="140" spans="1:14">
      <c r="A140" s="22"/>
      <c r="B140" s="22"/>
      <c r="C140" s="22"/>
      <c r="D140" s="22"/>
      <c r="E140" s="22"/>
      <c r="F140" s="22"/>
      <c r="G140" s="22"/>
      <c r="H140" s="22"/>
      <c r="I140" s="22"/>
      <c r="J140" s="22"/>
      <c r="K140" s="22"/>
      <c r="L140" s="22"/>
      <c r="M140" s="22"/>
      <c r="N140" s="22"/>
    </row>
    <row r="141" spans="1:14">
      <c r="A141" s="22"/>
      <c r="B141" s="22"/>
      <c r="C141" s="22"/>
      <c r="D141" s="22"/>
      <c r="E141" s="22"/>
      <c r="F141" s="22"/>
      <c r="G141" s="22"/>
      <c r="H141" s="22"/>
      <c r="I141" s="22"/>
      <c r="J141" s="22"/>
      <c r="K141" s="22"/>
      <c r="L141" s="22"/>
      <c r="M141" s="22"/>
      <c r="N141" s="22"/>
    </row>
    <row r="142" spans="1:14">
      <c r="A142" s="22"/>
      <c r="B142" s="22"/>
      <c r="C142" s="22"/>
      <c r="D142" s="22"/>
      <c r="E142" s="22"/>
      <c r="F142" s="22"/>
      <c r="G142" s="22"/>
      <c r="H142" s="22"/>
      <c r="I142" s="22"/>
      <c r="J142" s="22"/>
      <c r="K142" s="22"/>
      <c r="L142" s="22"/>
      <c r="M142" s="22"/>
      <c r="N142" s="22"/>
    </row>
    <row r="143" spans="1:14">
      <c r="A143" s="22"/>
      <c r="B143" s="22"/>
      <c r="C143" s="22"/>
      <c r="D143" s="22"/>
      <c r="E143" s="22"/>
      <c r="F143" s="22"/>
      <c r="G143" s="22"/>
      <c r="H143" s="22"/>
      <c r="I143" s="22"/>
      <c r="J143" s="22"/>
      <c r="K143" s="22"/>
      <c r="L143" s="22"/>
      <c r="M143" s="22"/>
      <c r="N143" s="22"/>
    </row>
    <row r="144" spans="1:14">
      <c r="A144" s="22"/>
      <c r="B144" s="22"/>
      <c r="C144" s="22"/>
      <c r="D144" s="22"/>
      <c r="E144" s="22"/>
      <c r="F144" s="22"/>
      <c r="G144" s="22"/>
      <c r="H144" s="22"/>
      <c r="I144" s="22"/>
      <c r="J144" s="22"/>
      <c r="K144" s="22"/>
      <c r="L144" s="22"/>
      <c r="M144" s="22"/>
      <c r="N144" s="22"/>
    </row>
    <row r="145" spans="1:14">
      <c r="A145" s="22"/>
      <c r="B145" s="22"/>
      <c r="C145" s="22"/>
      <c r="D145" s="22"/>
      <c r="E145" s="22"/>
      <c r="F145" s="22"/>
      <c r="G145" s="22"/>
      <c r="H145" s="22"/>
      <c r="I145" s="22"/>
      <c r="J145" s="22"/>
      <c r="K145" s="22"/>
      <c r="L145" s="22"/>
      <c r="M145" s="22"/>
      <c r="N145" s="22"/>
    </row>
    <row r="146" spans="1:14">
      <c r="A146" s="22"/>
      <c r="B146" s="22"/>
      <c r="C146" s="22"/>
      <c r="D146" s="22"/>
      <c r="E146" s="22"/>
      <c r="F146" s="22"/>
      <c r="G146" s="22"/>
      <c r="H146" s="22"/>
      <c r="I146" s="22"/>
      <c r="J146" s="22"/>
      <c r="K146" s="22"/>
      <c r="L146" s="22"/>
      <c r="M146" s="22"/>
      <c r="N146" s="22"/>
    </row>
    <row r="147" spans="1:14">
      <c r="A147" s="22"/>
      <c r="B147" s="22"/>
      <c r="C147" s="22"/>
      <c r="D147" s="22"/>
      <c r="E147" s="22"/>
      <c r="F147" s="22"/>
      <c r="G147" s="22"/>
      <c r="H147" s="22"/>
      <c r="I147" s="22"/>
      <c r="J147" s="22"/>
      <c r="K147" s="22"/>
      <c r="L147" s="22"/>
      <c r="M147" s="22"/>
      <c r="N147" s="22"/>
    </row>
    <row r="148" spans="1:14">
      <c r="A148" s="22"/>
      <c r="B148" s="22"/>
      <c r="C148" s="22"/>
      <c r="D148" s="22"/>
      <c r="E148" s="22"/>
      <c r="F148" s="22"/>
      <c r="G148" s="22"/>
      <c r="H148" s="22"/>
      <c r="I148" s="22"/>
      <c r="J148" s="22"/>
      <c r="K148" s="22"/>
      <c r="L148" s="22"/>
      <c r="M148" s="22"/>
      <c r="N148" s="22"/>
    </row>
    <row r="149" spans="1:14">
      <c r="A149" s="22"/>
      <c r="B149" s="22"/>
      <c r="C149" s="22"/>
      <c r="D149" s="22"/>
      <c r="E149" s="22"/>
      <c r="F149" s="22"/>
      <c r="G149" s="22"/>
      <c r="H149" s="22"/>
      <c r="I149" s="22"/>
      <c r="J149" s="22"/>
      <c r="K149" s="22"/>
      <c r="L149" s="22"/>
      <c r="M149" s="22"/>
      <c r="N149" s="22"/>
    </row>
    <row r="150" spans="1:14">
      <c r="A150" s="22"/>
      <c r="B150" s="22"/>
      <c r="C150" s="22"/>
      <c r="D150" s="22"/>
      <c r="E150" s="22"/>
      <c r="F150" s="22"/>
      <c r="G150" s="22"/>
      <c r="H150" s="22"/>
      <c r="I150" s="22"/>
      <c r="J150" s="22"/>
      <c r="K150" s="22"/>
      <c r="L150" s="22"/>
      <c r="M150" s="22"/>
      <c r="N150" s="22"/>
    </row>
    <row r="151" spans="1:14">
      <c r="A151" s="22"/>
      <c r="B151" s="22"/>
      <c r="C151" s="22"/>
      <c r="D151" s="22"/>
      <c r="E151" s="22"/>
      <c r="F151" s="22"/>
      <c r="G151" s="22"/>
      <c r="H151" s="22"/>
      <c r="I151" s="22"/>
      <c r="J151" s="22"/>
      <c r="K151" s="22"/>
      <c r="L151" s="22"/>
      <c r="M151" s="22"/>
      <c r="N151" s="22"/>
    </row>
    <row r="152" spans="1:14">
      <c r="A152" s="22"/>
      <c r="B152" s="22"/>
      <c r="C152" s="22"/>
      <c r="D152" s="22"/>
      <c r="E152" s="22"/>
      <c r="F152" s="22"/>
      <c r="G152" s="22"/>
      <c r="H152" s="22"/>
      <c r="I152" s="22"/>
      <c r="J152" s="22"/>
      <c r="K152" s="22"/>
      <c r="L152" s="22"/>
      <c r="M152" s="22"/>
      <c r="N152" s="22"/>
    </row>
    <row r="153" spans="1:14">
      <c r="A153" s="22"/>
      <c r="B153" s="22"/>
      <c r="C153" s="22"/>
      <c r="D153" s="22"/>
      <c r="E153" s="22"/>
      <c r="F153" s="22"/>
      <c r="G153" s="22"/>
      <c r="H153" s="22"/>
      <c r="I153" s="22"/>
      <c r="J153" s="22"/>
      <c r="K153" s="22"/>
      <c r="L153" s="22"/>
      <c r="M153" s="22"/>
      <c r="N153" s="22"/>
    </row>
    <row r="154" spans="1:14">
      <c r="A154" s="22"/>
      <c r="B154" s="22"/>
      <c r="C154" s="22"/>
      <c r="D154" s="22"/>
      <c r="E154" s="22"/>
      <c r="F154" s="22"/>
      <c r="G154" s="22"/>
      <c r="H154" s="22"/>
      <c r="I154" s="22"/>
      <c r="J154" s="22"/>
      <c r="K154" s="22"/>
      <c r="L154" s="22"/>
      <c r="M154" s="22"/>
      <c r="N154" s="22"/>
    </row>
    <row r="155" spans="1:14">
      <c r="A155" s="22"/>
      <c r="B155" s="22"/>
      <c r="C155" s="22"/>
      <c r="D155" s="22"/>
      <c r="E155" s="22"/>
      <c r="F155" s="22"/>
      <c r="G155" s="22"/>
      <c r="H155" s="22"/>
      <c r="I155" s="22"/>
      <c r="J155" s="22"/>
      <c r="K155" s="22"/>
      <c r="L155" s="22"/>
      <c r="M155" s="22"/>
      <c r="N155" s="22"/>
    </row>
    <row r="156" spans="1:14">
      <c r="A156" s="22"/>
      <c r="B156" s="22"/>
      <c r="C156" s="22"/>
      <c r="D156" s="22"/>
      <c r="E156" s="22"/>
      <c r="F156" s="22"/>
      <c r="G156" s="22"/>
      <c r="H156" s="22"/>
      <c r="I156" s="22"/>
      <c r="J156" s="22"/>
      <c r="K156" s="22"/>
      <c r="L156" s="22"/>
      <c r="M156" s="22"/>
      <c r="N156" s="22"/>
    </row>
    <row r="157" spans="1:14">
      <c r="A157" s="22"/>
      <c r="B157" s="22"/>
      <c r="C157" s="22"/>
      <c r="D157" s="22"/>
      <c r="E157" s="22"/>
      <c r="F157" s="22"/>
      <c r="G157" s="22"/>
      <c r="H157" s="22"/>
      <c r="I157" s="22"/>
      <c r="J157" s="22"/>
      <c r="K157" s="22"/>
      <c r="L157" s="22"/>
      <c r="M157" s="22"/>
      <c r="N157" s="22"/>
    </row>
    <row r="158" spans="1:14">
      <c r="A158" s="22"/>
      <c r="B158" s="22"/>
      <c r="C158" s="22"/>
      <c r="D158" s="22"/>
      <c r="E158" s="22"/>
      <c r="F158" s="22"/>
      <c r="G158" s="22"/>
      <c r="H158" s="22"/>
      <c r="I158" s="22"/>
      <c r="J158" s="22"/>
      <c r="K158" s="22"/>
      <c r="L158" s="22"/>
      <c r="M158" s="22"/>
      <c r="N158" s="22"/>
    </row>
    <row r="159" spans="1:14">
      <c r="A159" s="22"/>
      <c r="B159" s="22"/>
      <c r="C159" s="22"/>
      <c r="D159" s="22"/>
      <c r="E159" s="22"/>
      <c r="F159" s="22"/>
      <c r="G159" s="22"/>
      <c r="H159" s="22"/>
      <c r="I159" s="22"/>
      <c r="J159" s="22"/>
      <c r="K159" s="22"/>
      <c r="L159" s="22"/>
      <c r="M159" s="22"/>
      <c r="N159" s="2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202"/>
  <sheetViews>
    <sheetView showGridLines="0" zoomScaleNormal="100" workbookViewId="0">
      <pane xSplit="3" ySplit="4" topLeftCell="AF68" activePane="bottomRight" state="frozen"/>
      <selection pane="topRight" activeCell="D1" sqref="D1"/>
      <selection pane="bottomLeft" activeCell="A5" sqref="A5"/>
      <selection pane="bottomRight" activeCell="AM63" sqref="AM63"/>
    </sheetView>
  </sheetViews>
  <sheetFormatPr defaultColWidth="9" defaultRowHeight="12.75" outlineLevelRow="1" outlineLevelCol="1"/>
  <cols>
    <col min="1" max="2" width="1.625" style="22" customWidth="1"/>
    <col min="3" max="3" width="28.75" style="22" customWidth="1"/>
    <col min="4" max="6" width="8.125" style="22" customWidth="1" outlineLevel="1"/>
    <col min="7" max="7" width="7.625" style="22" customWidth="1" outlineLevel="1"/>
    <col min="8" max="8" width="8.125" style="22" customWidth="1"/>
    <col min="9" max="12" width="8.125" style="22" customWidth="1" outlineLevel="1"/>
    <col min="13" max="13" width="8.125" style="22" customWidth="1"/>
    <col min="14" max="17" width="8.125" style="22" hidden="1" customWidth="1" outlineLevel="1"/>
    <col min="18" max="18" width="8.125" style="22" customWidth="1" collapsed="1"/>
    <col min="19" max="22" width="8.125" style="22" customWidth="1" outlineLevel="1"/>
    <col min="23" max="23" width="8.125" style="22" customWidth="1"/>
    <col min="24" max="27" width="8.125" style="22" customWidth="1" outlineLevel="1"/>
    <col min="28" max="28" width="8.125" style="22" customWidth="1"/>
    <col min="29" max="32" width="8.125" style="22" customWidth="1" outlineLevel="1"/>
    <col min="33" max="33" width="8.125" style="22" customWidth="1"/>
    <col min="34" max="37" width="8.125" style="22" customWidth="1" outlineLevel="1"/>
    <col min="38" max="38" width="8.125" style="22" customWidth="1"/>
    <col min="39" max="42" width="8.125" style="22" customWidth="1" outlineLevel="1"/>
    <col min="43" max="43" width="8.125" style="22" customWidth="1"/>
    <col min="44" max="16384" width="9" style="22"/>
  </cols>
  <sheetData>
    <row r="1" spans="1:43" ht="10.5" customHeight="1">
      <c r="D1" s="158"/>
      <c r="E1" s="158"/>
      <c r="F1" s="158"/>
      <c r="G1" s="158"/>
      <c r="H1" s="158"/>
      <c r="I1" s="158"/>
      <c r="J1" s="158"/>
      <c r="K1" s="158"/>
      <c r="L1" s="158"/>
      <c r="M1" s="158"/>
      <c r="N1" s="158"/>
      <c r="O1" s="158"/>
      <c r="P1" s="158"/>
      <c r="Q1" s="158"/>
    </row>
    <row r="2" spans="1:43" ht="15">
      <c r="B2" s="204" t="s">
        <v>455</v>
      </c>
      <c r="C2" s="204"/>
      <c r="D2" s="219"/>
      <c r="E2" s="219"/>
      <c r="F2" s="219"/>
      <c r="G2" s="329"/>
      <c r="H2" s="219"/>
      <c r="I2" s="219"/>
      <c r="J2" s="219"/>
      <c r="K2" s="219"/>
      <c r="L2" s="329"/>
      <c r="N2" s="219"/>
      <c r="O2" s="219"/>
      <c r="P2" s="219"/>
      <c r="Q2" s="329"/>
      <c r="S2" s="613"/>
      <c r="T2" s="777"/>
      <c r="AM2" s="224"/>
    </row>
    <row r="3" spans="1:43" ht="5.45" customHeight="1" thickBot="1">
      <c r="D3" s="219"/>
      <c r="E3" s="219"/>
      <c r="F3" s="219"/>
      <c r="G3" s="329"/>
      <c r="H3" s="219"/>
      <c r="I3" s="219"/>
      <c r="J3" s="219"/>
      <c r="K3" s="219"/>
      <c r="L3" s="329"/>
      <c r="M3" s="219"/>
      <c r="N3" s="219"/>
      <c r="O3" s="219"/>
      <c r="P3" s="219"/>
      <c r="Q3" s="329"/>
      <c r="R3" s="219"/>
      <c r="S3" s="219"/>
      <c r="T3" s="219"/>
      <c r="U3" s="219"/>
      <c r="V3" s="219"/>
      <c r="W3" s="219"/>
      <c r="X3" s="219"/>
      <c r="Y3" s="219"/>
      <c r="Z3" s="219"/>
      <c r="AA3" s="219"/>
      <c r="AB3" s="219"/>
      <c r="AC3" s="219"/>
      <c r="AD3" s="219"/>
      <c r="AE3" s="219"/>
      <c r="AF3" s="219"/>
      <c r="AG3" s="219"/>
      <c r="AH3" s="219"/>
      <c r="AI3" s="219"/>
      <c r="AJ3" s="219"/>
      <c r="AK3" s="219"/>
      <c r="AL3" s="219"/>
      <c r="AM3" s="219"/>
      <c r="AN3" s="219"/>
      <c r="AO3" s="219"/>
      <c r="AP3" s="219"/>
      <c r="AQ3" s="219"/>
    </row>
    <row r="4" spans="1:43" ht="13.5" thickBot="1">
      <c r="B4" s="805" t="s">
        <v>164</v>
      </c>
      <c r="C4" s="805"/>
      <c r="D4" s="806" t="s">
        <v>231</v>
      </c>
      <c r="E4" s="806" t="s">
        <v>233</v>
      </c>
      <c r="F4" s="806" t="s">
        <v>234</v>
      </c>
      <c r="G4" s="806" t="s">
        <v>235</v>
      </c>
      <c r="H4" s="807">
        <v>2019</v>
      </c>
      <c r="I4" s="806" t="s">
        <v>241</v>
      </c>
      <c r="J4" s="806" t="s">
        <v>259</v>
      </c>
      <c r="K4" s="806" t="s">
        <v>263</v>
      </c>
      <c r="L4" s="806" t="s">
        <v>265</v>
      </c>
      <c r="M4" s="807">
        <v>2020</v>
      </c>
      <c r="N4" s="806" t="s">
        <v>293</v>
      </c>
      <c r="O4" s="806" t="s">
        <v>352</v>
      </c>
      <c r="P4" s="806" t="s">
        <v>353</v>
      </c>
      <c r="Q4" s="806" t="s">
        <v>354</v>
      </c>
      <c r="R4" s="807">
        <v>2021</v>
      </c>
      <c r="S4" s="806" t="s">
        <v>429</v>
      </c>
      <c r="T4" s="806" t="s">
        <v>434</v>
      </c>
      <c r="U4" s="806" t="s">
        <v>435</v>
      </c>
      <c r="V4" s="806" t="s">
        <v>436</v>
      </c>
      <c r="W4" s="807">
        <v>2022</v>
      </c>
      <c r="X4" s="806" t="s">
        <v>440</v>
      </c>
      <c r="Y4" s="806" t="s">
        <v>441</v>
      </c>
      <c r="Z4" s="806" t="s">
        <v>443</v>
      </c>
      <c r="AA4" s="806" t="s">
        <v>446</v>
      </c>
      <c r="AB4" s="807">
        <v>2023</v>
      </c>
      <c r="AC4" s="806" t="s">
        <v>450</v>
      </c>
      <c r="AD4" s="806" t="s">
        <v>454</v>
      </c>
      <c r="AE4" s="806" t="s">
        <v>456</v>
      </c>
      <c r="AF4" s="806" t="s">
        <v>458</v>
      </c>
      <c r="AG4" s="807">
        <v>2024</v>
      </c>
      <c r="AH4" s="806" t="s">
        <v>478</v>
      </c>
      <c r="AI4" s="806" t="s">
        <v>481</v>
      </c>
      <c r="AJ4" s="806" t="s">
        <v>491</v>
      </c>
      <c r="AK4" s="806" t="s">
        <v>495</v>
      </c>
      <c r="AL4" s="807">
        <v>2025</v>
      </c>
      <c r="AM4" s="806" t="s">
        <v>473</v>
      </c>
      <c r="AN4" s="806" t="s">
        <v>474</v>
      </c>
      <c r="AO4" s="806" t="s">
        <v>475</v>
      </c>
      <c r="AP4" s="806" t="s">
        <v>476</v>
      </c>
      <c r="AQ4" s="807" t="s">
        <v>477</v>
      </c>
    </row>
    <row r="5" spans="1:43" ht="15.95" customHeight="1">
      <c r="B5" s="783" t="s">
        <v>447</v>
      </c>
      <c r="C5" s="784"/>
      <c r="D5" s="219"/>
      <c r="E5" s="219"/>
      <c r="F5" s="219"/>
      <c r="G5" s="219"/>
      <c r="H5" s="181"/>
      <c r="I5" s="219"/>
      <c r="J5" s="219"/>
      <c r="K5" s="232"/>
      <c r="L5" s="232"/>
      <c r="M5" s="181"/>
      <c r="N5" s="219"/>
      <c r="O5" s="232"/>
      <c r="P5" s="232"/>
      <c r="Q5" s="232"/>
      <c r="R5" s="181"/>
      <c r="S5" s="232"/>
      <c r="T5" s="232"/>
      <c r="U5" s="232"/>
      <c r="V5" s="232"/>
      <c r="W5" s="181"/>
      <c r="X5" s="232">
        <v>27560</v>
      </c>
      <c r="Y5" s="232">
        <v>27012</v>
      </c>
      <c r="Z5" s="232">
        <v>28413</v>
      </c>
      <c r="AA5" s="232">
        <v>29282</v>
      </c>
      <c r="AB5" s="155">
        <f>SUM(X5:AA5)</f>
        <v>112267</v>
      </c>
      <c r="AC5" s="232">
        <v>29909</v>
      </c>
      <c r="AD5" s="232">
        <v>29278</v>
      </c>
      <c r="AE5" s="232">
        <v>30181</v>
      </c>
      <c r="AF5" s="232">
        <f>120132-SUM(AC5:AE5)</f>
        <v>30764</v>
      </c>
      <c r="AG5" s="155">
        <f>SUM(AC5:AF5)</f>
        <v>120132</v>
      </c>
      <c r="AH5" s="232">
        <v>30887</v>
      </c>
      <c r="AI5" s="232">
        <v>32744</v>
      </c>
      <c r="AJ5" s="232">
        <v>35233</v>
      </c>
      <c r="AK5" s="232">
        <f>134000-SUM(AH5:AJ5)</f>
        <v>35136</v>
      </c>
      <c r="AL5" s="155">
        <f>SUM(AH5:AK5)</f>
        <v>134000</v>
      </c>
      <c r="AM5" s="232">
        <f>AH5*(1+AM6)</f>
        <v>34531.665999999997</v>
      </c>
      <c r="AN5" s="232">
        <f>AI5*(1+AN6)</f>
        <v>36673.280000000006</v>
      </c>
      <c r="AO5" s="232">
        <f>AJ5*(1+AO6)</f>
        <v>38185.026000000005</v>
      </c>
      <c r="AP5" s="232">
        <f>AK5*(1+AP6)</f>
        <v>39633.408000000003</v>
      </c>
      <c r="AQ5" s="155">
        <f>SUM(AM5:AP5)</f>
        <v>149023.38</v>
      </c>
    </row>
    <row r="6" spans="1:43" s="788" customFormat="1">
      <c r="B6" s="789"/>
      <c r="C6" s="798" t="s">
        <v>163</v>
      </c>
      <c r="D6" s="790"/>
      <c r="E6" s="790"/>
      <c r="F6" s="790"/>
      <c r="G6" s="790"/>
      <c r="H6" s="791"/>
      <c r="I6" s="790"/>
      <c r="J6" s="790"/>
      <c r="K6" s="792"/>
      <c r="L6" s="792"/>
      <c r="M6" s="791"/>
      <c r="N6" s="790"/>
      <c r="O6" s="792"/>
      <c r="P6" s="792"/>
      <c r="Q6" s="792"/>
      <c r="R6" s="791"/>
      <c r="S6" s="792"/>
      <c r="T6" s="792"/>
      <c r="U6" s="792"/>
      <c r="V6" s="792"/>
      <c r="W6" s="791"/>
      <c r="X6" s="792" t="s">
        <v>437</v>
      </c>
      <c r="Y6" s="792" t="s">
        <v>437</v>
      </c>
      <c r="Z6" s="792" t="s">
        <v>437</v>
      </c>
      <c r="AA6" s="792" t="s">
        <v>437</v>
      </c>
      <c r="AB6" s="791" t="s">
        <v>437</v>
      </c>
      <c r="AC6" s="793">
        <f t="shared" ref="AC6:AK6" si="0">AC5/X5-1</f>
        <v>8.5232220609579024E-2</v>
      </c>
      <c r="AD6" s="793">
        <f t="shared" si="0"/>
        <v>8.3888642084999354E-2</v>
      </c>
      <c r="AE6" s="793">
        <f t="shared" si="0"/>
        <v>6.2225037834793939E-2</v>
      </c>
      <c r="AF6" s="793">
        <f t="shared" si="0"/>
        <v>5.0611297042551628E-2</v>
      </c>
      <c r="AG6" s="795">
        <f>AG5/AB5-1</f>
        <v>7.0056205296302521E-2</v>
      </c>
      <c r="AH6" s="793">
        <f t="shared" si="0"/>
        <v>3.2699187535524477E-2</v>
      </c>
      <c r="AI6" s="793">
        <f t="shared" si="0"/>
        <v>0.11838240316961546</v>
      </c>
      <c r="AJ6" s="793">
        <f t="shared" si="0"/>
        <v>0.16739007985156218</v>
      </c>
      <c r="AK6" s="793">
        <f t="shared" si="0"/>
        <v>0.14211415940709915</v>
      </c>
      <c r="AL6" s="795">
        <f>AL5/AG5-1</f>
        <v>0.11543968301534968</v>
      </c>
      <c r="AM6" s="794">
        <v>0.11799999999999999</v>
      </c>
      <c r="AN6" s="794">
        <v>0.12</v>
      </c>
      <c r="AO6" s="794">
        <f>1.122*(AJ5-1200)/AJ5-1</f>
        <v>8.3785825788323498E-2</v>
      </c>
      <c r="AP6" s="794">
        <v>0.128</v>
      </c>
      <c r="AQ6" s="795">
        <f>AQ5/AL5-1</f>
        <v>0.11211477611940301</v>
      </c>
    </row>
    <row r="7" spans="1:43" s="788" customFormat="1">
      <c r="B7" s="789"/>
      <c r="C7" s="798" t="s">
        <v>162</v>
      </c>
      <c r="D7" s="790"/>
      <c r="E7" s="790"/>
      <c r="F7" s="790"/>
      <c r="G7" s="790"/>
      <c r="H7" s="791"/>
      <c r="I7" s="790"/>
      <c r="J7" s="790"/>
      <c r="K7" s="792"/>
      <c r="L7" s="792"/>
      <c r="M7" s="791"/>
      <c r="N7" s="790"/>
      <c r="O7" s="792"/>
      <c r="P7" s="792"/>
      <c r="Q7" s="792"/>
      <c r="R7" s="791"/>
      <c r="S7" s="792"/>
      <c r="T7" s="792"/>
      <c r="U7" s="792"/>
      <c r="V7" s="792"/>
      <c r="W7" s="791"/>
      <c r="X7" s="796" t="s">
        <v>437</v>
      </c>
      <c r="Y7" s="796">
        <f>Y5/X5-1</f>
        <v>-1.9883889695210488E-2</v>
      </c>
      <c r="Z7" s="796">
        <f>Z5/Y5-1</f>
        <v>5.1865837405597581E-2</v>
      </c>
      <c r="AA7" s="796">
        <f>AA5/Z5-1</f>
        <v>3.0584591560201213E-2</v>
      </c>
      <c r="AB7" s="791"/>
      <c r="AC7" s="796">
        <f>AC5/AA5-1</f>
        <v>2.1412471825694945E-2</v>
      </c>
      <c r="AD7" s="796">
        <f>AD5/AC5-1</f>
        <v>-2.1097328563308704E-2</v>
      </c>
      <c r="AE7" s="796">
        <f>AE5/AD5-1</f>
        <v>3.0842270646902037E-2</v>
      </c>
      <c r="AF7" s="796">
        <f>AF5/AE5-1</f>
        <v>1.9316788708127586E-2</v>
      </c>
      <c r="AG7" s="791"/>
      <c r="AH7" s="796">
        <f>AH5/AF5-1</f>
        <v>3.9981796905474987E-3</v>
      </c>
      <c r="AI7" s="796">
        <f>AI5/AH5-1</f>
        <v>6.0122381584485352E-2</v>
      </c>
      <c r="AJ7" s="796">
        <f>AJ5/AI5-1</f>
        <v>7.6013926215489969E-2</v>
      </c>
      <c r="AK7" s="796">
        <f>AK5/AJ5-1</f>
        <v>-2.7531007861947288E-3</v>
      </c>
      <c r="AL7" s="791"/>
      <c r="AM7" s="796">
        <f>AM5/AK5-1</f>
        <v>-1.7199852003643046E-2</v>
      </c>
      <c r="AN7" s="796">
        <f>AN5/AM5-1</f>
        <v>6.2018843805567103E-2</v>
      </c>
      <c r="AO7" s="796">
        <f>AO5/AN5-1</f>
        <v>4.1222001413563136E-2</v>
      </c>
      <c r="AP7" s="796">
        <f>AP5/AO5-1</f>
        <v>3.7930627571132192E-2</v>
      </c>
      <c r="AQ7" s="791"/>
    </row>
    <row r="8" spans="1:43" ht="13.15">
      <c r="B8" s="786" t="s">
        <v>448</v>
      </c>
      <c r="C8" s="799"/>
      <c r="D8" s="219"/>
      <c r="E8" s="219"/>
      <c r="F8" s="219"/>
      <c r="G8" s="219"/>
      <c r="H8" s="181"/>
      <c r="I8" s="219"/>
      <c r="J8" s="219"/>
      <c r="K8" s="232"/>
      <c r="L8" s="232"/>
      <c r="M8" s="181"/>
      <c r="N8" s="219"/>
      <c r="O8" s="232"/>
      <c r="P8" s="232"/>
      <c r="Q8" s="232"/>
      <c r="R8" s="181"/>
      <c r="S8" s="232"/>
      <c r="T8" s="232"/>
      <c r="U8" s="232"/>
      <c r="V8" s="232"/>
      <c r="W8" s="181"/>
      <c r="X8" s="232">
        <v>5569</v>
      </c>
      <c r="Y8" s="232">
        <v>7264</v>
      </c>
      <c r="Z8" s="232">
        <v>6530</v>
      </c>
      <c r="AA8" s="232">
        <v>6460</v>
      </c>
      <c r="AB8" s="155">
        <f>SUM(X8:AA8)</f>
        <v>25823</v>
      </c>
      <c r="AC8" s="232">
        <f>AC11-AC5</f>
        <v>5662</v>
      </c>
      <c r="AD8" s="232">
        <f>AD11-AD5</f>
        <v>6727</v>
      </c>
      <c r="AE8" s="232">
        <f>AE11-AE5</f>
        <v>6085</v>
      </c>
      <c r="AF8" s="232">
        <f>36999-AF5</f>
        <v>6235</v>
      </c>
      <c r="AG8" s="155">
        <f>SUM(AC8:AF8)</f>
        <v>24709</v>
      </c>
      <c r="AH8" s="232">
        <f>AH11-AH5</f>
        <v>5766</v>
      </c>
      <c r="AI8" s="232">
        <f>AI11-AI5</f>
        <v>5362</v>
      </c>
      <c r="AJ8" s="232">
        <f>AJ11-AJ5</f>
        <v>5686</v>
      </c>
      <c r="AK8" s="232">
        <f>22849-SUM(AH8:AJ8)</f>
        <v>6035</v>
      </c>
      <c r="AL8" s="155">
        <f>SUM(AH8:AK8)</f>
        <v>22849</v>
      </c>
      <c r="AM8" s="232">
        <f>AH8*(1+AM9)</f>
        <v>5218.2300000000005</v>
      </c>
      <c r="AN8" s="232">
        <f>AI8*(1+AN9)</f>
        <v>5630.1</v>
      </c>
      <c r="AO8" s="232">
        <f>AJ8*(1+AO9)</f>
        <v>5856.58</v>
      </c>
      <c r="AP8" s="232">
        <f>AK8*(1+AP9)</f>
        <v>6276.4000000000005</v>
      </c>
      <c r="AQ8" s="155">
        <f>SUM(AM8:AP8)</f>
        <v>22981.310000000005</v>
      </c>
    </row>
    <row r="9" spans="1:43">
      <c r="B9" s="785"/>
      <c r="C9" s="798" t="s">
        <v>163</v>
      </c>
      <c r="D9" s="219"/>
      <c r="E9" s="219"/>
      <c r="F9" s="219"/>
      <c r="G9" s="219"/>
      <c r="H9" s="181"/>
      <c r="I9" s="219"/>
      <c r="J9" s="219"/>
      <c r="K9" s="232"/>
      <c r="L9" s="232"/>
      <c r="M9" s="181"/>
      <c r="N9" s="219"/>
      <c r="O9" s="232"/>
      <c r="P9" s="232"/>
      <c r="Q9" s="232"/>
      <c r="R9" s="181"/>
      <c r="S9" s="232"/>
      <c r="T9" s="232"/>
      <c r="U9" s="232"/>
      <c r="V9" s="232"/>
      <c r="W9" s="181"/>
      <c r="X9" s="787" t="s">
        <v>437</v>
      </c>
      <c r="Y9" s="787" t="s">
        <v>437</v>
      </c>
      <c r="Z9" s="787" t="s">
        <v>437</v>
      </c>
      <c r="AA9" s="787" t="s">
        <v>437</v>
      </c>
      <c r="AB9" s="181" t="s">
        <v>437</v>
      </c>
      <c r="AC9" s="365">
        <f t="shared" ref="AC9:AK9" si="1">AC8/X8-1</f>
        <v>1.669958699946128E-2</v>
      </c>
      <c r="AD9" s="793">
        <f t="shared" si="1"/>
        <v>-7.392621145374445E-2</v>
      </c>
      <c r="AE9" s="793">
        <f t="shared" si="1"/>
        <v>-6.8147013782542065E-2</v>
      </c>
      <c r="AF9" s="793">
        <f t="shared" si="1"/>
        <v>-3.482972136222906E-2</v>
      </c>
      <c r="AG9" s="364">
        <f>AG8/AB8-1</f>
        <v>-4.3139836579793256E-2</v>
      </c>
      <c r="AH9" s="365">
        <f t="shared" si="1"/>
        <v>1.8368067820557998E-2</v>
      </c>
      <c r="AI9" s="793">
        <f t="shared" si="1"/>
        <v>-0.2029136316337149</v>
      </c>
      <c r="AJ9" s="793">
        <f t="shared" si="1"/>
        <v>-6.5571076417419882E-2</v>
      </c>
      <c r="AK9" s="793">
        <f t="shared" si="1"/>
        <v>-3.2076984763432237E-2</v>
      </c>
      <c r="AL9" s="364">
        <f>AL8/AG8-1</f>
        <v>-7.5276215144279401E-2</v>
      </c>
      <c r="AM9" s="440">
        <v>-9.5000000000000001E-2</v>
      </c>
      <c r="AN9" s="440">
        <v>0.05</v>
      </c>
      <c r="AO9" s="440">
        <v>0.03</v>
      </c>
      <c r="AP9" s="440">
        <v>0.04</v>
      </c>
      <c r="AQ9" s="364">
        <f>AQ8/AL8-1</f>
        <v>5.7906254103026189E-3</v>
      </c>
    </row>
    <row r="10" spans="1:43" s="788" customFormat="1" ht="13.15" thickBot="1">
      <c r="B10" s="797"/>
      <c r="C10" s="800" t="s">
        <v>162</v>
      </c>
      <c r="D10" s="790"/>
      <c r="E10" s="790"/>
      <c r="F10" s="790"/>
      <c r="G10" s="790"/>
      <c r="H10" s="791"/>
      <c r="I10" s="790"/>
      <c r="J10" s="790"/>
      <c r="K10" s="792"/>
      <c r="L10" s="792"/>
      <c r="M10" s="791"/>
      <c r="N10" s="790"/>
      <c r="O10" s="792"/>
      <c r="P10" s="792"/>
      <c r="Q10" s="792"/>
      <c r="R10" s="791"/>
      <c r="S10" s="792"/>
      <c r="T10" s="792"/>
      <c r="U10" s="792"/>
      <c r="V10" s="792"/>
      <c r="W10" s="791"/>
      <c r="X10" s="796" t="s">
        <v>437</v>
      </c>
      <c r="Y10" s="796">
        <f>Y8/X8-1</f>
        <v>0.30436344047405273</v>
      </c>
      <c r="Z10" s="796">
        <f>Z8/Y8-1</f>
        <v>-0.10104625550660795</v>
      </c>
      <c r="AA10" s="796">
        <f>AA8/Z8-1</f>
        <v>-1.071975497702915E-2</v>
      </c>
      <c r="AB10" s="791"/>
      <c r="AC10" s="796">
        <f>AC8/AA8-1</f>
        <v>-0.12352941176470589</v>
      </c>
      <c r="AD10" s="796">
        <f>AD8/AC8-1</f>
        <v>0.18809607912398452</v>
      </c>
      <c r="AE10" s="796">
        <f>AE8/AD8-1</f>
        <v>-9.5436301471681251E-2</v>
      </c>
      <c r="AF10" s="796">
        <f>AF8/AE8-1</f>
        <v>2.4650780608052481E-2</v>
      </c>
      <c r="AG10" s="791"/>
      <c r="AH10" s="796">
        <f>AH8/AF8-1</f>
        <v>-7.5220529270248582E-2</v>
      </c>
      <c r="AI10" s="796">
        <f>AI8/AH8-1</f>
        <v>-7.0065903572667398E-2</v>
      </c>
      <c r="AJ10" s="796">
        <f>AJ8/AI8-1</f>
        <v>6.0425214472211941E-2</v>
      </c>
      <c r="AK10" s="796">
        <f>AK8/AJ8-1</f>
        <v>6.1378825184664088E-2</v>
      </c>
      <c r="AL10" s="791"/>
      <c r="AM10" s="796">
        <f>AM8/AK8-1</f>
        <v>-0.13533885666942824</v>
      </c>
      <c r="AN10" s="796">
        <f>AN8/AM8-1</f>
        <v>7.8929062153258789E-2</v>
      </c>
      <c r="AO10" s="796">
        <f>AO8/AN8-1</f>
        <v>4.0226638958455352E-2</v>
      </c>
      <c r="AP10" s="796">
        <f>AP8/AO8-1</f>
        <v>7.1683473972864897E-2</v>
      </c>
      <c r="AQ10" s="791"/>
    </row>
    <row r="11" spans="1:43" s="197" customFormat="1" ht="13.5" thickBot="1">
      <c r="B11" s="281" t="s">
        <v>292</v>
      </c>
      <c r="C11" s="282"/>
      <c r="D11" s="238">
        <f>+D116</f>
        <v>10378</v>
      </c>
      <c r="E11" s="238">
        <f>+E116</f>
        <v>11305</v>
      </c>
      <c r="F11" s="238">
        <f>+F116</f>
        <v>12652</v>
      </c>
      <c r="G11" s="238">
        <f>+G116</f>
        <v>14221</v>
      </c>
      <c r="H11" s="196">
        <f>H116</f>
        <v>48556</v>
      </c>
      <c r="I11" s="238">
        <f>+I116</f>
        <v>15668</v>
      </c>
      <c r="J11" s="202">
        <f>+J116</f>
        <v>15727</v>
      </c>
      <c r="K11" s="238">
        <f>+K116</f>
        <v>17863</v>
      </c>
      <c r="L11" s="238">
        <f>+L116</f>
        <v>19186</v>
      </c>
      <c r="M11" s="196">
        <f>M116</f>
        <v>68444</v>
      </c>
      <c r="N11" s="238">
        <f>+N116</f>
        <v>21131</v>
      </c>
      <c r="O11" s="238">
        <v>29547</v>
      </c>
      <c r="P11" s="238">
        <v>29854</v>
      </c>
      <c r="Q11" s="238">
        <v>33810</v>
      </c>
      <c r="R11" s="196">
        <f>SUM(N11:Q11)</f>
        <v>114342</v>
      </c>
      <c r="S11" s="238">
        <v>34468</v>
      </c>
      <c r="T11" s="238">
        <v>33710</v>
      </c>
      <c r="U11" s="238">
        <f>34475</f>
        <v>34475</v>
      </c>
      <c r="V11" s="238">
        <v>32537</v>
      </c>
      <c r="W11" s="196">
        <f>SUM(S11:V11)</f>
        <v>135190</v>
      </c>
      <c r="X11" s="238">
        <f>+X5+X8</f>
        <v>33129</v>
      </c>
      <c r="Y11" s="238">
        <f t="shared" ref="Y11:AG11" si="2">+Y5+Y8</f>
        <v>34276</v>
      </c>
      <c r="Z11" s="238">
        <f t="shared" si="2"/>
        <v>34943</v>
      </c>
      <c r="AA11" s="238">
        <f t="shared" si="2"/>
        <v>35742</v>
      </c>
      <c r="AB11" s="196">
        <f t="shared" si="2"/>
        <v>138090</v>
      </c>
      <c r="AC11" s="238">
        <v>35571</v>
      </c>
      <c r="AD11" s="238">
        <v>36005</v>
      </c>
      <c r="AE11" s="238">
        <f>36266</f>
        <v>36266</v>
      </c>
      <c r="AF11" s="238">
        <f>+AF5+AF8</f>
        <v>36999</v>
      </c>
      <c r="AG11" s="196">
        <f t="shared" si="2"/>
        <v>144841</v>
      </c>
      <c r="AH11" s="238">
        <v>36653</v>
      </c>
      <c r="AI11" s="238">
        <v>38106</v>
      </c>
      <c r="AJ11" s="238">
        <v>40919</v>
      </c>
      <c r="AK11" s="238">
        <f>+AK5+AK8</f>
        <v>41171</v>
      </c>
      <c r="AL11" s="196">
        <f t="shared" ref="AL11:AQ11" si="3">+AL5+AL8</f>
        <v>156849</v>
      </c>
      <c r="AM11" s="238">
        <f t="shared" si="3"/>
        <v>39749.896000000001</v>
      </c>
      <c r="AN11" s="238">
        <f t="shared" si="3"/>
        <v>42303.380000000005</v>
      </c>
      <c r="AO11" s="238">
        <f t="shared" si="3"/>
        <v>44041.606000000007</v>
      </c>
      <c r="AP11" s="238">
        <f t="shared" si="3"/>
        <v>45909.808000000005</v>
      </c>
      <c r="AQ11" s="196">
        <f t="shared" si="3"/>
        <v>172004.69</v>
      </c>
    </row>
    <row r="12" spans="1:43" s="360" customFormat="1" ht="15.2" customHeight="1">
      <c r="B12" s="371"/>
      <c r="C12" s="372" t="s">
        <v>163</v>
      </c>
      <c r="D12" s="366"/>
      <c r="E12" s="366"/>
      <c r="F12" s="366"/>
      <c r="G12" s="366"/>
      <c r="H12" s="373"/>
      <c r="I12" s="366">
        <f t="shared" ref="I12:V12" si="4">I11/D11-1</f>
        <v>0.50973212565041437</v>
      </c>
      <c r="J12" s="366">
        <f t="shared" si="4"/>
        <v>0.39115435647943397</v>
      </c>
      <c r="K12" s="366">
        <f t="shared" si="4"/>
        <v>0.41187164084729688</v>
      </c>
      <c r="L12" s="366">
        <f t="shared" si="4"/>
        <v>0.34913156599395267</v>
      </c>
      <c r="M12" s="373">
        <f t="shared" si="4"/>
        <v>0.40958892824779647</v>
      </c>
      <c r="N12" s="363">
        <f t="shared" si="4"/>
        <v>0.34867245340822062</v>
      </c>
      <c r="O12" s="365">
        <f t="shared" si="4"/>
        <v>0.87874356202708714</v>
      </c>
      <c r="P12" s="365">
        <f t="shared" si="4"/>
        <v>0.67127582153053789</v>
      </c>
      <c r="Q12" s="365">
        <f t="shared" si="4"/>
        <v>0.76222245387261545</v>
      </c>
      <c r="R12" s="373">
        <f>R11/M11-1</f>
        <v>0.67059201683127823</v>
      </c>
      <c r="S12" s="365">
        <f t="shared" si="4"/>
        <v>0.63115801429179874</v>
      </c>
      <c r="T12" s="365">
        <f>T11/O11-1</f>
        <v>0.14089416861271875</v>
      </c>
      <c r="U12" s="365">
        <f t="shared" si="4"/>
        <v>0.15478662825751988</v>
      </c>
      <c r="V12" s="365">
        <f t="shared" si="4"/>
        <v>-3.7651582372079218E-2</v>
      </c>
      <c r="W12" s="373">
        <f t="shared" ref="W12:AF12" si="5">W11/R11-1</f>
        <v>0.18233020237533015</v>
      </c>
      <c r="X12" s="365">
        <f t="shared" si="5"/>
        <v>-3.8847626784263678E-2</v>
      </c>
      <c r="Y12" s="365">
        <f t="shared" si="5"/>
        <v>1.6790269949569891E-2</v>
      </c>
      <c r="Z12" s="365">
        <f t="shared" si="5"/>
        <v>1.3575054387237051E-2</v>
      </c>
      <c r="AA12" s="365">
        <f t="shared" si="5"/>
        <v>9.8503242462427476E-2</v>
      </c>
      <c r="AB12" s="373">
        <f t="shared" si="5"/>
        <v>2.1451290775944987E-2</v>
      </c>
      <c r="AC12" s="365">
        <f>AC11/X11-1</f>
        <v>7.3711853662953963E-2</v>
      </c>
      <c r="AD12" s="365">
        <f t="shared" si="5"/>
        <v>5.0443458980044431E-2</v>
      </c>
      <c r="AE12" s="365">
        <f t="shared" si="5"/>
        <v>3.7861660418395671E-2</v>
      </c>
      <c r="AF12" s="365">
        <f t="shared" si="5"/>
        <v>3.5168709081752514E-2</v>
      </c>
      <c r="AG12" s="373">
        <f t="shared" ref="AG12:AQ12" si="6">AG11/AB11-1</f>
        <v>4.8888406111955884E-2</v>
      </c>
      <c r="AH12" s="365">
        <f t="shared" si="6"/>
        <v>3.0418037165106382E-2</v>
      </c>
      <c r="AI12" s="365">
        <f t="shared" si="6"/>
        <v>5.8353006526871365E-2</v>
      </c>
      <c r="AJ12" s="365">
        <f t="shared" si="6"/>
        <v>0.12830199084541993</v>
      </c>
      <c r="AK12" s="365">
        <f t="shared" si="6"/>
        <v>0.11275980431903565</v>
      </c>
      <c r="AL12" s="373">
        <f t="shared" si="6"/>
        <v>8.2904702397801788E-2</v>
      </c>
      <c r="AM12" s="365">
        <f t="shared" si="6"/>
        <v>8.4492292581780593E-2</v>
      </c>
      <c r="AN12" s="365">
        <f t="shared" si="6"/>
        <v>0.11015010759460475</v>
      </c>
      <c r="AO12" s="365">
        <f t="shared" si="6"/>
        <v>7.6311884454654422E-2</v>
      </c>
      <c r="AP12" s="365">
        <f t="shared" si="6"/>
        <v>0.11510062908357832</v>
      </c>
      <c r="AQ12" s="373">
        <f t="shared" si="6"/>
        <v>9.6625990602426493E-2</v>
      </c>
    </row>
    <row r="13" spans="1:43" s="369" customFormat="1" ht="18" customHeight="1">
      <c r="B13" s="502"/>
      <c r="C13" s="436" t="s">
        <v>162</v>
      </c>
      <c r="D13" s="370"/>
      <c r="E13" s="370">
        <f>E11/D11-1</f>
        <v>8.93235690884564E-2</v>
      </c>
      <c r="F13" s="370">
        <f>F11/E11-1</f>
        <v>0.11915081822202556</v>
      </c>
      <c r="G13" s="370">
        <f>G11/F11-1</f>
        <v>0.12401201391084404</v>
      </c>
      <c r="H13" s="503"/>
      <c r="I13" s="370">
        <f>I11/G11-1</f>
        <v>0.10175093172069483</v>
      </c>
      <c r="J13" s="370">
        <f>J11/I11-1</f>
        <v>3.7656369670666656E-3</v>
      </c>
      <c r="K13" s="370">
        <f>K11/J11-1</f>
        <v>0.13581738411648758</v>
      </c>
      <c r="L13" s="370">
        <f>L11/K11-1</f>
        <v>7.4063707104069954E-2</v>
      </c>
      <c r="M13" s="503"/>
      <c r="N13" s="609">
        <f>N11/L11-1</f>
        <v>0.10137600333576557</v>
      </c>
      <c r="O13" s="609">
        <f>O11/N11-1</f>
        <v>0.39827741233259184</v>
      </c>
      <c r="P13" s="370">
        <f>P11/O11-1</f>
        <v>1.0390225742038073E-2</v>
      </c>
      <c r="Q13" s="370">
        <f>Q11/P11-1</f>
        <v>0.13251155624036981</v>
      </c>
      <c r="R13" s="503"/>
      <c r="S13" s="370">
        <f>S11/Q11-1</f>
        <v>1.9461697722567228E-2</v>
      </c>
      <c r="T13" s="370">
        <f>T11/S11-1</f>
        <v>-2.1991412324474879E-2</v>
      </c>
      <c r="U13" s="370">
        <f>U11/T11-1</f>
        <v>2.2693562741026296E-2</v>
      </c>
      <c r="V13" s="370">
        <f>V11/U11-1</f>
        <v>-5.6214648295866532E-2</v>
      </c>
      <c r="W13" s="503"/>
      <c r="X13" s="370">
        <f>X11/V11-1</f>
        <v>1.8194670682607494E-2</v>
      </c>
      <c r="Y13" s="370">
        <f>Y11/X11-1</f>
        <v>3.4622234296235899E-2</v>
      </c>
      <c r="Z13" s="370">
        <f>Z11/Y11-1</f>
        <v>1.9459680242735367E-2</v>
      </c>
      <c r="AA13" s="370">
        <f>AA11/Z11-1</f>
        <v>2.2865810033483092E-2</v>
      </c>
      <c r="AB13" s="503"/>
      <c r="AC13" s="370">
        <f>AC11/AA11-1</f>
        <v>-4.7842873929830887E-3</v>
      </c>
      <c r="AD13" s="370">
        <f>AD11/AC11-1</f>
        <v>1.2200950212251538E-2</v>
      </c>
      <c r="AE13" s="370">
        <f>AE11/AD11-1</f>
        <v>7.2489931953896303E-3</v>
      </c>
      <c r="AF13" s="370">
        <f>AF11/AE11-1</f>
        <v>2.0211768598687563E-2</v>
      </c>
      <c r="AG13" s="503"/>
      <c r="AH13" s="370">
        <f>AH11/AF11-1</f>
        <v>-9.3516040974079839E-3</v>
      </c>
      <c r="AI13" s="370">
        <f>AI11/AH11-1</f>
        <v>3.9642048399858076E-2</v>
      </c>
      <c r="AJ13" s="370">
        <f>AJ11/AI11-1</f>
        <v>7.3820395738203981E-2</v>
      </c>
      <c r="AK13" s="370">
        <f>AK11/AJ11-1</f>
        <v>6.1585082724406881E-3</v>
      </c>
      <c r="AL13" s="503"/>
      <c r="AM13" s="370">
        <f>AM11/AK11-1</f>
        <v>-3.4517111559107083E-2</v>
      </c>
      <c r="AN13" s="370">
        <f>AN11/AM11-1</f>
        <v>6.4238759266187939E-2</v>
      </c>
      <c r="AO13" s="370">
        <f>AO11/AN11-1</f>
        <v>4.1089529961908511E-2</v>
      </c>
      <c r="AP13" s="370">
        <f>AP11/AO11-1</f>
        <v>4.2419025318922277E-2</v>
      </c>
      <c r="AQ13" s="503"/>
    </row>
    <row r="14" spans="1:43" s="497" customFormat="1" ht="18" customHeight="1" thickBot="1">
      <c r="B14" s="504" t="s">
        <v>161</v>
      </c>
      <c r="C14" s="498"/>
      <c r="D14" s="499">
        <f t="shared" ref="D14:N14" si="7">D118-D137</f>
        <v>2902</v>
      </c>
      <c r="E14" s="499">
        <f t="shared" si="7"/>
        <v>3304</v>
      </c>
      <c r="F14" s="499">
        <f t="shared" si="7"/>
        <v>3618</v>
      </c>
      <c r="G14" s="499">
        <f t="shared" si="7"/>
        <v>4626</v>
      </c>
      <c r="H14" s="500">
        <f t="shared" si="7"/>
        <v>14450</v>
      </c>
      <c r="I14" s="499">
        <f t="shared" si="7"/>
        <v>5065</v>
      </c>
      <c r="J14" s="499">
        <f t="shared" si="7"/>
        <v>4502</v>
      </c>
      <c r="K14" s="501">
        <f t="shared" si="7"/>
        <v>5515</v>
      </c>
      <c r="L14" s="501">
        <f t="shared" si="7"/>
        <v>5339</v>
      </c>
      <c r="M14" s="500">
        <f t="shared" si="7"/>
        <v>20421</v>
      </c>
      <c r="N14" s="499">
        <f t="shared" si="7"/>
        <v>5780</v>
      </c>
      <c r="O14" s="499">
        <f>8695-10</f>
        <v>8685</v>
      </c>
      <c r="P14" s="501">
        <f>7829-10</f>
        <v>7819</v>
      </c>
      <c r="Q14" s="501">
        <f>8786-29</f>
        <v>8757</v>
      </c>
      <c r="R14" s="500">
        <f>SUM(N14:Q14)</f>
        <v>31041</v>
      </c>
      <c r="S14" s="501">
        <f>8969-160</f>
        <v>8809</v>
      </c>
      <c r="T14" s="501">
        <f>8489-234</f>
        <v>8255</v>
      </c>
      <c r="U14" s="501">
        <f>8634-274</f>
        <v>8360</v>
      </c>
      <c r="V14" s="501">
        <f>8071-270</f>
        <v>7801</v>
      </c>
      <c r="W14" s="500">
        <f>SUM(S14:V14)</f>
        <v>33225</v>
      </c>
      <c r="X14" s="501">
        <f>8277-231</f>
        <v>8046</v>
      </c>
      <c r="Y14" s="501">
        <f>9039-271</f>
        <v>8768</v>
      </c>
      <c r="Z14" s="501">
        <f>8939-270</f>
        <v>8669</v>
      </c>
      <c r="AA14" s="501">
        <f>8693-264</f>
        <v>8429</v>
      </c>
      <c r="AB14" s="500">
        <f>SUM(X14:AA14)</f>
        <v>33912</v>
      </c>
      <c r="AC14" s="501">
        <f>8852-385</f>
        <v>8467</v>
      </c>
      <c r="AD14" s="501">
        <f>9288-432</f>
        <v>8856</v>
      </c>
      <c r="AE14" s="501">
        <f>9740-456</f>
        <v>9284</v>
      </c>
      <c r="AF14" s="501">
        <f>9534-442</f>
        <v>9092</v>
      </c>
      <c r="AG14" s="500">
        <f>SUM(AC14:AF14)</f>
        <v>35699</v>
      </c>
      <c r="AH14" s="501">
        <v>9004</v>
      </c>
      <c r="AI14" s="501">
        <f>9683-562</f>
        <v>9121</v>
      </c>
      <c r="AJ14" s="501">
        <v>9447</v>
      </c>
      <c r="AK14" s="501">
        <v>9661</v>
      </c>
      <c r="AL14" s="500">
        <f>SUM(AH14:AK14)</f>
        <v>37233</v>
      </c>
      <c r="AM14" s="501">
        <f>AM11*(1-AM16)</f>
        <v>9818.2243120000003</v>
      </c>
      <c r="AN14" s="501">
        <f>AN11*(1-AN16)</f>
        <v>10068.204440000001</v>
      </c>
      <c r="AO14" s="501">
        <f>AO11*(1-AO16)</f>
        <v>10481.902228000001</v>
      </c>
      <c r="AP14" s="501">
        <f>AP11*(1-AP16)</f>
        <v>10834.714688</v>
      </c>
      <c r="AQ14" s="500">
        <f>SUM(AM14:AP14)</f>
        <v>41203.045667999999</v>
      </c>
    </row>
    <row r="15" spans="1:43" ht="13.5" thickBot="1">
      <c r="A15" s="197"/>
      <c r="B15" s="283" t="s">
        <v>159</v>
      </c>
      <c r="C15" s="377"/>
      <c r="D15" s="240">
        <f t="shared" ref="D15:AB15" si="8">D11-D14</f>
        <v>7476</v>
      </c>
      <c r="E15" s="240">
        <f t="shared" si="8"/>
        <v>8001</v>
      </c>
      <c r="F15" s="240">
        <f t="shared" si="8"/>
        <v>9034</v>
      </c>
      <c r="G15" s="240">
        <f t="shared" si="8"/>
        <v>9595</v>
      </c>
      <c r="H15" s="254">
        <f t="shared" si="8"/>
        <v>34106</v>
      </c>
      <c r="I15" s="240">
        <f t="shared" si="8"/>
        <v>10603</v>
      </c>
      <c r="J15" s="240">
        <f t="shared" si="8"/>
        <v>11225</v>
      </c>
      <c r="K15" s="240">
        <f t="shared" si="8"/>
        <v>12348</v>
      </c>
      <c r="L15" s="240">
        <f t="shared" si="8"/>
        <v>13847</v>
      </c>
      <c r="M15" s="254">
        <f t="shared" si="8"/>
        <v>48023</v>
      </c>
      <c r="N15" s="610">
        <f t="shared" si="8"/>
        <v>15351</v>
      </c>
      <c r="O15" s="610">
        <f t="shared" si="8"/>
        <v>20862</v>
      </c>
      <c r="P15" s="240">
        <f t="shared" si="8"/>
        <v>22035</v>
      </c>
      <c r="Q15" s="240">
        <f t="shared" si="8"/>
        <v>25053</v>
      </c>
      <c r="R15" s="254">
        <f t="shared" si="8"/>
        <v>83301</v>
      </c>
      <c r="S15" s="240">
        <f t="shared" si="8"/>
        <v>25659</v>
      </c>
      <c r="T15" s="240">
        <f t="shared" si="8"/>
        <v>25455</v>
      </c>
      <c r="U15" s="240">
        <f t="shared" si="8"/>
        <v>26115</v>
      </c>
      <c r="V15" s="240">
        <f t="shared" si="8"/>
        <v>24736</v>
      </c>
      <c r="W15" s="254">
        <f t="shared" si="8"/>
        <v>101965</v>
      </c>
      <c r="X15" s="240">
        <f t="shared" si="8"/>
        <v>25083</v>
      </c>
      <c r="Y15" s="240">
        <f t="shared" si="8"/>
        <v>25508</v>
      </c>
      <c r="Z15" s="240">
        <f t="shared" si="8"/>
        <v>26274</v>
      </c>
      <c r="AA15" s="240">
        <f t="shared" si="8"/>
        <v>27313</v>
      </c>
      <c r="AB15" s="254">
        <f t="shared" si="8"/>
        <v>104178</v>
      </c>
      <c r="AC15" s="240">
        <f t="shared" ref="AC15:AQ15" si="9">AC11-AC14</f>
        <v>27104</v>
      </c>
      <c r="AD15" s="240">
        <f t="shared" si="9"/>
        <v>27149</v>
      </c>
      <c r="AE15" s="240">
        <f t="shared" si="9"/>
        <v>26982</v>
      </c>
      <c r="AF15" s="240">
        <f t="shared" si="9"/>
        <v>27907</v>
      </c>
      <c r="AG15" s="254">
        <f t="shared" si="9"/>
        <v>109142</v>
      </c>
      <c r="AH15" s="240">
        <f t="shared" si="9"/>
        <v>27649</v>
      </c>
      <c r="AI15" s="240">
        <f t="shared" si="9"/>
        <v>28985</v>
      </c>
      <c r="AJ15" s="240">
        <f t="shared" ref="AJ15:AK15" si="10">AJ11-AJ14</f>
        <v>31472</v>
      </c>
      <c r="AK15" s="240">
        <f t="shared" si="10"/>
        <v>31510</v>
      </c>
      <c r="AL15" s="254">
        <f t="shared" si="9"/>
        <v>119616</v>
      </c>
      <c r="AM15" s="240">
        <f t="shared" si="9"/>
        <v>29931.671688000002</v>
      </c>
      <c r="AN15" s="240">
        <f t="shared" si="9"/>
        <v>32235.175560000003</v>
      </c>
      <c r="AO15" s="240">
        <f t="shared" si="9"/>
        <v>33559.703772000008</v>
      </c>
      <c r="AP15" s="240">
        <f t="shared" si="9"/>
        <v>35075.093312000005</v>
      </c>
      <c r="AQ15" s="254">
        <f t="shared" si="9"/>
        <v>130801.644332</v>
      </c>
    </row>
    <row r="16" spans="1:43" s="420" customFormat="1" ht="15.2" customHeight="1">
      <c r="A16" s="363"/>
      <c r="B16" s="378"/>
      <c r="C16" s="376" t="s">
        <v>158</v>
      </c>
      <c r="D16" s="366">
        <f t="shared" ref="D16:AC16" si="11">D15/D11</f>
        <v>0.72037001349007512</v>
      </c>
      <c r="E16" s="366">
        <f t="shared" si="11"/>
        <v>0.7077399380804954</v>
      </c>
      <c r="F16" s="366">
        <f t="shared" si="11"/>
        <v>0.71403730635472651</v>
      </c>
      <c r="G16" s="366">
        <f t="shared" si="11"/>
        <v>0.67470642008297588</v>
      </c>
      <c r="H16" s="373">
        <f t="shared" si="11"/>
        <v>0.70240546997281494</v>
      </c>
      <c r="I16" s="366">
        <f t="shared" si="11"/>
        <v>0.67672964003063574</v>
      </c>
      <c r="J16" s="366">
        <f t="shared" si="11"/>
        <v>0.71374070070579254</v>
      </c>
      <c r="K16" s="366">
        <f t="shared" si="11"/>
        <v>0.69126126630465212</v>
      </c>
      <c r="L16" s="366">
        <f t="shared" si="11"/>
        <v>0.72172417387678511</v>
      </c>
      <c r="M16" s="373">
        <f t="shared" si="11"/>
        <v>0.7016392963590673</v>
      </c>
      <c r="N16" s="363">
        <f t="shared" si="11"/>
        <v>0.7264682220434433</v>
      </c>
      <c r="O16" s="363">
        <f t="shared" si="11"/>
        <v>0.70606152908924769</v>
      </c>
      <c r="P16" s="363">
        <f t="shared" si="11"/>
        <v>0.73809204796677164</v>
      </c>
      <c r="Q16" s="363">
        <f t="shared" si="11"/>
        <v>0.74099378881987576</v>
      </c>
      <c r="R16" s="373">
        <f>R15/R11</f>
        <v>0.72852495146140528</v>
      </c>
      <c r="S16" s="363">
        <f t="shared" si="11"/>
        <v>0.74442961587559475</v>
      </c>
      <c r="T16" s="363">
        <f t="shared" si="11"/>
        <v>0.75511717591219218</v>
      </c>
      <c r="U16" s="363">
        <f t="shared" si="11"/>
        <v>0.75750543872371279</v>
      </c>
      <c r="V16" s="363">
        <f t="shared" si="11"/>
        <v>0.76024218581922121</v>
      </c>
      <c r="W16" s="447">
        <f>W15/W11</f>
        <v>0.75423478067904426</v>
      </c>
      <c r="X16" s="363">
        <f t="shared" si="11"/>
        <v>0.75713121434392827</v>
      </c>
      <c r="Y16" s="363">
        <f t="shared" si="11"/>
        <v>0.74419418835336681</v>
      </c>
      <c r="Z16" s="363">
        <f t="shared" si="11"/>
        <v>0.75191025384197119</v>
      </c>
      <c r="AA16" s="363">
        <f t="shared" si="11"/>
        <v>0.76417100330143806</v>
      </c>
      <c r="AB16" s="373">
        <f>AB15/AB11</f>
        <v>0.75442102976319791</v>
      </c>
      <c r="AC16" s="363">
        <f t="shared" si="11"/>
        <v>0.76196901970706477</v>
      </c>
      <c r="AD16" s="363">
        <f t="shared" ref="AD16:AI16" si="12">AD15/AD11</f>
        <v>0.75403416192195527</v>
      </c>
      <c r="AE16" s="363">
        <f t="shared" si="12"/>
        <v>0.74400264710748354</v>
      </c>
      <c r="AF16" s="363">
        <f t="shared" si="12"/>
        <v>0.75426362874672293</v>
      </c>
      <c r="AG16" s="373">
        <f t="shared" si="12"/>
        <v>0.75352973260333744</v>
      </c>
      <c r="AH16" s="363">
        <f t="shared" si="12"/>
        <v>0.75434480124410008</v>
      </c>
      <c r="AI16" s="363">
        <f t="shared" si="12"/>
        <v>0.76064136881331024</v>
      </c>
      <c r="AJ16" s="363">
        <f t="shared" ref="AJ16:AK16" si="13">AJ15/AJ11</f>
        <v>0.76912925535814658</v>
      </c>
      <c r="AK16" s="363">
        <f t="shared" si="13"/>
        <v>0.76534453863156104</v>
      </c>
      <c r="AL16" s="373">
        <f>AL15/AL11</f>
        <v>0.76261882447449458</v>
      </c>
      <c r="AM16" s="440">
        <v>0.753</v>
      </c>
      <c r="AN16" s="440">
        <v>0.76200000000000001</v>
      </c>
      <c r="AO16" s="440">
        <v>0.76200000000000001</v>
      </c>
      <c r="AP16" s="440">
        <v>0.76400000000000001</v>
      </c>
      <c r="AQ16" s="373">
        <f>AQ15/AQ11</f>
        <v>0.76045394071522121</v>
      </c>
    </row>
    <row r="17" spans="1:43">
      <c r="B17" s="170"/>
      <c r="C17" s="209"/>
      <c r="D17" s="239"/>
      <c r="E17" s="239"/>
      <c r="F17" s="239"/>
      <c r="G17" s="239"/>
      <c r="H17" s="179"/>
      <c r="I17" s="239"/>
      <c r="J17" s="239"/>
      <c r="K17" s="239"/>
      <c r="L17" s="239"/>
      <c r="M17" s="179"/>
      <c r="N17" s="180"/>
      <c r="O17" s="180"/>
      <c r="P17" s="239"/>
      <c r="Q17" s="239"/>
      <c r="R17" s="179"/>
      <c r="S17" s="239"/>
      <c r="T17" s="239"/>
      <c r="U17" s="239"/>
      <c r="V17" s="239"/>
      <c r="W17" s="179"/>
      <c r="X17" s="239"/>
      <c r="Y17" s="239"/>
      <c r="Z17" s="239"/>
      <c r="AA17" s="239"/>
      <c r="AB17" s="179"/>
      <c r="AC17" s="239"/>
      <c r="AD17" s="239"/>
      <c r="AE17" s="239"/>
      <c r="AF17" s="239"/>
      <c r="AG17" s="179"/>
      <c r="AH17" s="239"/>
      <c r="AI17" s="239"/>
      <c r="AJ17" s="239"/>
      <c r="AK17" s="239"/>
      <c r="AL17" s="179"/>
      <c r="AM17" s="239"/>
      <c r="AN17" s="239"/>
      <c r="AO17" s="239"/>
      <c r="AP17" s="239"/>
      <c r="AQ17" s="179"/>
    </row>
    <row r="18" spans="1:43" ht="13.15">
      <c r="B18" s="193" t="s">
        <v>157</v>
      </c>
      <c r="C18" s="209"/>
      <c r="D18" s="232"/>
      <c r="E18" s="232"/>
      <c r="F18" s="232"/>
      <c r="G18" s="232"/>
      <c r="H18" s="181"/>
      <c r="I18" s="232"/>
      <c r="J18" s="232"/>
      <c r="K18" s="232"/>
      <c r="L18" s="232"/>
      <c r="M18" s="181"/>
      <c r="N18" s="219"/>
      <c r="O18" s="219"/>
      <c r="P18" s="232"/>
      <c r="Q18" s="232"/>
      <c r="R18" s="181"/>
      <c r="S18" s="232"/>
      <c r="T18" s="232"/>
      <c r="U18" s="232"/>
      <c r="V18" s="232"/>
      <c r="W18" s="181"/>
      <c r="X18" s="232"/>
      <c r="Y18" s="232"/>
      <c r="Z18" s="232"/>
      <c r="AA18" s="232"/>
      <c r="AB18" s="181"/>
      <c r="AC18" s="232"/>
      <c r="AD18" s="232"/>
      <c r="AE18" s="232"/>
      <c r="AF18" s="232"/>
      <c r="AG18" s="181"/>
      <c r="AH18" s="232"/>
      <c r="AI18" s="232"/>
      <c r="AJ18" s="232"/>
      <c r="AK18" s="232"/>
      <c r="AL18" s="181"/>
      <c r="AM18" s="232"/>
      <c r="AN18" s="232"/>
      <c r="AO18" s="232"/>
      <c r="AP18" s="232"/>
      <c r="AQ18" s="181"/>
    </row>
    <row r="19" spans="1:43" ht="15.2" customHeight="1">
      <c r="A19" s="158"/>
      <c r="B19" s="157"/>
      <c r="C19" s="209" t="s">
        <v>260</v>
      </c>
      <c r="D19" s="231">
        <f t="shared" ref="D19:N19" si="14">D122-D138</f>
        <v>5256</v>
      </c>
      <c r="E19" s="231">
        <f t="shared" si="14"/>
        <v>5821</v>
      </c>
      <c r="F19" s="231">
        <f t="shared" si="14"/>
        <v>6946</v>
      </c>
      <c r="G19" s="231">
        <f t="shared" si="14"/>
        <v>7798</v>
      </c>
      <c r="H19" s="155">
        <f t="shared" si="14"/>
        <v>25821</v>
      </c>
      <c r="I19" s="231">
        <f t="shared" si="14"/>
        <v>9252</v>
      </c>
      <c r="J19" s="231">
        <f t="shared" si="14"/>
        <v>7082</v>
      </c>
      <c r="K19" s="231">
        <f t="shared" si="14"/>
        <v>7093</v>
      </c>
      <c r="L19" s="231">
        <f t="shared" si="14"/>
        <v>7299</v>
      </c>
      <c r="M19" s="155">
        <f t="shared" si="14"/>
        <v>30726</v>
      </c>
      <c r="N19" s="230">
        <f t="shared" si="14"/>
        <v>7793</v>
      </c>
      <c r="O19" s="230">
        <f>10832-235</f>
        <v>10597</v>
      </c>
      <c r="P19" s="231">
        <f>13168-245</f>
        <v>12923</v>
      </c>
      <c r="Q19" s="231">
        <f>15169-695</f>
        <v>14474</v>
      </c>
      <c r="R19" s="155">
        <f>SUM(N19:Q19)</f>
        <v>45787</v>
      </c>
      <c r="S19" s="231">
        <f>16419-821</f>
        <v>15598</v>
      </c>
      <c r="T19" s="231">
        <f>18931-1380</f>
        <v>17551</v>
      </c>
      <c r="U19" s="231">
        <f>19311-753</f>
        <v>18558</v>
      </c>
      <c r="V19" s="231">
        <f>18178-1232</f>
        <v>16946</v>
      </c>
      <c r="W19" s="155">
        <f>SUM(S19:V19)</f>
        <v>68653</v>
      </c>
      <c r="X19" s="231">
        <f>19060-1391-177</f>
        <v>17492</v>
      </c>
      <c r="Y19" s="231">
        <f>18053-1360-471</f>
        <v>16222</v>
      </c>
      <c r="Z19" s="231">
        <f>16708-1277</f>
        <v>15431</v>
      </c>
      <c r="AA19" s="231">
        <f>14311-1338</f>
        <v>12973</v>
      </c>
      <c r="AB19" s="155">
        <f>SUM(X19:AA19)</f>
        <v>62118</v>
      </c>
      <c r="AC19" s="231">
        <f>15808-1080</f>
        <v>14728</v>
      </c>
      <c r="AD19" s="231">
        <f>15498-1171</f>
        <v>14327</v>
      </c>
      <c r="AE19" s="231">
        <f>14988-1213</f>
        <v>13775</v>
      </c>
      <c r="AF19" s="231">
        <v>13871</v>
      </c>
      <c r="AG19" s="155">
        <f>SUM(AC19:AF19)</f>
        <v>56701</v>
      </c>
      <c r="AH19" s="231">
        <v>13183</v>
      </c>
      <c r="AI19" s="231">
        <v>13763</v>
      </c>
      <c r="AJ19" s="231">
        <v>13612</v>
      </c>
      <c r="AK19" s="231">
        <v>13891</v>
      </c>
      <c r="AL19" s="155">
        <f>SUM(AH19:AK19)</f>
        <v>54449</v>
      </c>
      <c r="AM19" s="231">
        <f>AM11*AM20</f>
        <v>14150.962975999999</v>
      </c>
      <c r="AN19" s="231">
        <f>AN11*AN20</f>
        <v>14002.418780000002</v>
      </c>
      <c r="AO19" s="231">
        <f>AO11*AO20</f>
        <v>14049.272314000002</v>
      </c>
      <c r="AP19" s="231">
        <f>AP11*AP20</f>
        <v>14691.138560000001</v>
      </c>
      <c r="AQ19" s="155">
        <f>SUM(AM19:AP19)</f>
        <v>56893.792630000004</v>
      </c>
    </row>
    <row r="20" spans="1:43" s="419" customFormat="1" ht="11.25">
      <c r="A20" s="360"/>
      <c r="B20" s="361"/>
      <c r="C20" s="362" t="s">
        <v>155</v>
      </c>
      <c r="D20" s="379">
        <f t="shared" ref="D20:AC20" si="15">D19/D11</f>
        <v>0.50645596454037389</v>
      </c>
      <c r="E20" s="379">
        <f t="shared" si="15"/>
        <v>0.51490490933215394</v>
      </c>
      <c r="F20" s="379">
        <f t="shared" si="15"/>
        <v>0.5490041100221309</v>
      </c>
      <c r="G20" s="379">
        <f t="shared" si="15"/>
        <v>0.54834399831235492</v>
      </c>
      <c r="H20" s="364">
        <f t="shared" si="15"/>
        <v>0.53177774116484056</v>
      </c>
      <c r="I20" s="379">
        <f t="shared" si="15"/>
        <v>0.59050293592034719</v>
      </c>
      <c r="J20" s="374">
        <f t="shared" si="15"/>
        <v>0.45030838685063901</v>
      </c>
      <c r="K20" s="374">
        <f t="shared" si="15"/>
        <v>0.3970777584952136</v>
      </c>
      <c r="L20" s="374">
        <f t="shared" si="15"/>
        <v>0.38043364953612008</v>
      </c>
      <c r="M20" s="364">
        <f t="shared" si="15"/>
        <v>0.4489217462451055</v>
      </c>
      <c r="N20" s="374">
        <f t="shared" si="15"/>
        <v>0.36879466187118454</v>
      </c>
      <c r="O20" s="374">
        <f t="shared" si="15"/>
        <v>0.35864893220969979</v>
      </c>
      <c r="P20" s="374">
        <f t="shared" si="15"/>
        <v>0.43287331680846786</v>
      </c>
      <c r="Q20" s="374">
        <f t="shared" si="15"/>
        <v>0.42809819580005914</v>
      </c>
      <c r="R20" s="364">
        <f>R19/R11</f>
        <v>0.40043903377586537</v>
      </c>
      <c r="S20" s="374">
        <f t="shared" si="15"/>
        <v>0.45253568527329696</v>
      </c>
      <c r="T20" s="374">
        <f>T19/T11</f>
        <v>0.52064669237614947</v>
      </c>
      <c r="U20" s="374">
        <f t="shared" si="15"/>
        <v>0.53830311820159538</v>
      </c>
      <c r="V20" s="374">
        <f t="shared" si="15"/>
        <v>0.52082244828963953</v>
      </c>
      <c r="W20" s="364">
        <f>W19/W11</f>
        <v>0.50782602263481025</v>
      </c>
      <c r="X20" s="374">
        <f t="shared" si="15"/>
        <v>0.52799661927616293</v>
      </c>
      <c r="Y20" s="374">
        <f t="shared" si="15"/>
        <v>0.47327576146574862</v>
      </c>
      <c r="Z20" s="374">
        <f t="shared" si="15"/>
        <v>0.44160489940760667</v>
      </c>
      <c r="AA20" s="374">
        <f t="shared" si="15"/>
        <v>0.3629623412232108</v>
      </c>
      <c r="AB20" s="364">
        <f>AB19/AB11</f>
        <v>0.44983706278514013</v>
      </c>
      <c r="AC20" s="374">
        <f t="shared" si="15"/>
        <v>0.414045149138343</v>
      </c>
      <c r="AD20" s="374">
        <f t="shared" ref="AD20:AI20" si="16">AD19/AD11</f>
        <v>0.39791695597833632</v>
      </c>
      <c r="AE20" s="374">
        <f t="shared" si="16"/>
        <v>0.37983234985937242</v>
      </c>
      <c r="AF20" s="374">
        <f t="shared" si="16"/>
        <v>0.37490202437903725</v>
      </c>
      <c r="AG20" s="364">
        <f t="shared" si="16"/>
        <v>0.39147064712339741</v>
      </c>
      <c r="AH20" s="374">
        <f t="shared" si="16"/>
        <v>0.3596704226120645</v>
      </c>
      <c r="AI20" s="374">
        <f t="shared" si="16"/>
        <v>0.36117671757728442</v>
      </c>
      <c r="AJ20" s="374">
        <f t="shared" ref="AJ20:AK20" si="17">AJ19/AJ11</f>
        <v>0.33265720081135902</v>
      </c>
      <c r="AK20" s="374">
        <f t="shared" si="17"/>
        <v>0.33739768283500521</v>
      </c>
      <c r="AL20" s="364">
        <f>AL19/AL11</f>
        <v>0.34714279338727055</v>
      </c>
      <c r="AM20" s="440">
        <v>0.35599999999999998</v>
      </c>
      <c r="AN20" s="440">
        <v>0.33100000000000002</v>
      </c>
      <c r="AO20" s="440">
        <v>0.31900000000000001</v>
      </c>
      <c r="AP20" s="440">
        <v>0.32</v>
      </c>
      <c r="AQ20" s="364">
        <f>AQ19/AQ11</f>
        <v>0.33076884490765923</v>
      </c>
    </row>
    <row r="21" spans="1:43" ht="18" customHeight="1">
      <c r="B21" s="170"/>
      <c r="C21" s="209" t="s">
        <v>156</v>
      </c>
      <c r="D21" s="232">
        <f t="shared" ref="D21:N21" si="18">D123-D139</f>
        <v>4761</v>
      </c>
      <c r="E21" s="232">
        <f t="shared" si="18"/>
        <v>6243</v>
      </c>
      <c r="F21" s="232">
        <f t="shared" si="18"/>
        <v>6968</v>
      </c>
      <c r="G21" s="232">
        <f t="shared" si="18"/>
        <v>6653</v>
      </c>
      <c r="H21" s="181">
        <f t="shared" si="18"/>
        <v>24625</v>
      </c>
      <c r="I21" s="232">
        <f t="shared" si="18"/>
        <v>7981</v>
      </c>
      <c r="J21" s="232">
        <f t="shared" si="18"/>
        <v>5998</v>
      </c>
      <c r="K21" s="232">
        <f t="shared" si="18"/>
        <v>6010</v>
      </c>
      <c r="L21" s="232">
        <f t="shared" si="18"/>
        <v>5746</v>
      </c>
      <c r="M21" s="181">
        <f t="shared" si="18"/>
        <v>25735</v>
      </c>
      <c r="N21" s="219">
        <f t="shared" si="18"/>
        <v>6061</v>
      </c>
      <c r="O21" s="219">
        <f>7861-285</f>
        <v>7576</v>
      </c>
      <c r="P21" s="232">
        <f>9652-301</f>
        <v>9351</v>
      </c>
      <c r="Q21" s="232">
        <f>10639-1294</f>
        <v>9345</v>
      </c>
      <c r="R21" s="181">
        <f>SUM(N21:Q21)</f>
        <v>32333</v>
      </c>
      <c r="S21" s="232">
        <f>12318-1427</f>
        <v>10891</v>
      </c>
      <c r="T21" s="232">
        <f>15181-2073</f>
        <v>13108</v>
      </c>
      <c r="U21" s="232">
        <f>15694-1916</f>
        <v>13778</v>
      </c>
      <c r="V21" s="232">
        <f>16065-2652</f>
        <v>13413</v>
      </c>
      <c r="W21" s="181">
        <f>SUM(S21:V21)</f>
        <v>51190</v>
      </c>
      <c r="X21" s="232">
        <f>15772-2190-509</f>
        <v>13073</v>
      </c>
      <c r="Y21" s="232">
        <f>13258-1729-1001</f>
        <v>10528</v>
      </c>
      <c r="Z21" s="232">
        <f>12065-2001</f>
        <v>10064</v>
      </c>
      <c r="AA21" s="232">
        <f>10528-1847</f>
        <v>8681</v>
      </c>
      <c r="AB21" s="181">
        <f>SUM(X21:AA21)</f>
        <v>42346</v>
      </c>
      <c r="AC21" s="232">
        <f>12079-2092</f>
        <v>9987</v>
      </c>
      <c r="AD21" s="232">
        <f>12888-2084</f>
        <v>10804</v>
      </c>
      <c r="AE21" s="232">
        <f>12757-1680</f>
        <v>11077</v>
      </c>
      <c r="AF21" s="232">
        <v>11934</v>
      </c>
      <c r="AG21" s="181">
        <f>SUM(AC21:AF21)</f>
        <v>43802</v>
      </c>
      <c r="AH21" s="232">
        <v>12214</v>
      </c>
      <c r="AI21" s="232">
        <v>11724</v>
      </c>
      <c r="AJ21" s="232">
        <v>11461</v>
      </c>
      <c r="AK21" s="232">
        <v>12965</v>
      </c>
      <c r="AL21" s="181">
        <f>SUM(AH21:AK21)</f>
        <v>48364</v>
      </c>
      <c r="AM21" s="232">
        <f>AM11*AM22</f>
        <v>12918.716200000001</v>
      </c>
      <c r="AN21" s="232">
        <f>AN11*AN22</f>
        <v>12648.710620000002</v>
      </c>
      <c r="AO21" s="232">
        <f>AO11*AO22</f>
        <v>12816.107346000001</v>
      </c>
      <c r="AP21" s="232">
        <f>AP11*AP22</f>
        <v>13130.205088000001</v>
      </c>
      <c r="AQ21" s="181">
        <f>SUM(AM21:AP21)</f>
        <v>51513.739254</v>
      </c>
    </row>
    <row r="22" spans="1:43" s="419" customFormat="1" ht="11.25">
      <c r="A22" s="360"/>
      <c r="B22" s="361"/>
      <c r="C22" s="362" t="s">
        <v>155</v>
      </c>
      <c r="D22" s="379">
        <f t="shared" ref="D22:AC22" si="19">D21/D11</f>
        <v>0.45875891308537292</v>
      </c>
      <c r="E22" s="379">
        <f t="shared" si="19"/>
        <v>0.55223352498894296</v>
      </c>
      <c r="F22" s="379">
        <f t="shared" si="19"/>
        <v>0.55074296553904523</v>
      </c>
      <c r="G22" s="379">
        <f t="shared" si="19"/>
        <v>0.46782926657759649</v>
      </c>
      <c r="H22" s="364">
        <f t="shared" si="19"/>
        <v>0.50714638767608533</v>
      </c>
      <c r="I22" s="379">
        <f t="shared" si="19"/>
        <v>0.50938218023997961</v>
      </c>
      <c r="J22" s="374">
        <f t="shared" si="19"/>
        <v>0.38138233610987476</v>
      </c>
      <c r="K22" s="374">
        <f t="shared" si="19"/>
        <v>0.33644964451659853</v>
      </c>
      <c r="L22" s="374">
        <f t="shared" si="19"/>
        <v>0.29948921088293545</v>
      </c>
      <c r="M22" s="364">
        <f t="shared" si="19"/>
        <v>0.3760008181871311</v>
      </c>
      <c r="N22" s="374">
        <f t="shared" si="19"/>
        <v>0.28682977615825089</v>
      </c>
      <c r="O22" s="374">
        <f t="shared" si="19"/>
        <v>0.25640504958202187</v>
      </c>
      <c r="P22" s="374">
        <f t="shared" si="19"/>
        <v>0.31322435854491859</v>
      </c>
      <c r="Q22" s="374">
        <f t="shared" si="19"/>
        <v>0.27639751552795033</v>
      </c>
      <c r="R22" s="364">
        <f>R21/R11</f>
        <v>0.28277448356684332</v>
      </c>
      <c r="S22" s="374">
        <f t="shared" si="19"/>
        <v>0.31597423697342464</v>
      </c>
      <c r="T22" s="374">
        <f>T21/T11</f>
        <v>0.38884603975081578</v>
      </c>
      <c r="U22" s="374">
        <f t="shared" si="19"/>
        <v>0.39965192168237851</v>
      </c>
      <c r="V22" s="374">
        <f t="shared" si="19"/>
        <v>0.41223837477333497</v>
      </c>
      <c r="W22" s="364">
        <f>W21/W11</f>
        <v>0.3786522671795251</v>
      </c>
      <c r="X22" s="374">
        <f t="shared" si="19"/>
        <v>0.39460895288116155</v>
      </c>
      <c r="Y22" s="374">
        <f t="shared" si="19"/>
        <v>0.30715369354650485</v>
      </c>
      <c r="Z22" s="374">
        <f t="shared" si="19"/>
        <v>0.28801190510259567</v>
      </c>
      <c r="AA22" s="374">
        <f t="shared" si="19"/>
        <v>0.24287952548822114</v>
      </c>
      <c r="AB22" s="364">
        <f>AB21/AB11</f>
        <v>0.30665508002027664</v>
      </c>
      <c r="AC22" s="374">
        <f t="shared" si="19"/>
        <v>0.28076241882432318</v>
      </c>
      <c r="AD22" s="374">
        <f t="shared" ref="AD22:AI22" si="20">AD21/AD11</f>
        <v>0.30006943480072212</v>
      </c>
      <c r="AE22" s="374">
        <f t="shared" si="20"/>
        <v>0.30543759995588154</v>
      </c>
      <c r="AF22" s="374">
        <f t="shared" si="20"/>
        <v>0.32254925808805646</v>
      </c>
      <c r="AG22" s="364">
        <f t="shared" si="20"/>
        <v>0.30241437162129509</v>
      </c>
      <c r="AH22" s="374">
        <f t="shared" si="20"/>
        <v>0.33323329604670832</v>
      </c>
      <c r="AI22" s="374">
        <f t="shared" si="20"/>
        <v>0.30766808376633603</v>
      </c>
      <c r="AJ22" s="374">
        <f t="shared" ref="AJ22:AK22" si="21">AJ21/AJ11</f>
        <v>0.28008993377159752</v>
      </c>
      <c r="AK22" s="374">
        <f t="shared" si="21"/>
        <v>0.31490612324208789</v>
      </c>
      <c r="AL22" s="364">
        <f>AL21/AL11</f>
        <v>0.3083475189513481</v>
      </c>
      <c r="AM22" s="440">
        <v>0.32500000000000001</v>
      </c>
      <c r="AN22" s="440">
        <v>0.29899999999999999</v>
      </c>
      <c r="AO22" s="440">
        <v>0.29099999999999998</v>
      </c>
      <c r="AP22" s="440">
        <v>0.28599999999999998</v>
      </c>
      <c r="AQ22" s="364">
        <f>AQ21/AQ11</f>
        <v>0.29949031770005807</v>
      </c>
    </row>
    <row r="23" spans="1:43" s="421" customFormat="1" ht="18" customHeight="1">
      <c r="A23" s="168"/>
      <c r="B23" s="173"/>
      <c r="C23" s="209" t="s">
        <v>453</v>
      </c>
      <c r="D23" s="232">
        <f t="shared" ref="D23:N23" si="22">D124-D140</f>
        <v>1923</v>
      </c>
      <c r="E23" s="232">
        <f t="shared" si="22"/>
        <v>2632</v>
      </c>
      <c r="F23" s="232">
        <f t="shared" si="22"/>
        <v>2454</v>
      </c>
      <c r="G23" s="232">
        <f t="shared" si="22"/>
        <v>2881</v>
      </c>
      <c r="H23" s="155">
        <f t="shared" si="22"/>
        <v>9890</v>
      </c>
      <c r="I23" s="232">
        <f t="shared" si="22"/>
        <v>4068</v>
      </c>
      <c r="J23" s="232">
        <f t="shared" si="22"/>
        <v>2952</v>
      </c>
      <c r="K23" s="232">
        <f t="shared" si="22"/>
        <v>2837</v>
      </c>
      <c r="L23" s="232">
        <f t="shared" si="22"/>
        <v>3270</v>
      </c>
      <c r="M23" s="155">
        <f t="shared" si="22"/>
        <v>13127</v>
      </c>
      <c r="N23" s="219">
        <f t="shared" si="22"/>
        <v>3857</v>
      </c>
      <c r="O23" s="219">
        <f>5128-436</f>
        <v>4692</v>
      </c>
      <c r="P23" s="232">
        <f>8270-498</f>
        <v>7772</v>
      </c>
      <c r="Q23" s="232">
        <f>8163-1077</f>
        <v>7086</v>
      </c>
      <c r="R23" s="155">
        <f>SUM(N23:Q23)</f>
        <v>23407</v>
      </c>
      <c r="S23" s="232">
        <f>8519-798</f>
        <v>7721</v>
      </c>
      <c r="T23" s="232">
        <f>11065-1835-386-798</f>
        <v>8046</v>
      </c>
      <c r="U23" s="232">
        <f>10906-2722-329</f>
        <v>7855</v>
      </c>
      <c r="V23" s="232">
        <f>10248-3190-540</f>
        <v>6518</v>
      </c>
      <c r="W23" s="155">
        <f>SUM(S23:V23)</f>
        <v>30140</v>
      </c>
      <c r="X23" s="232">
        <f>12300-3412-330</f>
        <v>8558</v>
      </c>
      <c r="Y23" s="232">
        <f>10917-3508-102</f>
        <v>7307</v>
      </c>
      <c r="Z23" s="232">
        <f>128+6429</f>
        <v>6557</v>
      </c>
      <c r="AA23" s="232">
        <f>9887-1498-500-74</f>
        <v>7815</v>
      </c>
      <c r="AB23" s="155">
        <f>SUM(X23:AA23)</f>
        <v>30237</v>
      </c>
      <c r="AC23" s="232">
        <f>11164-2116-199</f>
        <v>8849</v>
      </c>
      <c r="AD23" s="232">
        <f>10715-2371-384</f>
        <v>7960</v>
      </c>
      <c r="AE23" s="232">
        <f>9658-1798-143</f>
        <v>7717</v>
      </c>
      <c r="AF23" s="232">
        <v>7294</v>
      </c>
      <c r="AG23" s="155">
        <f>SUM(AC23:AF23)</f>
        <v>31820</v>
      </c>
      <c r="AH23" s="232">
        <v>8418</v>
      </c>
      <c r="AI23" s="232">
        <v>7249</v>
      </c>
      <c r="AJ23" s="232">
        <v>7748</v>
      </c>
      <c r="AK23" s="232">
        <v>7879</v>
      </c>
      <c r="AL23" s="155">
        <f>SUM(AH23:AK23)</f>
        <v>31294</v>
      </c>
      <c r="AM23" s="232">
        <f>AM11*AM24</f>
        <v>8744.9771199999996</v>
      </c>
      <c r="AN23" s="232">
        <f>AN11*AN24</f>
        <v>7699.2151600000007</v>
      </c>
      <c r="AO23" s="232">
        <f>AO11*AO24</f>
        <v>7883.4474740000005</v>
      </c>
      <c r="AP23" s="232">
        <f>AP11*AP24</f>
        <v>8080.1262080000006</v>
      </c>
      <c r="AQ23" s="155">
        <f>SUM(AM23:AP23)</f>
        <v>32407.765962000001</v>
      </c>
    </row>
    <row r="24" spans="1:43" s="419" customFormat="1" ht="11.25">
      <c r="A24" s="360"/>
      <c r="B24" s="361"/>
      <c r="C24" s="362" t="s">
        <v>155</v>
      </c>
      <c r="D24" s="379">
        <f t="shared" ref="D24:AC24" si="23">D23/D11</f>
        <v>0.1852958180767007</v>
      </c>
      <c r="E24" s="379">
        <f t="shared" si="23"/>
        <v>0.23281733746130032</v>
      </c>
      <c r="F24" s="379">
        <f t="shared" si="23"/>
        <v>0.19396142902307936</v>
      </c>
      <c r="G24" s="379">
        <f t="shared" si="23"/>
        <v>0.20258772238239223</v>
      </c>
      <c r="H24" s="364">
        <f t="shared" si="23"/>
        <v>0.20368234615701458</v>
      </c>
      <c r="I24" s="379">
        <f t="shared" si="23"/>
        <v>0.2596374776614756</v>
      </c>
      <c r="J24" s="374">
        <f t="shared" si="23"/>
        <v>0.1877026769250334</v>
      </c>
      <c r="K24" s="374">
        <f t="shared" si="23"/>
        <v>0.15881990707048088</v>
      </c>
      <c r="L24" s="374">
        <f t="shared" si="23"/>
        <v>0.17043677681642866</v>
      </c>
      <c r="M24" s="364">
        <f t="shared" si="23"/>
        <v>0.19179182981707674</v>
      </c>
      <c r="N24" s="374">
        <f t="shared" si="23"/>
        <v>0.1825280393734324</v>
      </c>
      <c r="O24" s="374">
        <f t="shared" si="23"/>
        <v>0.15879784749720785</v>
      </c>
      <c r="P24" s="374">
        <f t="shared" si="23"/>
        <v>0.26033362363502377</v>
      </c>
      <c r="Q24" s="374">
        <f t="shared" si="23"/>
        <v>0.20958296362023071</v>
      </c>
      <c r="R24" s="364">
        <f>R23/R11</f>
        <v>0.20471043011316925</v>
      </c>
      <c r="S24" s="374">
        <f t="shared" si="23"/>
        <v>0.22400487408610886</v>
      </c>
      <c r="T24" s="374">
        <f>T23/T11</f>
        <v>0.23868288341738356</v>
      </c>
      <c r="U24" s="374">
        <f t="shared" si="23"/>
        <v>0.2278462654097172</v>
      </c>
      <c r="V24" s="374">
        <f t="shared" si="23"/>
        <v>0.20032578295478992</v>
      </c>
      <c r="W24" s="364">
        <f>W23/W11</f>
        <v>0.22294548413344181</v>
      </c>
      <c r="X24" s="374">
        <f t="shared" si="23"/>
        <v>0.25832352319719881</v>
      </c>
      <c r="Y24" s="374">
        <f t="shared" si="23"/>
        <v>0.21318123468316022</v>
      </c>
      <c r="Z24" s="374">
        <f t="shared" si="23"/>
        <v>0.18764845605700711</v>
      </c>
      <c r="AA24" s="374">
        <f t="shared" si="23"/>
        <v>0.21865032734597953</v>
      </c>
      <c r="AB24" s="364">
        <f>AB23/AB11</f>
        <v>0.21896589180968934</v>
      </c>
      <c r="AC24" s="374">
        <f t="shared" si="23"/>
        <v>0.24877006550279723</v>
      </c>
      <c r="AD24" s="374">
        <f t="shared" ref="AD24:AI24" si="24">AD23/AD11</f>
        <v>0.22108040549923622</v>
      </c>
      <c r="AE24" s="374">
        <f t="shared" si="24"/>
        <v>0.21278883803011084</v>
      </c>
      <c r="AF24" s="374">
        <f t="shared" si="24"/>
        <v>0.19714046325576368</v>
      </c>
      <c r="AG24" s="364">
        <f t="shared" si="24"/>
        <v>0.21968917640723276</v>
      </c>
      <c r="AH24" s="374">
        <f t="shared" si="24"/>
        <v>0.22966742149346575</v>
      </c>
      <c r="AI24" s="374">
        <f t="shared" si="24"/>
        <v>0.19023250931611821</v>
      </c>
      <c r="AJ24" s="374">
        <f t="shared" ref="AJ24:AK24" si="25">AJ23/AJ11</f>
        <v>0.18934969085266012</v>
      </c>
      <c r="AK24" s="374">
        <f t="shared" si="25"/>
        <v>0.19137256806975783</v>
      </c>
      <c r="AL24" s="364">
        <f>AL23/AL11</f>
        <v>0.19951673265369879</v>
      </c>
      <c r="AM24" s="440">
        <v>0.22</v>
      </c>
      <c r="AN24" s="440">
        <v>0.182</v>
      </c>
      <c r="AO24" s="440">
        <v>0.17899999999999999</v>
      </c>
      <c r="AP24" s="440">
        <v>0.17599999999999999</v>
      </c>
      <c r="AQ24" s="364">
        <f>AQ23/AQ11</f>
        <v>0.18841210644895787</v>
      </c>
    </row>
    <row r="25" spans="1:43" ht="18" customHeight="1">
      <c r="B25" s="170" t="s">
        <v>154</v>
      </c>
      <c r="C25" s="209"/>
      <c r="D25" s="231">
        <f t="shared" ref="D25:N25" si="26">D19+D21+D23</f>
        <v>11940</v>
      </c>
      <c r="E25" s="231">
        <f t="shared" si="26"/>
        <v>14696</v>
      </c>
      <c r="F25" s="231">
        <f t="shared" si="26"/>
        <v>16368</v>
      </c>
      <c r="G25" s="231">
        <f t="shared" si="26"/>
        <v>17332</v>
      </c>
      <c r="H25" s="155">
        <f t="shared" si="26"/>
        <v>60336</v>
      </c>
      <c r="I25" s="231">
        <f t="shared" si="26"/>
        <v>21301</v>
      </c>
      <c r="J25" s="230">
        <f t="shared" si="26"/>
        <v>16032</v>
      </c>
      <c r="K25" s="231">
        <f t="shared" si="26"/>
        <v>15940</v>
      </c>
      <c r="L25" s="231">
        <f t="shared" si="26"/>
        <v>16315</v>
      </c>
      <c r="M25" s="155">
        <f t="shared" si="26"/>
        <v>69588</v>
      </c>
      <c r="N25" s="230">
        <f t="shared" si="26"/>
        <v>17711</v>
      </c>
      <c r="O25" s="230">
        <f t="shared" ref="O25:AB25" si="27">O19+O21+O23</f>
        <v>22865</v>
      </c>
      <c r="P25" s="231">
        <f t="shared" si="27"/>
        <v>30046</v>
      </c>
      <c r="Q25" s="231">
        <f t="shared" si="27"/>
        <v>30905</v>
      </c>
      <c r="R25" s="155">
        <f t="shared" si="27"/>
        <v>101527</v>
      </c>
      <c r="S25" s="231">
        <f t="shared" si="27"/>
        <v>34210</v>
      </c>
      <c r="T25" s="231">
        <f>T19+T21+T23</f>
        <v>38705</v>
      </c>
      <c r="U25" s="231">
        <f t="shared" si="27"/>
        <v>40191</v>
      </c>
      <c r="V25" s="231">
        <f t="shared" si="27"/>
        <v>36877</v>
      </c>
      <c r="W25" s="155">
        <f t="shared" si="27"/>
        <v>149983</v>
      </c>
      <c r="X25" s="231">
        <f t="shared" si="27"/>
        <v>39123</v>
      </c>
      <c r="Y25" s="231">
        <f t="shared" si="27"/>
        <v>34057</v>
      </c>
      <c r="Z25" s="231">
        <f t="shared" si="27"/>
        <v>32052</v>
      </c>
      <c r="AA25" s="231">
        <f t="shared" si="27"/>
        <v>29469</v>
      </c>
      <c r="AB25" s="155">
        <f t="shared" si="27"/>
        <v>134701</v>
      </c>
      <c r="AC25" s="231">
        <f t="shared" ref="AC25:AQ25" si="28">AC19+AC21+AC23</f>
        <v>33564</v>
      </c>
      <c r="AD25" s="231">
        <f t="shared" si="28"/>
        <v>33091</v>
      </c>
      <c r="AE25" s="231">
        <f t="shared" si="28"/>
        <v>32569</v>
      </c>
      <c r="AF25" s="231">
        <f t="shared" si="28"/>
        <v>33099</v>
      </c>
      <c r="AG25" s="155">
        <f t="shared" si="28"/>
        <v>132323</v>
      </c>
      <c r="AH25" s="231">
        <f t="shared" si="28"/>
        <v>33815</v>
      </c>
      <c r="AI25" s="231">
        <f t="shared" si="28"/>
        <v>32736</v>
      </c>
      <c r="AJ25" s="231">
        <f t="shared" ref="AJ25:AK25" si="29">AJ19+AJ21+AJ23</f>
        <v>32821</v>
      </c>
      <c r="AK25" s="231">
        <f t="shared" si="29"/>
        <v>34735</v>
      </c>
      <c r="AL25" s="155">
        <f t="shared" si="28"/>
        <v>134107</v>
      </c>
      <c r="AM25" s="231">
        <f t="shared" si="28"/>
        <v>35814.656296000001</v>
      </c>
      <c r="AN25" s="231">
        <f t="shared" si="28"/>
        <v>34350.344560000005</v>
      </c>
      <c r="AO25" s="231">
        <f t="shared" si="28"/>
        <v>34748.827134000006</v>
      </c>
      <c r="AP25" s="231">
        <f t="shared" si="28"/>
        <v>35901.469856000003</v>
      </c>
      <c r="AQ25" s="155">
        <f t="shared" si="28"/>
        <v>140815.297846</v>
      </c>
    </row>
    <row r="26" spans="1:43" ht="7.9" customHeight="1">
      <c r="B26" s="170"/>
      <c r="C26" s="209"/>
      <c r="D26" s="239"/>
      <c r="E26" s="239"/>
      <c r="F26" s="239"/>
      <c r="G26" s="239"/>
      <c r="H26" s="179"/>
      <c r="I26" s="239"/>
      <c r="J26" s="180"/>
      <c r="K26" s="239"/>
      <c r="L26" s="239"/>
      <c r="M26" s="179"/>
      <c r="N26" s="180"/>
      <c r="O26" s="180"/>
      <c r="P26" s="239"/>
      <c r="Q26" s="239"/>
      <c r="R26" s="179"/>
      <c r="S26" s="239"/>
      <c r="T26" s="239"/>
      <c r="U26" s="239"/>
      <c r="V26" s="239"/>
      <c r="W26" s="179"/>
      <c r="X26" s="239"/>
      <c r="Y26" s="239"/>
      <c r="Z26" s="239"/>
      <c r="AA26" s="239"/>
      <c r="AB26" s="179"/>
      <c r="AC26" s="239"/>
      <c r="AD26" s="239"/>
      <c r="AE26" s="239"/>
      <c r="AF26" s="239"/>
      <c r="AG26" s="179"/>
      <c r="AH26" s="239"/>
      <c r="AI26" s="239"/>
      <c r="AJ26" s="239"/>
      <c r="AK26" s="239"/>
      <c r="AL26" s="179"/>
      <c r="AM26" s="239"/>
      <c r="AN26" s="239"/>
      <c r="AO26" s="239"/>
      <c r="AP26" s="239"/>
      <c r="AQ26" s="179"/>
    </row>
    <row r="27" spans="1:43" s="197" customFormat="1" ht="13.15">
      <c r="B27" s="193" t="s">
        <v>153</v>
      </c>
      <c r="C27" s="211"/>
      <c r="D27" s="391">
        <f t="shared" ref="D27:AB27" si="30">D15-D25</f>
        <v>-4464</v>
      </c>
      <c r="E27" s="391">
        <f t="shared" si="30"/>
        <v>-6695</v>
      </c>
      <c r="F27" s="391">
        <f t="shared" si="30"/>
        <v>-7334</v>
      </c>
      <c r="G27" s="391">
        <f t="shared" si="30"/>
        <v>-7737</v>
      </c>
      <c r="H27" s="392">
        <f t="shared" si="30"/>
        <v>-26230</v>
      </c>
      <c r="I27" s="391">
        <f t="shared" si="30"/>
        <v>-10698</v>
      </c>
      <c r="J27" s="393">
        <f t="shared" si="30"/>
        <v>-4807</v>
      </c>
      <c r="K27" s="391">
        <f t="shared" si="30"/>
        <v>-3592</v>
      </c>
      <c r="L27" s="391">
        <f t="shared" si="30"/>
        <v>-2468</v>
      </c>
      <c r="M27" s="392">
        <f t="shared" si="30"/>
        <v>-21565</v>
      </c>
      <c r="N27" s="393">
        <f t="shared" si="30"/>
        <v>-2360</v>
      </c>
      <c r="O27" s="393">
        <f t="shared" si="30"/>
        <v>-2003</v>
      </c>
      <c r="P27" s="391">
        <f t="shared" si="30"/>
        <v>-8011</v>
      </c>
      <c r="Q27" s="391">
        <f t="shared" si="30"/>
        <v>-5852</v>
      </c>
      <c r="R27" s="392">
        <f t="shared" si="30"/>
        <v>-18226</v>
      </c>
      <c r="S27" s="391">
        <f t="shared" si="30"/>
        <v>-8551</v>
      </c>
      <c r="T27" s="391">
        <f t="shared" si="30"/>
        <v>-13250</v>
      </c>
      <c r="U27" s="391">
        <f t="shared" si="30"/>
        <v>-14076</v>
      </c>
      <c r="V27" s="391">
        <f t="shared" si="30"/>
        <v>-12141</v>
      </c>
      <c r="W27" s="392">
        <f t="shared" si="30"/>
        <v>-48018</v>
      </c>
      <c r="X27" s="391">
        <f t="shared" si="30"/>
        <v>-14040</v>
      </c>
      <c r="Y27" s="391">
        <f t="shared" si="30"/>
        <v>-8549</v>
      </c>
      <c r="Z27" s="391">
        <f t="shared" si="30"/>
        <v>-5778</v>
      </c>
      <c r="AA27" s="391">
        <f t="shared" si="30"/>
        <v>-2156</v>
      </c>
      <c r="AB27" s="392">
        <f t="shared" si="30"/>
        <v>-30523</v>
      </c>
      <c r="AC27" s="391">
        <f t="shared" ref="AC27:AQ27" si="31">AC15-AC25</f>
        <v>-6460</v>
      </c>
      <c r="AD27" s="391">
        <f t="shared" si="31"/>
        <v>-5942</v>
      </c>
      <c r="AE27" s="391">
        <f t="shared" si="31"/>
        <v>-5587</v>
      </c>
      <c r="AF27" s="391">
        <f t="shared" si="31"/>
        <v>-5192</v>
      </c>
      <c r="AG27" s="392">
        <f t="shared" si="31"/>
        <v>-23181</v>
      </c>
      <c r="AH27" s="391">
        <f t="shared" si="31"/>
        <v>-6166</v>
      </c>
      <c r="AI27" s="391">
        <f t="shared" si="31"/>
        <v>-3751</v>
      </c>
      <c r="AJ27" s="391">
        <f t="shared" ref="AJ27:AK27" si="32">AJ15-AJ25</f>
        <v>-1349</v>
      </c>
      <c r="AK27" s="391">
        <f t="shared" si="32"/>
        <v>-3225</v>
      </c>
      <c r="AL27" s="392">
        <f t="shared" si="31"/>
        <v>-14491</v>
      </c>
      <c r="AM27" s="391">
        <f t="shared" si="31"/>
        <v>-5882.9846079999988</v>
      </c>
      <c r="AN27" s="391">
        <f t="shared" si="31"/>
        <v>-2115.1690000000017</v>
      </c>
      <c r="AO27" s="391">
        <f t="shared" si="31"/>
        <v>-1189.1233619999985</v>
      </c>
      <c r="AP27" s="391">
        <f t="shared" si="31"/>
        <v>-826.37654399999883</v>
      </c>
      <c r="AQ27" s="392">
        <f t="shared" si="31"/>
        <v>-10013.653514000005</v>
      </c>
    </row>
    <row r="28" spans="1:43" s="419" customFormat="1" ht="11.25">
      <c r="A28" s="360"/>
      <c r="B28" s="361"/>
      <c r="C28" s="362" t="s">
        <v>152</v>
      </c>
      <c r="D28" s="366">
        <f t="shared" ref="D28:AB28" si="33">D27/D11</f>
        <v>-0.43014068221237234</v>
      </c>
      <c r="E28" s="366">
        <f t="shared" si="33"/>
        <v>-0.59221583370190178</v>
      </c>
      <c r="F28" s="366">
        <f t="shared" si="33"/>
        <v>-0.57967119822952895</v>
      </c>
      <c r="G28" s="366">
        <f t="shared" si="33"/>
        <v>-0.54405456718936784</v>
      </c>
      <c r="H28" s="364">
        <f t="shared" si="33"/>
        <v>-0.54020100502512558</v>
      </c>
      <c r="I28" s="366">
        <f t="shared" si="33"/>
        <v>-0.68279295379116667</v>
      </c>
      <c r="J28" s="363">
        <f t="shared" si="33"/>
        <v>-0.30565269917975457</v>
      </c>
      <c r="K28" s="366">
        <f t="shared" si="33"/>
        <v>-0.20108604377764094</v>
      </c>
      <c r="L28" s="366">
        <f t="shared" si="33"/>
        <v>-0.12863546335869905</v>
      </c>
      <c r="M28" s="364">
        <f t="shared" si="33"/>
        <v>-0.31507509789024601</v>
      </c>
      <c r="N28" s="363">
        <f t="shared" si="33"/>
        <v>-0.11168425535942454</v>
      </c>
      <c r="O28" s="363">
        <f t="shared" si="33"/>
        <v>-6.7790300199681866E-2</v>
      </c>
      <c r="P28" s="366">
        <f t="shared" si="33"/>
        <v>-0.26833925102163864</v>
      </c>
      <c r="Q28" s="366">
        <f t="shared" si="33"/>
        <v>-0.1730848861283644</v>
      </c>
      <c r="R28" s="364">
        <f t="shared" si="33"/>
        <v>-0.15939899599447271</v>
      </c>
      <c r="S28" s="366">
        <f t="shared" si="33"/>
        <v>-0.24808518045723571</v>
      </c>
      <c r="T28" s="366">
        <f t="shared" si="33"/>
        <v>-0.39305843963215664</v>
      </c>
      <c r="U28" s="366">
        <f t="shared" si="33"/>
        <v>-0.40829586656997824</v>
      </c>
      <c r="V28" s="366">
        <f t="shared" si="33"/>
        <v>-0.37314442019854321</v>
      </c>
      <c r="W28" s="364">
        <f t="shared" si="33"/>
        <v>-0.35518899326873288</v>
      </c>
      <c r="X28" s="366">
        <f t="shared" si="33"/>
        <v>-0.42379788101059496</v>
      </c>
      <c r="Y28" s="366">
        <f t="shared" si="33"/>
        <v>-0.2494165013420469</v>
      </c>
      <c r="Z28" s="366">
        <f t="shared" si="33"/>
        <v>-0.16535500672523826</v>
      </c>
      <c r="AA28" s="366">
        <f t="shared" si="33"/>
        <v>-6.0321190755973364E-2</v>
      </c>
      <c r="AB28" s="364">
        <f t="shared" si="33"/>
        <v>-0.22103700485190816</v>
      </c>
      <c r="AC28" s="366">
        <f t="shared" ref="AC28:AQ28" si="34">AC27/AC11</f>
        <v>-0.18160861375839871</v>
      </c>
      <c r="AD28" s="366">
        <f t="shared" si="34"/>
        <v>-0.16503263435633939</v>
      </c>
      <c r="AE28" s="366">
        <f t="shared" si="34"/>
        <v>-0.15405614073788121</v>
      </c>
      <c r="AF28" s="366">
        <f t="shared" si="34"/>
        <v>-0.14032811697613448</v>
      </c>
      <c r="AG28" s="364">
        <f t="shared" si="34"/>
        <v>-0.16004446254858776</v>
      </c>
      <c r="AH28" s="366">
        <f t="shared" si="34"/>
        <v>-0.16822633890813848</v>
      </c>
      <c r="AI28" s="366">
        <f t="shared" si="34"/>
        <v>-9.8435941846428385E-2</v>
      </c>
      <c r="AJ28" s="366">
        <f t="shared" ref="AJ28:AK28" si="35">AJ27/AJ11</f>
        <v>-3.2967570077470122E-2</v>
      </c>
      <c r="AK28" s="366">
        <f t="shared" si="35"/>
        <v>-7.8331835515289883E-2</v>
      </c>
      <c r="AL28" s="364">
        <f t="shared" si="34"/>
        <v>-9.2388220517822875E-2</v>
      </c>
      <c r="AM28" s="366">
        <f t="shared" si="34"/>
        <v>-0.14799999999999996</v>
      </c>
      <c r="AN28" s="366">
        <f t="shared" si="34"/>
        <v>-5.0000000000000037E-2</v>
      </c>
      <c r="AO28" s="366">
        <f t="shared" si="34"/>
        <v>-2.6999999999999962E-2</v>
      </c>
      <c r="AP28" s="366">
        <f t="shared" si="34"/>
        <v>-1.7999999999999974E-2</v>
      </c>
      <c r="AQ28" s="364">
        <f t="shared" si="34"/>
        <v>-5.8217328341453975E-2</v>
      </c>
    </row>
    <row r="29" spans="1:43" s="421" customFormat="1" ht="10.15">
      <c r="A29" s="168"/>
      <c r="B29" s="173"/>
      <c r="C29" s="201"/>
      <c r="D29" s="243"/>
      <c r="E29" s="241"/>
      <c r="F29" s="241"/>
      <c r="G29" s="183"/>
      <c r="H29" s="182"/>
      <c r="I29" s="243"/>
      <c r="J29" s="337"/>
      <c r="K29" s="336"/>
      <c r="L29" s="337"/>
      <c r="M29" s="338"/>
      <c r="N29" s="611"/>
      <c r="O29" s="337"/>
      <c r="P29" s="336"/>
      <c r="Q29" s="337"/>
      <c r="R29" s="338"/>
      <c r="S29" s="339"/>
      <c r="T29" s="336"/>
      <c r="U29" s="336"/>
      <c r="V29" s="337"/>
      <c r="W29" s="338"/>
      <c r="X29" s="339"/>
      <c r="Y29" s="336"/>
      <c r="Z29" s="336"/>
      <c r="AA29" s="337"/>
      <c r="AB29" s="338"/>
      <c r="AC29" s="339"/>
      <c r="AD29" s="336"/>
      <c r="AE29" s="336"/>
      <c r="AF29" s="337"/>
      <c r="AG29" s="338"/>
      <c r="AH29" s="339"/>
      <c r="AI29" s="336"/>
      <c r="AJ29" s="336"/>
      <c r="AK29" s="337"/>
      <c r="AL29" s="338"/>
      <c r="AM29" s="339"/>
      <c r="AN29" s="336"/>
      <c r="AO29" s="336"/>
      <c r="AP29" s="337"/>
      <c r="AQ29" s="338"/>
    </row>
    <row r="30" spans="1:43" s="158" customFormat="1" hidden="1" outlineLevel="1">
      <c r="B30" s="157" t="s">
        <v>151</v>
      </c>
      <c r="C30" s="160"/>
      <c r="D30" s="242"/>
      <c r="E30" s="242"/>
      <c r="F30" s="242"/>
      <c r="G30" s="190"/>
      <c r="H30" s="156"/>
      <c r="I30" s="242"/>
      <c r="J30" s="190"/>
      <c r="K30" s="242"/>
      <c r="L30" s="190"/>
      <c r="M30" s="156"/>
      <c r="N30" s="190"/>
      <c r="O30" s="230"/>
      <c r="P30" s="242"/>
      <c r="Q30" s="190"/>
      <c r="R30" s="156"/>
      <c r="S30" s="242"/>
      <c r="T30" s="242"/>
      <c r="U30" s="242"/>
      <c r="V30" s="190"/>
      <c r="W30" s="156"/>
      <c r="X30" s="242"/>
      <c r="Y30" s="242"/>
      <c r="Z30" s="242"/>
      <c r="AA30" s="190"/>
      <c r="AB30" s="156"/>
      <c r="AC30" s="242"/>
      <c r="AD30" s="242"/>
      <c r="AE30" s="242"/>
      <c r="AF30" s="190"/>
      <c r="AG30" s="156"/>
      <c r="AH30" s="242"/>
      <c r="AI30" s="242"/>
      <c r="AJ30" s="242"/>
      <c r="AK30" s="190"/>
      <c r="AL30" s="156"/>
      <c r="AM30" s="242"/>
      <c r="AN30" s="242"/>
      <c r="AO30" s="242"/>
      <c r="AP30" s="190"/>
      <c r="AQ30" s="156"/>
    </row>
    <row r="31" spans="1:43" s="158" customFormat="1" hidden="1" outlineLevel="1">
      <c r="A31" s="157"/>
      <c r="B31" s="157"/>
      <c r="C31" s="160" t="s">
        <v>149</v>
      </c>
      <c r="D31" s="231">
        <f>D141</f>
        <v>2632</v>
      </c>
      <c r="E31" s="231">
        <f>+E141</f>
        <v>534</v>
      </c>
      <c r="F31" s="231">
        <f>+F141</f>
        <v>453</v>
      </c>
      <c r="G31" s="231">
        <f>+G141</f>
        <v>501</v>
      </c>
      <c r="H31" s="155">
        <f>SUM(D31:G31)</f>
        <v>4120</v>
      </c>
      <c r="I31" s="231">
        <f>+I141</f>
        <v>488</v>
      </c>
      <c r="J31" s="231">
        <f>+J141</f>
        <v>504</v>
      </c>
      <c r="K31" s="231">
        <f>+K141</f>
        <v>506</v>
      </c>
      <c r="L31" s="231">
        <f>+L141</f>
        <v>495</v>
      </c>
      <c r="M31" s="155">
        <f>SUM(I31:L31)</f>
        <v>1993</v>
      </c>
      <c r="N31" s="230">
        <f>+N141</f>
        <v>488</v>
      </c>
      <c r="O31" s="230">
        <v>966</v>
      </c>
      <c r="P31" s="650">
        <v>1054</v>
      </c>
      <c r="Q31" s="650">
        <v>3095</v>
      </c>
      <c r="R31" s="155">
        <f>SUM(N31:Q31)</f>
        <v>5603</v>
      </c>
      <c r="S31" s="650">
        <v>3206</v>
      </c>
      <c r="T31" s="650">
        <v>5522</v>
      </c>
      <c r="U31" s="231">
        <v>5665</v>
      </c>
      <c r="V31" s="650">
        <v>7344</v>
      </c>
      <c r="W31" s="328">
        <f>SUM(S31:V31)</f>
        <v>21737</v>
      </c>
      <c r="X31" s="650">
        <v>7224</v>
      </c>
      <c r="Y31" s="650">
        <v>6868</v>
      </c>
      <c r="Z31" s="650">
        <v>-2881</v>
      </c>
      <c r="AA31" s="650">
        <v>4947</v>
      </c>
      <c r="AB31" s="328">
        <f>SUM(X31:AA31)</f>
        <v>16158</v>
      </c>
      <c r="AC31" s="650">
        <v>5673</v>
      </c>
      <c r="AD31" s="650">
        <v>6058</v>
      </c>
      <c r="AE31" s="650">
        <v>5147</v>
      </c>
      <c r="AF31" s="650">
        <v>5391</v>
      </c>
      <c r="AG31" s="328">
        <f>SUM(AC31:AF31)</f>
        <v>22269</v>
      </c>
      <c r="AH31" s="650">
        <v>5879</v>
      </c>
      <c r="AI31" s="650">
        <v>6478</v>
      </c>
      <c r="AJ31" s="650">
        <v>6090</v>
      </c>
      <c r="AK31" s="650">
        <v>6017</v>
      </c>
      <c r="AL31" s="328">
        <f>SUM(AH31:AK31)</f>
        <v>24464</v>
      </c>
      <c r="AM31" s="441">
        <v>6000</v>
      </c>
      <c r="AN31" s="441">
        <v>6000</v>
      </c>
      <c r="AO31" s="441">
        <v>6000</v>
      </c>
      <c r="AP31" s="441">
        <v>6000</v>
      </c>
      <c r="AQ31" s="328">
        <f>SUM(AM31:AP31)</f>
        <v>24000</v>
      </c>
    </row>
    <row r="32" spans="1:43" s="158" customFormat="1" hidden="1" outlineLevel="1">
      <c r="B32" s="157"/>
      <c r="C32" s="248" t="s">
        <v>150</v>
      </c>
      <c r="D32" s="231"/>
      <c r="E32" s="231"/>
      <c r="F32" s="231"/>
      <c r="G32" s="231"/>
      <c r="H32" s="155">
        <f>SUM(D32:G32)</f>
        <v>0</v>
      </c>
      <c r="I32" s="231"/>
      <c r="J32" s="230"/>
      <c r="K32" s="231">
        <v>-1057</v>
      </c>
      <c r="L32" s="231"/>
      <c r="M32" s="155">
        <f>SUM(I32:L32)</f>
        <v>-1057</v>
      </c>
      <c r="N32" s="230"/>
      <c r="O32" s="230"/>
      <c r="P32" s="231"/>
      <c r="Q32" s="231"/>
      <c r="R32" s="155">
        <f>SUM(N32:Q32)</f>
        <v>0</v>
      </c>
      <c r="S32" s="231"/>
      <c r="T32" s="231">
        <f>386+798</f>
        <v>1184</v>
      </c>
      <c r="U32" s="231">
        <v>329</v>
      </c>
      <c r="V32" s="231">
        <v>540</v>
      </c>
      <c r="W32" s="155">
        <f>SUM(S32:V32)</f>
        <v>2053</v>
      </c>
      <c r="X32" s="231">
        <v>1016</v>
      </c>
      <c r="Y32" s="231">
        <v>1574</v>
      </c>
      <c r="Z32" s="231">
        <v>0</v>
      </c>
      <c r="AA32" s="231">
        <f>500+74</f>
        <v>574</v>
      </c>
      <c r="AB32" s="155">
        <f>SUM(X32:AA32)</f>
        <v>3164</v>
      </c>
      <c r="AC32" s="650">
        <v>199</v>
      </c>
      <c r="AD32" s="231">
        <v>384</v>
      </c>
      <c r="AE32" s="231">
        <v>143</v>
      </c>
      <c r="AF32" s="231">
        <f>303+31+15213</f>
        <v>15547</v>
      </c>
      <c r="AG32" s="155">
        <f>SUM(AC32:AF32)</f>
        <v>16273</v>
      </c>
      <c r="AH32" s="650">
        <v>565</v>
      </c>
      <c r="AI32" s="231">
        <v>1581</v>
      </c>
      <c r="AJ32" s="231">
        <v>7023</v>
      </c>
      <c r="AK32" s="231">
        <v>0</v>
      </c>
      <c r="AL32" s="155">
        <f>SUM(AH32:AK32)</f>
        <v>9169</v>
      </c>
      <c r="AM32" s="231"/>
      <c r="AN32" s="231"/>
      <c r="AO32" s="231"/>
      <c r="AP32" s="231"/>
      <c r="AQ32" s="155">
        <f>SUM(AM32:AP32)</f>
        <v>0</v>
      </c>
    </row>
    <row r="33" spans="1:43" s="158" customFormat="1" collapsed="1">
      <c r="B33" s="170" t="s">
        <v>151</v>
      </c>
      <c r="C33" s="160"/>
      <c r="D33" s="230">
        <f t="shared" ref="D33:AQ33" si="36">SUM(D31:D32)</f>
        <v>2632</v>
      </c>
      <c r="E33" s="230">
        <f t="shared" si="36"/>
        <v>534</v>
      </c>
      <c r="F33" s="230">
        <f t="shared" si="36"/>
        <v>453</v>
      </c>
      <c r="G33" s="230">
        <f t="shared" si="36"/>
        <v>501</v>
      </c>
      <c r="H33" s="155">
        <f t="shared" si="36"/>
        <v>4120</v>
      </c>
      <c r="I33" s="230">
        <f t="shared" si="36"/>
        <v>488</v>
      </c>
      <c r="J33" s="230">
        <f t="shared" si="36"/>
        <v>504</v>
      </c>
      <c r="K33" s="230">
        <f t="shared" si="36"/>
        <v>-551</v>
      </c>
      <c r="L33" s="230">
        <f t="shared" si="36"/>
        <v>495</v>
      </c>
      <c r="M33" s="155">
        <f t="shared" si="36"/>
        <v>936</v>
      </c>
      <c r="N33" s="230">
        <f t="shared" si="36"/>
        <v>488</v>
      </c>
      <c r="O33" s="230">
        <f t="shared" si="36"/>
        <v>966</v>
      </c>
      <c r="P33" s="230">
        <f t="shared" si="36"/>
        <v>1054</v>
      </c>
      <c r="Q33" s="230">
        <f t="shared" si="36"/>
        <v>3095</v>
      </c>
      <c r="R33" s="155">
        <f t="shared" si="36"/>
        <v>5603</v>
      </c>
      <c r="S33" s="230">
        <f t="shared" si="36"/>
        <v>3206</v>
      </c>
      <c r="T33" s="230">
        <f t="shared" si="36"/>
        <v>6706</v>
      </c>
      <c r="U33" s="230">
        <f t="shared" si="36"/>
        <v>5994</v>
      </c>
      <c r="V33" s="230">
        <f t="shared" si="36"/>
        <v>7884</v>
      </c>
      <c r="W33" s="155">
        <f t="shared" si="36"/>
        <v>23790</v>
      </c>
      <c r="X33" s="230">
        <f t="shared" si="36"/>
        <v>8240</v>
      </c>
      <c r="Y33" s="230">
        <f t="shared" si="36"/>
        <v>8442</v>
      </c>
      <c r="Z33" s="230">
        <f t="shared" si="36"/>
        <v>-2881</v>
      </c>
      <c r="AA33" s="230">
        <f t="shared" si="36"/>
        <v>5521</v>
      </c>
      <c r="AB33" s="155">
        <f t="shared" si="36"/>
        <v>19322</v>
      </c>
      <c r="AC33" s="230">
        <f t="shared" si="36"/>
        <v>5872</v>
      </c>
      <c r="AD33" s="230">
        <f t="shared" si="36"/>
        <v>6442</v>
      </c>
      <c r="AE33" s="230">
        <f t="shared" si="36"/>
        <v>5290</v>
      </c>
      <c r="AF33" s="230">
        <f t="shared" si="36"/>
        <v>20938</v>
      </c>
      <c r="AG33" s="155">
        <f t="shared" si="36"/>
        <v>38542</v>
      </c>
      <c r="AH33" s="230">
        <f t="shared" si="36"/>
        <v>6444</v>
      </c>
      <c r="AI33" s="230">
        <f>SUM(AI31:AI32)</f>
        <v>8059</v>
      </c>
      <c r="AJ33" s="230">
        <f t="shared" ref="AJ33:AK33" si="37">SUM(AJ31:AJ32)</f>
        <v>13113</v>
      </c>
      <c r="AK33" s="230">
        <f t="shared" si="37"/>
        <v>6017</v>
      </c>
      <c r="AL33" s="155">
        <f t="shared" si="36"/>
        <v>33633</v>
      </c>
      <c r="AM33" s="230">
        <f t="shared" si="36"/>
        <v>6000</v>
      </c>
      <c r="AN33" s="230">
        <f t="shared" si="36"/>
        <v>6000</v>
      </c>
      <c r="AO33" s="230">
        <f t="shared" si="36"/>
        <v>6000</v>
      </c>
      <c r="AP33" s="230">
        <f t="shared" si="36"/>
        <v>6000</v>
      </c>
      <c r="AQ33" s="155">
        <f t="shared" si="36"/>
        <v>24000</v>
      </c>
    </row>
    <row r="34" spans="1:43" s="158" customFormat="1">
      <c r="B34" s="157"/>
      <c r="C34" s="160"/>
      <c r="D34" s="231"/>
      <c r="E34" s="242"/>
      <c r="F34" s="242"/>
      <c r="G34" s="190"/>
      <c r="H34" s="156"/>
      <c r="I34" s="231"/>
      <c r="J34" s="190"/>
      <c r="K34" s="242"/>
      <c r="L34" s="190"/>
      <c r="M34" s="156"/>
      <c r="N34" s="230"/>
      <c r="O34" s="190"/>
      <c r="P34" s="242"/>
      <c r="Q34" s="190"/>
      <c r="R34" s="156"/>
      <c r="S34" s="231"/>
      <c r="T34" s="242"/>
      <c r="U34" s="242"/>
      <c r="V34" s="190"/>
      <c r="W34" s="156"/>
      <c r="X34" s="231"/>
      <c r="Y34" s="242"/>
      <c r="Z34" s="242"/>
      <c r="AA34" s="190"/>
      <c r="AB34" s="156"/>
      <c r="AC34" s="231"/>
      <c r="AD34" s="242"/>
      <c r="AE34" s="242"/>
      <c r="AF34" s="190"/>
      <c r="AG34" s="156"/>
      <c r="AH34" s="231"/>
      <c r="AI34" s="242"/>
      <c r="AJ34" s="242"/>
      <c r="AK34" s="190"/>
      <c r="AL34" s="156"/>
      <c r="AM34" s="231"/>
      <c r="AN34" s="242"/>
      <c r="AO34" s="242"/>
      <c r="AP34" s="190"/>
      <c r="AQ34" s="156"/>
    </row>
    <row r="35" spans="1:43" s="194" customFormat="1" ht="13.15">
      <c r="B35" s="887" t="s">
        <v>1</v>
      </c>
      <c r="C35" s="249"/>
      <c r="D35" s="775">
        <f t="shared" ref="D35:AQ35" si="38">D27-D33</f>
        <v>-7096</v>
      </c>
      <c r="E35" s="775">
        <f t="shared" si="38"/>
        <v>-7229</v>
      </c>
      <c r="F35" s="775">
        <f t="shared" si="38"/>
        <v>-7787</v>
      </c>
      <c r="G35" s="192">
        <f t="shared" si="38"/>
        <v>-8238</v>
      </c>
      <c r="H35" s="191">
        <f t="shared" si="38"/>
        <v>-30350</v>
      </c>
      <c r="I35" s="775">
        <f t="shared" si="38"/>
        <v>-11186</v>
      </c>
      <c r="J35" s="192">
        <f t="shared" si="38"/>
        <v>-5311</v>
      </c>
      <c r="K35" s="775">
        <f t="shared" si="38"/>
        <v>-3041</v>
      </c>
      <c r="L35" s="192">
        <f t="shared" si="38"/>
        <v>-2963</v>
      </c>
      <c r="M35" s="191">
        <f t="shared" si="38"/>
        <v>-22501</v>
      </c>
      <c r="N35" s="192">
        <f t="shared" si="38"/>
        <v>-2848</v>
      </c>
      <c r="O35" s="192">
        <f t="shared" si="38"/>
        <v>-2969</v>
      </c>
      <c r="P35" s="775">
        <f t="shared" si="38"/>
        <v>-9065</v>
      </c>
      <c r="Q35" s="192">
        <f t="shared" si="38"/>
        <v>-8947</v>
      </c>
      <c r="R35" s="191">
        <f t="shared" si="38"/>
        <v>-23829</v>
      </c>
      <c r="S35" s="775">
        <f t="shared" si="38"/>
        <v>-11757</v>
      </c>
      <c r="T35" s="775">
        <f t="shared" si="38"/>
        <v>-19956</v>
      </c>
      <c r="U35" s="775">
        <f t="shared" si="38"/>
        <v>-20070</v>
      </c>
      <c r="V35" s="192">
        <f t="shared" si="38"/>
        <v>-20025</v>
      </c>
      <c r="W35" s="191">
        <f t="shared" si="38"/>
        <v>-71808</v>
      </c>
      <c r="X35" s="775">
        <f t="shared" si="38"/>
        <v>-22280</v>
      </c>
      <c r="Y35" s="775">
        <f t="shared" si="38"/>
        <v>-16991</v>
      </c>
      <c r="Z35" s="775">
        <f t="shared" si="38"/>
        <v>-2897</v>
      </c>
      <c r="AA35" s="192">
        <f t="shared" si="38"/>
        <v>-7677</v>
      </c>
      <c r="AB35" s="191">
        <f t="shared" si="38"/>
        <v>-49845</v>
      </c>
      <c r="AC35" s="775">
        <f t="shared" si="38"/>
        <v>-12332</v>
      </c>
      <c r="AD35" s="775">
        <f t="shared" si="38"/>
        <v>-12384</v>
      </c>
      <c r="AE35" s="775">
        <f t="shared" si="38"/>
        <v>-10877</v>
      </c>
      <c r="AF35" s="192">
        <f t="shared" si="38"/>
        <v>-26130</v>
      </c>
      <c r="AG35" s="191">
        <f t="shared" si="38"/>
        <v>-61723</v>
      </c>
      <c r="AH35" s="775">
        <f t="shared" si="38"/>
        <v>-12610</v>
      </c>
      <c r="AI35" s="775">
        <f>AI27-AI33</f>
        <v>-11810</v>
      </c>
      <c r="AJ35" s="775">
        <f t="shared" ref="AJ35:AK35" si="39">AJ27-AJ33</f>
        <v>-14462</v>
      </c>
      <c r="AK35" s="192">
        <f t="shared" si="39"/>
        <v>-9242</v>
      </c>
      <c r="AL35" s="191">
        <f t="shared" si="38"/>
        <v>-48124</v>
      </c>
      <c r="AM35" s="775">
        <f t="shared" si="38"/>
        <v>-11882.984607999999</v>
      </c>
      <c r="AN35" s="775">
        <f t="shared" si="38"/>
        <v>-8115.1690000000017</v>
      </c>
      <c r="AO35" s="775">
        <f t="shared" si="38"/>
        <v>-7189.1233619999985</v>
      </c>
      <c r="AP35" s="192">
        <f t="shared" si="38"/>
        <v>-6826.3765439999988</v>
      </c>
      <c r="AQ35" s="191">
        <f t="shared" si="38"/>
        <v>-34013.653514000005</v>
      </c>
    </row>
    <row r="36" spans="1:43" s="419" customFormat="1" ht="11.25">
      <c r="A36" s="360"/>
      <c r="B36" s="361"/>
      <c r="C36" s="362" t="s">
        <v>148</v>
      </c>
      <c r="D36" s="366">
        <f t="shared" ref="D36:AQ36" si="40">D35/D11</f>
        <v>-0.68375409520138752</v>
      </c>
      <c r="E36" s="366">
        <f t="shared" si="40"/>
        <v>-0.63945157010172493</v>
      </c>
      <c r="F36" s="366">
        <f t="shared" si="40"/>
        <v>-0.61547581410053742</v>
      </c>
      <c r="G36" s="363">
        <f t="shared" si="40"/>
        <v>-0.57928415723226212</v>
      </c>
      <c r="H36" s="364">
        <f t="shared" si="40"/>
        <v>-0.62505148694291124</v>
      </c>
      <c r="I36" s="366">
        <f t="shared" si="40"/>
        <v>-0.71393923921368396</v>
      </c>
      <c r="J36" s="366">
        <f t="shared" si="40"/>
        <v>-0.33769949767915053</v>
      </c>
      <c r="K36" s="366">
        <f t="shared" si="40"/>
        <v>-0.17024016122711749</v>
      </c>
      <c r="L36" s="363">
        <f t="shared" si="40"/>
        <v>-0.15443552590430523</v>
      </c>
      <c r="M36" s="364">
        <f t="shared" si="40"/>
        <v>-0.32875051136695693</v>
      </c>
      <c r="N36" s="363">
        <f t="shared" si="40"/>
        <v>-0.13477828782357673</v>
      </c>
      <c r="O36" s="363">
        <f t="shared" si="40"/>
        <v>-0.10048397468440112</v>
      </c>
      <c r="P36" s="366">
        <f t="shared" si="40"/>
        <v>-0.30364440276009913</v>
      </c>
      <c r="Q36" s="363">
        <f t="shared" si="40"/>
        <v>-0.26462585034013608</v>
      </c>
      <c r="R36" s="364">
        <f t="shared" si="40"/>
        <v>-0.20840111245211734</v>
      </c>
      <c r="S36" s="366">
        <f t="shared" si="40"/>
        <v>-0.34109899036787744</v>
      </c>
      <c r="T36" s="366">
        <f t="shared" si="40"/>
        <v>-0.59199050726787306</v>
      </c>
      <c r="U36" s="366">
        <f t="shared" si="40"/>
        <v>-0.58216098622189993</v>
      </c>
      <c r="V36" s="363">
        <f t="shared" si="40"/>
        <v>-0.61545317638380925</v>
      </c>
      <c r="W36" s="364">
        <f t="shared" si="40"/>
        <v>-0.53116354759967455</v>
      </c>
      <c r="X36" s="366">
        <f t="shared" si="40"/>
        <v>-0.67252256331310933</v>
      </c>
      <c r="Y36" s="366">
        <f t="shared" si="40"/>
        <v>-0.49571128486404481</v>
      </c>
      <c r="Z36" s="366">
        <f t="shared" si="40"/>
        <v>-8.2906447643304806E-2</v>
      </c>
      <c r="AA36" s="363">
        <f t="shared" si="40"/>
        <v>-0.21478932348497565</v>
      </c>
      <c r="AB36" s="364">
        <f t="shared" si="40"/>
        <v>-0.36096024331957421</v>
      </c>
      <c r="AC36" s="366">
        <f t="shared" si="40"/>
        <v>-0.34668690787439205</v>
      </c>
      <c r="AD36" s="366">
        <f t="shared" si="40"/>
        <v>-0.34395222885710319</v>
      </c>
      <c r="AE36" s="366">
        <f t="shared" si="40"/>
        <v>-0.29992279269839517</v>
      </c>
      <c r="AF36" s="363">
        <f t="shared" si="40"/>
        <v>-0.70623530365685561</v>
      </c>
      <c r="AG36" s="364">
        <f t="shared" si="40"/>
        <v>-0.42614315007490972</v>
      </c>
      <c r="AH36" s="366">
        <f t="shared" si="40"/>
        <v>-0.3440373230022099</v>
      </c>
      <c r="AI36" s="366">
        <f>AI35/AI11</f>
        <v>-0.30992494620269773</v>
      </c>
      <c r="AJ36" s="366">
        <f t="shared" ref="AJ36:AK36" si="41">AJ35/AJ11</f>
        <v>-0.35342994696840097</v>
      </c>
      <c r="AK36" s="363">
        <f t="shared" si="41"/>
        <v>-0.22447839498676253</v>
      </c>
      <c r="AL36" s="364">
        <f t="shared" si="40"/>
        <v>-0.30681738487334953</v>
      </c>
      <c r="AM36" s="366">
        <f t="shared" si="40"/>
        <v>-0.29894379114853531</v>
      </c>
      <c r="AN36" s="366">
        <f t="shared" si="40"/>
        <v>-0.19183263843220094</v>
      </c>
      <c r="AO36" s="366">
        <f t="shared" si="40"/>
        <v>-0.16323481396205208</v>
      </c>
      <c r="AP36" s="363">
        <f t="shared" si="40"/>
        <v>-0.14869102793895367</v>
      </c>
      <c r="AQ36" s="364">
        <f t="shared" si="40"/>
        <v>-0.19774840740679805</v>
      </c>
    </row>
    <row r="37" spans="1:43" s="158" customFormat="1">
      <c r="B37" s="157"/>
      <c r="C37" s="160"/>
      <c r="D37" s="242"/>
      <c r="E37" s="242"/>
      <c r="F37" s="242"/>
      <c r="G37" s="190"/>
      <c r="H37" s="156"/>
      <c r="I37" s="242"/>
      <c r="J37" s="242"/>
      <c r="K37" s="242"/>
      <c r="L37" s="190"/>
      <c r="M37" s="156"/>
      <c r="N37" s="190"/>
      <c r="O37" s="190"/>
      <c r="P37" s="242"/>
      <c r="Q37" s="190"/>
      <c r="R37" s="156"/>
      <c r="S37" s="242"/>
      <c r="T37" s="242"/>
      <c r="U37" s="242"/>
      <c r="V37" s="190"/>
      <c r="W37" s="156"/>
      <c r="X37" s="242"/>
      <c r="Y37" s="242"/>
      <c r="Z37" s="242"/>
      <c r="AA37" s="190"/>
      <c r="AB37" s="156"/>
      <c r="AC37" s="242"/>
      <c r="AD37" s="242"/>
      <c r="AE37" s="242"/>
      <c r="AF37" s="190"/>
      <c r="AG37" s="156"/>
      <c r="AH37" s="242"/>
      <c r="AI37" s="242"/>
      <c r="AJ37" s="242"/>
      <c r="AK37" s="190"/>
      <c r="AL37" s="156"/>
      <c r="AM37" s="242"/>
      <c r="AN37" s="242"/>
      <c r="AO37" s="242"/>
      <c r="AP37" s="190"/>
      <c r="AQ37" s="156"/>
    </row>
    <row r="38" spans="1:43" hidden="1" outlineLevel="1">
      <c r="B38" s="417" t="s">
        <v>312</v>
      </c>
      <c r="C38" s="209"/>
      <c r="D38" s="231">
        <f t="shared" ref="D38:N38" si="42">D129</f>
        <v>180</v>
      </c>
      <c r="E38" s="231">
        <f t="shared" si="42"/>
        <v>144</v>
      </c>
      <c r="F38" s="231">
        <f t="shared" si="42"/>
        <v>215</v>
      </c>
      <c r="G38" s="231">
        <f t="shared" si="42"/>
        <v>113</v>
      </c>
      <c r="H38" s="155">
        <f t="shared" si="42"/>
        <v>652</v>
      </c>
      <c r="I38" s="231">
        <f t="shared" si="42"/>
        <v>63</v>
      </c>
      <c r="J38" s="231">
        <f t="shared" si="42"/>
        <v>15</v>
      </c>
      <c r="K38" s="231">
        <f t="shared" si="42"/>
        <v>55</v>
      </c>
      <c r="L38" s="231">
        <f t="shared" si="42"/>
        <v>22</v>
      </c>
      <c r="M38" s="155">
        <f t="shared" si="42"/>
        <v>155</v>
      </c>
      <c r="N38" s="230">
        <f t="shared" si="42"/>
        <v>13</v>
      </c>
      <c r="O38" s="230">
        <v>21</v>
      </c>
      <c r="P38" s="650">
        <v>40</v>
      </c>
      <c r="Q38" s="650">
        <v>32</v>
      </c>
      <c r="R38" s="155">
        <f>SUM(N38:Q38)</f>
        <v>106</v>
      </c>
      <c r="S38" s="650">
        <v>30</v>
      </c>
      <c r="T38" s="650">
        <v>29</v>
      </c>
      <c r="U38" s="231">
        <v>364</v>
      </c>
      <c r="V38" s="650">
        <v>1279</v>
      </c>
      <c r="W38" s="155">
        <f>SUM(S38:V38)</f>
        <v>1702</v>
      </c>
      <c r="X38" s="650">
        <v>1947</v>
      </c>
      <c r="Y38" s="650">
        <v>2129</v>
      </c>
      <c r="Z38" s="650">
        <v>2191</v>
      </c>
      <c r="AA38" s="650">
        <v>2039</v>
      </c>
      <c r="AB38" s="155">
        <f>SUM(X38:AA38)</f>
        <v>8306</v>
      </c>
      <c r="AC38" s="650">
        <v>1986</v>
      </c>
      <c r="AD38" s="650">
        <v>1735</v>
      </c>
      <c r="AE38" s="650">
        <v>1652</v>
      </c>
      <c r="AF38" s="650">
        <v>1464</v>
      </c>
      <c r="AG38" s="155">
        <f>SUM(AC38:AF38)</f>
        <v>6837</v>
      </c>
      <c r="AH38" s="650">
        <v>1354</v>
      </c>
      <c r="AI38" s="650">
        <v>1208</v>
      </c>
      <c r="AJ38" s="650">
        <v>937</v>
      </c>
      <c r="AK38" s="650">
        <v>996</v>
      </c>
      <c r="AL38" s="155">
        <f>SUM(AH38:AK38)</f>
        <v>4495</v>
      </c>
      <c r="AM38" s="441">
        <f>AK38-25</f>
        <v>971</v>
      </c>
      <c r="AN38" s="441">
        <f>AM38-25</f>
        <v>946</v>
      </c>
      <c r="AO38" s="441">
        <f>AN38-30</f>
        <v>916</v>
      </c>
      <c r="AP38" s="441">
        <f>AO38-50</f>
        <v>866</v>
      </c>
      <c r="AQ38" s="155">
        <f>SUM(AM38:AP38)</f>
        <v>3699</v>
      </c>
    </row>
    <row r="39" spans="1:43" hidden="1" outlineLevel="1">
      <c r="B39" s="431" t="s">
        <v>313</v>
      </c>
      <c r="C39" s="432"/>
      <c r="D39" s="433">
        <f t="shared" ref="D39:N39" si="43">+D130</f>
        <v>-33</v>
      </c>
      <c r="E39" s="433">
        <f t="shared" si="43"/>
        <v>36</v>
      </c>
      <c r="F39" s="433">
        <f t="shared" si="43"/>
        <v>-87</v>
      </c>
      <c r="G39" s="433">
        <f t="shared" si="43"/>
        <v>-40</v>
      </c>
      <c r="H39" s="434">
        <f t="shared" si="43"/>
        <v>-124</v>
      </c>
      <c r="I39" s="433">
        <f t="shared" si="43"/>
        <v>-88</v>
      </c>
      <c r="J39" s="433">
        <f t="shared" si="43"/>
        <v>-161</v>
      </c>
      <c r="K39" s="433">
        <f t="shared" si="43"/>
        <v>-170</v>
      </c>
      <c r="L39" s="433">
        <f t="shared" si="43"/>
        <v>-37</v>
      </c>
      <c r="M39" s="434">
        <f t="shared" si="43"/>
        <v>-456</v>
      </c>
      <c r="N39" s="612">
        <f t="shared" si="43"/>
        <v>-57</v>
      </c>
      <c r="O39" s="612">
        <v>-92</v>
      </c>
      <c r="P39" s="651">
        <v>-169</v>
      </c>
      <c r="Q39" s="651">
        <v>-222</v>
      </c>
      <c r="R39" s="434">
        <f>SUM(N39:Q39)</f>
        <v>-540</v>
      </c>
      <c r="S39" s="651">
        <v>-93</v>
      </c>
      <c r="T39" s="651">
        <v>-200</v>
      </c>
      <c r="U39" s="433">
        <v>-314</v>
      </c>
      <c r="V39" s="651">
        <v>134</v>
      </c>
      <c r="W39" s="434">
        <f>SUM(S39:V39)</f>
        <v>-473</v>
      </c>
      <c r="X39" s="651">
        <v>8</v>
      </c>
      <c r="Y39" s="651">
        <v>4</v>
      </c>
      <c r="Z39" s="651">
        <v>-260</v>
      </c>
      <c r="AA39" s="651">
        <v>80</v>
      </c>
      <c r="AB39" s="434">
        <f>SUM(X39:AA39)</f>
        <v>-168</v>
      </c>
      <c r="AC39" s="651">
        <v>-150</v>
      </c>
      <c r="AD39" s="651">
        <v>-80</v>
      </c>
      <c r="AE39" s="651">
        <v>185</v>
      </c>
      <c r="AF39" s="651">
        <v>-511</v>
      </c>
      <c r="AG39" s="434">
        <f>SUM(AC39:AF39)</f>
        <v>-556</v>
      </c>
      <c r="AH39" s="651"/>
      <c r="AI39" s="651"/>
      <c r="AJ39" s="651"/>
      <c r="AK39" s="651"/>
      <c r="AL39" s="434">
        <f>SUM(AH39:AK39)</f>
        <v>0</v>
      </c>
      <c r="AM39" s="774"/>
      <c r="AN39" s="774"/>
      <c r="AO39" s="774"/>
      <c r="AP39" s="774"/>
      <c r="AQ39" s="434">
        <f>SUM(AM39:AP39)</f>
        <v>0</v>
      </c>
    </row>
    <row r="40" spans="1:43" collapsed="1">
      <c r="A40" s="158"/>
      <c r="B40" s="418" t="s">
        <v>147</v>
      </c>
      <c r="C40" s="160"/>
      <c r="D40" s="231">
        <f>SUM(D38:D39)</f>
        <v>147</v>
      </c>
      <c r="E40" s="230">
        <f>SUM(E38:E39)</f>
        <v>180</v>
      </c>
      <c r="F40" s="230">
        <f>SUM(F38:F39)</f>
        <v>128</v>
      </c>
      <c r="G40" s="230">
        <f>SUM(G38:G39)</f>
        <v>73</v>
      </c>
      <c r="H40" s="155">
        <f>SUM(D40:G40)</f>
        <v>528</v>
      </c>
      <c r="I40" s="230">
        <f>SUM(I38:I39)</f>
        <v>-25</v>
      </c>
      <c r="J40" s="230">
        <f>SUM(J38:J39)</f>
        <v>-146</v>
      </c>
      <c r="K40" s="230">
        <f>SUM(K38:K39)</f>
        <v>-115</v>
      </c>
      <c r="L40" s="230">
        <f>SUM(L38:L39)</f>
        <v>-15</v>
      </c>
      <c r="M40" s="155">
        <f>SUM(I40:L40)</f>
        <v>-301</v>
      </c>
      <c r="N40" s="230">
        <f>SUM(N38:N39)</f>
        <v>-44</v>
      </c>
      <c r="O40" s="230">
        <f>SUM(O38:O39)</f>
        <v>-71</v>
      </c>
      <c r="P40" s="650">
        <f>SUM(P38:P39)</f>
        <v>-129</v>
      </c>
      <c r="Q40" s="650">
        <f>SUM(Q38:Q39)</f>
        <v>-190</v>
      </c>
      <c r="R40" s="155">
        <f>SUM(N40:Q40)</f>
        <v>-434</v>
      </c>
      <c r="S40" s="650">
        <f>SUM(S38:S39)</f>
        <v>-63</v>
      </c>
      <c r="T40" s="230">
        <f>SUM(T38:T39)</f>
        <v>-171</v>
      </c>
      <c r="U40" s="230">
        <f>SUM(U38:U39)</f>
        <v>50</v>
      </c>
      <c r="V40" s="230">
        <f>SUM(V38:V39)</f>
        <v>1413</v>
      </c>
      <c r="W40" s="155">
        <f>SUM(S40:V40)</f>
        <v>1229</v>
      </c>
      <c r="X40" s="230">
        <f>SUM(X38:X39)</f>
        <v>1955</v>
      </c>
      <c r="Y40" s="230">
        <f>SUM(Y38:Y39)</f>
        <v>2133</v>
      </c>
      <c r="Z40" s="230">
        <f>SUM(Z38:Z39)</f>
        <v>1931</v>
      </c>
      <c r="AA40" s="230">
        <f>SUM(AA38:AA39)</f>
        <v>2119</v>
      </c>
      <c r="AB40" s="155">
        <f>SUM(X40:AA40)</f>
        <v>8138</v>
      </c>
      <c r="AC40" s="230">
        <f>SUM(AC38:AC39)</f>
        <v>1836</v>
      </c>
      <c r="AD40" s="230">
        <f>SUM(AD38:AD39)</f>
        <v>1655</v>
      </c>
      <c r="AE40" s="230">
        <f>SUM(AE38:AE39)</f>
        <v>1837</v>
      </c>
      <c r="AF40" s="230">
        <f>SUM(AF38:AF39)</f>
        <v>953</v>
      </c>
      <c r="AG40" s="155">
        <f>SUM(AC40:AF40)</f>
        <v>6281</v>
      </c>
      <c r="AH40" s="230">
        <f>SUM(AH38:AH39)</f>
        <v>1354</v>
      </c>
      <c r="AI40" s="230">
        <f>SUM(AI38:AI39)</f>
        <v>1208</v>
      </c>
      <c r="AJ40" s="230">
        <f>SUM(AJ38:AJ39)</f>
        <v>937</v>
      </c>
      <c r="AK40" s="230">
        <f>SUM(AK38:AK39)</f>
        <v>996</v>
      </c>
      <c r="AL40" s="155">
        <f>SUM(AH40:AK40)</f>
        <v>4495</v>
      </c>
      <c r="AM40" s="230">
        <f>SUM(AM38:AM39)</f>
        <v>971</v>
      </c>
      <c r="AN40" s="230">
        <f>SUM(AN38:AN39)</f>
        <v>946</v>
      </c>
      <c r="AO40" s="230">
        <f>SUM(AO38:AO39)</f>
        <v>916</v>
      </c>
      <c r="AP40" s="230">
        <f>SUM(AP38:AP39)</f>
        <v>866</v>
      </c>
      <c r="AQ40" s="155">
        <f>SUM(AM40:AP40)</f>
        <v>3699</v>
      </c>
    </row>
    <row r="41" spans="1:43">
      <c r="B41" s="170"/>
      <c r="C41" s="209"/>
      <c r="D41" s="239"/>
      <c r="E41" s="239"/>
      <c r="F41" s="239"/>
      <c r="G41" s="180"/>
      <c r="H41" s="179"/>
      <c r="I41" s="239"/>
      <c r="J41" s="239"/>
      <c r="K41" s="239"/>
      <c r="L41" s="180"/>
      <c r="M41" s="179"/>
      <c r="N41" s="180"/>
      <c r="O41" s="180"/>
      <c r="P41" s="239"/>
      <c r="Q41" s="180"/>
      <c r="R41" s="179"/>
      <c r="S41" s="239"/>
      <c r="T41" s="239"/>
      <c r="U41" s="239"/>
      <c r="V41" s="180"/>
      <c r="W41" s="179"/>
      <c r="X41" s="239"/>
      <c r="Y41" s="239"/>
      <c r="Z41" s="239"/>
      <c r="AA41" s="180"/>
      <c r="AB41" s="179"/>
      <c r="AC41" s="239"/>
      <c r="AD41" s="239"/>
      <c r="AE41" s="239"/>
      <c r="AF41" s="180"/>
      <c r="AG41" s="179"/>
      <c r="AH41" s="239"/>
      <c r="AI41" s="239"/>
      <c r="AJ41" s="239"/>
      <c r="AK41" s="180"/>
      <c r="AL41" s="179"/>
      <c r="AM41" s="239"/>
      <c r="AN41" s="239"/>
      <c r="AO41" s="239"/>
      <c r="AP41" s="180"/>
      <c r="AQ41" s="179"/>
    </row>
    <row r="42" spans="1:43" hidden="1" outlineLevel="1">
      <c r="B42" s="170" t="s">
        <v>318</v>
      </c>
      <c r="C42" s="209"/>
      <c r="D42" s="239"/>
      <c r="E42" s="239"/>
      <c r="F42" s="239"/>
      <c r="G42" s="180"/>
      <c r="H42" s="179"/>
      <c r="I42" s="239"/>
      <c r="J42" s="239"/>
      <c r="K42" s="239"/>
      <c r="L42" s="180"/>
      <c r="M42" s="179"/>
      <c r="N42" s="180"/>
      <c r="O42" s="180"/>
      <c r="P42" s="239"/>
      <c r="Q42" s="180"/>
      <c r="R42" s="179"/>
      <c r="S42" s="239"/>
      <c r="T42" s="239"/>
      <c r="U42" s="239"/>
      <c r="V42" s="180"/>
      <c r="W42" s="179"/>
      <c r="X42" s="239"/>
      <c r="Y42" s="239"/>
      <c r="Z42" s="239"/>
      <c r="AA42" s="180"/>
      <c r="AB42" s="179"/>
      <c r="AC42" s="239"/>
      <c r="AD42" s="239"/>
      <c r="AE42" s="239"/>
      <c r="AF42" s="180"/>
      <c r="AG42" s="179"/>
      <c r="AH42" s="239"/>
      <c r="AI42" s="239"/>
      <c r="AJ42" s="239"/>
      <c r="AK42" s="180"/>
      <c r="AL42" s="179"/>
      <c r="AM42" s="239"/>
      <c r="AN42" s="239"/>
      <c r="AO42" s="239"/>
      <c r="AP42" s="180"/>
      <c r="AQ42" s="179"/>
    </row>
    <row r="43" spans="1:43" hidden="1" outlineLevel="1">
      <c r="B43" s="170"/>
      <c r="C43" s="209" t="s">
        <v>317</v>
      </c>
      <c r="D43" s="232">
        <f>D62</f>
        <v>-6952</v>
      </c>
      <c r="E43" s="232">
        <f>E62</f>
        <v>-7051</v>
      </c>
      <c r="F43" s="232">
        <f>F62</f>
        <v>-7661</v>
      </c>
      <c r="G43" s="232">
        <f>G62</f>
        <v>-8168</v>
      </c>
      <c r="H43" s="181">
        <f t="shared" ref="H43:H48" si="44">SUM(D43:G43)</f>
        <v>-29832</v>
      </c>
      <c r="I43" s="232">
        <f>I62</f>
        <v>-11236</v>
      </c>
      <c r="J43" s="232">
        <f>J62</f>
        <v>-5477</v>
      </c>
      <c r="K43" s="232">
        <f>K62</f>
        <v>-3169</v>
      </c>
      <c r="L43" s="232">
        <f>L62</f>
        <v>-2991</v>
      </c>
      <c r="M43" s="181">
        <f t="shared" ref="M43:M48" si="45">SUM(I43:L43)</f>
        <v>-22873</v>
      </c>
      <c r="N43" s="219">
        <f>N62</f>
        <v>-2928</v>
      </c>
      <c r="O43" s="219">
        <f>O62</f>
        <v>-3083</v>
      </c>
      <c r="P43" s="232">
        <f>P62</f>
        <v>-9225</v>
      </c>
      <c r="Q43" s="232">
        <f>Q62</f>
        <v>-9108</v>
      </c>
      <c r="R43" s="181">
        <f t="shared" ref="R43:R48" si="46">SUM(N43:Q43)</f>
        <v>-24344</v>
      </c>
      <c r="S43" s="232">
        <f>S62</f>
        <v>-11849</v>
      </c>
      <c r="T43" s="232">
        <f>T62</f>
        <v>-20171</v>
      </c>
      <c r="U43" s="232">
        <f>U62</f>
        <v>-20058</v>
      </c>
      <c r="V43" s="232">
        <f>V62</f>
        <v>-18687</v>
      </c>
      <c r="W43" s="181">
        <f t="shared" ref="W43:W48" si="47">SUM(S43:V43)</f>
        <v>-70765</v>
      </c>
      <c r="X43" s="232">
        <f>X62</f>
        <v>-20365</v>
      </c>
      <c r="Y43" s="232">
        <f>Y62</f>
        <v>-14915</v>
      </c>
      <c r="Z43" s="232">
        <f>Z62</f>
        <v>-1030</v>
      </c>
      <c r="AA43" s="232">
        <f>AA62</f>
        <v>-5840</v>
      </c>
      <c r="AB43" s="181">
        <f t="shared" ref="AB43:AB48" si="48">SUM(X43:AA43)</f>
        <v>-42150</v>
      </c>
      <c r="AC43" s="232">
        <f>AC62</f>
        <v>-10582</v>
      </c>
      <c r="AD43" s="232">
        <f>AD62</f>
        <v>-10834</v>
      </c>
      <c r="AE43" s="232">
        <f>AE62</f>
        <v>-9158</v>
      </c>
      <c r="AF43" s="232">
        <f>AF62</f>
        <v>-25200</v>
      </c>
      <c r="AG43" s="181">
        <f t="shared" ref="AG43:AG48" si="49">SUM(AC43:AF43)</f>
        <v>-55774</v>
      </c>
      <c r="AH43" s="232">
        <f>AH62</f>
        <v>-11393</v>
      </c>
      <c r="AI43" s="232">
        <f>AI62</f>
        <v>-10812</v>
      </c>
      <c r="AJ43" s="232">
        <f>AJ62</f>
        <v>-13665</v>
      </c>
      <c r="AK43" s="232">
        <f>AK62</f>
        <v>-8502</v>
      </c>
      <c r="AL43" s="181">
        <f t="shared" ref="AL43:AL48" si="50">SUM(AH43:AK43)</f>
        <v>-44372</v>
      </c>
      <c r="AM43" s="232">
        <f>AM62</f>
        <v>-11061.984607999999</v>
      </c>
      <c r="AN43" s="232">
        <f>AN62</f>
        <v>-7319.1690000000017</v>
      </c>
      <c r="AO43" s="232">
        <f>AO62</f>
        <v>-6423.1233619999985</v>
      </c>
      <c r="AP43" s="232">
        <f>AP62</f>
        <v>-6160.3765439999988</v>
      </c>
      <c r="AQ43" s="181">
        <f t="shared" ref="AQ43:AQ48" si="51">SUM(AM43:AP43)</f>
        <v>-30964.653513999998</v>
      </c>
    </row>
    <row r="44" spans="1:43" hidden="1" outlineLevel="1">
      <c r="B44" s="170"/>
      <c r="C44" s="209" t="s">
        <v>247</v>
      </c>
      <c r="D44" s="232">
        <f>D143</f>
        <v>120</v>
      </c>
      <c r="E44" s="232">
        <f>E143</f>
        <v>176</v>
      </c>
      <c r="F44" s="232">
        <f>F143</f>
        <v>247</v>
      </c>
      <c r="G44" s="232">
        <f>G143</f>
        <v>260</v>
      </c>
      <c r="H44" s="181">
        <f t="shared" si="44"/>
        <v>803</v>
      </c>
      <c r="I44" s="232">
        <f>I143</f>
        <v>378</v>
      </c>
      <c r="J44" s="232">
        <f>J143</f>
        <v>421</v>
      </c>
      <c r="K44" s="232">
        <f>K143</f>
        <v>415</v>
      </c>
      <c r="L44" s="232">
        <f>L143</f>
        <v>410</v>
      </c>
      <c r="M44" s="181">
        <f t="shared" si="45"/>
        <v>1624</v>
      </c>
      <c r="N44" s="219">
        <f>N143</f>
        <v>424</v>
      </c>
      <c r="O44" s="219">
        <v>406</v>
      </c>
      <c r="P44" s="232">
        <v>424</v>
      </c>
      <c r="Q44" s="232">
        <v>420</v>
      </c>
      <c r="R44" s="181">
        <f t="shared" si="46"/>
        <v>1674</v>
      </c>
      <c r="S44" s="232">
        <f>CF!S10</f>
        <v>455</v>
      </c>
      <c r="T44" s="232">
        <f>CF!T10</f>
        <v>700</v>
      </c>
      <c r="U44" s="232">
        <f>CF!U10</f>
        <v>924</v>
      </c>
      <c r="V44" s="232">
        <f>CF!V10</f>
        <v>895</v>
      </c>
      <c r="W44" s="181">
        <f t="shared" si="47"/>
        <v>2974</v>
      </c>
      <c r="X44" s="232">
        <f>CF!X10</f>
        <v>952</v>
      </c>
      <c r="Y44" s="232">
        <f>CF!Y10</f>
        <v>1005</v>
      </c>
      <c r="Z44" s="232">
        <f>CF!Z10</f>
        <v>1054</v>
      </c>
      <c r="AA44" s="232">
        <f>CF!AA10</f>
        <v>1148</v>
      </c>
      <c r="AB44" s="181">
        <f t="shared" si="48"/>
        <v>4159</v>
      </c>
      <c r="AC44" s="232">
        <f>CF!AC10</f>
        <v>1075</v>
      </c>
      <c r="AD44" s="232">
        <f>CF!AD10</f>
        <v>1028</v>
      </c>
      <c r="AE44" s="232">
        <f>CF!AE10</f>
        <v>989</v>
      </c>
      <c r="AF44" s="232">
        <f>CF!AF10</f>
        <v>834</v>
      </c>
      <c r="AG44" s="181">
        <f t="shared" si="49"/>
        <v>3926</v>
      </c>
      <c r="AH44" s="232">
        <f>CF!AH10</f>
        <v>927</v>
      </c>
      <c r="AI44" s="232">
        <f>CF!AI10</f>
        <v>902</v>
      </c>
      <c r="AJ44" s="232">
        <f>CF!AJ10</f>
        <v>902</v>
      </c>
      <c r="AK44" s="232">
        <f>CF!AK10</f>
        <v>927</v>
      </c>
      <c r="AL44" s="181">
        <f t="shared" si="50"/>
        <v>3658</v>
      </c>
      <c r="AM44" s="232">
        <f>CF!AM10</f>
        <v>872.04500000000007</v>
      </c>
      <c r="AN44" s="232">
        <f>CF!AN10</f>
        <v>869.50982499999998</v>
      </c>
      <c r="AO44" s="232">
        <f>CF!AO10</f>
        <v>878.76619512499997</v>
      </c>
      <c r="AP44" s="232">
        <f>CF!AP10</f>
        <v>886.95808268562507</v>
      </c>
      <c r="AQ44" s="181">
        <f t="shared" si="51"/>
        <v>3507.2791028106253</v>
      </c>
    </row>
    <row r="45" spans="1:43" hidden="1" outlineLevel="1">
      <c r="B45" s="170"/>
      <c r="C45" s="209" t="s">
        <v>248</v>
      </c>
      <c r="D45" s="232">
        <f>D54</f>
        <v>3</v>
      </c>
      <c r="E45" s="232">
        <f>E54</f>
        <v>2</v>
      </c>
      <c r="F45" s="232">
        <f>F54</f>
        <v>2</v>
      </c>
      <c r="G45" s="232">
        <f>G54</f>
        <v>2</v>
      </c>
      <c r="H45" s="181">
        <f t="shared" si="44"/>
        <v>9</v>
      </c>
      <c r="I45" s="232">
        <f>I54</f>
        <v>25</v>
      </c>
      <c r="J45" s="232">
        <f>J54</f>
        <v>20</v>
      </c>
      <c r="K45" s="232">
        <f>K54</f>
        <v>13</v>
      </c>
      <c r="L45" s="232">
        <f>L54</f>
        <v>13</v>
      </c>
      <c r="M45" s="181">
        <f t="shared" si="45"/>
        <v>71</v>
      </c>
      <c r="N45" s="219">
        <f>N54</f>
        <v>36</v>
      </c>
      <c r="O45" s="219">
        <f>O54</f>
        <v>43</v>
      </c>
      <c r="P45" s="232">
        <f>P54</f>
        <v>31</v>
      </c>
      <c r="Q45" s="232">
        <f>Q54</f>
        <v>-29</v>
      </c>
      <c r="R45" s="181">
        <f t="shared" si="46"/>
        <v>81</v>
      </c>
      <c r="S45" s="232">
        <f t="shared" ref="S45:Z45" si="52">S54</f>
        <v>29</v>
      </c>
      <c r="T45" s="232">
        <f t="shared" si="52"/>
        <v>44</v>
      </c>
      <c r="U45" s="232">
        <f t="shared" si="52"/>
        <v>38</v>
      </c>
      <c r="V45" s="232">
        <f t="shared" si="52"/>
        <v>75</v>
      </c>
      <c r="W45" s="181">
        <f t="shared" si="47"/>
        <v>186</v>
      </c>
      <c r="X45" s="232">
        <f t="shared" si="52"/>
        <v>40</v>
      </c>
      <c r="Y45" s="232">
        <f t="shared" si="52"/>
        <v>57</v>
      </c>
      <c r="Z45" s="232">
        <f t="shared" si="52"/>
        <v>64</v>
      </c>
      <c r="AA45" s="232">
        <v>282</v>
      </c>
      <c r="AB45" s="181">
        <f t="shared" si="48"/>
        <v>443</v>
      </c>
      <c r="AC45" s="232">
        <f>AC54</f>
        <v>86</v>
      </c>
      <c r="AD45" s="232">
        <f>AD54</f>
        <v>105</v>
      </c>
      <c r="AE45" s="232">
        <f>AE54</f>
        <v>118</v>
      </c>
      <c r="AF45" s="232">
        <f>AF54</f>
        <v>23</v>
      </c>
      <c r="AG45" s="181">
        <f t="shared" si="49"/>
        <v>332</v>
      </c>
      <c r="AH45" s="232">
        <f>AH54</f>
        <v>137</v>
      </c>
      <c r="AI45" s="232">
        <f>AI54</f>
        <v>210</v>
      </c>
      <c r="AJ45" s="232">
        <f>AJ54</f>
        <v>140</v>
      </c>
      <c r="AK45" s="232">
        <f>AK54</f>
        <v>256</v>
      </c>
      <c r="AL45" s="181">
        <f t="shared" si="50"/>
        <v>743</v>
      </c>
      <c r="AM45" s="232">
        <f>AM54</f>
        <v>150</v>
      </c>
      <c r="AN45" s="232">
        <f>AN54</f>
        <v>150</v>
      </c>
      <c r="AO45" s="232">
        <f>AO54</f>
        <v>150</v>
      </c>
      <c r="AP45" s="232">
        <f>AP54</f>
        <v>200</v>
      </c>
      <c r="AQ45" s="181">
        <f t="shared" si="51"/>
        <v>650</v>
      </c>
    </row>
    <row r="46" spans="1:43" hidden="1" outlineLevel="1">
      <c r="B46" s="170"/>
      <c r="C46" s="209" t="s">
        <v>315</v>
      </c>
      <c r="D46" s="232">
        <f>-D40</f>
        <v>-147</v>
      </c>
      <c r="E46" s="232">
        <f t="shared" ref="E46:AA46" si="53">-E40</f>
        <v>-180</v>
      </c>
      <c r="F46" s="232">
        <f t="shared" si="53"/>
        <v>-128</v>
      </c>
      <c r="G46" s="232">
        <f t="shared" si="53"/>
        <v>-73</v>
      </c>
      <c r="H46" s="181">
        <f t="shared" si="44"/>
        <v>-528</v>
      </c>
      <c r="I46" s="232">
        <f t="shared" si="53"/>
        <v>25</v>
      </c>
      <c r="J46" s="232">
        <f t="shared" si="53"/>
        <v>146</v>
      </c>
      <c r="K46" s="232">
        <f t="shared" si="53"/>
        <v>115</v>
      </c>
      <c r="L46" s="232">
        <f t="shared" si="53"/>
        <v>15</v>
      </c>
      <c r="M46" s="181">
        <f t="shared" si="45"/>
        <v>301</v>
      </c>
      <c r="N46" s="219">
        <f t="shared" si="53"/>
        <v>44</v>
      </c>
      <c r="O46" s="219">
        <f t="shared" si="53"/>
        <v>71</v>
      </c>
      <c r="P46" s="232">
        <f t="shared" si="53"/>
        <v>129</v>
      </c>
      <c r="Q46" s="232">
        <f t="shared" si="53"/>
        <v>190</v>
      </c>
      <c r="R46" s="181">
        <f t="shared" si="46"/>
        <v>434</v>
      </c>
      <c r="S46" s="232">
        <f t="shared" si="53"/>
        <v>63</v>
      </c>
      <c r="T46" s="232">
        <f t="shared" si="53"/>
        <v>171</v>
      </c>
      <c r="U46" s="232">
        <f t="shared" si="53"/>
        <v>-50</v>
      </c>
      <c r="V46" s="232">
        <f t="shared" si="53"/>
        <v>-1413</v>
      </c>
      <c r="W46" s="181">
        <f t="shared" si="47"/>
        <v>-1229</v>
      </c>
      <c r="X46" s="232">
        <f t="shared" si="53"/>
        <v>-1955</v>
      </c>
      <c r="Y46" s="232">
        <f t="shared" si="53"/>
        <v>-2133</v>
      </c>
      <c r="Z46" s="232">
        <f t="shared" si="53"/>
        <v>-1931</v>
      </c>
      <c r="AA46" s="232">
        <f t="shared" si="53"/>
        <v>-2119</v>
      </c>
      <c r="AB46" s="181">
        <f t="shared" si="48"/>
        <v>-8138</v>
      </c>
      <c r="AC46" s="232">
        <f>-AC40</f>
        <v>-1836</v>
      </c>
      <c r="AD46" s="232">
        <f>-AD40</f>
        <v>-1655</v>
      </c>
      <c r="AE46" s="232">
        <f>-AE40</f>
        <v>-1837</v>
      </c>
      <c r="AF46" s="232">
        <f>-AF40</f>
        <v>-953</v>
      </c>
      <c r="AG46" s="181">
        <f t="shared" si="49"/>
        <v>-6281</v>
      </c>
      <c r="AH46" s="232">
        <f>-AH40</f>
        <v>-1354</v>
      </c>
      <c r="AI46" s="232">
        <f>-AI40</f>
        <v>-1208</v>
      </c>
      <c r="AJ46" s="232">
        <f>-AJ40</f>
        <v>-937</v>
      </c>
      <c r="AK46" s="232">
        <f>-AK40</f>
        <v>-996</v>
      </c>
      <c r="AL46" s="181">
        <f t="shared" si="50"/>
        <v>-4495</v>
      </c>
      <c r="AM46" s="232">
        <f>-AM40</f>
        <v>-971</v>
      </c>
      <c r="AN46" s="232">
        <f>-AN40</f>
        <v>-946</v>
      </c>
      <c r="AO46" s="232">
        <f>-AO40</f>
        <v>-916</v>
      </c>
      <c r="AP46" s="232">
        <f>-AP40</f>
        <v>-866</v>
      </c>
      <c r="AQ46" s="181">
        <f t="shared" si="51"/>
        <v>-3699</v>
      </c>
    </row>
    <row r="47" spans="1:43" hidden="1" outlineLevel="1">
      <c r="B47" s="170"/>
      <c r="C47" s="209" t="s">
        <v>316</v>
      </c>
      <c r="D47" s="232">
        <f>D141</f>
        <v>2632</v>
      </c>
      <c r="E47" s="232">
        <f>E141</f>
        <v>534</v>
      </c>
      <c r="F47" s="232">
        <f>F141</f>
        <v>453</v>
      </c>
      <c r="G47" s="232">
        <f>G141</f>
        <v>501</v>
      </c>
      <c r="H47" s="181">
        <f t="shared" si="44"/>
        <v>4120</v>
      </c>
      <c r="I47" s="232">
        <f>I141</f>
        <v>488</v>
      </c>
      <c r="J47" s="232">
        <f>J141</f>
        <v>504</v>
      </c>
      <c r="K47" s="232">
        <f>K141</f>
        <v>506</v>
      </c>
      <c r="L47" s="219">
        <f>L141</f>
        <v>495</v>
      </c>
      <c r="M47" s="181">
        <f t="shared" si="45"/>
        <v>1993</v>
      </c>
      <c r="N47" s="219">
        <f>N141</f>
        <v>488</v>
      </c>
      <c r="O47" s="219">
        <f>O31</f>
        <v>966</v>
      </c>
      <c r="P47" s="232">
        <f t="shared" ref="P47:AA47" si="54">P31</f>
        <v>1054</v>
      </c>
      <c r="Q47" s="219">
        <f t="shared" si="54"/>
        <v>3095</v>
      </c>
      <c r="R47" s="181">
        <f t="shared" si="46"/>
        <v>5603</v>
      </c>
      <c r="S47" s="232">
        <f t="shared" si="54"/>
        <v>3206</v>
      </c>
      <c r="T47" s="232">
        <f t="shared" si="54"/>
        <v>5522</v>
      </c>
      <c r="U47" s="232">
        <f t="shared" si="54"/>
        <v>5665</v>
      </c>
      <c r="V47" s="219">
        <f t="shared" si="54"/>
        <v>7344</v>
      </c>
      <c r="W47" s="181">
        <f t="shared" si="47"/>
        <v>21737</v>
      </c>
      <c r="X47" s="232">
        <f t="shared" si="54"/>
        <v>7224</v>
      </c>
      <c r="Y47" s="232">
        <f t="shared" si="54"/>
        <v>6868</v>
      </c>
      <c r="Z47" s="232">
        <f t="shared" si="54"/>
        <v>-2881</v>
      </c>
      <c r="AA47" s="219">
        <f t="shared" si="54"/>
        <v>4947</v>
      </c>
      <c r="AB47" s="181">
        <f t="shared" si="48"/>
        <v>16158</v>
      </c>
      <c r="AC47" s="232">
        <f>AC31</f>
        <v>5673</v>
      </c>
      <c r="AD47" s="232">
        <f>AD31</f>
        <v>6058</v>
      </c>
      <c r="AE47" s="232">
        <f>AE31</f>
        <v>5147</v>
      </c>
      <c r="AF47" s="219">
        <f>AF31</f>
        <v>5391</v>
      </c>
      <c r="AG47" s="181">
        <f t="shared" si="49"/>
        <v>22269</v>
      </c>
      <c r="AH47" s="232">
        <f>AH31</f>
        <v>5879</v>
      </c>
      <c r="AI47" s="232">
        <f>AI31</f>
        <v>6478</v>
      </c>
      <c r="AJ47" s="232">
        <f>AJ31</f>
        <v>6090</v>
      </c>
      <c r="AK47" s="219">
        <f>AK31</f>
        <v>6017</v>
      </c>
      <c r="AL47" s="181">
        <f t="shared" si="50"/>
        <v>24464</v>
      </c>
      <c r="AM47" s="232">
        <f>AM31</f>
        <v>6000</v>
      </c>
      <c r="AN47" s="232">
        <f>AN31</f>
        <v>6000</v>
      </c>
      <c r="AO47" s="232">
        <f>AO31</f>
        <v>6000</v>
      </c>
      <c r="AP47" s="219">
        <f>AP31</f>
        <v>6000</v>
      </c>
      <c r="AQ47" s="181">
        <f t="shared" si="51"/>
        <v>24000</v>
      </c>
    </row>
    <row r="48" spans="1:43" hidden="1" outlineLevel="1">
      <c r="B48" s="170"/>
      <c r="C48" s="209" t="s">
        <v>150</v>
      </c>
      <c r="D48" s="232">
        <f>D125</f>
        <v>0</v>
      </c>
      <c r="E48" s="232">
        <f>E125</f>
        <v>0</v>
      </c>
      <c r="F48" s="232">
        <f>F125</f>
        <v>0</v>
      </c>
      <c r="G48" s="232">
        <f>G125</f>
        <v>0</v>
      </c>
      <c r="H48" s="181">
        <f t="shared" si="44"/>
        <v>0</v>
      </c>
      <c r="I48" s="232">
        <f>I125</f>
        <v>0</v>
      </c>
      <c r="J48" s="232">
        <f>J125</f>
        <v>0</v>
      </c>
      <c r="K48" s="232">
        <f>K125</f>
        <v>-1057</v>
      </c>
      <c r="L48" s="219">
        <f>L125</f>
        <v>0</v>
      </c>
      <c r="M48" s="181">
        <f t="shared" si="45"/>
        <v>-1057</v>
      </c>
      <c r="N48" s="219">
        <f>N125</f>
        <v>0</v>
      </c>
      <c r="O48" s="219"/>
      <c r="P48" s="232"/>
      <c r="Q48" s="219">
        <v>160</v>
      </c>
      <c r="R48" s="181">
        <f t="shared" si="46"/>
        <v>160</v>
      </c>
      <c r="S48" s="232">
        <v>275</v>
      </c>
      <c r="T48" s="232">
        <f>+T32+135</f>
        <v>1319</v>
      </c>
      <c r="U48" s="232">
        <f>87+329</f>
        <v>416</v>
      </c>
      <c r="V48" s="219">
        <f>23+540</f>
        <v>563</v>
      </c>
      <c r="W48" s="181">
        <f t="shared" si="47"/>
        <v>2573</v>
      </c>
      <c r="X48" s="232">
        <f>1016+110</f>
        <v>1126</v>
      </c>
      <c r="Y48" s="232">
        <f>134+1574</f>
        <v>1708</v>
      </c>
      <c r="Z48" s="232">
        <v>175</v>
      </c>
      <c r="AA48" s="219">
        <f>51+500+74</f>
        <v>625</v>
      </c>
      <c r="AB48" s="181">
        <f t="shared" si="48"/>
        <v>3634</v>
      </c>
      <c r="AC48" s="232">
        <f>193+199</f>
        <v>392</v>
      </c>
      <c r="AD48" s="232">
        <f>178+384</f>
        <v>562</v>
      </c>
      <c r="AE48" s="232">
        <f>95+143</f>
        <v>238</v>
      </c>
      <c r="AF48" s="219">
        <f>71+303+31+15213</f>
        <v>15618</v>
      </c>
      <c r="AG48" s="181">
        <f t="shared" si="49"/>
        <v>16810</v>
      </c>
      <c r="AH48" s="232">
        <f>150+565</f>
        <v>715</v>
      </c>
      <c r="AI48" s="232">
        <f>161+1581</f>
        <v>1742</v>
      </c>
      <c r="AJ48" s="232">
        <f>150+AJ32</f>
        <v>7173</v>
      </c>
      <c r="AK48" s="219">
        <v>139</v>
      </c>
      <c r="AL48" s="181">
        <f t="shared" si="50"/>
        <v>9769</v>
      </c>
      <c r="AM48" s="938"/>
      <c r="AN48" s="938"/>
      <c r="AO48" s="938"/>
      <c r="AP48" s="938"/>
      <c r="AQ48" s="181">
        <f t="shared" si="51"/>
        <v>0</v>
      </c>
    </row>
    <row r="49" spans="1:45" hidden="1" outlineLevel="1">
      <c r="B49" s="170"/>
      <c r="C49" s="209"/>
      <c r="D49" s="232"/>
      <c r="E49" s="232"/>
      <c r="F49" s="232"/>
      <c r="G49" s="232"/>
      <c r="H49" s="181"/>
      <c r="I49" s="232"/>
      <c r="J49" s="232"/>
      <c r="K49" s="232"/>
      <c r="L49" s="219"/>
      <c r="M49" s="181"/>
      <c r="N49" s="219"/>
      <c r="O49" s="219"/>
      <c r="P49" s="232"/>
      <c r="Q49" s="219"/>
      <c r="R49" s="181"/>
      <c r="S49" s="232"/>
      <c r="T49" s="232"/>
      <c r="U49" s="232"/>
      <c r="V49" s="219"/>
      <c r="W49" s="181"/>
      <c r="X49" s="232"/>
      <c r="Y49" s="232"/>
      <c r="Z49" s="232"/>
      <c r="AA49" s="219"/>
      <c r="AB49" s="181"/>
      <c r="AC49" s="232"/>
      <c r="AD49" s="232"/>
      <c r="AE49" s="232"/>
      <c r="AF49" s="219"/>
      <c r="AG49" s="181"/>
      <c r="AH49" s="232"/>
      <c r="AI49" s="232"/>
      <c r="AJ49" s="232"/>
      <c r="AK49" s="219"/>
      <c r="AL49" s="181"/>
      <c r="AM49" s="232"/>
      <c r="AN49" s="232"/>
      <c r="AO49" s="232"/>
      <c r="AP49" s="219"/>
      <c r="AQ49" s="181"/>
    </row>
    <row r="50" spans="1:45" s="197" customFormat="1" ht="13.15" collapsed="1">
      <c r="B50" s="193" t="s">
        <v>4</v>
      </c>
      <c r="C50" s="211"/>
      <c r="D50" s="391">
        <f>SUM(D43:D48)</f>
        <v>-4344</v>
      </c>
      <c r="E50" s="391">
        <f t="shared" ref="E50:N50" si="55">SUM(E43:E48)</f>
        <v>-6519</v>
      </c>
      <c r="F50" s="391">
        <f t="shared" si="55"/>
        <v>-7087</v>
      </c>
      <c r="G50" s="391">
        <f t="shared" si="55"/>
        <v>-7478</v>
      </c>
      <c r="H50" s="392">
        <f t="shared" si="55"/>
        <v>-25428</v>
      </c>
      <c r="I50" s="391">
        <f t="shared" si="55"/>
        <v>-10320</v>
      </c>
      <c r="J50" s="391">
        <f t="shared" si="55"/>
        <v>-4386</v>
      </c>
      <c r="K50" s="391">
        <f t="shared" si="55"/>
        <v>-3177</v>
      </c>
      <c r="L50" s="391">
        <f t="shared" si="55"/>
        <v>-2058</v>
      </c>
      <c r="M50" s="392">
        <f t="shared" si="55"/>
        <v>-19941</v>
      </c>
      <c r="N50" s="393">
        <f t="shared" si="55"/>
        <v>-1936</v>
      </c>
      <c r="O50" s="393">
        <f t="shared" ref="O50:AB50" si="56">SUM(O43:O49)</f>
        <v>-1597</v>
      </c>
      <c r="P50" s="391">
        <f t="shared" si="56"/>
        <v>-7587</v>
      </c>
      <c r="Q50" s="391">
        <f t="shared" si="56"/>
        <v>-5272</v>
      </c>
      <c r="R50" s="392">
        <f>SUM(R43:R49)</f>
        <v>-16392</v>
      </c>
      <c r="S50" s="391">
        <f t="shared" si="56"/>
        <v>-7821</v>
      </c>
      <c r="T50" s="391">
        <f>SUM(T43:T49)</f>
        <v>-12415</v>
      </c>
      <c r="U50" s="391">
        <f t="shared" si="56"/>
        <v>-13065</v>
      </c>
      <c r="V50" s="391">
        <f t="shared" si="56"/>
        <v>-11223</v>
      </c>
      <c r="W50" s="392">
        <f t="shared" si="56"/>
        <v>-44524</v>
      </c>
      <c r="X50" s="391">
        <f t="shared" si="56"/>
        <v>-12978</v>
      </c>
      <c r="Y50" s="391">
        <f t="shared" si="56"/>
        <v>-7410</v>
      </c>
      <c r="Z50" s="391">
        <f t="shared" si="56"/>
        <v>-4549</v>
      </c>
      <c r="AA50" s="391">
        <f t="shared" si="56"/>
        <v>-957</v>
      </c>
      <c r="AB50" s="392">
        <f t="shared" si="56"/>
        <v>-25894</v>
      </c>
      <c r="AC50" s="391">
        <f t="shared" ref="AC50:AQ50" si="57">SUM(AC43:AC49)</f>
        <v>-5192</v>
      </c>
      <c r="AD50" s="391">
        <f t="shared" si="57"/>
        <v>-4736</v>
      </c>
      <c r="AE50" s="391">
        <f t="shared" si="57"/>
        <v>-4503</v>
      </c>
      <c r="AF50" s="391">
        <f t="shared" si="57"/>
        <v>-4287</v>
      </c>
      <c r="AG50" s="392">
        <f t="shared" si="57"/>
        <v>-18718</v>
      </c>
      <c r="AH50" s="391">
        <f t="shared" si="57"/>
        <v>-5089</v>
      </c>
      <c r="AI50" s="391">
        <f t="shared" si="57"/>
        <v>-2688</v>
      </c>
      <c r="AJ50" s="391">
        <f t="shared" ref="AJ50:AK50" si="58">SUM(AJ43:AJ49)</f>
        <v>-297</v>
      </c>
      <c r="AK50" s="391">
        <f t="shared" si="58"/>
        <v>-2159</v>
      </c>
      <c r="AL50" s="392">
        <f t="shared" si="57"/>
        <v>-10233</v>
      </c>
      <c r="AM50" s="391">
        <f>SUM(AM43:AM49)</f>
        <v>-5010.9396079999988</v>
      </c>
      <c r="AN50" s="391">
        <f t="shared" si="57"/>
        <v>-1245.6591750000016</v>
      </c>
      <c r="AO50" s="391">
        <f t="shared" si="57"/>
        <v>-310.35716687499826</v>
      </c>
      <c r="AP50" s="391">
        <f t="shared" si="57"/>
        <v>60.581538685626583</v>
      </c>
      <c r="AQ50" s="392">
        <f t="shared" si="57"/>
        <v>-6506.374411189372</v>
      </c>
      <c r="AS50" s="888"/>
    </row>
    <row r="51" spans="1:45" s="419" customFormat="1" ht="11.25">
      <c r="A51" s="360"/>
      <c r="B51" s="361"/>
      <c r="C51" s="380" t="s">
        <v>146</v>
      </c>
      <c r="D51" s="368">
        <f t="shared" ref="D51:AQ51" si="59">D50/D11</f>
        <v>-0.41857776064752361</v>
      </c>
      <c r="E51" s="368">
        <f t="shared" si="59"/>
        <v>-0.5766475011057054</v>
      </c>
      <c r="F51" s="368">
        <f t="shared" si="59"/>
        <v>-0.56014859310780907</v>
      </c>
      <c r="G51" s="365">
        <f t="shared" si="59"/>
        <v>-0.52584206455242244</v>
      </c>
      <c r="H51" s="381">
        <f t="shared" si="59"/>
        <v>-0.52368399373918773</v>
      </c>
      <c r="I51" s="368">
        <f t="shared" si="59"/>
        <v>-0.65866734745979061</v>
      </c>
      <c r="J51" s="368">
        <f t="shared" si="59"/>
        <v>-0.27888344884593375</v>
      </c>
      <c r="K51" s="368">
        <f t="shared" si="59"/>
        <v>-0.17785366399820859</v>
      </c>
      <c r="L51" s="365">
        <f t="shared" si="59"/>
        <v>-0.10726571458355051</v>
      </c>
      <c r="M51" s="381">
        <f t="shared" si="59"/>
        <v>-0.2913476710887733</v>
      </c>
      <c r="N51" s="365">
        <f t="shared" si="59"/>
        <v>-9.1618948464341488E-2</v>
      </c>
      <c r="O51" s="365">
        <f t="shared" si="59"/>
        <v>-5.40494804887129E-2</v>
      </c>
      <c r="P51" s="368">
        <f t="shared" si="59"/>
        <v>-0.2541367990888993</v>
      </c>
      <c r="Q51" s="365">
        <f t="shared" si="59"/>
        <v>-0.155930198166223</v>
      </c>
      <c r="R51" s="381">
        <f t="shared" si="59"/>
        <v>-0.14335939549771737</v>
      </c>
      <c r="S51" s="368">
        <f t="shared" si="59"/>
        <v>-0.22690611581756992</v>
      </c>
      <c r="T51" s="368">
        <f t="shared" si="59"/>
        <v>-0.36828834173835656</v>
      </c>
      <c r="U51" s="368">
        <f t="shared" si="59"/>
        <v>-0.37897026831036984</v>
      </c>
      <c r="V51" s="365">
        <f t="shared" si="59"/>
        <v>-0.34493038694409439</v>
      </c>
      <c r="W51" s="381">
        <f t="shared" si="59"/>
        <v>-0.32934388638212886</v>
      </c>
      <c r="X51" s="368">
        <f t="shared" si="59"/>
        <v>-0.39174137462646019</v>
      </c>
      <c r="Y51" s="368">
        <f t="shared" si="59"/>
        <v>-0.21618625277161863</v>
      </c>
      <c r="Z51" s="368">
        <f t="shared" si="59"/>
        <v>-0.13018344160489942</v>
      </c>
      <c r="AA51" s="365">
        <f t="shared" si="59"/>
        <v>-2.6775222427396342E-2</v>
      </c>
      <c r="AB51" s="381">
        <f t="shared" si="59"/>
        <v>-0.18751538851473676</v>
      </c>
      <c r="AC51" s="368">
        <f t="shared" si="59"/>
        <v>-0.14596159793089877</v>
      </c>
      <c r="AD51" s="368">
        <f t="shared" si="59"/>
        <v>-0.13153728648798779</v>
      </c>
      <c r="AE51" s="368">
        <f t="shared" si="59"/>
        <v>-0.12416588540230519</v>
      </c>
      <c r="AF51" s="365">
        <f t="shared" si="59"/>
        <v>-0.11586799643233602</v>
      </c>
      <c r="AG51" s="381">
        <f t="shared" si="59"/>
        <v>-0.12923136404747274</v>
      </c>
      <c r="AH51" s="368">
        <f t="shared" si="59"/>
        <v>-0.13884265953673641</v>
      </c>
      <c r="AI51" s="368">
        <f>AI50/AI11</f>
        <v>-7.054007242953865E-2</v>
      </c>
      <c r="AJ51" s="368">
        <f t="shared" ref="AJ51:AK51" si="60">AJ50/AJ11</f>
        <v>-7.2582418925193678E-3</v>
      </c>
      <c r="AK51" s="365">
        <f t="shared" si="60"/>
        <v>-5.2439824148065389E-2</v>
      </c>
      <c r="AL51" s="381">
        <f t="shared" si="59"/>
        <v>-6.5241091750664656E-2</v>
      </c>
      <c r="AM51" s="368">
        <f t="shared" si="59"/>
        <v>-0.12606170360797922</v>
      </c>
      <c r="AN51" s="368">
        <f t="shared" si="59"/>
        <v>-2.9445854562921484E-2</v>
      </c>
      <c r="AO51" s="368">
        <f t="shared" si="59"/>
        <v>-7.0469084818341595E-3</v>
      </c>
      <c r="AP51" s="365">
        <f t="shared" si="59"/>
        <v>1.3195772608246713E-3</v>
      </c>
      <c r="AQ51" s="381">
        <f t="shared" si="59"/>
        <v>-3.7826726766516494E-2</v>
      </c>
    </row>
    <row r="52" spans="1:45" ht="9.75" customHeight="1">
      <c r="B52" s="170"/>
      <c r="C52" s="209"/>
      <c r="D52" s="239"/>
      <c r="E52" s="239"/>
      <c r="F52" s="239"/>
      <c r="G52" s="180"/>
      <c r="H52" s="179"/>
      <c r="I52" s="239"/>
      <c r="J52" s="239"/>
      <c r="K52" s="239"/>
      <c r="L52" s="180"/>
      <c r="M52" s="179"/>
      <c r="N52" s="180"/>
      <c r="O52" s="180"/>
      <c r="P52" s="239"/>
      <c r="Q52" s="180"/>
      <c r="R52" s="179"/>
      <c r="S52" s="239"/>
      <c r="T52" s="239"/>
      <c r="U52" s="239"/>
      <c r="V52" s="180"/>
      <c r="W52" s="179"/>
      <c r="X52" s="239"/>
      <c r="Y52" s="239"/>
      <c r="Z52" s="239"/>
      <c r="AA52" s="180"/>
      <c r="AB52" s="179"/>
      <c r="AC52" s="239"/>
      <c r="AD52" s="239"/>
      <c r="AE52" s="239"/>
      <c r="AF52" s="180"/>
      <c r="AG52" s="179"/>
      <c r="AH52" s="239"/>
      <c r="AI52" s="239"/>
      <c r="AJ52" s="239"/>
      <c r="AK52" s="180"/>
      <c r="AL52" s="179"/>
      <c r="AM52" s="239"/>
      <c r="AN52" s="239"/>
      <c r="AO52" s="239"/>
      <c r="AP52" s="180"/>
      <c r="AQ52" s="179"/>
    </row>
    <row r="53" spans="1:45">
      <c r="B53" s="170" t="s">
        <v>145</v>
      </c>
      <c r="C53" s="209"/>
      <c r="D53" s="232">
        <f t="shared" ref="D53:AQ53" si="61">D27+D40</f>
        <v>-4317</v>
      </c>
      <c r="E53" s="232">
        <f t="shared" si="61"/>
        <v>-6515</v>
      </c>
      <c r="F53" s="232">
        <f t="shared" si="61"/>
        <v>-7206</v>
      </c>
      <c r="G53" s="232">
        <f t="shared" si="61"/>
        <v>-7664</v>
      </c>
      <c r="H53" s="181">
        <f t="shared" si="61"/>
        <v>-25702</v>
      </c>
      <c r="I53" s="232">
        <f t="shared" si="61"/>
        <v>-10723</v>
      </c>
      <c r="J53" s="232">
        <f t="shared" si="61"/>
        <v>-4953</v>
      </c>
      <c r="K53" s="232">
        <f t="shared" si="61"/>
        <v>-3707</v>
      </c>
      <c r="L53" s="219">
        <f t="shared" si="61"/>
        <v>-2483</v>
      </c>
      <c r="M53" s="181">
        <f t="shared" si="61"/>
        <v>-21866</v>
      </c>
      <c r="N53" s="219">
        <f t="shared" si="61"/>
        <v>-2404</v>
      </c>
      <c r="O53" s="219">
        <f t="shared" si="61"/>
        <v>-2074</v>
      </c>
      <c r="P53" s="232">
        <f t="shared" si="61"/>
        <v>-8140</v>
      </c>
      <c r="Q53" s="219">
        <f t="shared" si="61"/>
        <v>-6042</v>
      </c>
      <c r="R53" s="181">
        <f t="shared" si="61"/>
        <v>-18660</v>
      </c>
      <c r="S53" s="232">
        <f t="shared" si="61"/>
        <v>-8614</v>
      </c>
      <c r="T53" s="232">
        <f t="shared" si="61"/>
        <v>-13421</v>
      </c>
      <c r="U53" s="232">
        <f t="shared" si="61"/>
        <v>-14026</v>
      </c>
      <c r="V53" s="219">
        <f t="shared" si="61"/>
        <v>-10728</v>
      </c>
      <c r="W53" s="181">
        <f t="shared" si="61"/>
        <v>-46789</v>
      </c>
      <c r="X53" s="232">
        <f t="shared" si="61"/>
        <v>-12085</v>
      </c>
      <c r="Y53" s="232">
        <f t="shared" si="61"/>
        <v>-6416</v>
      </c>
      <c r="Z53" s="232">
        <f t="shared" si="61"/>
        <v>-3847</v>
      </c>
      <c r="AA53" s="219">
        <f t="shared" si="61"/>
        <v>-37</v>
      </c>
      <c r="AB53" s="181">
        <f t="shared" si="61"/>
        <v>-22385</v>
      </c>
      <c r="AC53" s="232">
        <f t="shared" si="61"/>
        <v>-4624</v>
      </c>
      <c r="AD53" s="232">
        <f t="shared" si="61"/>
        <v>-4287</v>
      </c>
      <c r="AE53" s="232">
        <f t="shared" si="61"/>
        <v>-3750</v>
      </c>
      <c r="AF53" s="219">
        <f t="shared" si="61"/>
        <v>-4239</v>
      </c>
      <c r="AG53" s="181">
        <f t="shared" si="61"/>
        <v>-16900</v>
      </c>
      <c r="AH53" s="232">
        <f t="shared" si="61"/>
        <v>-4812</v>
      </c>
      <c r="AI53" s="232">
        <f>AI27+AI40</f>
        <v>-2543</v>
      </c>
      <c r="AJ53" s="232">
        <f t="shared" ref="AJ53:AK53" si="62">AJ27+AJ40</f>
        <v>-412</v>
      </c>
      <c r="AK53" s="219">
        <f t="shared" si="62"/>
        <v>-2229</v>
      </c>
      <c r="AL53" s="181">
        <f t="shared" si="61"/>
        <v>-9996</v>
      </c>
      <c r="AM53" s="232">
        <f t="shared" si="61"/>
        <v>-4911.9846079999988</v>
      </c>
      <c r="AN53" s="232">
        <f t="shared" si="61"/>
        <v>-1169.1690000000017</v>
      </c>
      <c r="AO53" s="232">
        <f t="shared" si="61"/>
        <v>-273.12336199999845</v>
      </c>
      <c r="AP53" s="219">
        <f t="shared" si="61"/>
        <v>39.62345600000117</v>
      </c>
      <c r="AQ53" s="181">
        <f t="shared" si="61"/>
        <v>-6314.6535140000051</v>
      </c>
    </row>
    <row r="54" spans="1:45" ht="13.5" customHeight="1">
      <c r="A54" s="158"/>
      <c r="B54" s="157"/>
      <c r="C54" s="160" t="s">
        <v>142</v>
      </c>
      <c r="D54" s="231">
        <f>D133</f>
        <v>3</v>
      </c>
      <c r="E54" s="231">
        <f>E133</f>
        <v>2</v>
      </c>
      <c r="F54" s="231">
        <f>F133</f>
        <v>2</v>
      </c>
      <c r="G54" s="231">
        <f>G133</f>
        <v>2</v>
      </c>
      <c r="H54" s="155">
        <f>H133</f>
        <v>9</v>
      </c>
      <c r="I54" s="231">
        <f>+I133</f>
        <v>25</v>
      </c>
      <c r="J54" s="231">
        <f>+J133</f>
        <v>20</v>
      </c>
      <c r="K54" s="231">
        <f>+K133</f>
        <v>13</v>
      </c>
      <c r="L54" s="231">
        <f>+L133</f>
        <v>13</v>
      </c>
      <c r="M54" s="155">
        <f>SUM(I54:L54)</f>
        <v>71</v>
      </c>
      <c r="N54" s="230">
        <f>+N133</f>
        <v>36</v>
      </c>
      <c r="O54" s="230">
        <v>43</v>
      </c>
      <c r="P54" s="650">
        <v>31</v>
      </c>
      <c r="Q54" s="650">
        <v>-29</v>
      </c>
      <c r="R54" s="155">
        <f>SUM(N54:Q54)</f>
        <v>81</v>
      </c>
      <c r="S54" s="650">
        <v>29</v>
      </c>
      <c r="T54" s="650">
        <v>44</v>
      </c>
      <c r="U54" s="231">
        <v>38</v>
      </c>
      <c r="V54" s="650">
        <v>75</v>
      </c>
      <c r="W54" s="155">
        <f>SUM(S54:V54)</f>
        <v>186</v>
      </c>
      <c r="X54" s="650">
        <f>X60</f>
        <v>40</v>
      </c>
      <c r="Y54" s="650">
        <f>Y60</f>
        <v>57</v>
      </c>
      <c r="Z54" s="650">
        <f>Z60</f>
        <v>64</v>
      </c>
      <c r="AA54" s="650">
        <f>AA60</f>
        <v>282</v>
      </c>
      <c r="AB54" s="155">
        <f>SUM(X54:AA54)</f>
        <v>443</v>
      </c>
      <c r="AC54" s="650">
        <v>86</v>
      </c>
      <c r="AD54" s="650">
        <v>105</v>
      </c>
      <c r="AE54" s="650">
        <f>AE60</f>
        <v>118</v>
      </c>
      <c r="AF54" s="650">
        <f>AF60</f>
        <v>23</v>
      </c>
      <c r="AG54" s="155">
        <f>SUM(AC54:AF54)</f>
        <v>332</v>
      </c>
      <c r="AH54" s="650">
        <f>AH60</f>
        <v>137</v>
      </c>
      <c r="AI54" s="650">
        <f>AI60</f>
        <v>210</v>
      </c>
      <c r="AJ54" s="650">
        <f>AJ60</f>
        <v>140</v>
      </c>
      <c r="AK54" s="650">
        <f>AK60</f>
        <v>256</v>
      </c>
      <c r="AL54" s="155">
        <f>SUM(AH54:AK54)</f>
        <v>743</v>
      </c>
      <c r="AM54" s="441">
        <v>150</v>
      </c>
      <c r="AN54" s="441">
        <v>150</v>
      </c>
      <c r="AO54" s="441">
        <v>150</v>
      </c>
      <c r="AP54" s="441">
        <v>200</v>
      </c>
      <c r="AQ54" s="155">
        <f>SUM(AM54:AP54)</f>
        <v>650</v>
      </c>
    </row>
    <row r="55" spans="1:45" s="438" customFormat="1" ht="15.2" customHeight="1" thickBot="1">
      <c r="A55" s="369"/>
      <c r="B55" s="435"/>
      <c r="C55" s="436" t="s">
        <v>141</v>
      </c>
      <c r="D55" s="370">
        <f t="shared" ref="D55:AB55" si="63">D54/D53</f>
        <v>-6.9492703266157052E-4</v>
      </c>
      <c r="E55" s="370">
        <f t="shared" si="63"/>
        <v>-3.0698388334612431E-4</v>
      </c>
      <c r="F55" s="370">
        <f t="shared" si="63"/>
        <v>-2.7754648903691371E-4</v>
      </c>
      <c r="G55" s="370">
        <f t="shared" si="63"/>
        <v>-2.6096033402922753E-4</v>
      </c>
      <c r="H55" s="437">
        <f t="shared" si="63"/>
        <v>-3.5016730215547428E-4</v>
      </c>
      <c r="I55" s="370">
        <f t="shared" si="63"/>
        <v>-2.3314370978271006E-3</v>
      </c>
      <c r="J55" s="370">
        <f t="shared" si="63"/>
        <v>-4.0379567938623054E-3</v>
      </c>
      <c r="K55" s="370">
        <f t="shared" si="63"/>
        <v>-3.5068788777987592E-3</v>
      </c>
      <c r="L55" s="370">
        <f t="shared" si="63"/>
        <v>-5.235602094240838E-3</v>
      </c>
      <c r="M55" s="437">
        <f t="shared" si="63"/>
        <v>-3.2470502149455774E-3</v>
      </c>
      <c r="N55" s="609">
        <f t="shared" si="63"/>
        <v>-1.4975041597337771E-2</v>
      </c>
      <c r="O55" s="609">
        <f t="shared" si="63"/>
        <v>-2.0732883317261332E-2</v>
      </c>
      <c r="P55" s="370">
        <f t="shared" si="63"/>
        <v>-3.8083538083538084E-3</v>
      </c>
      <c r="Q55" s="370">
        <f t="shared" si="63"/>
        <v>4.7997351870241638E-3</v>
      </c>
      <c r="R55" s="437">
        <f t="shared" si="63"/>
        <v>-4.3408360128617367E-3</v>
      </c>
      <c r="S55" s="370">
        <f t="shared" si="63"/>
        <v>-3.3666124912932437E-3</v>
      </c>
      <c r="T55" s="370">
        <f t="shared" si="63"/>
        <v>-3.2784442291930557E-3</v>
      </c>
      <c r="U55" s="370">
        <f t="shared" si="63"/>
        <v>-2.7092542421217739E-3</v>
      </c>
      <c r="V55" s="370">
        <f t="shared" si="63"/>
        <v>-6.9910514541387022E-3</v>
      </c>
      <c r="W55" s="437">
        <f t="shared" si="63"/>
        <v>-3.975293338177777E-3</v>
      </c>
      <c r="X55" s="370">
        <f t="shared" si="63"/>
        <v>-3.3098882912701694E-3</v>
      </c>
      <c r="Y55" s="370">
        <f t="shared" si="63"/>
        <v>-8.8840399002493766E-3</v>
      </c>
      <c r="Z55" s="370">
        <f t="shared" si="63"/>
        <v>-1.6636340005198855E-2</v>
      </c>
      <c r="AA55" s="370">
        <f t="shared" si="63"/>
        <v>-7.6216216216216219</v>
      </c>
      <c r="AB55" s="437">
        <f t="shared" si="63"/>
        <v>-1.9790037971856154E-2</v>
      </c>
      <c r="AC55" s="370">
        <f t="shared" ref="AC55:AQ55" si="64">AC54/AC53</f>
        <v>-1.8598615916955018E-2</v>
      </c>
      <c r="AD55" s="370">
        <f t="shared" si="64"/>
        <v>-2.4492652204338699E-2</v>
      </c>
      <c r="AE55" s="370">
        <f t="shared" si="64"/>
        <v>-3.1466666666666664E-2</v>
      </c>
      <c r="AF55" s="370">
        <f t="shared" si="64"/>
        <v>-5.4258079735786738E-3</v>
      </c>
      <c r="AG55" s="437">
        <f t="shared" si="64"/>
        <v>-1.9644970414201185E-2</v>
      </c>
      <c r="AH55" s="370">
        <f t="shared" si="64"/>
        <v>-2.8470490440565252E-2</v>
      </c>
      <c r="AI55" s="370">
        <f t="shared" si="64"/>
        <v>-8.257963035784506E-2</v>
      </c>
      <c r="AJ55" s="370">
        <f t="shared" ref="AJ55:AK55" si="65">AJ54/AJ53</f>
        <v>-0.33980582524271846</v>
      </c>
      <c r="AK55" s="370">
        <f t="shared" si="65"/>
        <v>-0.11484970838941229</v>
      </c>
      <c r="AL55" s="437">
        <f t="shared" si="64"/>
        <v>-7.43297318927571E-2</v>
      </c>
      <c r="AM55" s="370">
        <f t="shared" si="64"/>
        <v>-3.053755497435794E-2</v>
      </c>
      <c r="AN55" s="370">
        <f t="shared" si="64"/>
        <v>-0.12829625144012524</v>
      </c>
      <c r="AO55" s="370">
        <f t="shared" si="64"/>
        <v>-0.54920237837435837</v>
      </c>
      <c r="AP55" s="370">
        <f t="shared" si="64"/>
        <v>5.047515289933167</v>
      </c>
      <c r="AQ55" s="437">
        <f t="shared" si="64"/>
        <v>-0.1029351806174174</v>
      </c>
    </row>
    <row r="56" spans="1:45" s="197" customFormat="1" ht="13.5" thickBot="1">
      <c r="B56" s="659" t="s">
        <v>197</v>
      </c>
      <c r="C56" s="660"/>
      <c r="D56" s="240">
        <f>D53-D54</f>
        <v>-4320</v>
      </c>
      <c r="E56" s="240">
        <f t="shared" ref="E56:AB56" si="66">E53-E54</f>
        <v>-6517</v>
      </c>
      <c r="F56" s="240">
        <f t="shared" si="66"/>
        <v>-7208</v>
      </c>
      <c r="G56" s="610">
        <f t="shared" si="66"/>
        <v>-7666</v>
      </c>
      <c r="H56" s="661">
        <f t="shared" si="66"/>
        <v>-25711</v>
      </c>
      <c r="I56" s="240">
        <f t="shared" si="66"/>
        <v>-10748</v>
      </c>
      <c r="J56" s="240">
        <f t="shared" si="66"/>
        <v>-4973</v>
      </c>
      <c r="K56" s="240">
        <f t="shared" si="66"/>
        <v>-3720</v>
      </c>
      <c r="L56" s="610">
        <f t="shared" si="66"/>
        <v>-2496</v>
      </c>
      <c r="M56" s="661">
        <f t="shared" si="66"/>
        <v>-21937</v>
      </c>
      <c r="N56" s="610">
        <f t="shared" si="66"/>
        <v>-2440</v>
      </c>
      <c r="O56" s="610">
        <f t="shared" si="66"/>
        <v>-2117</v>
      </c>
      <c r="P56" s="240">
        <f>P53-P54</f>
        <v>-8171</v>
      </c>
      <c r="Q56" s="610">
        <f t="shared" si="66"/>
        <v>-6013</v>
      </c>
      <c r="R56" s="661">
        <f t="shared" si="66"/>
        <v>-18741</v>
      </c>
      <c r="S56" s="240">
        <f t="shared" si="66"/>
        <v>-8643</v>
      </c>
      <c r="T56" s="240">
        <f t="shared" si="66"/>
        <v>-13465</v>
      </c>
      <c r="U56" s="240">
        <f t="shared" si="66"/>
        <v>-14064</v>
      </c>
      <c r="V56" s="610">
        <f t="shared" si="66"/>
        <v>-10803</v>
      </c>
      <c r="W56" s="661">
        <f t="shared" si="66"/>
        <v>-46975</v>
      </c>
      <c r="X56" s="240">
        <f t="shared" si="66"/>
        <v>-12125</v>
      </c>
      <c r="Y56" s="240">
        <f t="shared" si="66"/>
        <v>-6473</v>
      </c>
      <c r="Z56" s="240">
        <f t="shared" si="66"/>
        <v>-3911</v>
      </c>
      <c r="AA56" s="610">
        <f t="shared" si="66"/>
        <v>-319</v>
      </c>
      <c r="AB56" s="661">
        <f t="shared" si="66"/>
        <v>-22828</v>
      </c>
      <c r="AC56" s="240">
        <f t="shared" ref="AC56:AQ56" si="67">AC53-AC54</f>
        <v>-4710</v>
      </c>
      <c r="AD56" s="240">
        <f t="shared" si="67"/>
        <v>-4392</v>
      </c>
      <c r="AE56" s="240">
        <f t="shared" si="67"/>
        <v>-3868</v>
      </c>
      <c r="AF56" s="610">
        <f t="shared" si="67"/>
        <v>-4262</v>
      </c>
      <c r="AG56" s="661">
        <f t="shared" si="67"/>
        <v>-17232</v>
      </c>
      <c r="AH56" s="240">
        <f t="shared" si="67"/>
        <v>-4949</v>
      </c>
      <c r="AI56" s="240">
        <f t="shared" si="67"/>
        <v>-2753</v>
      </c>
      <c r="AJ56" s="240">
        <f t="shared" ref="AJ56:AK56" si="68">AJ53-AJ54</f>
        <v>-552</v>
      </c>
      <c r="AK56" s="610">
        <f t="shared" si="68"/>
        <v>-2485</v>
      </c>
      <c r="AL56" s="661">
        <f t="shared" si="67"/>
        <v>-10739</v>
      </c>
      <c r="AM56" s="240">
        <f t="shared" si="67"/>
        <v>-5061.9846079999988</v>
      </c>
      <c r="AN56" s="240">
        <f t="shared" si="67"/>
        <v>-1319.1690000000017</v>
      </c>
      <c r="AO56" s="240">
        <f t="shared" si="67"/>
        <v>-423.12336199999845</v>
      </c>
      <c r="AP56" s="610">
        <f t="shared" si="67"/>
        <v>-160.37654399999883</v>
      </c>
      <c r="AQ56" s="661">
        <f t="shared" si="67"/>
        <v>-6964.6535140000051</v>
      </c>
    </row>
    <row r="57" spans="1:45" s="420" customFormat="1" ht="13.5" customHeight="1">
      <c r="A57" s="360"/>
      <c r="B57" s="361"/>
      <c r="C57" s="362" t="s">
        <v>144</v>
      </c>
      <c r="D57" s="366">
        <f t="shared" ref="D57:AQ57" si="69">D56/D11</f>
        <v>-0.41626517633455384</v>
      </c>
      <c r="E57" s="366">
        <f t="shared" si="69"/>
        <v>-0.57647058823529407</v>
      </c>
      <c r="F57" s="366">
        <f t="shared" si="69"/>
        <v>-0.56971229845083782</v>
      </c>
      <c r="G57" s="363">
        <f t="shared" si="69"/>
        <v>-0.53906195063638285</v>
      </c>
      <c r="H57" s="373">
        <f t="shared" si="69"/>
        <v>-0.52951231567674439</v>
      </c>
      <c r="I57" s="366">
        <f t="shared" si="69"/>
        <v>-0.68598417155986724</v>
      </c>
      <c r="J57" s="366">
        <f t="shared" si="69"/>
        <v>-0.31620779551090483</v>
      </c>
      <c r="K57" s="366">
        <f t="shared" si="69"/>
        <v>-0.20825169344455019</v>
      </c>
      <c r="L57" s="363">
        <f t="shared" si="69"/>
        <v>-0.13009486083602628</v>
      </c>
      <c r="M57" s="373">
        <f t="shared" si="69"/>
        <v>-0.32051019811816961</v>
      </c>
      <c r="N57" s="363">
        <f t="shared" si="69"/>
        <v>-0.11547016232076096</v>
      </c>
      <c r="O57" s="363">
        <f t="shared" si="69"/>
        <v>-7.1648559921481031E-2</v>
      </c>
      <c r="P57" s="366">
        <f t="shared" si="69"/>
        <v>-0.27369866684531385</v>
      </c>
      <c r="Q57" s="363">
        <f t="shared" si="69"/>
        <v>-0.17784679089026914</v>
      </c>
      <c r="R57" s="373">
        <f t="shared" si="69"/>
        <v>-0.16390302775882878</v>
      </c>
      <c r="S57" s="366">
        <f t="shared" si="69"/>
        <v>-0.2507543228501799</v>
      </c>
      <c r="T57" s="366">
        <f t="shared" si="69"/>
        <v>-0.39943636902996144</v>
      </c>
      <c r="U57" s="366">
        <f t="shared" si="69"/>
        <v>-0.40794778825235678</v>
      </c>
      <c r="V57" s="363">
        <f t="shared" si="69"/>
        <v>-0.33202200571656881</v>
      </c>
      <c r="W57" s="373">
        <f t="shared" si="69"/>
        <v>-0.34747392558621198</v>
      </c>
      <c r="X57" s="366">
        <f t="shared" si="69"/>
        <v>-0.36599354040266835</v>
      </c>
      <c r="Y57" s="366">
        <f t="shared" si="69"/>
        <v>-0.18884934064651651</v>
      </c>
      <c r="Z57" s="366">
        <f t="shared" si="69"/>
        <v>-0.11192513522021579</v>
      </c>
      <c r="AA57" s="363">
        <f t="shared" si="69"/>
        <v>-8.9250741424654473E-3</v>
      </c>
      <c r="AB57" s="373">
        <f t="shared" si="69"/>
        <v>-0.16531247736983126</v>
      </c>
      <c r="AC57" s="366">
        <f t="shared" si="69"/>
        <v>-0.13241123387028758</v>
      </c>
      <c r="AD57" s="366">
        <f t="shared" si="69"/>
        <v>-0.12198305790862381</v>
      </c>
      <c r="AE57" s="366">
        <f t="shared" si="69"/>
        <v>-0.10665637235978602</v>
      </c>
      <c r="AF57" s="363">
        <f t="shared" si="69"/>
        <v>-0.11519230249466202</v>
      </c>
      <c r="AG57" s="373">
        <f t="shared" si="69"/>
        <v>-0.11897183808452026</v>
      </c>
      <c r="AH57" s="366">
        <f t="shared" si="69"/>
        <v>-0.13502305404741768</v>
      </c>
      <c r="AI57" s="366">
        <f>AI56/AI11</f>
        <v>-7.2245840550044613E-2</v>
      </c>
      <c r="AJ57" s="366">
        <f t="shared" ref="AJ57:AK57" si="70">AJ56/AJ11</f>
        <v>-1.3490065739631955E-2</v>
      </c>
      <c r="AK57" s="363">
        <f t="shared" si="70"/>
        <v>-6.0358018993952052E-2</v>
      </c>
      <c r="AL57" s="373">
        <f t="shared" si="69"/>
        <v>-6.846712443177834E-2</v>
      </c>
      <c r="AM57" s="366">
        <f t="shared" si="69"/>
        <v>-0.12734585791117539</v>
      </c>
      <c r="AN57" s="366">
        <f t="shared" si="69"/>
        <v>-3.118353663466138E-2</v>
      </c>
      <c r="AO57" s="366">
        <f t="shared" si="69"/>
        <v>-9.6073554175113048E-3</v>
      </c>
      <c r="AP57" s="363">
        <f t="shared" si="69"/>
        <v>-3.4932958987761139E-3</v>
      </c>
      <c r="AQ57" s="373">
        <f t="shared" si="69"/>
        <v>-4.0491067505194218E-2</v>
      </c>
    </row>
    <row r="58" spans="1:45" s="422" customFormat="1" ht="10.15">
      <c r="A58" s="168"/>
      <c r="B58" s="173"/>
      <c r="C58" s="201"/>
      <c r="D58" s="229"/>
      <c r="E58" s="229"/>
      <c r="F58" s="229"/>
      <c r="G58" s="172"/>
      <c r="H58" s="340"/>
      <c r="I58" s="229"/>
      <c r="J58" s="229"/>
      <c r="K58" s="229"/>
      <c r="L58" s="172"/>
      <c r="M58" s="171"/>
      <c r="N58" s="172"/>
      <c r="O58" s="172"/>
      <c r="P58" s="229"/>
      <c r="Q58" s="172"/>
      <c r="R58" s="171"/>
      <c r="S58" s="229"/>
      <c r="T58" s="229"/>
      <c r="U58" s="229"/>
      <c r="V58" s="172"/>
      <c r="W58" s="171"/>
      <c r="X58" s="229"/>
      <c r="Y58" s="229"/>
      <c r="Z58" s="229"/>
      <c r="AA58" s="172"/>
      <c r="AB58" s="171"/>
      <c r="AC58" s="229"/>
      <c r="AD58" s="229"/>
      <c r="AE58" s="229"/>
      <c r="AF58" s="172"/>
      <c r="AG58" s="171"/>
      <c r="AH58" s="229"/>
      <c r="AI58" s="229"/>
      <c r="AJ58" s="229"/>
      <c r="AK58" s="172"/>
      <c r="AL58" s="171"/>
      <c r="AM58" s="229"/>
      <c r="AN58" s="229"/>
      <c r="AO58" s="229"/>
      <c r="AP58" s="172"/>
      <c r="AQ58" s="171"/>
    </row>
    <row r="59" spans="1:45" s="158" customFormat="1">
      <c r="B59" s="170" t="s">
        <v>143</v>
      </c>
      <c r="C59" s="160"/>
      <c r="D59" s="231">
        <f t="shared" ref="D59:AB59" si="71">D35+D40</f>
        <v>-6949</v>
      </c>
      <c r="E59" s="231">
        <f t="shared" si="71"/>
        <v>-7049</v>
      </c>
      <c r="F59" s="231">
        <f t="shared" si="71"/>
        <v>-7659</v>
      </c>
      <c r="G59" s="230">
        <f t="shared" si="71"/>
        <v>-8165</v>
      </c>
      <c r="H59" s="155">
        <f t="shared" si="71"/>
        <v>-29822</v>
      </c>
      <c r="I59" s="231">
        <f t="shared" si="71"/>
        <v>-11211</v>
      </c>
      <c r="J59" s="231">
        <f t="shared" si="71"/>
        <v>-5457</v>
      </c>
      <c r="K59" s="231">
        <f t="shared" si="71"/>
        <v>-3156</v>
      </c>
      <c r="L59" s="230">
        <f t="shared" si="71"/>
        <v>-2978</v>
      </c>
      <c r="M59" s="155">
        <f t="shared" si="71"/>
        <v>-22802</v>
      </c>
      <c r="N59" s="230">
        <f t="shared" si="71"/>
        <v>-2892</v>
      </c>
      <c r="O59" s="230">
        <f t="shared" si="71"/>
        <v>-3040</v>
      </c>
      <c r="P59" s="231">
        <f t="shared" si="71"/>
        <v>-9194</v>
      </c>
      <c r="Q59" s="230">
        <f t="shared" si="71"/>
        <v>-9137</v>
      </c>
      <c r="R59" s="155">
        <f t="shared" si="71"/>
        <v>-24263</v>
      </c>
      <c r="S59" s="231">
        <f t="shared" si="71"/>
        <v>-11820</v>
      </c>
      <c r="T59" s="231">
        <f t="shared" si="71"/>
        <v>-20127</v>
      </c>
      <c r="U59" s="231">
        <f t="shared" si="71"/>
        <v>-20020</v>
      </c>
      <c r="V59" s="230">
        <f t="shared" si="71"/>
        <v>-18612</v>
      </c>
      <c r="W59" s="155">
        <f t="shared" si="71"/>
        <v>-70579</v>
      </c>
      <c r="X59" s="231">
        <f t="shared" si="71"/>
        <v>-20325</v>
      </c>
      <c r="Y59" s="231">
        <f t="shared" si="71"/>
        <v>-14858</v>
      </c>
      <c r="Z59" s="231">
        <f t="shared" si="71"/>
        <v>-966</v>
      </c>
      <c r="AA59" s="230">
        <f t="shared" si="71"/>
        <v>-5558</v>
      </c>
      <c r="AB59" s="155">
        <f t="shared" si="71"/>
        <v>-41707</v>
      </c>
      <c r="AC59" s="231">
        <f t="shared" ref="AC59:AQ59" si="72">AC35+AC40</f>
        <v>-10496</v>
      </c>
      <c r="AD59" s="231">
        <f t="shared" si="72"/>
        <v>-10729</v>
      </c>
      <c r="AE59" s="231">
        <f t="shared" si="72"/>
        <v>-9040</v>
      </c>
      <c r="AF59" s="230">
        <f t="shared" si="72"/>
        <v>-25177</v>
      </c>
      <c r="AG59" s="155">
        <f t="shared" si="72"/>
        <v>-55442</v>
      </c>
      <c r="AH59" s="231">
        <f t="shared" si="72"/>
        <v>-11256</v>
      </c>
      <c r="AI59" s="231">
        <f t="shared" si="72"/>
        <v>-10602</v>
      </c>
      <c r="AJ59" s="231">
        <f t="shared" ref="AJ59:AK59" si="73">AJ35+AJ40</f>
        <v>-13525</v>
      </c>
      <c r="AK59" s="230">
        <f t="shared" si="73"/>
        <v>-8246</v>
      </c>
      <c r="AL59" s="155">
        <f t="shared" si="72"/>
        <v>-43629</v>
      </c>
      <c r="AM59" s="231">
        <f t="shared" si="72"/>
        <v>-10911.984607999999</v>
      </c>
      <c r="AN59" s="231">
        <f t="shared" si="72"/>
        <v>-7169.1690000000017</v>
      </c>
      <c r="AO59" s="231">
        <f t="shared" si="72"/>
        <v>-6273.1233619999985</v>
      </c>
      <c r="AP59" s="230">
        <f t="shared" si="72"/>
        <v>-5960.3765439999988</v>
      </c>
      <c r="AQ59" s="155">
        <f t="shared" si="72"/>
        <v>-30314.653514000005</v>
      </c>
    </row>
    <row r="60" spans="1:45" s="158" customFormat="1">
      <c r="B60" s="157"/>
      <c r="C60" s="160" t="s">
        <v>142</v>
      </c>
      <c r="D60" s="231">
        <f>D54</f>
        <v>3</v>
      </c>
      <c r="E60" s="231">
        <f>E54</f>
        <v>2</v>
      </c>
      <c r="F60" s="231">
        <f>F54</f>
        <v>2</v>
      </c>
      <c r="G60" s="231">
        <v>3</v>
      </c>
      <c r="H60" s="155">
        <f>SUM(D60:G60)</f>
        <v>10</v>
      </c>
      <c r="I60" s="231">
        <f>I54</f>
        <v>25</v>
      </c>
      <c r="J60" s="231">
        <f>J54</f>
        <v>20</v>
      </c>
      <c r="K60" s="231">
        <f>K54</f>
        <v>13</v>
      </c>
      <c r="L60" s="231">
        <f>L54</f>
        <v>13</v>
      </c>
      <c r="M60" s="155">
        <f>SUM(I60:L60)</f>
        <v>71</v>
      </c>
      <c r="N60" s="230">
        <f>N54</f>
        <v>36</v>
      </c>
      <c r="O60" s="230">
        <v>43</v>
      </c>
      <c r="P60" s="231">
        <f t="shared" ref="P60:V60" si="74">P54</f>
        <v>31</v>
      </c>
      <c r="Q60" s="231">
        <f t="shared" si="74"/>
        <v>-29</v>
      </c>
      <c r="R60" s="155">
        <f>SUM(N60:Q60)</f>
        <v>81</v>
      </c>
      <c r="S60" s="231">
        <f t="shared" si="74"/>
        <v>29</v>
      </c>
      <c r="T60" s="231">
        <f t="shared" si="74"/>
        <v>44</v>
      </c>
      <c r="U60" s="231">
        <v>38</v>
      </c>
      <c r="V60" s="231">
        <f t="shared" si="74"/>
        <v>75</v>
      </c>
      <c r="W60" s="155">
        <f>SUM(S60:V60)</f>
        <v>186</v>
      </c>
      <c r="X60" s="231">
        <v>40</v>
      </c>
      <c r="Y60" s="231">
        <v>57</v>
      </c>
      <c r="Z60" s="231">
        <v>64</v>
      </c>
      <c r="AA60" s="231">
        <v>282</v>
      </c>
      <c r="AB60" s="155">
        <f>SUM(X60:AA60)</f>
        <v>443</v>
      </c>
      <c r="AC60" s="231">
        <v>86</v>
      </c>
      <c r="AD60" s="231">
        <v>105</v>
      </c>
      <c r="AE60" s="231">
        <v>118</v>
      </c>
      <c r="AF60" s="231">
        <v>23</v>
      </c>
      <c r="AG60" s="155">
        <f>SUM(AC60:AF60)</f>
        <v>332</v>
      </c>
      <c r="AH60" s="231">
        <v>137</v>
      </c>
      <c r="AI60" s="231">
        <v>210</v>
      </c>
      <c r="AJ60" s="231">
        <v>140</v>
      </c>
      <c r="AK60" s="231">
        <v>256</v>
      </c>
      <c r="AL60" s="155">
        <f>SUM(AH60:AK60)</f>
        <v>743</v>
      </c>
      <c r="AM60" s="231">
        <f>AM54</f>
        <v>150</v>
      </c>
      <c r="AN60" s="231">
        <f>AN54</f>
        <v>150</v>
      </c>
      <c r="AO60" s="231">
        <f>AO54</f>
        <v>150</v>
      </c>
      <c r="AP60" s="231">
        <f>AP54</f>
        <v>200</v>
      </c>
      <c r="AQ60" s="155">
        <f>SUM(AM60:AP60)</f>
        <v>650</v>
      </c>
    </row>
    <row r="61" spans="1:45" s="419" customFormat="1" ht="11.25">
      <c r="A61" s="360"/>
      <c r="B61" s="361"/>
      <c r="C61" s="362" t="s">
        <v>141</v>
      </c>
      <c r="D61" s="366">
        <f t="shared" ref="D61:AB61" si="75">D60/D59</f>
        <v>-4.3171679378327816E-4</v>
      </c>
      <c r="E61" s="366">
        <f t="shared" si="75"/>
        <v>-2.8372818839551709E-4</v>
      </c>
      <c r="F61" s="366">
        <f t="shared" si="75"/>
        <v>-2.6113069591330462E-4</v>
      </c>
      <c r="G61" s="366">
        <f t="shared" si="75"/>
        <v>-3.6742192284139623E-4</v>
      </c>
      <c r="H61" s="364">
        <f t="shared" si="75"/>
        <v>-3.3532291596807725E-4</v>
      </c>
      <c r="I61" s="366">
        <f t="shared" si="75"/>
        <v>-2.22995272500223E-3</v>
      </c>
      <c r="J61" s="366">
        <f t="shared" si="75"/>
        <v>-3.6650174088326921E-3</v>
      </c>
      <c r="K61" s="366">
        <f t="shared" si="75"/>
        <v>-4.1191381495564007E-3</v>
      </c>
      <c r="L61" s="366">
        <f t="shared" si="75"/>
        <v>-4.3653458697112159E-3</v>
      </c>
      <c r="M61" s="364">
        <f t="shared" si="75"/>
        <v>-3.1137619507060786E-3</v>
      </c>
      <c r="N61" s="363">
        <f t="shared" si="75"/>
        <v>-1.2448132780082987E-2</v>
      </c>
      <c r="O61" s="363">
        <f t="shared" si="75"/>
        <v>-1.4144736842105264E-2</v>
      </c>
      <c r="P61" s="366">
        <f t="shared" si="75"/>
        <v>-3.371764194039591E-3</v>
      </c>
      <c r="Q61" s="366">
        <f t="shared" si="75"/>
        <v>3.1739082849950749E-3</v>
      </c>
      <c r="R61" s="364">
        <f t="shared" si="75"/>
        <v>-3.3384165189795163E-3</v>
      </c>
      <c r="S61" s="366">
        <f t="shared" si="75"/>
        <v>-2.4534686971235194E-3</v>
      </c>
      <c r="T61" s="366">
        <f t="shared" si="75"/>
        <v>-2.1861181497490932E-3</v>
      </c>
      <c r="U61" s="366">
        <f t="shared" si="75"/>
        <v>-1.8981018981018981E-3</v>
      </c>
      <c r="V61" s="366">
        <f t="shared" si="75"/>
        <v>-4.0296582849774342E-3</v>
      </c>
      <c r="W61" s="364">
        <f t="shared" si="75"/>
        <v>-2.6353447909434817E-3</v>
      </c>
      <c r="X61" s="366">
        <f t="shared" si="75"/>
        <v>-1.9680196801968018E-3</v>
      </c>
      <c r="Y61" s="366">
        <f t="shared" si="75"/>
        <v>-3.8363171355498722E-3</v>
      </c>
      <c r="Z61" s="366">
        <f t="shared" si="75"/>
        <v>-6.6252587991718431E-2</v>
      </c>
      <c r="AA61" s="366">
        <f t="shared" si="75"/>
        <v>-5.073767542281396E-2</v>
      </c>
      <c r="AB61" s="364">
        <f t="shared" si="75"/>
        <v>-1.0621718176804852E-2</v>
      </c>
      <c r="AC61" s="366">
        <f t="shared" ref="AC61:AQ61" si="76">AC60/AC59</f>
        <v>-8.1935975609756101E-3</v>
      </c>
      <c r="AD61" s="366">
        <f t="shared" si="76"/>
        <v>-9.7865597912200585E-3</v>
      </c>
      <c r="AE61" s="366">
        <f t="shared" si="76"/>
        <v>-1.3053097345132743E-2</v>
      </c>
      <c r="AF61" s="366">
        <f t="shared" si="76"/>
        <v>-9.1353219208007309E-4</v>
      </c>
      <c r="AG61" s="364">
        <f t="shared" si="76"/>
        <v>-5.9882399624833155E-3</v>
      </c>
      <c r="AH61" s="366">
        <f t="shared" si="76"/>
        <v>-1.2171286425017769E-2</v>
      </c>
      <c r="AI61" s="366">
        <f t="shared" si="76"/>
        <v>-1.9807583474816072E-2</v>
      </c>
      <c r="AJ61" s="366">
        <f t="shared" ref="AJ61:AK61" si="77">AJ60/AJ59</f>
        <v>-1.0351201478743069E-2</v>
      </c>
      <c r="AK61" s="366">
        <f t="shared" si="77"/>
        <v>-3.1045355323793353E-2</v>
      </c>
      <c r="AL61" s="364">
        <f t="shared" si="76"/>
        <v>-1.7029957138600473E-2</v>
      </c>
      <c r="AM61" s="366">
        <f t="shared" si="76"/>
        <v>-1.3746353700868418E-2</v>
      </c>
      <c r="AN61" s="366">
        <f t="shared" si="76"/>
        <v>-2.0922927050540999E-2</v>
      </c>
      <c r="AO61" s="366">
        <f t="shared" si="76"/>
        <v>-2.3911533592442691E-2</v>
      </c>
      <c r="AP61" s="366">
        <f t="shared" si="76"/>
        <v>-3.3554927029120267E-2</v>
      </c>
      <c r="AQ61" s="364">
        <f t="shared" si="76"/>
        <v>-2.1441775664690181E-2</v>
      </c>
    </row>
    <row r="62" spans="1:45">
      <c r="B62" s="186" t="s">
        <v>2</v>
      </c>
      <c r="C62" s="250"/>
      <c r="D62" s="245">
        <f>D59-D60</f>
        <v>-6952</v>
      </c>
      <c r="E62" s="245">
        <f t="shared" ref="E62:AB62" si="78">E59-E60</f>
        <v>-7051</v>
      </c>
      <c r="F62" s="245">
        <f t="shared" si="78"/>
        <v>-7661</v>
      </c>
      <c r="G62" s="185">
        <f t="shared" si="78"/>
        <v>-8168</v>
      </c>
      <c r="H62" s="184">
        <f t="shared" si="78"/>
        <v>-29832</v>
      </c>
      <c r="I62" s="245">
        <f t="shared" si="78"/>
        <v>-11236</v>
      </c>
      <c r="J62" s="245">
        <f t="shared" si="78"/>
        <v>-5477</v>
      </c>
      <c r="K62" s="245">
        <f t="shared" si="78"/>
        <v>-3169</v>
      </c>
      <c r="L62" s="185">
        <f t="shared" si="78"/>
        <v>-2991</v>
      </c>
      <c r="M62" s="184">
        <f t="shared" si="78"/>
        <v>-22873</v>
      </c>
      <c r="N62" s="185">
        <f t="shared" si="78"/>
        <v>-2928</v>
      </c>
      <c r="O62" s="185">
        <f t="shared" si="78"/>
        <v>-3083</v>
      </c>
      <c r="P62" s="245">
        <f>P59-P60</f>
        <v>-9225</v>
      </c>
      <c r="Q62" s="185">
        <f t="shared" si="78"/>
        <v>-9108</v>
      </c>
      <c r="R62" s="184">
        <f t="shared" si="78"/>
        <v>-24344</v>
      </c>
      <c r="S62" s="245">
        <f t="shared" si="78"/>
        <v>-11849</v>
      </c>
      <c r="T62" s="245">
        <f t="shared" si="78"/>
        <v>-20171</v>
      </c>
      <c r="U62" s="245">
        <f t="shared" si="78"/>
        <v>-20058</v>
      </c>
      <c r="V62" s="185">
        <f t="shared" si="78"/>
        <v>-18687</v>
      </c>
      <c r="W62" s="184">
        <f t="shared" si="78"/>
        <v>-70765</v>
      </c>
      <c r="X62" s="245">
        <f t="shared" si="78"/>
        <v>-20365</v>
      </c>
      <c r="Y62" s="245">
        <f t="shared" si="78"/>
        <v>-14915</v>
      </c>
      <c r="Z62" s="245">
        <f t="shared" si="78"/>
        <v>-1030</v>
      </c>
      <c r="AA62" s="185">
        <f t="shared" si="78"/>
        <v>-5840</v>
      </c>
      <c r="AB62" s="184">
        <f t="shared" si="78"/>
        <v>-42150</v>
      </c>
      <c r="AC62" s="245">
        <f t="shared" ref="AC62:AQ62" si="79">AC59-AC60</f>
        <v>-10582</v>
      </c>
      <c r="AD62" s="245">
        <f t="shared" si="79"/>
        <v>-10834</v>
      </c>
      <c r="AE62" s="245">
        <f t="shared" si="79"/>
        <v>-9158</v>
      </c>
      <c r="AF62" s="185">
        <f t="shared" si="79"/>
        <v>-25200</v>
      </c>
      <c r="AG62" s="184">
        <f t="shared" si="79"/>
        <v>-55774</v>
      </c>
      <c r="AH62" s="245">
        <f t="shared" si="79"/>
        <v>-11393</v>
      </c>
      <c r="AI62" s="245">
        <f t="shared" si="79"/>
        <v>-10812</v>
      </c>
      <c r="AJ62" s="245">
        <f t="shared" ref="AJ62:AK62" si="80">AJ59-AJ60</f>
        <v>-13665</v>
      </c>
      <c r="AK62" s="185">
        <f t="shared" si="80"/>
        <v>-8502</v>
      </c>
      <c r="AL62" s="184">
        <f t="shared" si="79"/>
        <v>-44372</v>
      </c>
      <c r="AM62" s="245">
        <f t="shared" si="79"/>
        <v>-11061.984607999999</v>
      </c>
      <c r="AN62" s="245">
        <f t="shared" si="79"/>
        <v>-7319.1690000000017</v>
      </c>
      <c r="AO62" s="245">
        <f t="shared" si="79"/>
        <v>-6423.1233619999985</v>
      </c>
      <c r="AP62" s="185">
        <f t="shared" si="79"/>
        <v>-6160.3765439999988</v>
      </c>
      <c r="AQ62" s="184">
        <f t="shared" si="79"/>
        <v>-30964.653514000005</v>
      </c>
    </row>
    <row r="63" spans="1:45" s="420" customFormat="1" ht="13.5" customHeight="1">
      <c r="A63" s="360"/>
      <c r="B63" s="361"/>
      <c r="C63" s="362" t="s">
        <v>140</v>
      </c>
      <c r="D63" s="366">
        <f t="shared" ref="D63:AQ63" si="81">D62/D11</f>
        <v>-0.66987858932356914</v>
      </c>
      <c r="E63" s="366">
        <f t="shared" si="81"/>
        <v>-0.62370632463511722</v>
      </c>
      <c r="F63" s="366">
        <f t="shared" si="81"/>
        <v>-0.6055169143218464</v>
      </c>
      <c r="G63" s="363">
        <f t="shared" si="81"/>
        <v>-0.57436185922227689</v>
      </c>
      <c r="H63" s="364">
        <f t="shared" si="81"/>
        <v>-0.61438339237169459</v>
      </c>
      <c r="I63" s="366">
        <f t="shared" si="81"/>
        <v>-0.71713045698238442</v>
      </c>
      <c r="J63" s="366">
        <f t="shared" si="81"/>
        <v>-0.34825459401030073</v>
      </c>
      <c r="K63" s="366">
        <f t="shared" si="81"/>
        <v>-0.17740581089402677</v>
      </c>
      <c r="L63" s="363">
        <f t="shared" si="81"/>
        <v>-0.15589492338163244</v>
      </c>
      <c r="M63" s="364">
        <f t="shared" si="81"/>
        <v>-0.33418561159488047</v>
      </c>
      <c r="N63" s="366">
        <f t="shared" si="81"/>
        <v>-0.13856419478491316</v>
      </c>
      <c r="O63" s="366">
        <f t="shared" si="81"/>
        <v>-0.10434223440620029</v>
      </c>
      <c r="P63" s="366">
        <f t="shared" si="81"/>
        <v>-0.30900381858377435</v>
      </c>
      <c r="Q63" s="363">
        <f t="shared" si="81"/>
        <v>-0.26938775510204083</v>
      </c>
      <c r="R63" s="364">
        <f t="shared" si="81"/>
        <v>-0.21290514421647339</v>
      </c>
      <c r="S63" s="366">
        <f t="shared" si="81"/>
        <v>-0.34376813276082163</v>
      </c>
      <c r="T63" s="366">
        <f t="shared" si="81"/>
        <v>-0.59836843666567785</v>
      </c>
      <c r="U63" s="366">
        <f t="shared" si="81"/>
        <v>-0.58181290790427842</v>
      </c>
      <c r="V63" s="363">
        <f t="shared" si="81"/>
        <v>-0.57433076190183485</v>
      </c>
      <c r="W63" s="364">
        <f t="shared" si="81"/>
        <v>-0.5234484799171536</v>
      </c>
      <c r="X63" s="366">
        <f t="shared" si="81"/>
        <v>-0.61471822270518273</v>
      </c>
      <c r="Y63" s="366">
        <f t="shared" si="81"/>
        <v>-0.43514412416851439</v>
      </c>
      <c r="Z63" s="366">
        <f t="shared" si="81"/>
        <v>-2.9476576138282345E-2</v>
      </c>
      <c r="AA63" s="363">
        <f t="shared" si="81"/>
        <v>-0.16339320687146774</v>
      </c>
      <c r="AB63" s="364">
        <f t="shared" si="81"/>
        <v>-0.30523571583749726</v>
      </c>
      <c r="AC63" s="366">
        <f t="shared" si="81"/>
        <v>-0.29748952798628098</v>
      </c>
      <c r="AD63" s="366">
        <f t="shared" si="81"/>
        <v>-0.30090265240938757</v>
      </c>
      <c r="AE63" s="366">
        <f t="shared" si="81"/>
        <v>-0.25252302432029999</v>
      </c>
      <c r="AF63" s="363">
        <f t="shared" si="81"/>
        <v>-0.6810994891753831</v>
      </c>
      <c r="AG63" s="364">
        <f t="shared" si="81"/>
        <v>-0.38507052561084221</v>
      </c>
      <c r="AH63" s="366">
        <f t="shared" si="81"/>
        <v>-0.31083403814148908</v>
      </c>
      <c r="AI63" s="366">
        <f>AI62/AI11</f>
        <v>-0.28373484490631395</v>
      </c>
      <c r="AJ63" s="366">
        <f t="shared" ref="AJ63:AK63" si="82">AJ62/AJ11</f>
        <v>-0.33395244263056284</v>
      </c>
      <c r="AK63" s="363">
        <f t="shared" si="82"/>
        <v>-0.20650457846542469</v>
      </c>
      <c r="AL63" s="364">
        <f t="shared" si="81"/>
        <v>-0.28289628878730499</v>
      </c>
      <c r="AM63" s="366">
        <f t="shared" si="81"/>
        <v>-0.27828964905971071</v>
      </c>
      <c r="AN63" s="366">
        <f t="shared" si="81"/>
        <v>-0.17301617506686229</v>
      </c>
      <c r="AO63" s="366">
        <f t="shared" si="81"/>
        <v>-0.14584216937956343</v>
      </c>
      <c r="AP63" s="363">
        <f t="shared" si="81"/>
        <v>-0.1341843238377298</v>
      </c>
      <c r="AQ63" s="364">
        <f t="shared" si="81"/>
        <v>-0.18002214657053831</v>
      </c>
    </row>
    <row r="64" spans="1:45" ht="13.15" thickBot="1">
      <c r="B64" s="170"/>
      <c r="C64" s="209"/>
      <c r="D64" s="239"/>
      <c r="E64" s="239"/>
      <c r="F64" s="239"/>
      <c r="G64" s="180"/>
      <c r="H64" s="179"/>
      <c r="I64" s="239"/>
      <c r="J64" s="232"/>
      <c r="K64" s="232"/>
      <c r="L64" s="219"/>
      <c r="M64" s="181"/>
      <c r="N64" s="239"/>
      <c r="O64" s="232"/>
      <c r="P64" s="232"/>
      <c r="Q64" s="219"/>
      <c r="R64" s="181"/>
      <c r="S64" s="232"/>
      <c r="T64" s="232"/>
      <c r="U64" s="232"/>
      <c r="V64" s="219"/>
      <c r="W64" s="181"/>
      <c r="X64" s="232"/>
      <c r="Y64" s="232"/>
      <c r="Z64" s="232"/>
      <c r="AA64" s="219"/>
      <c r="AB64" s="181"/>
      <c r="AC64" s="232"/>
      <c r="AD64" s="232"/>
      <c r="AE64" s="232"/>
      <c r="AF64" s="219"/>
      <c r="AG64" s="181"/>
      <c r="AH64" s="232"/>
      <c r="AI64" s="232"/>
      <c r="AJ64" s="232"/>
      <c r="AK64" s="219"/>
      <c r="AL64" s="181"/>
      <c r="AM64" s="232"/>
      <c r="AN64" s="232"/>
      <c r="AO64" s="232"/>
      <c r="AP64" s="219"/>
      <c r="AQ64" s="181"/>
    </row>
    <row r="65" spans="1:43" s="197" customFormat="1" ht="13.15">
      <c r="A65" s="178"/>
      <c r="B65" s="177" t="s">
        <v>139</v>
      </c>
      <c r="C65" s="251"/>
      <c r="D65" s="246"/>
      <c r="E65" s="246"/>
      <c r="F65" s="246"/>
      <c r="G65" s="176"/>
      <c r="H65" s="175">
        <f>H56/H70</f>
        <v>-0.39799693503196543</v>
      </c>
      <c r="I65" s="246">
        <f>IF(I56&gt;0,I56/I71,I56/I70)</f>
        <v>-0.16410162452668867</v>
      </c>
      <c r="J65" s="246">
        <f>IF(J56&gt;0,J56/J71,J56/J70)</f>
        <v>-0.37901074613215457</v>
      </c>
      <c r="K65" s="246">
        <f>IF(K56&gt;0,K56/K71,K56/K70)</f>
        <v>-0.28220300409649524</v>
      </c>
      <c r="L65" s="246">
        <f>IF(L56&gt;0,L56/L71,L56/L70)</f>
        <v>-0.18793765529704087</v>
      </c>
      <c r="M65" s="175">
        <f>+M56/M70</f>
        <v>-0.33824164302454668</v>
      </c>
      <c r="N65" s="246">
        <f t="shared" ref="N65:AL65" si="83">IF(N56&gt;0,N56/N71,N56/N70)</f>
        <v>-3.6450552733791455E-2</v>
      </c>
      <c r="O65" s="246">
        <f t="shared" si="83"/>
        <v>-0.15525080668817834</v>
      </c>
      <c r="P65" s="246">
        <f t="shared" si="83"/>
        <v>-0.17125670690811537</v>
      </c>
      <c r="Q65" s="176">
        <f t="shared" si="83"/>
        <v>-0.10466310421054464</v>
      </c>
      <c r="R65" s="175">
        <f t="shared" si="83"/>
        <v>-0.40359859803272335</v>
      </c>
      <c r="S65" s="246">
        <f t="shared" si="83"/>
        <v>-0.14908921548333678</v>
      </c>
      <c r="T65" s="246">
        <f t="shared" si="83"/>
        <v>-0.23078637049225284</v>
      </c>
      <c r="U65" s="246">
        <f t="shared" si="83"/>
        <v>-0.2398321993144728</v>
      </c>
      <c r="V65" s="176">
        <f t="shared" si="83"/>
        <v>-0.18280425071070799</v>
      </c>
      <c r="W65" s="175">
        <f t="shared" si="83"/>
        <v>-0.80280962004332357</v>
      </c>
      <c r="X65" s="246">
        <f t="shared" si="83"/>
        <v>-0.20409022050159906</v>
      </c>
      <c r="Y65" s="246">
        <f t="shared" si="83"/>
        <v>-0.10814287623630045</v>
      </c>
      <c r="Z65" s="246">
        <f t="shared" si="83"/>
        <v>-6.4805302402651199E-2</v>
      </c>
      <c r="AA65" s="176">
        <f t="shared" si="83"/>
        <v>-5.245847722414077E-3</v>
      </c>
      <c r="AB65" s="175">
        <f t="shared" si="83"/>
        <v>-0.37979253491718867</v>
      </c>
      <c r="AC65" s="246">
        <f t="shared" si="83"/>
        <v>-7.6975877623063349E-2</v>
      </c>
      <c r="AD65" s="246">
        <f t="shared" si="83"/>
        <v>-7.3426398060687112E-2</v>
      </c>
      <c r="AE65" s="246">
        <f t="shared" si="83"/>
        <v>-6.4817762882279015E-2</v>
      </c>
      <c r="AF65" s="176">
        <f>IF(AF56&gt;0,AF56/AF71,AF56/AF70)</f>
        <v>-7.0912781604605499E-2</v>
      </c>
      <c r="AG65" s="175">
        <f t="shared" si="83"/>
        <v>-0.28626962372290055</v>
      </c>
      <c r="AH65" s="246">
        <f>IF(AH56&gt;0,AH56/AH71,AH56/AH70)</f>
        <v>-8.171386114092298E-2</v>
      </c>
      <c r="AI65" s="246">
        <f>IF(AI56&gt;0,AI56/AI71,AI56/AI70)</f>
        <v>-4.4950608212915341E-2</v>
      </c>
      <c r="AJ65" s="246">
        <f t="shared" ref="AJ65" si="84">IF(AJ56&gt;0,AJ56/AJ71,AJ56/AJ70)</f>
        <v>-8.8897478017199733E-3</v>
      </c>
      <c r="AK65" s="176">
        <f>IF(AK56&gt;0,AK56/AK71,AK56/AK70)</f>
        <v>-3.9524120051532455E-2</v>
      </c>
      <c r="AL65" s="175">
        <f t="shared" si="83"/>
        <v>-0.17406808576163904</v>
      </c>
      <c r="AM65" s="246">
        <f>IF(AM56&gt;0,AM56/AM71,AM56/AM70)</f>
        <v>-7.9714121300317312E-2</v>
      </c>
      <c r="AN65" s="246">
        <f>IF(AN56&gt;0,AN56/AN71,AN56/AN70)</f>
        <v>-2.056806831549441E-2</v>
      </c>
      <c r="AO65" s="246">
        <f>IF(AO56&gt;0,AO56/AO71,AO56/AO70)</f>
        <v>-6.5318875592896911E-3</v>
      </c>
      <c r="AP65" s="176">
        <f>IF(AP56&gt;0,AP56/AP71,AP56/AP70)</f>
        <v>-2.4512701239018725E-3</v>
      </c>
      <c r="AQ65" s="175">
        <f>IF(AQ56&gt;0,AQ56/AQ71,AQ56/AQ70)</f>
        <v>-0.1080450870326595</v>
      </c>
    </row>
    <row r="66" spans="1:43" s="419" customFormat="1" ht="11.25">
      <c r="A66" s="360"/>
      <c r="B66" s="361"/>
      <c r="C66" s="362" t="s">
        <v>138</v>
      </c>
      <c r="D66" s="366"/>
      <c r="E66" s="366"/>
      <c r="F66" s="366"/>
      <c r="G66" s="363"/>
      <c r="H66" s="364"/>
      <c r="I66" s="366"/>
      <c r="J66" s="366"/>
      <c r="K66" s="366"/>
      <c r="L66" s="363"/>
      <c r="M66" s="364">
        <f t="shared" ref="M66:AK66" si="85">M65/H65-1</f>
        <v>-0.15014008085921426</v>
      </c>
      <c r="N66" s="366">
        <f t="shared" si="85"/>
        <v>-0.77787817251094116</v>
      </c>
      <c r="O66" s="366">
        <f t="shared" si="85"/>
        <v>-0.59037887903567499</v>
      </c>
      <c r="P66" s="366">
        <f t="shared" si="85"/>
        <v>-0.39314357245624287</v>
      </c>
      <c r="Q66" s="363">
        <f t="shared" si="85"/>
        <v>-0.44309667987971013</v>
      </c>
      <c r="R66" s="364">
        <f t="shared" si="85"/>
        <v>0.19322563130830583</v>
      </c>
      <c r="S66" s="366">
        <f t="shared" si="85"/>
        <v>3.0901770837928542</v>
      </c>
      <c r="T66" s="366">
        <f t="shared" si="85"/>
        <v>0.48653894569313172</v>
      </c>
      <c r="U66" s="366">
        <f t="shared" si="85"/>
        <v>0.40042514914846716</v>
      </c>
      <c r="V66" s="363">
        <f t="shared" si="85"/>
        <v>0.74659687470162717</v>
      </c>
      <c r="W66" s="364">
        <f t="shared" si="85"/>
        <v>0.98912886208349171</v>
      </c>
      <c r="X66" s="366">
        <f t="shared" si="85"/>
        <v>0.36891337069521013</v>
      </c>
      <c r="Y66" s="366">
        <f t="shared" si="85"/>
        <v>-0.53141567240024412</v>
      </c>
      <c r="Z66" s="366">
        <f t="shared" si="85"/>
        <v>-0.72978898334799003</v>
      </c>
      <c r="AA66" s="363">
        <f t="shared" si="85"/>
        <v>-0.97130346968399683</v>
      </c>
      <c r="AB66" s="364">
        <f t="shared" si="85"/>
        <v>-0.52692079736576503</v>
      </c>
      <c r="AC66" s="366">
        <f>AC65/X65-1</f>
        <v>-0.62283407096196342</v>
      </c>
      <c r="AD66" s="366">
        <f t="shared" si="85"/>
        <v>-0.3210241800833481</v>
      </c>
      <c r="AE66" s="366">
        <f t="shared" si="85"/>
        <v>1.9227561890522438E-4</v>
      </c>
      <c r="AF66" s="363">
        <f t="shared" si="85"/>
        <v>12.517887929078558</v>
      </c>
      <c r="AG66" s="364">
        <f t="shared" si="85"/>
        <v>-0.24624736559048011</v>
      </c>
      <c r="AH66" s="366">
        <f t="shared" si="85"/>
        <v>6.1551536197621104E-2</v>
      </c>
      <c r="AI66" s="366">
        <f t="shared" si="85"/>
        <v>-0.38781406414946917</v>
      </c>
      <c r="AJ66" s="366">
        <f t="shared" si="85"/>
        <v>-0.86285012924828353</v>
      </c>
      <c r="AK66" s="363">
        <f t="shared" si="85"/>
        <v>-0.44263757312594942</v>
      </c>
      <c r="AL66" s="364">
        <f t="shared" ref="AL66:AQ66" si="86">AL65/AG65-1</f>
        <v>-0.39194356880095971</v>
      </c>
      <c r="AM66" s="366">
        <f t="shared" si="86"/>
        <v>-2.4472467861443192E-2</v>
      </c>
      <c r="AN66" s="366">
        <f t="shared" si="86"/>
        <v>-0.54242958809209774</v>
      </c>
      <c r="AO66" s="366">
        <f t="shared" si="86"/>
        <v>-0.26523364835772811</v>
      </c>
      <c r="AP66" s="363">
        <f t="shared" si="86"/>
        <v>-0.93798039979875958</v>
      </c>
      <c r="AQ66" s="364">
        <f t="shared" si="86"/>
        <v>-0.37929410460334723</v>
      </c>
    </row>
    <row r="67" spans="1:43">
      <c r="A67" s="149"/>
      <c r="B67" s="170" t="s">
        <v>3</v>
      </c>
      <c r="C67" s="252"/>
      <c r="D67" s="195"/>
      <c r="E67" s="195"/>
      <c r="F67" s="195"/>
      <c r="G67" s="152"/>
      <c r="H67" s="169">
        <f>+H62/H71</f>
        <v>-0.46178851720561603</v>
      </c>
      <c r="I67" s="195">
        <f>I62/I70</f>
        <v>-0.17155246121900575</v>
      </c>
      <c r="J67" s="195">
        <f>J62/J70</f>
        <v>-0.41742245255696975</v>
      </c>
      <c r="K67" s="195">
        <f>K62/K70</f>
        <v>-0.24040358064026704</v>
      </c>
      <c r="L67" s="195">
        <f>L62/L70</f>
        <v>-0.225208945109555</v>
      </c>
      <c r="M67" s="169">
        <f>+M62/M70</f>
        <v>-0.35267361539410386</v>
      </c>
      <c r="N67" s="195">
        <f>N62/N70</f>
        <v>-4.3740663280549749E-2</v>
      </c>
      <c r="O67" s="195">
        <f>O62/O70</f>
        <v>-0.22609269580522148</v>
      </c>
      <c r="P67" s="195">
        <f t="shared" ref="P67:AA67" si="87">P62/P71</f>
        <v>-0.19334758551307846</v>
      </c>
      <c r="Q67" s="152">
        <f t="shared" si="87"/>
        <v>-0.15853509947607528</v>
      </c>
      <c r="R67" s="169">
        <f t="shared" si="87"/>
        <v>-0.52426254044654053</v>
      </c>
      <c r="S67" s="195">
        <f t="shared" si="87"/>
        <v>-0.20439177533981923</v>
      </c>
      <c r="T67" s="195">
        <f t="shared" si="87"/>
        <v>-0.34572535307829427</v>
      </c>
      <c r="U67" s="195">
        <f t="shared" si="87"/>
        <v>-0.34204737299841409</v>
      </c>
      <c r="V67" s="152">
        <f t="shared" si="87"/>
        <v>-0.31621429538378232</v>
      </c>
      <c r="W67" s="169">
        <f t="shared" si="87"/>
        <v>-1.2093841993052856</v>
      </c>
      <c r="X67" s="195">
        <f t="shared" si="87"/>
        <v>-0.34278740952701564</v>
      </c>
      <c r="Y67" s="195">
        <f t="shared" si="87"/>
        <v>-0.24918136861801657</v>
      </c>
      <c r="Z67" s="195">
        <f t="shared" si="87"/>
        <v>-1.7067108533554268E-2</v>
      </c>
      <c r="AA67" s="152">
        <f t="shared" si="87"/>
        <v>-9.603683604670285E-2</v>
      </c>
      <c r="AB67" s="169">
        <f t="shared" ref="AB67:AQ67" si="88">AB62/AB71</f>
        <v>-0.70125527189239101</v>
      </c>
      <c r="AC67" s="195">
        <f t="shared" si="88"/>
        <v>-0.17294240700791005</v>
      </c>
      <c r="AD67" s="195">
        <f t="shared" si="88"/>
        <v>-0.18112513583549278</v>
      </c>
      <c r="AE67" s="195">
        <f t="shared" si="88"/>
        <v>-0.15346459991621281</v>
      </c>
      <c r="AF67" s="152">
        <f t="shared" si="88"/>
        <v>-0.41928721174004191</v>
      </c>
      <c r="AG67" s="169">
        <f t="shared" si="88"/>
        <v>-0.92655536174100839</v>
      </c>
      <c r="AH67" s="195">
        <f t="shared" si="88"/>
        <v>-0.18811194584330884</v>
      </c>
      <c r="AI67" s="195">
        <f t="shared" si="88"/>
        <v>-0.17653686015184913</v>
      </c>
      <c r="AJ67" s="195">
        <f t="shared" ref="AJ67" si="89">AJ62/AJ71</f>
        <v>-0.22006957193931781</v>
      </c>
      <c r="AK67" s="152">
        <f>AK62/AK71</f>
        <v>-0.13522497733526315</v>
      </c>
      <c r="AL67" s="169">
        <f t="shared" si="88"/>
        <v>-0.71922423888774079</v>
      </c>
      <c r="AM67" s="195">
        <f t="shared" si="88"/>
        <v>-0.17419973610167783</v>
      </c>
      <c r="AN67" s="195">
        <f t="shared" si="88"/>
        <v>-0.1141181819802078</v>
      </c>
      <c r="AO67" s="195">
        <f t="shared" si="88"/>
        <v>-9.9155762474847503E-2</v>
      </c>
      <c r="AP67" s="152">
        <f t="shared" si="88"/>
        <v>-9.4158076970988824E-2</v>
      </c>
      <c r="AQ67" s="169">
        <f t="shared" si="88"/>
        <v>-0.48036541618777706</v>
      </c>
    </row>
    <row r="68" spans="1:43" s="419" customFormat="1" ht="11.65" thickBot="1">
      <c r="A68" s="360"/>
      <c r="B68" s="383"/>
      <c r="C68" s="384" t="s">
        <v>138</v>
      </c>
      <c r="D68" s="385"/>
      <c r="E68" s="385"/>
      <c r="F68" s="385"/>
      <c r="G68" s="386"/>
      <c r="H68" s="382"/>
      <c r="I68" s="385"/>
      <c r="J68" s="385"/>
      <c r="K68" s="385"/>
      <c r="L68" s="386"/>
      <c r="M68" s="382">
        <f t="shared" ref="M68:AK68" si="90">M67/H67-1</f>
        <v>-0.23628760297417195</v>
      </c>
      <c r="N68" s="385">
        <f t="shared" si="90"/>
        <v>-0.74503039496058321</v>
      </c>
      <c r="O68" s="385">
        <f t="shared" si="90"/>
        <v>-0.4583600033484917</v>
      </c>
      <c r="P68" s="385">
        <f t="shared" si="90"/>
        <v>-0.19573749692855791</v>
      </c>
      <c r="Q68" s="386">
        <f t="shared" si="90"/>
        <v>-0.29605327444274299</v>
      </c>
      <c r="R68" s="382">
        <f t="shared" si="90"/>
        <v>0.4865374600271426</v>
      </c>
      <c r="S68" s="385">
        <f t="shared" si="90"/>
        <v>3.672809235398736</v>
      </c>
      <c r="T68" s="385">
        <f t="shared" si="90"/>
        <v>0.529131013485443</v>
      </c>
      <c r="U68" s="385">
        <f t="shared" si="90"/>
        <v>0.76908013663960273</v>
      </c>
      <c r="V68" s="386">
        <f t="shared" si="90"/>
        <v>0.99460117304497997</v>
      </c>
      <c r="W68" s="382">
        <f t="shared" si="90"/>
        <v>1.3068293192857015</v>
      </c>
      <c r="X68" s="385">
        <f t="shared" si="90"/>
        <v>0.67710960461643599</v>
      </c>
      <c r="Y68" s="385">
        <f t="shared" si="90"/>
        <v>-0.27925051952557844</v>
      </c>
      <c r="Z68" s="385">
        <f t="shared" si="90"/>
        <v>-0.95010308547631095</v>
      </c>
      <c r="AA68" s="386">
        <f t="shared" si="90"/>
        <v>-0.69629192149537378</v>
      </c>
      <c r="AB68" s="382">
        <f t="shared" si="90"/>
        <v>-0.42015509025567099</v>
      </c>
      <c r="AC68" s="385">
        <f>AC67/X67-1</f>
        <v>-0.49548203288289039</v>
      </c>
      <c r="AD68" s="385">
        <f t="shared" si="90"/>
        <v>-0.27311926714252388</v>
      </c>
      <c r="AE68" s="385">
        <f t="shared" si="90"/>
        <v>7.9918335970324677</v>
      </c>
      <c r="AF68" s="386">
        <f t="shared" si="90"/>
        <v>3.3658998879986211</v>
      </c>
      <c r="AG68" s="382">
        <f t="shared" si="90"/>
        <v>0.32128113524284507</v>
      </c>
      <c r="AH68" s="385">
        <f t="shared" si="90"/>
        <v>8.7714396358002267E-2</v>
      </c>
      <c r="AI68" s="385">
        <f t="shared" si="90"/>
        <v>-2.5332075873836457E-2</v>
      </c>
      <c r="AJ68" s="385">
        <f t="shared" si="90"/>
        <v>0.43400870337178321</v>
      </c>
      <c r="AK68" s="386">
        <f t="shared" si="90"/>
        <v>-0.6774884290553973</v>
      </c>
      <c r="AL68" s="382">
        <f t="shared" ref="AL68:AQ68" si="91">AL67/AG67-1</f>
        <v>-0.22376549898075171</v>
      </c>
      <c r="AM68" s="385">
        <f t="shared" si="91"/>
        <v>-7.3957077416122341E-2</v>
      </c>
      <c r="AN68" s="385">
        <f t="shared" si="91"/>
        <v>-0.35357306184074855</v>
      </c>
      <c r="AO68" s="385">
        <f t="shared" si="91"/>
        <v>-0.54943447382999044</v>
      </c>
      <c r="AP68" s="386">
        <f t="shared" si="91"/>
        <v>-0.30369315768090088</v>
      </c>
      <c r="AQ68" s="382">
        <f t="shared" si="91"/>
        <v>-0.33210619134493002</v>
      </c>
    </row>
    <row r="69" spans="1:43" ht="5.45" customHeight="1">
      <c r="B69" s="164"/>
      <c r="C69" s="162"/>
      <c r="D69" s="247"/>
      <c r="E69" s="247"/>
      <c r="F69" s="247"/>
      <c r="G69" s="163"/>
      <c r="H69" s="167"/>
      <c r="I69" s="247"/>
      <c r="J69" s="247"/>
      <c r="K69" s="247"/>
      <c r="L69" s="163"/>
      <c r="M69" s="167"/>
      <c r="N69" s="247"/>
      <c r="O69" s="247"/>
      <c r="P69" s="247"/>
      <c r="Q69" s="163"/>
      <c r="R69" s="167"/>
      <c r="S69" s="247"/>
      <c r="T69" s="247"/>
      <c r="U69" s="247"/>
      <c r="V69" s="163"/>
      <c r="W69" s="167"/>
      <c r="X69" s="247"/>
      <c r="Y69" s="247"/>
      <c r="Z69" s="247"/>
      <c r="AA69" s="163"/>
      <c r="AB69" s="167"/>
      <c r="AC69" s="247"/>
      <c r="AD69" s="247"/>
      <c r="AE69" s="247"/>
      <c r="AF69" s="163"/>
      <c r="AG69" s="167"/>
      <c r="AH69" s="247"/>
      <c r="AI69" s="247"/>
      <c r="AJ69" s="247"/>
      <c r="AK69" s="163"/>
      <c r="AL69" s="167"/>
      <c r="AM69" s="247"/>
      <c r="AN69" s="247"/>
      <c r="AO69" s="247"/>
      <c r="AP69" s="163"/>
      <c r="AQ69" s="167"/>
    </row>
    <row r="70" spans="1:43">
      <c r="A70" s="158"/>
      <c r="B70" s="203" t="s">
        <v>137</v>
      </c>
      <c r="C70" s="209"/>
      <c r="D70" s="231"/>
      <c r="E70" s="231"/>
      <c r="F70" s="231"/>
      <c r="G70" s="231"/>
      <c r="H70" s="155">
        <v>64601</v>
      </c>
      <c r="I70" s="231">
        <v>65496</v>
      </c>
      <c r="J70" s="231">
        <v>13121</v>
      </c>
      <c r="K70" s="231">
        <v>13182</v>
      </c>
      <c r="L70" s="231">
        <v>13281</v>
      </c>
      <c r="M70" s="155">
        <v>64856</v>
      </c>
      <c r="N70" s="231">
        <v>66940</v>
      </c>
      <c r="O70" s="231">
        <v>13636</v>
      </c>
      <c r="P70" s="231">
        <v>47712</v>
      </c>
      <c r="Q70" s="231">
        <v>57451</v>
      </c>
      <c r="R70" s="155">
        <f>AVERAGE(N70:Q70)</f>
        <v>46434.75</v>
      </c>
      <c r="S70" s="231">
        <v>57972</v>
      </c>
      <c r="T70" s="231">
        <v>58344</v>
      </c>
      <c r="U70" s="231">
        <v>58641</v>
      </c>
      <c r="V70" s="231">
        <v>59096</v>
      </c>
      <c r="W70" s="155">
        <f>AVERAGE(S70:V70)</f>
        <v>58513.25</v>
      </c>
      <c r="X70" s="231">
        <v>59410</v>
      </c>
      <c r="Y70" s="231">
        <v>59856</v>
      </c>
      <c r="Z70" s="231">
        <v>60350</v>
      </c>
      <c r="AA70" s="231">
        <v>60810</v>
      </c>
      <c r="AB70" s="155">
        <f>AVERAGE(X70:AA70)</f>
        <v>60106.5</v>
      </c>
      <c r="AC70" s="231">
        <v>61188</v>
      </c>
      <c r="AD70" s="231">
        <v>59815</v>
      </c>
      <c r="AE70" s="231">
        <v>59675</v>
      </c>
      <c r="AF70" s="231">
        <v>60102</v>
      </c>
      <c r="AG70" s="155">
        <f>AVERAGE(AC70:AF70)</f>
        <v>60195</v>
      </c>
      <c r="AH70" s="231">
        <v>60565</v>
      </c>
      <c r="AI70" s="231">
        <v>61245</v>
      </c>
      <c r="AJ70" s="231">
        <v>62094</v>
      </c>
      <c r="AK70" s="231">
        <v>62873</v>
      </c>
      <c r="AL70" s="155">
        <f>AVERAGE(AH70:AK70)</f>
        <v>61694.25</v>
      </c>
      <c r="AM70" s="231">
        <f>+AK70*1.01</f>
        <v>63501.73</v>
      </c>
      <c r="AN70" s="231">
        <f t="shared" ref="AN70:AP71" si="92">+AM70*1.01</f>
        <v>64136.747300000003</v>
      </c>
      <c r="AO70" s="231">
        <f t="shared" si="92"/>
        <v>64778.114773000001</v>
      </c>
      <c r="AP70" s="231">
        <f t="shared" si="92"/>
        <v>65425.895920729999</v>
      </c>
      <c r="AQ70" s="155">
        <f>AVERAGE(AM70:AP70)</f>
        <v>64460.6219984325</v>
      </c>
    </row>
    <row r="71" spans="1:43" ht="13.15" thickBot="1">
      <c r="B71" s="210" t="s">
        <v>136</v>
      </c>
      <c r="C71" s="208"/>
      <c r="D71" s="231"/>
      <c r="E71" s="231"/>
      <c r="F71" s="231"/>
      <c r="G71" s="231"/>
      <c r="H71" s="155">
        <v>64601</v>
      </c>
      <c r="I71" s="231">
        <v>65496</v>
      </c>
      <c r="J71" s="231">
        <v>13121</v>
      </c>
      <c r="K71" s="231">
        <v>13182</v>
      </c>
      <c r="L71" s="231">
        <v>13281</v>
      </c>
      <c r="M71" s="155">
        <v>65856</v>
      </c>
      <c r="N71" s="231">
        <v>66940</v>
      </c>
      <c r="O71" s="231">
        <v>13636</v>
      </c>
      <c r="P71" s="231">
        <v>47712</v>
      </c>
      <c r="Q71" s="231">
        <v>57451</v>
      </c>
      <c r="R71" s="155">
        <f>AVERAGE(N71:Q71)</f>
        <v>46434.75</v>
      </c>
      <c r="S71" s="231">
        <v>57972</v>
      </c>
      <c r="T71" s="231">
        <v>58344</v>
      </c>
      <c r="U71" s="231">
        <v>58641</v>
      </c>
      <c r="V71" s="231">
        <v>59096</v>
      </c>
      <c r="W71" s="155">
        <f>AVERAGE(S71:V71)</f>
        <v>58513.25</v>
      </c>
      <c r="X71" s="231">
        <v>59410</v>
      </c>
      <c r="Y71" s="231">
        <v>59856</v>
      </c>
      <c r="Z71" s="231">
        <v>60350</v>
      </c>
      <c r="AA71" s="231">
        <v>60810</v>
      </c>
      <c r="AB71" s="155">
        <f>AVERAGE(X71:AA71)</f>
        <v>60106.5</v>
      </c>
      <c r="AC71" s="231">
        <v>61188</v>
      </c>
      <c r="AD71" s="231">
        <v>59815</v>
      </c>
      <c r="AE71" s="231">
        <v>59675</v>
      </c>
      <c r="AF71" s="231">
        <v>60102</v>
      </c>
      <c r="AG71" s="155">
        <f>AVERAGE(AC71:AF71)</f>
        <v>60195</v>
      </c>
      <c r="AH71" s="231">
        <v>60565</v>
      </c>
      <c r="AI71" s="231">
        <v>61245</v>
      </c>
      <c r="AJ71" s="231">
        <v>62094</v>
      </c>
      <c r="AK71" s="231">
        <v>62873</v>
      </c>
      <c r="AL71" s="155">
        <f>AVERAGE(AH71:AK71)</f>
        <v>61694.25</v>
      </c>
      <c r="AM71" s="231">
        <f>+AK71*1.01</f>
        <v>63501.73</v>
      </c>
      <c r="AN71" s="231">
        <f t="shared" si="92"/>
        <v>64136.747300000003</v>
      </c>
      <c r="AO71" s="231">
        <f t="shared" si="92"/>
        <v>64778.114773000001</v>
      </c>
      <c r="AP71" s="231">
        <f t="shared" si="92"/>
        <v>65425.895920729999</v>
      </c>
      <c r="AQ71" s="155">
        <f>AVERAGE(AM71:AP71)</f>
        <v>64460.6219984325</v>
      </c>
    </row>
    <row r="72" spans="1:43" ht="7.9" customHeight="1">
      <c r="B72" s="297"/>
      <c r="C72" s="293"/>
      <c r="D72" s="293"/>
      <c r="E72" s="256"/>
      <c r="F72" s="256"/>
      <c r="G72" s="293"/>
      <c r="H72" s="295"/>
      <c r="I72" s="293"/>
      <c r="J72" s="256"/>
      <c r="K72" s="256"/>
      <c r="L72" s="293"/>
      <c r="M72" s="295"/>
      <c r="N72" s="293"/>
      <c r="O72" s="256"/>
      <c r="P72" s="256"/>
      <c r="Q72" s="293"/>
      <c r="R72" s="295"/>
      <c r="S72" s="293"/>
      <c r="T72" s="256"/>
      <c r="U72" s="256"/>
      <c r="V72" s="293"/>
      <c r="W72" s="295"/>
      <c r="X72" s="293"/>
      <c r="Y72" s="256"/>
      <c r="Z72" s="256"/>
      <c r="AA72" s="293"/>
      <c r="AB72" s="295"/>
      <c r="AC72" s="293"/>
      <c r="AD72" s="256"/>
      <c r="AE72" s="256"/>
      <c r="AF72" s="293"/>
      <c r="AG72" s="295"/>
      <c r="AH72" s="293"/>
      <c r="AI72" s="256"/>
      <c r="AJ72" s="256"/>
      <c r="AK72" s="293"/>
      <c r="AL72" s="295"/>
      <c r="AM72" s="293"/>
      <c r="AN72" s="256"/>
      <c r="AO72" s="256"/>
      <c r="AP72" s="293"/>
      <c r="AQ72" s="295"/>
    </row>
    <row r="73" spans="1:43" ht="13.15" thickBot="1">
      <c r="A73" s="158"/>
      <c r="B73" s="899" t="s">
        <v>135</v>
      </c>
      <c r="C73" s="294"/>
      <c r="D73" s="231">
        <f>BS!D45</f>
        <v>801</v>
      </c>
      <c r="E73" s="294">
        <f>BS!E45</f>
        <v>681</v>
      </c>
      <c r="F73" s="294">
        <f>BS!F45</f>
        <v>646</v>
      </c>
      <c r="G73" s="294">
        <f>BS!G45</f>
        <v>1418</v>
      </c>
      <c r="H73" s="159"/>
      <c r="I73" s="294">
        <f>BS!I45</f>
        <v>1537</v>
      </c>
      <c r="J73" s="294">
        <f>BS!J45</f>
        <v>1339</v>
      </c>
      <c r="K73" s="294">
        <f>BS!K45</f>
        <v>1101</v>
      </c>
      <c r="L73" s="294">
        <f>BS!L45</f>
        <v>1642</v>
      </c>
      <c r="M73" s="159"/>
      <c r="N73" s="294">
        <f>BS!N45</f>
        <v>2752</v>
      </c>
      <c r="O73" s="294">
        <f>BS!O45</f>
        <v>1489</v>
      </c>
      <c r="P73" s="294">
        <f>BS!P45</f>
        <v>1575</v>
      </c>
      <c r="Q73" s="294">
        <f>BS!Q45</f>
        <v>2175</v>
      </c>
      <c r="R73" s="159"/>
      <c r="S73" s="294">
        <f>BS!S45</f>
        <v>3035</v>
      </c>
      <c r="T73" s="294">
        <f>BS!T45</f>
        <v>2690</v>
      </c>
      <c r="U73" s="294">
        <f>BS!U45</f>
        <v>2741</v>
      </c>
      <c r="V73" s="294">
        <f>BS!V45</f>
        <v>4100</v>
      </c>
      <c r="W73" s="159"/>
      <c r="X73" s="294">
        <f>BS!X45</f>
        <v>4169</v>
      </c>
      <c r="Y73" s="294">
        <f>BS!Y45</f>
        <v>3310</v>
      </c>
      <c r="Z73" s="294">
        <f>BS!Z45</f>
        <v>2966</v>
      </c>
      <c r="AA73" s="294">
        <f>BS!AA45</f>
        <v>4285</v>
      </c>
      <c r="AB73" s="159"/>
      <c r="AC73" s="294">
        <f>BS!AC45</f>
        <v>3501</v>
      </c>
      <c r="AD73" s="294">
        <f>BS!AD45</f>
        <v>3518</v>
      </c>
      <c r="AE73" s="294">
        <f>BS!AE45</f>
        <v>3042</v>
      </c>
      <c r="AF73" s="294">
        <f>BS!AF45</f>
        <v>4296</v>
      </c>
      <c r="AG73" s="159"/>
      <c r="AH73" s="294">
        <f>BS!AH45</f>
        <v>3905</v>
      </c>
      <c r="AI73" s="294">
        <f>BS!AI45</f>
        <v>3493</v>
      </c>
      <c r="AJ73" s="294">
        <f>BS!AJ45</f>
        <v>4272</v>
      </c>
      <c r="AK73" s="294">
        <f>BS!AK45</f>
        <v>5382</v>
      </c>
      <c r="AL73" s="159"/>
      <c r="AM73" s="294"/>
      <c r="AN73" s="294"/>
      <c r="AO73" s="294"/>
      <c r="AP73" s="294"/>
      <c r="AQ73" s="159"/>
    </row>
    <row r="74" spans="1:43">
      <c r="A74" s="230"/>
      <c r="B74" s="291" t="s">
        <v>134</v>
      </c>
      <c r="C74" s="289"/>
      <c r="D74" s="898">
        <f>CF!D25</f>
        <v>-9354</v>
      </c>
      <c r="E74" s="290">
        <f>CF!E25</f>
        <v>-2893</v>
      </c>
      <c r="F74" s="290">
        <f>CF!F25</f>
        <v>-6152</v>
      </c>
      <c r="G74" s="290">
        <f>CF!G25</f>
        <v>-8900</v>
      </c>
      <c r="H74" s="291">
        <f>CF!H25</f>
        <v>-27299</v>
      </c>
      <c r="I74" s="292">
        <f>CF!I25</f>
        <v>-10114</v>
      </c>
      <c r="J74" s="290">
        <f>CF!J25</f>
        <v>-5000</v>
      </c>
      <c r="K74" s="290">
        <f>CF!K25</f>
        <v>-2585</v>
      </c>
      <c r="L74" s="290">
        <f>CF!L25</f>
        <v>-5013</v>
      </c>
      <c r="M74" s="291">
        <f>CF!M25</f>
        <v>-22712</v>
      </c>
      <c r="N74" s="292">
        <f>CF!N25</f>
        <v>-4496</v>
      </c>
      <c r="O74" s="290">
        <f>CF!O25</f>
        <v>-5679</v>
      </c>
      <c r="P74" s="290">
        <f>CF!P25</f>
        <v>-8619</v>
      </c>
      <c r="Q74" s="289">
        <f>CF!Q25</f>
        <v>-2848</v>
      </c>
      <c r="R74" s="291">
        <f>CF!R25</f>
        <v>-21642</v>
      </c>
      <c r="S74" s="292">
        <f>CF!S25</f>
        <v>-11384</v>
      </c>
      <c r="T74" s="290">
        <f>CF!T25</f>
        <v>-10794</v>
      </c>
      <c r="U74" s="290">
        <f>CF!U25</f>
        <v>-14475</v>
      </c>
      <c r="V74" s="290">
        <f>CF!V25</f>
        <v>-9361</v>
      </c>
      <c r="W74" s="291">
        <f>CF!W25</f>
        <v>-46014</v>
      </c>
      <c r="X74" s="290">
        <f>CF!X25</f>
        <v>-14752</v>
      </c>
      <c r="Y74" s="290">
        <f>CF!Y25</f>
        <v>-7054</v>
      </c>
      <c r="Z74" s="290">
        <f>CF!Z25</f>
        <v>-6900</v>
      </c>
      <c r="AA74" s="290">
        <f>CF!AA25</f>
        <v>3175</v>
      </c>
      <c r="AB74" s="291">
        <f>CF!AB25</f>
        <v>-25531</v>
      </c>
      <c r="AC74" s="290">
        <f>CF!AC25</f>
        <v>-7330</v>
      </c>
      <c r="AD74" s="290">
        <f>CF!AD25</f>
        <v>-650</v>
      </c>
      <c r="AE74" s="290">
        <f>CF!AE25</f>
        <v>-2857</v>
      </c>
      <c r="AF74" s="290">
        <f>CF!AF25</f>
        <v>2088</v>
      </c>
      <c r="AG74" s="291">
        <f>CF!AG25</f>
        <v>-8749</v>
      </c>
      <c r="AH74" s="290">
        <f>CF!AH25</f>
        <v>-10498</v>
      </c>
      <c r="AI74" s="290">
        <f>CF!AI25</f>
        <v>-4221</v>
      </c>
      <c r="AJ74" s="290">
        <f>CF!AJ25</f>
        <v>-979</v>
      </c>
      <c r="AK74" s="290">
        <f>CF!AK25</f>
        <v>762</v>
      </c>
      <c r="AL74" s="291"/>
      <c r="AM74" s="292"/>
      <c r="AN74" s="290"/>
      <c r="AO74" s="290"/>
      <c r="AP74" s="289"/>
      <c r="AQ74" s="291"/>
    </row>
    <row r="75" spans="1:43" hidden="1" outlineLevel="1">
      <c r="A75" s="158"/>
      <c r="B75" s="155" t="s">
        <v>217</v>
      </c>
      <c r="C75" s="160"/>
      <c r="D75" s="231"/>
      <c r="E75" s="230"/>
      <c r="F75" s="230"/>
      <c r="G75" s="230"/>
      <c r="H75" s="155"/>
      <c r="I75" s="230"/>
      <c r="J75" s="230"/>
      <c r="K75" s="230"/>
      <c r="L75" s="230"/>
      <c r="M75" s="155"/>
      <c r="N75" s="230"/>
      <c r="O75" s="230"/>
      <c r="P75" s="230"/>
      <c r="Q75" s="230"/>
      <c r="R75" s="155"/>
      <c r="S75" s="230"/>
      <c r="T75" s="230"/>
      <c r="U75" s="230"/>
      <c r="V75" s="230"/>
      <c r="W75" s="155"/>
      <c r="X75" s="230"/>
      <c r="Y75" s="230"/>
      <c r="Z75" s="230"/>
      <c r="AA75" s="230"/>
      <c r="AB75" s="155"/>
      <c r="AC75" s="230"/>
      <c r="AD75" s="230"/>
      <c r="AE75" s="230"/>
      <c r="AF75" s="230"/>
      <c r="AG75" s="155"/>
      <c r="AH75" s="230"/>
      <c r="AI75" s="230"/>
      <c r="AJ75" s="230"/>
      <c r="AK75" s="230"/>
      <c r="AL75" s="155"/>
      <c r="AM75" s="230"/>
      <c r="AN75" s="230"/>
      <c r="AO75" s="230"/>
      <c r="AP75" s="230"/>
      <c r="AQ75" s="155"/>
    </row>
    <row r="76" spans="1:43" collapsed="1">
      <c r="A76" s="158"/>
      <c r="B76" s="155" t="s">
        <v>133</v>
      </c>
      <c r="C76" s="160"/>
      <c r="D76" s="231">
        <f>BS!D6</f>
        <v>43786</v>
      </c>
      <c r="E76" s="231">
        <f>BS!E6</f>
        <v>40307</v>
      </c>
      <c r="F76" s="231">
        <f>BS!F6</f>
        <v>33348</v>
      </c>
      <c r="G76" s="231">
        <f>BS!G6</f>
        <v>23224</v>
      </c>
      <c r="H76" s="155"/>
      <c r="I76" s="230">
        <f>BS!I6</f>
        <v>29398</v>
      </c>
      <c r="J76" s="230">
        <f>BS!J6</f>
        <v>24022</v>
      </c>
      <c r="K76" s="230">
        <f>BS!K6</f>
        <v>78188</v>
      </c>
      <c r="L76" s="230">
        <f>BS!L6</f>
        <v>58569</v>
      </c>
      <c r="M76" s="155"/>
      <c r="N76" s="230">
        <f>BS!N6</f>
        <v>53632</v>
      </c>
      <c r="O76" s="230">
        <f>BS!O6</f>
        <v>47026</v>
      </c>
      <c r="P76" s="230">
        <f>BS!P6</f>
        <v>258478</v>
      </c>
      <c r="Q76" s="230">
        <f>BS!Q6</f>
        <v>255477</v>
      </c>
      <c r="R76" s="155"/>
      <c r="S76" s="230">
        <f>BS!S6</f>
        <v>238576</v>
      </c>
      <c r="T76" s="230">
        <f>BS!T6</f>
        <v>228187</v>
      </c>
      <c r="U76" s="230">
        <f>BS!U6</f>
        <v>213122</v>
      </c>
      <c r="V76" s="230">
        <f>BS!V6</f>
        <v>203244</v>
      </c>
      <c r="W76" s="155"/>
      <c r="X76" s="230">
        <f>BS!X6</f>
        <v>187635</v>
      </c>
      <c r="Y76" s="230">
        <f>BS!Y6</f>
        <v>178919</v>
      </c>
      <c r="Z76" s="230">
        <f>BS!Z6</f>
        <v>157652</v>
      </c>
      <c r="AA76" s="230">
        <f>BS!AA6</f>
        <v>159551</v>
      </c>
      <c r="AB76" s="155"/>
      <c r="AC76" s="230">
        <f>BS!AC6</f>
        <v>148679</v>
      </c>
      <c r="AD76" s="230">
        <f>BS!AD6</f>
        <v>130005</v>
      </c>
      <c r="AE76" s="230">
        <f>BS!AE6</f>
        <v>126794</v>
      </c>
      <c r="AF76" s="230">
        <f>BS!AF6</f>
        <v>129127</v>
      </c>
      <c r="AG76" s="155"/>
      <c r="AH76" s="230">
        <f>BS!AH6</f>
        <v>118811</v>
      </c>
      <c r="AI76" s="230">
        <f>BS!AI6</f>
        <v>114344</v>
      </c>
      <c r="AJ76" s="230">
        <f>BS!AJ6</f>
        <v>113486</v>
      </c>
      <c r="AK76" s="230">
        <f>BS!AK6</f>
        <v>114597</v>
      </c>
      <c r="AL76" s="155"/>
      <c r="AM76" s="230"/>
      <c r="AN76" s="230"/>
      <c r="AO76" s="230"/>
      <c r="AP76" s="230"/>
      <c r="AQ76" s="155"/>
    </row>
    <row r="77" spans="1:43" ht="13.15" thickBot="1">
      <c r="A77" s="149"/>
      <c r="B77" s="154" t="s">
        <v>132</v>
      </c>
      <c r="C77" s="253"/>
      <c r="D77" s="320"/>
      <c r="E77" s="259"/>
      <c r="F77" s="259"/>
      <c r="G77" s="259"/>
      <c r="H77" s="154"/>
      <c r="I77" s="258">
        <f>I76/I70</f>
        <v>0.44885183828020031</v>
      </c>
      <c r="J77" s="258"/>
      <c r="K77" s="258"/>
      <c r="L77" s="258"/>
      <c r="M77" s="154"/>
      <c r="N77" s="258">
        <f>N76/N70</f>
        <v>0.80119510008963246</v>
      </c>
      <c r="O77" s="258">
        <f>O76/O70</f>
        <v>3.4486652977412731</v>
      </c>
      <c r="P77" s="258">
        <f>P76/P70</f>
        <v>5.4174631120053656</v>
      </c>
      <c r="Q77" s="258">
        <f>Q76/Q70</f>
        <v>4.4468677655741411</v>
      </c>
      <c r="R77" s="154"/>
      <c r="S77" s="258">
        <f>S76/S70</f>
        <v>4.1153660387773412</v>
      </c>
      <c r="T77" s="258">
        <f>T76/T70</f>
        <v>3.9110619772384476</v>
      </c>
      <c r="U77" s="258">
        <f>U76/U70</f>
        <v>3.634351392370526</v>
      </c>
      <c r="V77" s="258">
        <f>V76/V70</f>
        <v>3.439217544334642</v>
      </c>
      <c r="W77" s="154"/>
      <c r="X77" s="258">
        <f>X76/X70</f>
        <v>3.1583066823767041</v>
      </c>
      <c r="Y77" s="258">
        <f>Y76/Y70</f>
        <v>2.989157310879444</v>
      </c>
      <c r="Z77" s="258">
        <f>Z76/Z70</f>
        <v>2.6122949461474732</v>
      </c>
      <c r="AA77" s="258">
        <f>AA76/AA70</f>
        <v>2.6237625390560764</v>
      </c>
      <c r="AB77" s="154"/>
      <c r="AC77" s="258">
        <f>AC76/AC70</f>
        <v>2.4298718703013664</v>
      </c>
      <c r="AD77" s="258">
        <f>AD76/AD70</f>
        <v>2.173451475382429</v>
      </c>
      <c r="AE77" s="258">
        <f>AE76/AE70</f>
        <v>2.1247423544197739</v>
      </c>
      <c r="AF77" s="258">
        <f>AF76/AF70</f>
        <v>2.148464277395095</v>
      </c>
      <c r="AG77" s="154"/>
      <c r="AH77" s="258">
        <f>AH76/AH70</f>
        <v>1.9617105589036572</v>
      </c>
      <c r="AI77" s="258">
        <f>AI76/AI70</f>
        <v>1.8669932239366478</v>
      </c>
      <c r="AJ77" s="258">
        <f>AJ76/AJ70</f>
        <v>1.8276484040325958</v>
      </c>
      <c r="AK77" s="258">
        <f>AK76/AK70</f>
        <v>1.8226742798975712</v>
      </c>
      <c r="AL77" s="154"/>
      <c r="AM77" s="259"/>
      <c r="AN77" s="258"/>
      <c r="AO77" s="258"/>
      <c r="AP77" s="258"/>
      <c r="AQ77" s="154"/>
    </row>
    <row r="78" spans="1:43">
      <c r="B78" s="148" t="s">
        <v>131</v>
      </c>
      <c r="C78" s="152"/>
      <c r="D78" s="153"/>
      <c r="E78" s="153"/>
      <c r="F78" s="153"/>
      <c r="G78" s="153"/>
      <c r="H78" s="153"/>
      <c r="I78" s="153"/>
      <c r="J78" s="153"/>
      <c r="K78" s="153"/>
      <c r="L78" s="153"/>
      <c r="W78" s="153"/>
      <c r="AB78" s="153"/>
      <c r="AG78" s="153"/>
      <c r="AL78" s="153" t="s">
        <v>130</v>
      </c>
      <c r="AQ78" s="153" t="s">
        <v>130</v>
      </c>
    </row>
    <row r="79" spans="1:43">
      <c r="B79" s="148" t="s">
        <v>129</v>
      </c>
      <c r="C79" s="152"/>
      <c r="D79" s="151"/>
      <c r="E79" s="151"/>
      <c r="F79" s="151"/>
      <c r="G79" s="151"/>
      <c r="H79" s="151"/>
      <c r="I79" s="151"/>
      <c r="J79" s="151"/>
      <c r="L79" s="151"/>
      <c r="W79" s="151"/>
      <c r="AB79" s="151"/>
      <c r="AG79" s="151"/>
      <c r="AL79" s="151" t="s">
        <v>128</v>
      </c>
      <c r="AQ79" s="151" t="s">
        <v>128</v>
      </c>
    </row>
    <row r="80" spans="1:43" ht="13.15" thickBot="1">
      <c r="B80" s="148"/>
      <c r="C80" s="152"/>
      <c r="D80" s="151"/>
      <c r="E80" s="151"/>
      <c r="F80" s="151"/>
      <c r="G80" s="151"/>
      <c r="H80" s="151"/>
      <c r="I80" s="151"/>
      <c r="J80" s="151"/>
      <c r="K80" s="151"/>
      <c r="L80" s="151"/>
      <c r="M80" s="151"/>
    </row>
    <row r="81" spans="1:43" ht="13.15" thickBot="1">
      <c r="B81" s="148"/>
      <c r="C81" s="147"/>
      <c r="D81" s="939" t="s">
        <v>230</v>
      </c>
      <c r="E81" s="940"/>
      <c r="F81" s="940"/>
      <c r="G81" s="941"/>
      <c r="H81" s="150"/>
      <c r="I81" s="939" t="s">
        <v>232</v>
      </c>
      <c r="J81" s="940"/>
      <c r="K81" s="940"/>
      <c r="L81" s="941"/>
      <c r="M81" s="150"/>
      <c r="N81" s="939" t="s">
        <v>236</v>
      </c>
      <c r="O81" s="940"/>
      <c r="P81" s="940"/>
      <c r="Q81" s="941"/>
      <c r="R81" s="150"/>
      <c r="S81" s="939" t="s">
        <v>249</v>
      </c>
      <c r="T81" s="940"/>
      <c r="U81" s="940"/>
      <c r="V81" s="941"/>
      <c r="W81" s="150"/>
      <c r="X81" s="939" t="str">
        <f>AB4 &amp;" Billings"</f>
        <v>2023 Billings</v>
      </c>
      <c r="Y81" s="940"/>
      <c r="Z81" s="940"/>
      <c r="AA81" s="941"/>
      <c r="AB81" s="150"/>
      <c r="AC81" s="939" t="str">
        <f>AG4 &amp;" Billings"</f>
        <v>2024 Billings</v>
      </c>
      <c r="AD81" s="940"/>
      <c r="AE81" s="940"/>
      <c r="AF81" s="941"/>
      <c r="AG81" s="150"/>
      <c r="AH81" s="939" t="str">
        <f>AL4 &amp;" Billings"</f>
        <v>2025 Billings</v>
      </c>
      <c r="AI81" s="940"/>
      <c r="AJ81" s="940"/>
      <c r="AK81" s="941"/>
      <c r="AL81" s="150"/>
      <c r="AM81" s="939" t="str">
        <f>AQ4 &amp;" Billings"</f>
        <v>2026E Billings</v>
      </c>
      <c r="AN81" s="940"/>
      <c r="AO81" s="940"/>
      <c r="AP81" s="941"/>
      <c r="AQ81" s="150"/>
    </row>
    <row r="82" spans="1:43" ht="13.15" thickBot="1">
      <c r="A82" s="149"/>
      <c r="B82" s="148"/>
      <c r="C82" s="147"/>
      <c r="D82" s="323" t="str">
        <f t="shared" ref="D82:AQ82" si="93">D4</f>
        <v>1Q19</v>
      </c>
      <c r="E82" s="324" t="str">
        <f t="shared" si="93"/>
        <v>2Q19</v>
      </c>
      <c r="F82" s="324" t="str">
        <f t="shared" si="93"/>
        <v>3Q19</v>
      </c>
      <c r="G82" s="325" t="str">
        <f t="shared" si="93"/>
        <v>4Q19</v>
      </c>
      <c r="H82" s="325">
        <f t="shared" si="93"/>
        <v>2019</v>
      </c>
      <c r="I82" s="323" t="str">
        <f t="shared" si="93"/>
        <v>1Q20</v>
      </c>
      <c r="J82" s="324" t="str">
        <f t="shared" si="93"/>
        <v>2Q20</v>
      </c>
      <c r="K82" s="324" t="str">
        <f t="shared" si="93"/>
        <v>3Q20</v>
      </c>
      <c r="L82" s="325" t="str">
        <f t="shared" si="93"/>
        <v>4Q20</v>
      </c>
      <c r="M82" s="325">
        <f t="shared" si="93"/>
        <v>2020</v>
      </c>
      <c r="N82" s="323" t="str">
        <f t="shared" si="93"/>
        <v>1Q21</v>
      </c>
      <c r="O82" s="324" t="str">
        <f t="shared" si="93"/>
        <v>2Q21</v>
      </c>
      <c r="P82" s="324" t="str">
        <f t="shared" si="93"/>
        <v>3Q21</v>
      </c>
      <c r="Q82" s="325" t="str">
        <f t="shared" si="93"/>
        <v>4Q21</v>
      </c>
      <c r="R82" s="325">
        <f t="shared" si="93"/>
        <v>2021</v>
      </c>
      <c r="S82" s="323" t="str">
        <f t="shared" si="93"/>
        <v>1Q22</v>
      </c>
      <c r="T82" s="324" t="str">
        <f t="shared" si="93"/>
        <v>2Q22</v>
      </c>
      <c r="U82" s="324" t="str">
        <f t="shared" si="93"/>
        <v>3Q22</v>
      </c>
      <c r="V82" s="325" t="str">
        <f t="shared" si="93"/>
        <v>4Q22</v>
      </c>
      <c r="W82" s="325">
        <f t="shared" si="93"/>
        <v>2022</v>
      </c>
      <c r="X82" s="323" t="str">
        <f t="shared" si="93"/>
        <v>1Q23</v>
      </c>
      <c r="Y82" s="324" t="str">
        <f t="shared" si="93"/>
        <v>2Q23</v>
      </c>
      <c r="Z82" s="324" t="str">
        <f t="shared" si="93"/>
        <v>3Q23</v>
      </c>
      <c r="AA82" s="325" t="str">
        <f t="shared" si="93"/>
        <v>4Q23</v>
      </c>
      <c r="AB82" s="325">
        <f t="shared" si="93"/>
        <v>2023</v>
      </c>
      <c r="AC82" s="323" t="str">
        <f t="shared" si="93"/>
        <v>1Q24</v>
      </c>
      <c r="AD82" s="324" t="str">
        <f t="shared" si="93"/>
        <v>2Q24</v>
      </c>
      <c r="AE82" s="324" t="str">
        <f t="shared" si="93"/>
        <v>3Q24</v>
      </c>
      <c r="AF82" s="325" t="str">
        <f t="shared" si="93"/>
        <v>4Q24</v>
      </c>
      <c r="AG82" s="325">
        <f t="shared" si="93"/>
        <v>2024</v>
      </c>
      <c r="AH82" s="323" t="str">
        <f t="shared" si="93"/>
        <v>1Q25</v>
      </c>
      <c r="AI82" s="324" t="str">
        <f>AI4</f>
        <v>2Q25</v>
      </c>
      <c r="AJ82" s="324" t="str">
        <f t="shared" ref="AJ82:AK82" si="94">AJ4</f>
        <v>3Q25</v>
      </c>
      <c r="AK82" s="325" t="str">
        <f t="shared" si="94"/>
        <v>4Q25</v>
      </c>
      <c r="AL82" s="325">
        <f t="shared" si="93"/>
        <v>2025</v>
      </c>
      <c r="AM82" s="323" t="str">
        <f t="shared" si="93"/>
        <v>1Q26E</v>
      </c>
      <c r="AN82" s="324" t="str">
        <f t="shared" si="93"/>
        <v>2Q26E</v>
      </c>
      <c r="AO82" s="324" t="str">
        <f t="shared" si="93"/>
        <v>3Q26E</v>
      </c>
      <c r="AP82" s="325" t="str">
        <f t="shared" si="93"/>
        <v>4Q26E</v>
      </c>
      <c r="AQ82" s="325" t="str">
        <f t="shared" si="93"/>
        <v>2026E</v>
      </c>
    </row>
    <row r="83" spans="1:43" ht="13.5">
      <c r="A83" s="401"/>
      <c r="C83" s="146" t="s">
        <v>123</v>
      </c>
      <c r="D83" s="145">
        <f>D11</f>
        <v>10378</v>
      </c>
      <c r="E83" s="145">
        <f>E11</f>
        <v>11305</v>
      </c>
      <c r="F83" s="145">
        <f>F11</f>
        <v>12652</v>
      </c>
      <c r="G83" s="145">
        <f>G11</f>
        <v>14221</v>
      </c>
      <c r="H83" s="228"/>
      <c r="I83" s="145">
        <f>I11</f>
        <v>15668</v>
      </c>
      <c r="J83" s="145">
        <f>J11</f>
        <v>15727</v>
      </c>
      <c r="K83" s="145">
        <f>K11</f>
        <v>17863</v>
      </c>
      <c r="L83" s="145">
        <f>L11</f>
        <v>19186</v>
      </c>
      <c r="M83" s="228"/>
      <c r="N83" s="145">
        <f>N11</f>
        <v>21131</v>
      </c>
      <c r="O83" s="145">
        <f>O11</f>
        <v>29547</v>
      </c>
      <c r="P83" s="145">
        <f>P11</f>
        <v>29854</v>
      </c>
      <c r="Q83" s="145">
        <f>Q11</f>
        <v>33810</v>
      </c>
      <c r="R83" s="228"/>
      <c r="S83" s="145">
        <f>S11</f>
        <v>34468</v>
      </c>
      <c r="T83" s="145">
        <f>T11</f>
        <v>33710</v>
      </c>
      <c r="U83" s="145">
        <f>U11</f>
        <v>34475</v>
      </c>
      <c r="V83" s="145">
        <f>V11</f>
        <v>32537</v>
      </c>
      <c r="W83" s="228"/>
      <c r="X83" s="145">
        <f>X11</f>
        <v>33129</v>
      </c>
      <c r="Y83" s="145">
        <f>Y11</f>
        <v>34276</v>
      </c>
      <c r="Z83" s="145">
        <f>Z11</f>
        <v>34943</v>
      </c>
      <c r="AA83" s="145">
        <f>AA11</f>
        <v>35742</v>
      </c>
      <c r="AB83" s="228"/>
      <c r="AC83" s="145">
        <f>AC11</f>
        <v>35571</v>
      </c>
      <c r="AD83" s="145">
        <f>AD11</f>
        <v>36005</v>
      </c>
      <c r="AE83" s="145">
        <f>AE11</f>
        <v>36266</v>
      </c>
      <c r="AF83" s="145">
        <f>AF11</f>
        <v>36999</v>
      </c>
      <c r="AG83" s="228"/>
      <c r="AH83" s="145">
        <f>AH11</f>
        <v>36653</v>
      </c>
      <c r="AI83" s="145">
        <f>AI11</f>
        <v>38106</v>
      </c>
      <c r="AJ83" s="145">
        <f>AJ11</f>
        <v>40919</v>
      </c>
      <c r="AK83" s="145">
        <f>AK11</f>
        <v>41171</v>
      </c>
      <c r="AL83" s="228"/>
      <c r="AM83" s="145">
        <f>AM11</f>
        <v>39749.896000000001</v>
      </c>
      <c r="AN83" s="145">
        <f>AN11</f>
        <v>42303.380000000005</v>
      </c>
      <c r="AO83" s="145">
        <f>AO11</f>
        <v>44041.606000000007</v>
      </c>
      <c r="AP83" s="145">
        <f>AP11</f>
        <v>45909.808000000005</v>
      </c>
      <c r="AQ83" s="228"/>
    </row>
    <row r="84" spans="1:43" ht="13.5">
      <c r="A84" s="401"/>
      <c r="C84" s="144" t="s">
        <v>127</v>
      </c>
      <c r="D84" s="142">
        <f>+CF!D22</f>
        <v>-30</v>
      </c>
      <c r="E84" s="142">
        <f>+CF!E22</f>
        <v>-120</v>
      </c>
      <c r="F84" s="142">
        <f>+CF!F22</f>
        <v>-35</v>
      </c>
      <c r="G84" s="142">
        <f>+CF!G22</f>
        <v>772</v>
      </c>
      <c r="H84" s="141"/>
      <c r="I84" s="142">
        <f>+CF!I22</f>
        <v>119</v>
      </c>
      <c r="J84" s="142">
        <f>+CF!J22</f>
        <v>-198</v>
      </c>
      <c r="K84" s="142">
        <f>+CF!K22</f>
        <v>-238</v>
      </c>
      <c r="L84" s="142">
        <f>+CF!L22</f>
        <v>541</v>
      </c>
      <c r="M84" s="141"/>
      <c r="N84" s="142">
        <f>+CF!N22</f>
        <v>1110</v>
      </c>
      <c r="O84" s="142">
        <f>BS!O45-BS!N45</f>
        <v>-1263</v>
      </c>
      <c r="P84" s="142">
        <f>BS!P45-BS!O45</f>
        <v>86</v>
      </c>
      <c r="Q84" s="142">
        <f>BS!Q45-BS!P45</f>
        <v>600</v>
      </c>
      <c r="R84" s="141"/>
      <c r="S84" s="142">
        <f>BS!S45-BS!Q45</f>
        <v>860</v>
      </c>
      <c r="T84" s="142">
        <f>BS!T45-BS!S45</f>
        <v>-345</v>
      </c>
      <c r="U84" s="142">
        <f>BS!U45-BS!T45</f>
        <v>51</v>
      </c>
      <c r="V84" s="142">
        <f>BS!V45-BS!U45</f>
        <v>1359</v>
      </c>
      <c r="W84" s="141"/>
      <c r="X84" s="142">
        <f>BS!X45-BS!V45</f>
        <v>69</v>
      </c>
      <c r="Y84" s="142">
        <f>BS!Y45-BS!X45</f>
        <v>-859</v>
      </c>
      <c r="Z84" s="142">
        <f>BS!Z45-BS!Y45</f>
        <v>-344</v>
      </c>
      <c r="AA84" s="142">
        <f>BS!AA45-BS!Z45</f>
        <v>1319</v>
      </c>
      <c r="AB84" s="141"/>
      <c r="AC84" s="142">
        <f>BS!AC45-BS!AA45</f>
        <v>-784</v>
      </c>
      <c r="AD84" s="142">
        <f>BS!AD45-BS!AC45</f>
        <v>17</v>
      </c>
      <c r="AE84" s="142">
        <f>BS!AE45-BS!AD45</f>
        <v>-476</v>
      </c>
      <c r="AF84" s="142">
        <f>BS!AF45-BS!AE45</f>
        <v>1254</v>
      </c>
      <c r="AG84" s="141"/>
      <c r="AH84" s="142">
        <f>BS!AH45-BS!AF45</f>
        <v>-391</v>
      </c>
      <c r="AI84" s="142">
        <f>BS!AI45-BS!AH45</f>
        <v>-412</v>
      </c>
      <c r="AJ84" s="142">
        <f>BS!AJ45-BS!AI45</f>
        <v>779</v>
      </c>
      <c r="AK84" s="142">
        <f>BS!AK45-BS!AJ45</f>
        <v>1110</v>
      </c>
      <c r="AL84" s="141"/>
      <c r="AM84" s="142">
        <f>BS!AM45-BS!AK45</f>
        <v>-1407.0103999999997</v>
      </c>
      <c r="AN84" s="142">
        <f>BS!AN45-BS!AM45</f>
        <v>255.34840000000031</v>
      </c>
      <c r="AO84" s="142">
        <f>BS!AO45-BS!AN45</f>
        <v>173.82260000000042</v>
      </c>
      <c r="AP84" s="142">
        <f>BS!AP45-BS!AO45</f>
        <v>645.91827999999987</v>
      </c>
      <c r="AQ84" s="141"/>
    </row>
    <row r="85" spans="1:43" ht="13.5">
      <c r="A85" s="401"/>
      <c r="C85" s="143" t="s">
        <v>126</v>
      </c>
      <c r="D85" s="142">
        <f>D84+D83</f>
        <v>10348</v>
      </c>
      <c r="E85" s="142">
        <f>E84+E83</f>
        <v>11185</v>
      </c>
      <c r="F85" s="142">
        <f>F84+F83</f>
        <v>12617</v>
      </c>
      <c r="G85" s="142">
        <f>G84+G83</f>
        <v>14993</v>
      </c>
      <c r="H85" s="141">
        <f>SUM(D85:G85)</f>
        <v>49143</v>
      </c>
      <c r="I85" s="142">
        <f>I84+I83</f>
        <v>15787</v>
      </c>
      <c r="J85" s="142">
        <f>J84+J83</f>
        <v>15529</v>
      </c>
      <c r="K85" s="142">
        <f>K84+K83</f>
        <v>17625</v>
      </c>
      <c r="L85" s="142">
        <f>L84+L83</f>
        <v>19727</v>
      </c>
      <c r="M85" s="141">
        <f>SUM(I85:L85)</f>
        <v>68668</v>
      </c>
      <c r="N85" s="142">
        <f>N84+N83</f>
        <v>22241</v>
      </c>
      <c r="O85" s="142">
        <f>O84+O83</f>
        <v>28284</v>
      </c>
      <c r="P85" s="142">
        <f>P84+P83</f>
        <v>29940</v>
      </c>
      <c r="Q85" s="142">
        <f>Q84+Q83</f>
        <v>34410</v>
      </c>
      <c r="R85" s="141">
        <f>SUM(N85:Q85)</f>
        <v>114875</v>
      </c>
      <c r="S85" s="142">
        <f>S84+S83</f>
        <v>35328</v>
      </c>
      <c r="T85" s="142">
        <f>T84+T83</f>
        <v>33365</v>
      </c>
      <c r="U85" s="142">
        <f>U84+U83</f>
        <v>34526</v>
      </c>
      <c r="V85" s="142">
        <f>V84+V83</f>
        <v>33896</v>
      </c>
      <c r="W85" s="141">
        <f>SUM(S85:V85)</f>
        <v>137115</v>
      </c>
      <c r="X85" s="142">
        <f>X84+X83</f>
        <v>33198</v>
      </c>
      <c r="Y85" s="142">
        <f>Y84+Y83</f>
        <v>33417</v>
      </c>
      <c r="Z85" s="142">
        <f>Z84+Z83</f>
        <v>34599</v>
      </c>
      <c r="AA85" s="142">
        <f>AA84+AA83</f>
        <v>37061</v>
      </c>
      <c r="AB85" s="141">
        <f>SUM(X85:AA85)</f>
        <v>138275</v>
      </c>
      <c r="AC85" s="142">
        <f>AC84+AC83</f>
        <v>34787</v>
      </c>
      <c r="AD85" s="142">
        <f>AD84+AD83</f>
        <v>36022</v>
      </c>
      <c r="AE85" s="142">
        <f>AE84+AE83</f>
        <v>35790</v>
      </c>
      <c r="AF85" s="142">
        <f>AF84+AF83</f>
        <v>38253</v>
      </c>
      <c r="AG85" s="141">
        <f>SUM(AC85:AF85)</f>
        <v>144852</v>
      </c>
      <c r="AH85" s="142">
        <f>AH84+AH83</f>
        <v>36262</v>
      </c>
      <c r="AI85" s="142">
        <f>AI84+AI83</f>
        <v>37694</v>
      </c>
      <c r="AJ85" s="142">
        <f>AJ84+AJ83</f>
        <v>41698</v>
      </c>
      <c r="AK85" s="142">
        <f>AK84+AK83</f>
        <v>42281</v>
      </c>
      <c r="AL85" s="141">
        <f>SUM(AH85:AK85)</f>
        <v>157935</v>
      </c>
      <c r="AM85" s="142">
        <f>AM84+AM83</f>
        <v>38342.885600000001</v>
      </c>
      <c r="AN85" s="142">
        <f>AN84+AN83</f>
        <v>42558.728400000007</v>
      </c>
      <c r="AO85" s="142">
        <f>AO84+AO83</f>
        <v>44215.428600000007</v>
      </c>
      <c r="AP85" s="142">
        <f>AP84+AP83</f>
        <v>46555.726280000003</v>
      </c>
      <c r="AQ85" s="141">
        <f>SUM(AM85:AP85)</f>
        <v>171672.76888000002</v>
      </c>
    </row>
    <row r="86" spans="1:43" ht="13.5">
      <c r="A86" s="401"/>
      <c r="C86" s="140" t="s">
        <v>125</v>
      </c>
      <c r="D86" s="139"/>
      <c r="E86" s="139"/>
      <c r="F86" s="139"/>
      <c r="G86" s="139"/>
      <c r="H86" s="233"/>
      <c r="I86" s="359">
        <f t="shared" ref="I86:AF86" si="95">I85/D85-1</f>
        <v>0.52560881329725562</v>
      </c>
      <c r="J86" s="139">
        <f t="shared" si="95"/>
        <v>0.38837729101475182</v>
      </c>
      <c r="K86" s="139">
        <f t="shared" si="95"/>
        <v>0.39692478402155817</v>
      </c>
      <c r="L86" s="139">
        <f t="shared" si="95"/>
        <v>0.31574734876275601</v>
      </c>
      <c r="M86" s="233">
        <f t="shared" si="95"/>
        <v>0.39730989154101293</v>
      </c>
      <c r="N86" s="139">
        <f t="shared" si="95"/>
        <v>0.4088173813897511</v>
      </c>
      <c r="O86" s="139">
        <f t="shared" si="95"/>
        <v>0.82136647562624776</v>
      </c>
      <c r="P86" s="139">
        <f t="shared" si="95"/>
        <v>0.6987234042553192</v>
      </c>
      <c r="Q86" s="139">
        <f t="shared" si="95"/>
        <v>0.74430982916814514</v>
      </c>
      <c r="R86" s="233">
        <f t="shared" si="95"/>
        <v>0.67290440962311404</v>
      </c>
      <c r="S86" s="139">
        <f t="shared" si="95"/>
        <v>0.58841778697001024</v>
      </c>
      <c r="T86" s="139">
        <f t="shared" si="95"/>
        <v>0.17964220053740632</v>
      </c>
      <c r="U86" s="139">
        <f t="shared" si="95"/>
        <v>0.15317301269205075</v>
      </c>
      <c r="V86" s="139">
        <f t="shared" si="95"/>
        <v>-1.493751816332467E-2</v>
      </c>
      <c r="W86" s="233">
        <f t="shared" si="95"/>
        <v>0.19360174102285099</v>
      </c>
      <c r="X86" s="139">
        <f t="shared" si="95"/>
        <v>-6.0292119565217406E-2</v>
      </c>
      <c r="Y86" s="139">
        <f t="shared" si="95"/>
        <v>1.5585194065637076E-3</v>
      </c>
      <c r="Z86" s="139">
        <f t="shared" si="95"/>
        <v>2.1143486068471162E-3</v>
      </c>
      <c r="AA86" s="139">
        <f t="shared" si="95"/>
        <v>9.3373849421760635E-2</v>
      </c>
      <c r="AB86" s="233">
        <f t="shared" si="95"/>
        <v>8.4600517813513409E-3</v>
      </c>
      <c r="AC86" s="139">
        <f>AC85/X85-1</f>
        <v>4.7864329176456444E-2</v>
      </c>
      <c r="AD86" s="139">
        <f t="shared" si="95"/>
        <v>7.7954334620103483E-2</v>
      </c>
      <c r="AE86" s="139">
        <f t="shared" si="95"/>
        <v>3.4422960201161867E-2</v>
      </c>
      <c r="AF86" s="139">
        <f t="shared" si="95"/>
        <v>3.2163190415801068E-2</v>
      </c>
      <c r="AG86" s="233">
        <f t="shared" ref="AG86:AQ86" si="96">AG85/AB85-1</f>
        <v>4.756463568974878E-2</v>
      </c>
      <c r="AH86" s="139">
        <f t="shared" si="96"/>
        <v>4.2400896886767958E-2</v>
      </c>
      <c r="AI86" s="139">
        <f t="shared" si="96"/>
        <v>4.641607906279499E-2</v>
      </c>
      <c r="AJ86" s="139">
        <f t="shared" si="96"/>
        <v>0.16507404302877893</v>
      </c>
      <c r="AK86" s="139">
        <f t="shared" si="96"/>
        <v>0.10529893080281294</v>
      </c>
      <c r="AL86" s="233">
        <f t="shared" si="96"/>
        <v>9.0319774666556274E-2</v>
      </c>
      <c r="AM86" s="139">
        <f t="shared" si="96"/>
        <v>5.7384744360487572E-2</v>
      </c>
      <c r="AN86" s="139">
        <f t="shared" si="96"/>
        <v>0.12905842839709258</v>
      </c>
      <c r="AO86" s="139">
        <f t="shared" si="96"/>
        <v>6.0372885989735892E-2</v>
      </c>
      <c r="AP86" s="139">
        <f t="shared" si="96"/>
        <v>0.10110277145762869</v>
      </c>
      <c r="AQ86" s="233">
        <f t="shared" si="96"/>
        <v>8.6983688732706677E-2</v>
      </c>
    </row>
    <row r="87" spans="1:43" ht="13.9" thickBot="1">
      <c r="A87" s="401"/>
      <c r="C87" s="138" t="s">
        <v>124</v>
      </c>
      <c r="D87" s="137"/>
      <c r="E87" s="136">
        <f>E85/D85-1</f>
        <v>8.0885195206803262E-2</v>
      </c>
      <c r="F87" s="136">
        <f>F85/E85-1</f>
        <v>0.12802860974519437</v>
      </c>
      <c r="G87" s="136">
        <f>G85/F85-1</f>
        <v>0.18831734960767221</v>
      </c>
      <c r="H87" s="135"/>
      <c r="I87" s="137">
        <f>I85/G85-1</f>
        <v>5.2958047088641269E-2</v>
      </c>
      <c r="J87" s="136">
        <f>J85/I85-1</f>
        <v>-1.6342560334452361E-2</v>
      </c>
      <c r="K87" s="136">
        <f>K85/J85-1</f>
        <v>0.13497327580655538</v>
      </c>
      <c r="L87" s="136">
        <f>L85/K85-1</f>
        <v>0.1192624113475178</v>
      </c>
      <c r="M87" s="135"/>
      <c r="N87" s="137">
        <f>N85/L85-1</f>
        <v>0.12743954985552786</v>
      </c>
      <c r="O87" s="136">
        <f>O85/N85-1</f>
        <v>0.27170540892945461</v>
      </c>
      <c r="P87" s="136">
        <f>P85/O85-1</f>
        <v>5.8549002969876973E-2</v>
      </c>
      <c r="Q87" s="136">
        <f>Q85/P85-1</f>
        <v>0.14929859719438876</v>
      </c>
      <c r="R87" s="135"/>
      <c r="S87" s="137">
        <f>S85/Q85-1</f>
        <v>2.6678291194420334E-2</v>
      </c>
      <c r="T87" s="136">
        <f>T85/S85-1</f>
        <v>-5.5564990942028936E-2</v>
      </c>
      <c r="U87" s="136">
        <f>U85/T85-1</f>
        <v>3.4796942904240957E-2</v>
      </c>
      <c r="V87" s="136">
        <f>V85/U85-1</f>
        <v>-1.8247118113885241E-2</v>
      </c>
      <c r="W87" s="135"/>
      <c r="X87" s="137">
        <f>X85/V85-1</f>
        <v>-2.0592400283219292E-2</v>
      </c>
      <c r="Y87" s="136">
        <f>Y85/X85-1</f>
        <v>6.5967829387312271E-3</v>
      </c>
      <c r="Z87" s="136">
        <f>Z85/Y85-1</f>
        <v>3.5371218242212121E-2</v>
      </c>
      <c r="AA87" s="136">
        <f>AA85/Z85-1</f>
        <v>7.1158125957397678E-2</v>
      </c>
      <c r="AB87" s="135"/>
      <c r="AC87" s="137">
        <f>AC85/AA85-1</f>
        <v>-6.1358301179137098E-2</v>
      </c>
      <c r="AD87" s="136">
        <f>AD85/AC85-1</f>
        <v>3.5501767901802372E-2</v>
      </c>
      <c r="AE87" s="136">
        <f>AE85/AD85-1</f>
        <v>-6.4405085780911975E-3</v>
      </c>
      <c r="AF87" s="136">
        <f>AF85/AE85-1</f>
        <v>6.8818105616093916E-2</v>
      </c>
      <c r="AG87" s="135"/>
      <c r="AH87" s="137">
        <f>AH85/AF85-1</f>
        <v>-5.2048205369513489E-2</v>
      </c>
      <c r="AI87" s="136">
        <f>AI85/AH85-1</f>
        <v>3.9490375599801508E-2</v>
      </c>
      <c r="AJ87" s="136">
        <f>AJ85/AI85-1</f>
        <v>0.10622380219663596</v>
      </c>
      <c r="AK87" s="136">
        <f>AK85/AJ85-1</f>
        <v>1.398148592258619E-2</v>
      </c>
      <c r="AL87" s="135"/>
      <c r="AM87" s="137">
        <f>AM85/AK85-1</f>
        <v>-9.3141467798774857E-2</v>
      </c>
      <c r="AN87" s="136">
        <f>AN85/AM85-1</f>
        <v>0.10995110915700113</v>
      </c>
      <c r="AO87" s="136">
        <f>AO85/AN85-1</f>
        <v>3.8927389569280546E-2</v>
      </c>
      <c r="AP87" s="136">
        <f>AP85/AO85-1</f>
        <v>5.2929435586201556E-2</v>
      </c>
      <c r="AQ87" s="135"/>
    </row>
    <row r="89" spans="1:43" hidden="1">
      <c r="C89" s="310" t="s">
        <v>123</v>
      </c>
      <c r="D89" s="298" t="e">
        <f>#REF!</f>
        <v>#REF!</v>
      </c>
      <c r="E89" s="299" t="e">
        <f>#REF!</f>
        <v>#REF!</v>
      </c>
      <c r="F89" s="299" t="e">
        <f>#REF!</f>
        <v>#REF!</v>
      </c>
      <c r="G89" s="300" t="e">
        <f>#REF!</f>
        <v>#REF!</v>
      </c>
      <c r="I89" s="298" t="e">
        <f>#REF!</f>
        <v>#REF!</v>
      </c>
      <c r="J89" s="299" t="e">
        <f>#REF!</f>
        <v>#REF!</v>
      </c>
      <c r="K89" s="299" t="e">
        <f>#REF!</f>
        <v>#REF!</v>
      </c>
      <c r="L89" s="300" t="e">
        <f>#REF!</f>
        <v>#REF!</v>
      </c>
      <c r="N89" s="298" t="e">
        <f>#REF!</f>
        <v>#REF!</v>
      </c>
      <c r="O89" s="299" t="e">
        <f>#REF!</f>
        <v>#REF!</v>
      </c>
      <c r="P89" s="299" t="e">
        <f>#REF!</f>
        <v>#REF!</v>
      </c>
      <c r="Q89" s="300" t="e">
        <f>#REF!</f>
        <v>#REF!</v>
      </c>
      <c r="S89" s="298" t="e">
        <f>#REF!</f>
        <v>#REF!</v>
      </c>
      <c r="T89" s="299" t="e">
        <f>#REF!</f>
        <v>#REF!</v>
      </c>
      <c r="U89" s="299" t="e">
        <f>#REF!</f>
        <v>#REF!</v>
      </c>
      <c r="V89" s="300" t="e">
        <f>#REF!</f>
        <v>#REF!</v>
      </c>
      <c r="X89" s="298" t="e">
        <f>#REF!</f>
        <v>#REF!</v>
      </c>
      <c r="Y89" s="299" t="e">
        <f>#REF!</f>
        <v>#REF!</v>
      </c>
      <c r="Z89" s="299" t="e">
        <f>#REF!</f>
        <v>#REF!</v>
      </c>
      <c r="AA89" s="300" t="e">
        <f>#REF!</f>
        <v>#REF!</v>
      </c>
      <c r="AC89" s="298" t="e">
        <f>#REF!</f>
        <v>#REF!</v>
      </c>
      <c r="AD89" s="299" t="e">
        <f>#REF!</f>
        <v>#REF!</v>
      </c>
      <c r="AE89" s="299" t="e">
        <f>#REF!</f>
        <v>#REF!</v>
      </c>
      <c r="AF89" s="300" t="e">
        <f>#REF!</f>
        <v>#REF!</v>
      </c>
      <c r="AH89" s="298" t="e">
        <f>#REF!</f>
        <v>#REF!</v>
      </c>
      <c r="AI89" s="299" t="e">
        <f>#REF!</f>
        <v>#REF!</v>
      </c>
      <c r="AJ89" s="299" t="e">
        <f>#REF!</f>
        <v>#REF!</v>
      </c>
      <c r="AK89" s="300" t="e">
        <f>#REF!</f>
        <v>#REF!</v>
      </c>
      <c r="AM89" s="298" t="e">
        <f>#REF!</f>
        <v>#REF!</v>
      </c>
      <c r="AN89" s="299" t="e">
        <f>#REF!</f>
        <v>#REF!</v>
      </c>
      <c r="AO89" s="299" t="e">
        <f>#REF!</f>
        <v>#REF!</v>
      </c>
      <c r="AP89" s="300" t="e">
        <f>#REF!</f>
        <v>#REF!</v>
      </c>
    </row>
    <row r="90" spans="1:43" hidden="1">
      <c r="C90" s="311" t="s">
        <v>350</v>
      </c>
      <c r="D90" s="286" t="e">
        <f>D89+#REF!+#REF!+#REF!</f>
        <v>#REF!</v>
      </c>
      <c r="E90" s="219" t="e">
        <f>E89+D89+#REF!+#REF!</f>
        <v>#REF!</v>
      </c>
      <c r="F90" s="219" t="e">
        <f>F89+E89+D89+#REF!</f>
        <v>#REF!</v>
      </c>
      <c r="G90" s="200" t="e">
        <f>G89+F89+E89+D89</f>
        <v>#REF!</v>
      </c>
      <c r="I90" s="286" t="e">
        <f>I89+G89+F89+E89</f>
        <v>#REF!</v>
      </c>
      <c r="J90" s="219" t="e">
        <f>J89+I89+G89+F89</f>
        <v>#REF!</v>
      </c>
      <c r="K90" s="219" t="e">
        <f>K89+J89+I89+G89</f>
        <v>#REF!</v>
      </c>
      <c r="L90" s="200" t="e">
        <f>L89+K89+J89+I89</f>
        <v>#REF!</v>
      </c>
      <c r="N90" s="286" t="e">
        <f>N89+L89+K89+J89</f>
        <v>#REF!</v>
      </c>
      <c r="O90" s="219" t="e">
        <f>O89+N89+L89+K89</f>
        <v>#REF!</v>
      </c>
      <c r="P90" s="219" t="e">
        <f>P89+O89+N89+L89</f>
        <v>#REF!</v>
      </c>
      <c r="Q90" s="200" t="e">
        <f>Q89+P89+O89+N89</f>
        <v>#REF!</v>
      </c>
      <c r="S90" s="286" t="e">
        <f>S89+Q89+P89+O89</f>
        <v>#REF!</v>
      </c>
      <c r="T90" s="219" t="e">
        <f>T89+S89+Q89+P89</f>
        <v>#REF!</v>
      </c>
      <c r="U90" s="219" t="e">
        <f>U89+T89+S89+Q89</f>
        <v>#REF!</v>
      </c>
      <c r="V90" s="200" t="e">
        <f>V89+U89+T89+S89</f>
        <v>#REF!</v>
      </c>
      <c r="X90" s="286" t="e">
        <f>X89+V89+U89+T89</f>
        <v>#REF!</v>
      </c>
      <c r="Y90" s="219" t="e">
        <f>Y89+X89+V89+U89</f>
        <v>#REF!</v>
      </c>
      <c r="Z90" s="219" t="e">
        <f>Z89+Y89+X89+V89</f>
        <v>#REF!</v>
      </c>
      <c r="AA90" s="200" t="e">
        <f>AA89+Z89+Y89+X89</f>
        <v>#REF!</v>
      </c>
      <c r="AC90" s="286" t="e">
        <f>AC89+AA89+Z89+Y89</f>
        <v>#REF!</v>
      </c>
      <c r="AD90" s="219" t="e">
        <f>AD89+AC89+AA89+Z89</f>
        <v>#REF!</v>
      </c>
      <c r="AE90" s="219" t="e">
        <f>AE89+AD89+AC89+AA89</f>
        <v>#REF!</v>
      </c>
      <c r="AF90" s="200" t="e">
        <f>AF89+AE89+AD89+AC89</f>
        <v>#REF!</v>
      </c>
      <c r="AH90" s="286" t="e">
        <f>AH89+AF89+AE89+AD89</f>
        <v>#REF!</v>
      </c>
      <c r="AI90" s="219" t="e">
        <f>AI89+AH89+AF89+AE89</f>
        <v>#REF!</v>
      </c>
      <c r="AJ90" s="219" t="e">
        <f>AJ89+AI89+AH89+AF89</f>
        <v>#REF!</v>
      </c>
      <c r="AK90" s="200" t="e">
        <f>AK89+AJ89+AI89+AH89</f>
        <v>#REF!</v>
      </c>
      <c r="AM90" s="286" t="e">
        <f>AM89+AK89+AJ89+AI89</f>
        <v>#REF!</v>
      </c>
      <c r="AN90" s="219" t="e">
        <f>AN89+AM89+AK89+AJ89</f>
        <v>#REF!</v>
      </c>
      <c r="AO90" s="219" t="e">
        <f>AO89+AN89+AM89+AK89</f>
        <v>#REF!</v>
      </c>
      <c r="AP90" s="200" t="e">
        <f>AP89+AO89+AN89+AM89</f>
        <v>#REF!</v>
      </c>
    </row>
    <row r="91" spans="1:43" hidden="1">
      <c r="C91" s="311" t="s">
        <v>201</v>
      </c>
      <c r="D91" s="286" t="e">
        <f>D90-#REF!</f>
        <v>#REF!</v>
      </c>
      <c r="E91" s="219" t="e">
        <f>E90-#REF!</f>
        <v>#REF!</v>
      </c>
      <c r="F91" s="219" t="e">
        <f>F90-#REF!</f>
        <v>#REF!</v>
      </c>
      <c r="G91" s="200" t="e">
        <f>G90-#REF!</f>
        <v>#REF!</v>
      </c>
      <c r="I91" s="286" t="e">
        <f>I90-D90</f>
        <v>#REF!</v>
      </c>
      <c r="J91" s="219" t="e">
        <f>J90-E90</f>
        <v>#REF!</v>
      </c>
      <c r="K91" s="219" t="e">
        <f>K90-F90</f>
        <v>#REF!</v>
      </c>
      <c r="L91" s="200" t="e">
        <f>L90-G90</f>
        <v>#REF!</v>
      </c>
      <c r="N91" s="286" t="e">
        <f>N90-I90</f>
        <v>#REF!</v>
      </c>
      <c r="O91" s="219" t="e">
        <f>O90-J90</f>
        <v>#REF!</v>
      </c>
      <c r="P91" s="219" t="e">
        <f>P90-K90</f>
        <v>#REF!</v>
      </c>
      <c r="Q91" s="200" t="e">
        <f>Q90-L90</f>
        <v>#REF!</v>
      </c>
      <c r="S91" s="286" t="e">
        <f>S90-N90</f>
        <v>#REF!</v>
      </c>
      <c r="T91" s="219" t="e">
        <f>T90-O90</f>
        <v>#REF!</v>
      </c>
      <c r="U91" s="219" t="e">
        <f>U90-P90</f>
        <v>#REF!</v>
      </c>
      <c r="V91" s="200" t="e">
        <f>V90-Q90</f>
        <v>#REF!</v>
      </c>
      <c r="X91" s="286" t="e">
        <f>X90-S90</f>
        <v>#REF!</v>
      </c>
      <c r="Y91" s="219" t="e">
        <f>Y90-T90</f>
        <v>#REF!</v>
      </c>
      <c r="Z91" s="219" t="e">
        <f>Z90-U90</f>
        <v>#REF!</v>
      </c>
      <c r="AA91" s="200" t="e">
        <f>AA90-V90</f>
        <v>#REF!</v>
      </c>
      <c r="AC91" s="286" t="e">
        <f>AC90-X90</f>
        <v>#REF!</v>
      </c>
      <c r="AD91" s="219" t="e">
        <f>AD90-Y90</f>
        <v>#REF!</v>
      </c>
      <c r="AE91" s="219" t="e">
        <f>AE90-Z90</f>
        <v>#REF!</v>
      </c>
      <c r="AF91" s="200" t="e">
        <f>AF90-AA90</f>
        <v>#REF!</v>
      </c>
      <c r="AH91" s="286" t="e">
        <f>AH90-AC90</f>
        <v>#REF!</v>
      </c>
      <c r="AI91" s="219" t="e">
        <f>AI90-AD90</f>
        <v>#REF!</v>
      </c>
      <c r="AJ91" s="219" t="e">
        <f>AJ90-AE90</f>
        <v>#REF!</v>
      </c>
      <c r="AK91" s="200" t="e">
        <f>AK90-AF90</f>
        <v>#REF!</v>
      </c>
      <c r="AM91" s="286" t="e">
        <f>AM90-AH90</f>
        <v>#REF!</v>
      </c>
      <c r="AN91" s="219" t="e">
        <f>AN90-AI90</f>
        <v>#REF!</v>
      </c>
      <c r="AO91" s="219" t="e">
        <f>AO90-AJ90</f>
        <v>#REF!</v>
      </c>
      <c r="AP91" s="200" t="e">
        <f>AP90-AK90</f>
        <v>#REF!</v>
      </c>
    </row>
    <row r="92" spans="1:43" hidden="1">
      <c r="C92" s="311" t="s">
        <v>202</v>
      </c>
      <c r="D92" s="301"/>
      <c r="E92" s="302"/>
      <c r="F92" s="302"/>
      <c r="G92" s="303"/>
      <c r="I92" s="301"/>
      <c r="J92" s="302"/>
      <c r="K92" s="302"/>
      <c r="L92" s="303"/>
      <c r="N92" s="301"/>
      <c r="O92" s="302"/>
      <c r="P92" s="302"/>
      <c r="Q92" s="303"/>
      <c r="S92" s="301"/>
      <c r="T92" s="302"/>
      <c r="U92" s="302"/>
      <c r="V92" s="303"/>
      <c r="X92" s="301">
        <v>0.83</v>
      </c>
      <c r="Y92" s="302">
        <v>0.83</v>
      </c>
      <c r="Z92" s="302">
        <v>0.83</v>
      </c>
      <c r="AA92" s="303">
        <v>0.83</v>
      </c>
      <c r="AC92" s="301">
        <v>0.83</v>
      </c>
      <c r="AD92" s="302">
        <v>0.83</v>
      </c>
      <c r="AE92" s="302">
        <v>0.83</v>
      </c>
      <c r="AF92" s="303">
        <v>0.83</v>
      </c>
      <c r="AH92" s="301">
        <v>0.83</v>
      </c>
      <c r="AI92" s="302">
        <v>0.83</v>
      </c>
      <c r="AJ92" s="302">
        <v>0.83</v>
      </c>
      <c r="AK92" s="303">
        <v>0.83</v>
      </c>
      <c r="AM92" s="301">
        <v>0.83</v>
      </c>
      <c r="AN92" s="302">
        <v>0.83</v>
      </c>
      <c r="AO92" s="302">
        <v>0.83</v>
      </c>
      <c r="AP92" s="303">
        <v>0.83</v>
      </c>
    </row>
    <row r="93" spans="1:43" hidden="1">
      <c r="C93" s="311" t="s">
        <v>214</v>
      </c>
      <c r="D93" s="286" t="e">
        <f>D92*D90</f>
        <v>#REF!</v>
      </c>
      <c r="E93" s="219" t="e">
        <f>E92*E90</f>
        <v>#REF!</v>
      </c>
      <c r="F93" s="219" t="e">
        <f>F92*F90</f>
        <v>#REF!</v>
      </c>
      <c r="G93" s="200" t="e">
        <f>G92*G90</f>
        <v>#REF!</v>
      </c>
      <c r="I93" s="286" t="s">
        <v>351</v>
      </c>
      <c r="J93" s="219" t="s">
        <v>351</v>
      </c>
      <c r="K93" s="219" t="s">
        <v>351</v>
      </c>
      <c r="L93" s="200" t="s">
        <v>351</v>
      </c>
      <c r="N93" s="286" t="s">
        <v>351</v>
      </c>
      <c r="O93" s="219" t="s">
        <v>351</v>
      </c>
      <c r="P93" s="219" t="s">
        <v>351</v>
      </c>
      <c r="Q93" s="200" t="s">
        <v>351</v>
      </c>
      <c r="S93" s="286" t="e">
        <f>S92*S90</f>
        <v>#REF!</v>
      </c>
      <c r="T93" s="219" t="e">
        <f>T92*T90</f>
        <v>#REF!</v>
      </c>
      <c r="U93" s="219" t="e">
        <f>U92*U90</f>
        <v>#REF!</v>
      </c>
      <c r="V93" s="200" t="e">
        <f>V92*V90</f>
        <v>#REF!</v>
      </c>
      <c r="X93" s="286" t="e">
        <f>X92*X90</f>
        <v>#REF!</v>
      </c>
      <c r="Y93" s="219" t="e">
        <f>Y92*Y90</f>
        <v>#REF!</v>
      </c>
      <c r="Z93" s="219" t="e">
        <f>Z92*Z90</f>
        <v>#REF!</v>
      </c>
      <c r="AA93" s="200" t="e">
        <f>AA92*AA90</f>
        <v>#REF!</v>
      </c>
      <c r="AC93" s="286" t="e">
        <f>AC92*AC90</f>
        <v>#REF!</v>
      </c>
      <c r="AD93" s="219" t="e">
        <f>AD92*AD90</f>
        <v>#REF!</v>
      </c>
      <c r="AE93" s="219" t="e">
        <f>AE92*AE90</f>
        <v>#REF!</v>
      </c>
      <c r="AF93" s="200" t="e">
        <f>AF92*AF90</f>
        <v>#REF!</v>
      </c>
      <c r="AH93" s="286" t="e">
        <f>AH92*AH90</f>
        <v>#REF!</v>
      </c>
      <c r="AI93" s="219" t="e">
        <f>AI92*AI90</f>
        <v>#REF!</v>
      </c>
      <c r="AJ93" s="219" t="e">
        <f>AJ92*AJ90</f>
        <v>#REF!</v>
      </c>
      <c r="AK93" s="200" t="e">
        <f>AK92*AK90</f>
        <v>#REF!</v>
      </c>
      <c r="AM93" s="286" t="e">
        <f>AM92*AM90</f>
        <v>#REF!</v>
      </c>
      <c r="AN93" s="219" t="e">
        <f>AN92*AN90</f>
        <v>#REF!</v>
      </c>
      <c r="AO93" s="219" t="e">
        <f>AO92*AO90</f>
        <v>#REF!</v>
      </c>
      <c r="AP93" s="200" t="e">
        <f>AP92*AP90</f>
        <v>#REF!</v>
      </c>
    </row>
    <row r="94" spans="1:43" hidden="1">
      <c r="C94" s="311" t="s">
        <v>203</v>
      </c>
      <c r="D94" s="286" t="e">
        <f>D90-D93</f>
        <v>#REF!</v>
      </c>
      <c r="E94" s="219" t="e">
        <f>E90-E93</f>
        <v>#REF!</v>
      </c>
      <c r="F94" s="219" t="e">
        <f>F90-F93</f>
        <v>#REF!</v>
      </c>
      <c r="G94" s="200" t="e">
        <f>G90-G93</f>
        <v>#REF!</v>
      </c>
      <c r="I94" s="286" t="e">
        <f>I90-I93</f>
        <v>#REF!</v>
      </c>
      <c r="J94" s="219" t="e">
        <f>J90-J93</f>
        <v>#REF!</v>
      </c>
      <c r="K94" s="219" t="e">
        <f>K90-K93</f>
        <v>#REF!</v>
      </c>
      <c r="L94" s="200" t="e">
        <f>L90-L93</f>
        <v>#REF!</v>
      </c>
      <c r="N94" s="286" t="e">
        <f>N90-N93</f>
        <v>#REF!</v>
      </c>
      <c r="O94" s="219" t="e">
        <f>O90-O93</f>
        <v>#REF!</v>
      </c>
      <c r="P94" s="219" t="e">
        <f>P90-P93</f>
        <v>#REF!</v>
      </c>
      <c r="Q94" s="200" t="e">
        <f>Q90-Q93</f>
        <v>#REF!</v>
      </c>
      <c r="S94" s="286" t="e">
        <f>S90-S93</f>
        <v>#REF!</v>
      </c>
      <c r="T94" s="219" t="e">
        <f>T90-T93</f>
        <v>#REF!</v>
      </c>
      <c r="U94" s="219" t="e">
        <f>U90-U93</f>
        <v>#REF!</v>
      </c>
      <c r="V94" s="200" t="e">
        <f>V90-V93</f>
        <v>#REF!</v>
      </c>
      <c r="X94" s="286" t="e">
        <f>X90-X93</f>
        <v>#REF!</v>
      </c>
      <c r="Y94" s="219" t="e">
        <f>Y90-Y93</f>
        <v>#REF!</v>
      </c>
      <c r="Z94" s="219" t="e">
        <f>Z90-Z93</f>
        <v>#REF!</v>
      </c>
      <c r="AA94" s="200" t="e">
        <f>AA90-AA93</f>
        <v>#REF!</v>
      </c>
      <c r="AC94" s="286" t="e">
        <f>AC90-AC93</f>
        <v>#REF!</v>
      </c>
      <c r="AD94" s="219" t="e">
        <f>AD90-AD93</f>
        <v>#REF!</v>
      </c>
      <c r="AE94" s="219" t="e">
        <f>AE90-AE93</f>
        <v>#REF!</v>
      </c>
      <c r="AF94" s="200" t="e">
        <f>AF90-AF93</f>
        <v>#REF!</v>
      </c>
      <c r="AH94" s="286" t="e">
        <f>AH90-AH93</f>
        <v>#REF!</v>
      </c>
      <c r="AI94" s="219" t="e">
        <f>AI90-AI93</f>
        <v>#REF!</v>
      </c>
      <c r="AJ94" s="219" t="e">
        <f>AJ90-AJ93</f>
        <v>#REF!</v>
      </c>
      <c r="AK94" s="200" t="e">
        <f>AK90-AK93</f>
        <v>#REF!</v>
      </c>
      <c r="AM94" s="286" t="e">
        <f>AM90-AM93</f>
        <v>#REF!</v>
      </c>
      <c r="AN94" s="219" t="e">
        <f>AN90-AN93</f>
        <v>#REF!</v>
      </c>
      <c r="AO94" s="219" t="e">
        <f>AO90-AO93</f>
        <v>#REF!</v>
      </c>
      <c r="AP94" s="200" t="e">
        <f>AP90-AP93</f>
        <v>#REF!</v>
      </c>
    </row>
    <row r="95" spans="1:43" ht="13.15" hidden="1" thickBot="1">
      <c r="C95" s="312" t="s">
        <v>215</v>
      </c>
      <c r="D95" s="285" t="e">
        <f>D91+#REF!</f>
        <v>#REF!</v>
      </c>
      <c r="E95" s="304" t="e">
        <f>E91+#REF!</f>
        <v>#REF!</v>
      </c>
      <c r="F95" s="304" t="e">
        <f>F91+#REF!</f>
        <v>#REF!</v>
      </c>
      <c r="G95" s="284" t="e">
        <f>G91+#REF!</f>
        <v>#REF!</v>
      </c>
      <c r="I95" s="285" t="e">
        <f>I91+D94</f>
        <v>#REF!</v>
      </c>
      <c r="J95" s="304" t="e">
        <f>J91+E94</f>
        <v>#REF!</v>
      </c>
      <c r="K95" s="304" t="e">
        <f>K91+F94</f>
        <v>#REF!</v>
      </c>
      <c r="L95" s="284" t="e">
        <f>L91+G94</f>
        <v>#REF!</v>
      </c>
      <c r="N95" s="285" t="e">
        <f>N91+I94</f>
        <v>#REF!</v>
      </c>
      <c r="O95" s="304" t="e">
        <f>O91+J94</f>
        <v>#REF!</v>
      </c>
      <c r="P95" s="304" t="e">
        <f>P91+K94</f>
        <v>#REF!</v>
      </c>
      <c r="Q95" s="284" t="e">
        <f>Q91+L94</f>
        <v>#REF!</v>
      </c>
      <c r="S95" s="285" t="e">
        <f>S91+N94</f>
        <v>#REF!</v>
      </c>
      <c r="T95" s="304" t="e">
        <f>T91+O94</f>
        <v>#REF!</v>
      </c>
      <c r="U95" s="304" t="e">
        <f>U91+P94</f>
        <v>#REF!</v>
      </c>
      <c r="V95" s="284" t="e">
        <f>V91+Q94</f>
        <v>#REF!</v>
      </c>
      <c r="X95" s="285" t="e">
        <f>X91+S94</f>
        <v>#REF!</v>
      </c>
      <c r="Y95" s="304" t="e">
        <f>Y91+T94</f>
        <v>#REF!</v>
      </c>
      <c r="Z95" s="304" t="e">
        <f>Z91+U94</f>
        <v>#REF!</v>
      </c>
      <c r="AA95" s="284" t="e">
        <f>AA91+V94</f>
        <v>#REF!</v>
      </c>
      <c r="AC95" s="285" t="e">
        <f>AC91+X94</f>
        <v>#REF!</v>
      </c>
      <c r="AD95" s="304" t="e">
        <f>AD91+Y94</f>
        <v>#REF!</v>
      </c>
      <c r="AE95" s="304" t="e">
        <f>AE91+Z94</f>
        <v>#REF!</v>
      </c>
      <c r="AF95" s="284" t="e">
        <f>AF91+AA94</f>
        <v>#REF!</v>
      </c>
      <c r="AH95" s="285" t="e">
        <f>AH91+AC94</f>
        <v>#REF!</v>
      </c>
      <c r="AI95" s="304" t="e">
        <f>AI91+AD94</f>
        <v>#REF!</v>
      </c>
      <c r="AJ95" s="304" t="e">
        <f>AJ91+AE94</f>
        <v>#REF!</v>
      </c>
      <c r="AK95" s="284" t="e">
        <f>AK91+AF94</f>
        <v>#REF!</v>
      </c>
      <c r="AM95" s="285" t="e">
        <f>AM91+AH94</f>
        <v>#REF!</v>
      </c>
      <c r="AN95" s="304" t="e">
        <f>AN91+AI94</f>
        <v>#REF!</v>
      </c>
      <c r="AO95" s="304" t="e">
        <f>AO91+AJ94</f>
        <v>#REF!</v>
      </c>
      <c r="AP95" s="284" t="e">
        <f>AP91+AK94</f>
        <v>#REF!</v>
      </c>
    </row>
    <row r="96" spans="1:43" hidden="1">
      <c r="C96" s="311"/>
      <c r="D96" s="170"/>
      <c r="G96" s="209"/>
      <c r="I96" s="170"/>
      <c r="L96" s="209"/>
      <c r="N96" s="170"/>
      <c r="Q96" s="209"/>
      <c r="S96" s="170"/>
      <c r="V96" s="209"/>
      <c r="X96" s="170"/>
      <c r="AA96" s="209"/>
      <c r="AC96" s="170"/>
      <c r="AF96" s="209"/>
      <c r="AH96" s="170"/>
      <c r="AK96" s="209"/>
      <c r="AM96" s="170"/>
      <c r="AP96" s="209"/>
    </row>
    <row r="97" spans="2:42" hidden="1">
      <c r="C97" s="310" t="s">
        <v>204</v>
      </c>
      <c r="D97" s="292">
        <f>BS!D25</f>
        <v>801</v>
      </c>
      <c r="E97" s="290">
        <f>BS!E25</f>
        <v>681</v>
      </c>
      <c r="F97" s="290">
        <f>BS!F25</f>
        <v>646</v>
      </c>
      <c r="G97" s="289">
        <f>BS!G25</f>
        <v>1418</v>
      </c>
      <c r="I97" s="292">
        <f>BS!I25</f>
        <v>1537</v>
      </c>
      <c r="J97" s="290">
        <f>BS!J25</f>
        <v>1339</v>
      </c>
      <c r="K97" s="290">
        <f>BS!K25</f>
        <v>1101</v>
      </c>
      <c r="L97" s="289">
        <f>BS!L25</f>
        <v>1642</v>
      </c>
      <c r="N97" s="292">
        <f>BS!N25</f>
        <v>2752</v>
      </c>
      <c r="O97" s="290" t="e">
        <f>BS!#REF!</f>
        <v>#REF!</v>
      </c>
      <c r="P97" s="290" t="e">
        <f>BS!#REF!</f>
        <v>#REF!</v>
      </c>
      <c r="Q97" s="289" t="e">
        <f>BS!#REF!</f>
        <v>#REF!</v>
      </c>
      <c r="S97" s="292" t="e">
        <f>BS!#REF!</f>
        <v>#REF!</v>
      </c>
      <c r="T97" s="290" t="e">
        <f>BS!#REF!</f>
        <v>#REF!</v>
      </c>
      <c r="U97" s="290" t="e">
        <f>BS!#REF!</f>
        <v>#REF!</v>
      </c>
      <c r="V97" s="289" t="e">
        <f>BS!#REF!</f>
        <v>#REF!</v>
      </c>
      <c r="X97" s="292" t="e">
        <f>BS!#REF!</f>
        <v>#REF!</v>
      </c>
      <c r="Y97" s="290" t="e">
        <f>BS!#REF!</f>
        <v>#REF!</v>
      </c>
      <c r="Z97" s="290" t="e">
        <f>BS!#REF!</f>
        <v>#REF!</v>
      </c>
      <c r="AA97" s="289" t="e">
        <f>BS!#REF!</f>
        <v>#REF!</v>
      </c>
      <c r="AC97" s="292" t="e">
        <f>BS!#REF!</f>
        <v>#REF!</v>
      </c>
      <c r="AD97" s="290" t="e">
        <f>BS!#REF!</f>
        <v>#REF!</v>
      </c>
      <c r="AE97" s="290" t="e">
        <f>BS!#REF!</f>
        <v>#REF!</v>
      </c>
      <c r="AF97" s="289" t="e">
        <f>BS!#REF!</f>
        <v>#REF!</v>
      </c>
      <c r="AH97" s="292" t="e">
        <f>BS!#REF!</f>
        <v>#REF!</v>
      </c>
      <c r="AI97" s="290" t="e">
        <f>BS!#REF!</f>
        <v>#REF!</v>
      </c>
      <c r="AJ97" s="290" t="e">
        <f>BS!#REF!</f>
        <v>#REF!</v>
      </c>
      <c r="AK97" s="289" t="e">
        <f>BS!#REF!</f>
        <v>#REF!</v>
      </c>
      <c r="AM97" s="292" t="e">
        <f>BS!#REF!</f>
        <v>#REF!</v>
      </c>
      <c r="AN97" s="290" t="e">
        <f>BS!#REF!</f>
        <v>#REF!</v>
      </c>
      <c r="AO97" s="290" t="e">
        <f>BS!#REF!</f>
        <v>#REF!</v>
      </c>
      <c r="AP97" s="289" t="e">
        <f>BS!#REF!</f>
        <v>#REF!</v>
      </c>
    </row>
    <row r="98" spans="2:42" hidden="1">
      <c r="C98" s="311" t="s">
        <v>207</v>
      </c>
      <c r="D98" s="286" t="e">
        <f>D97-#REF!</f>
        <v>#REF!</v>
      </c>
      <c r="E98" s="219" t="e">
        <f>E97-#REF!</f>
        <v>#REF!</v>
      </c>
      <c r="F98" s="219" t="e">
        <f>F97-#REF!</f>
        <v>#REF!</v>
      </c>
      <c r="G98" s="200" t="e">
        <f>G97-#REF!</f>
        <v>#REF!</v>
      </c>
      <c r="I98" s="286">
        <f t="shared" ref="I98:L99" si="97">I97-D97</f>
        <v>736</v>
      </c>
      <c r="J98" s="219">
        <f t="shared" si="97"/>
        <v>658</v>
      </c>
      <c r="K98" s="219">
        <f t="shared" si="97"/>
        <v>455</v>
      </c>
      <c r="L98" s="200">
        <f t="shared" si="97"/>
        <v>224</v>
      </c>
      <c r="N98" s="286">
        <f t="shared" ref="N98:Q99" si="98">N97-I97</f>
        <v>1215</v>
      </c>
      <c r="O98" s="219" t="e">
        <f t="shared" si="98"/>
        <v>#REF!</v>
      </c>
      <c r="P98" s="219" t="e">
        <f t="shared" si="98"/>
        <v>#REF!</v>
      </c>
      <c r="Q98" s="200" t="e">
        <f t="shared" si="98"/>
        <v>#REF!</v>
      </c>
      <c r="S98" s="286" t="e">
        <f t="shared" ref="S98:V99" si="99">S97-N97</f>
        <v>#REF!</v>
      </c>
      <c r="T98" s="219" t="e">
        <f t="shared" si="99"/>
        <v>#REF!</v>
      </c>
      <c r="U98" s="219" t="e">
        <f t="shared" si="99"/>
        <v>#REF!</v>
      </c>
      <c r="V98" s="200" t="e">
        <f t="shared" si="99"/>
        <v>#REF!</v>
      </c>
      <c r="X98" s="286" t="e">
        <f t="shared" ref="X98:AA99" si="100">X97-S97</f>
        <v>#REF!</v>
      </c>
      <c r="Y98" s="219" t="e">
        <f t="shared" si="100"/>
        <v>#REF!</v>
      </c>
      <c r="Z98" s="219" t="e">
        <f t="shared" si="100"/>
        <v>#REF!</v>
      </c>
      <c r="AA98" s="200" t="e">
        <f t="shared" si="100"/>
        <v>#REF!</v>
      </c>
      <c r="AC98" s="286" t="e">
        <f t="shared" ref="AC98:AK99" si="101">AC97-X97</f>
        <v>#REF!</v>
      </c>
      <c r="AD98" s="219" t="e">
        <f t="shared" si="101"/>
        <v>#REF!</v>
      </c>
      <c r="AE98" s="219" t="e">
        <f t="shared" si="101"/>
        <v>#REF!</v>
      </c>
      <c r="AF98" s="200" t="e">
        <f t="shared" si="101"/>
        <v>#REF!</v>
      </c>
      <c r="AH98" s="286" t="e">
        <f t="shared" si="101"/>
        <v>#REF!</v>
      </c>
      <c r="AI98" s="219" t="e">
        <f t="shared" si="101"/>
        <v>#REF!</v>
      </c>
      <c r="AJ98" s="219" t="e">
        <f t="shared" si="101"/>
        <v>#REF!</v>
      </c>
      <c r="AK98" s="200" t="e">
        <f t="shared" si="101"/>
        <v>#REF!</v>
      </c>
      <c r="AM98" s="286" t="e">
        <f t="shared" ref="AM98:AP99" si="102">AM97-AH97</f>
        <v>#REF!</v>
      </c>
      <c r="AN98" s="219" t="e">
        <f t="shared" si="102"/>
        <v>#REF!</v>
      </c>
      <c r="AO98" s="219" t="e">
        <f t="shared" si="102"/>
        <v>#REF!</v>
      </c>
      <c r="AP98" s="200" t="e">
        <f t="shared" si="102"/>
        <v>#REF!</v>
      </c>
    </row>
    <row r="99" spans="2:42" ht="13.15" hidden="1" thickBot="1">
      <c r="C99" s="312" t="s">
        <v>206</v>
      </c>
      <c r="D99" s="285" t="e">
        <f>D98-#REF!</f>
        <v>#REF!</v>
      </c>
      <c r="E99" s="304" t="e">
        <f>E98-#REF!</f>
        <v>#REF!</v>
      </c>
      <c r="F99" s="304" t="e">
        <f>F98-#REF!</f>
        <v>#REF!</v>
      </c>
      <c r="G99" s="284" t="e">
        <f>G98-#REF!</f>
        <v>#REF!</v>
      </c>
      <c r="I99" s="285" t="e">
        <f t="shared" si="97"/>
        <v>#REF!</v>
      </c>
      <c r="J99" s="304" t="e">
        <f t="shared" si="97"/>
        <v>#REF!</v>
      </c>
      <c r="K99" s="304" t="e">
        <f t="shared" si="97"/>
        <v>#REF!</v>
      </c>
      <c r="L99" s="284" t="e">
        <f t="shared" si="97"/>
        <v>#REF!</v>
      </c>
      <c r="N99" s="285">
        <f t="shared" si="98"/>
        <v>479</v>
      </c>
      <c r="O99" s="304" t="e">
        <f t="shared" si="98"/>
        <v>#REF!</v>
      </c>
      <c r="P99" s="304" t="e">
        <f t="shared" si="98"/>
        <v>#REF!</v>
      </c>
      <c r="Q99" s="284" t="e">
        <f t="shared" si="98"/>
        <v>#REF!</v>
      </c>
      <c r="S99" s="285" t="e">
        <f t="shared" si="99"/>
        <v>#REF!</v>
      </c>
      <c r="T99" s="304" t="e">
        <f t="shared" si="99"/>
        <v>#REF!</v>
      </c>
      <c r="U99" s="304" t="e">
        <f t="shared" si="99"/>
        <v>#REF!</v>
      </c>
      <c r="V99" s="284" t="e">
        <f t="shared" si="99"/>
        <v>#REF!</v>
      </c>
      <c r="X99" s="285" t="e">
        <f t="shared" si="100"/>
        <v>#REF!</v>
      </c>
      <c r="Y99" s="304" t="e">
        <f t="shared" si="100"/>
        <v>#REF!</v>
      </c>
      <c r="Z99" s="304" t="e">
        <f t="shared" si="100"/>
        <v>#REF!</v>
      </c>
      <c r="AA99" s="284" t="e">
        <f t="shared" si="100"/>
        <v>#REF!</v>
      </c>
      <c r="AC99" s="285" t="e">
        <f t="shared" si="101"/>
        <v>#REF!</v>
      </c>
      <c r="AD99" s="304" t="e">
        <f t="shared" si="101"/>
        <v>#REF!</v>
      </c>
      <c r="AE99" s="304" t="e">
        <f t="shared" si="101"/>
        <v>#REF!</v>
      </c>
      <c r="AF99" s="284" t="e">
        <f t="shared" si="101"/>
        <v>#REF!</v>
      </c>
      <c r="AH99" s="285" t="e">
        <f t="shared" si="101"/>
        <v>#REF!</v>
      </c>
      <c r="AI99" s="304" t="e">
        <f t="shared" si="101"/>
        <v>#REF!</v>
      </c>
      <c r="AJ99" s="304" t="e">
        <f t="shared" si="101"/>
        <v>#REF!</v>
      </c>
      <c r="AK99" s="284" t="e">
        <f t="shared" si="101"/>
        <v>#REF!</v>
      </c>
      <c r="AM99" s="285" t="e">
        <f t="shared" si="102"/>
        <v>#REF!</v>
      </c>
      <c r="AN99" s="304" t="e">
        <f t="shared" si="102"/>
        <v>#REF!</v>
      </c>
      <c r="AO99" s="304" t="e">
        <f t="shared" si="102"/>
        <v>#REF!</v>
      </c>
      <c r="AP99" s="284" t="e">
        <f t="shared" si="102"/>
        <v>#REF!</v>
      </c>
    </row>
    <row r="100" spans="2:42" hidden="1">
      <c r="C100" s="313" t="s">
        <v>345</v>
      </c>
      <c r="D100" s="286" t="e">
        <f>D99+D95</f>
        <v>#REF!</v>
      </c>
      <c r="E100" s="219" t="e">
        <f>E99+E95</f>
        <v>#REF!</v>
      </c>
      <c r="F100" s="219" t="e">
        <f>F99+F95</f>
        <v>#REF!</v>
      </c>
      <c r="G100" s="200" t="e">
        <f>G99+G95</f>
        <v>#REF!</v>
      </c>
      <c r="I100" s="286" t="e">
        <f>I99+I95</f>
        <v>#REF!</v>
      </c>
      <c r="J100" s="219" t="e">
        <f>J99+J95</f>
        <v>#REF!</v>
      </c>
      <c r="K100" s="219" t="e">
        <f>K99+K95</f>
        <v>#REF!</v>
      </c>
      <c r="L100" s="200" t="e">
        <f>L99+L95</f>
        <v>#REF!</v>
      </c>
      <c r="N100" s="286" t="e">
        <f>N99+N95</f>
        <v>#REF!</v>
      </c>
      <c r="O100" s="219" t="e">
        <f>O99+O95</f>
        <v>#REF!</v>
      </c>
      <c r="P100" s="219" t="e">
        <f>P99+P95</f>
        <v>#REF!</v>
      </c>
      <c r="Q100" s="200" t="e">
        <f>Q99+Q95</f>
        <v>#REF!</v>
      </c>
      <c r="S100" s="286" t="e">
        <f>S99+S95</f>
        <v>#REF!</v>
      </c>
      <c r="T100" s="219" t="e">
        <f>T99+T95</f>
        <v>#REF!</v>
      </c>
      <c r="U100" s="219" t="e">
        <f>U99+U95</f>
        <v>#REF!</v>
      </c>
      <c r="V100" s="200" t="e">
        <f>V99+V95</f>
        <v>#REF!</v>
      </c>
      <c r="X100" s="286" t="e">
        <f>X99+X95</f>
        <v>#REF!</v>
      </c>
      <c r="Y100" s="219" t="e">
        <f>Y99+Y95</f>
        <v>#REF!</v>
      </c>
      <c r="Z100" s="219" t="e">
        <f>Z99+Z95</f>
        <v>#REF!</v>
      </c>
      <c r="AA100" s="200" t="e">
        <f>AA99+AA95</f>
        <v>#REF!</v>
      </c>
      <c r="AC100" s="286" t="e">
        <f>AC99+AC95</f>
        <v>#REF!</v>
      </c>
      <c r="AD100" s="219" t="e">
        <f>AD99+AD95</f>
        <v>#REF!</v>
      </c>
      <c r="AE100" s="219" t="e">
        <f>AE99+AE95</f>
        <v>#REF!</v>
      </c>
      <c r="AF100" s="200" t="e">
        <f>AF99+AF95</f>
        <v>#REF!</v>
      </c>
      <c r="AH100" s="286" t="e">
        <f>AH99+AH95</f>
        <v>#REF!</v>
      </c>
      <c r="AI100" s="219" t="e">
        <f>AI99+AI95</f>
        <v>#REF!</v>
      </c>
      <c r="AJ100" s="219" t="e">
        <f>AJ99+AJ95</f>
        <v>#REF!</v>
      </c>
      <c r="AK100" s="200" t="e">
        <f>AK99+AK95</f>
        <v>#REF!</v>
      </c>
      <c r="AM100" s="286" t="e">
        <f>AM99+AM95</f>
        <v>#REF!</v>
      </c>
      <c r="AN100" s="219" t="e">
        <f>AN99+AN95</f>
        <v>#REF!</v>
      </c>
      <c r="AO100" s="219" t="e">
        <f>AO99+AO95</f>
        <v>#REF!</v>
      </c>
      <c r="AP100" s="200" t="e">
        <f>AP99+AP95</f>
        <v>#REF!</v>
      </c>
    </row>
    <row r="101" spans="2:42" hidden="1">
      <c r="C101" s="313" t="s">
        <v>346</v>
      </c>
      <c r="D101" s="286" t="e">
        <f>D100-#REF!</f>
        <v>#REF!</v>
      </c>
      <c r="E101" s="219" t="e">
        <f>E100-#REF!</f>
        <v>#REF!</v>
      </c>
      <c r="F101" s="219" t="e">
        <f>F100-#REF!</f>
        <v>#REF!</v>
      </c>
      <c r="G101" s="200" t="e">
        <f>G100-#REF!</f>
        <v>#REF!</v>
      </c>
      <c r="I101" s="286" t="e">
        <f>I100-D94</f>
        <v>#REF!</v>
      </c>
      <c r="J101" s="219" t="e">
        <f>J100-E94</f>
        <v>#REF!</v>
      </c>
      <c r="K101" s="219" t="e">
        <f>K100-F94</f>
        <v>#REF!</v>
      </c>
      <c r="L101" s="200" t="e">
        <f>L100-G94</f>
        <v>#REF!</v>
      </c>
      <c r="N101" s="286" t="e">
        <f>N100-I94</f>
        <v>#REF!</v>
      </c>
      <c r="O101" s="219" t="e">
        <f>O100-J94</f>
        <v>#REF!</v>
      </c>
      <c r="P101" s="219" t="e">
        <f>P100-K94</f>
        <v>#REF!</v>
      </c>
      <c r="Q101" s="200" t="e">
        <f>Q100-L94</f>
        <v>#REF!</v>
      </c>
      <c r="S101" s="286" t="e">
        <f>S100-N94</f>
        <v>#REF!</v>
      </c>
      <c r="T101" s="219" t="e">
        <f>T100-O94</f>
        <v>#REF!</v>
      </c>
      <c r="U101" s="219" t="e">
        <f>U100-P94</f>
        <v>#REF!</v>
      </c>
      <c r="V101" s="200" t="e">
        <f>V100-Q94</f>
        <v>#REF!</v>
      </c>
      <c r="X101" s="286" t="e">
        <f>X100-S94</f>
        <v>#REF!</v>
      </c>
      <c r="Y101" s="219" t="e">
        <f>Y100-T94</f>
        <v>#REF!</v>
      </c>
      <c r="Z101" s="219" t="e">
        <f>Z100-U94</f>
        <v>#REF!</v>
      </c>
      <c r="AA101" s="200" t="e">
        <f>AA100-V94</f>
        <v>#REF!</v>
      </c>
      <c r="AC101" s="286" t="e">
        <f>AC100-X94</f>
        <v>#REF!</v>
      </c>
      <c r="AD101" s="219" t="e">
        <f>AD100-Y94</f>
        <v>#REF!</v>
      </c>
      <c r="AE101" s="219" t="e">
        <f>AE100-Z94</f>
        <v>#REF!</v>
      </c>
      <c r="AF101" s="200" t="e">
        <f>AF100-AA94</f>
        <v>#REF!</v>
      </c>
      <c r="AH101" s="286" t="e">
        <f>AH100-AC94</f>
        <v>#REF!</v>
      </c>
      <c r="AI101" s="219" t="e">
        <f>AI100-AD94</f>
        <v>#REF!</v>
      </c>
      <c r="AJ101" s="219" t="e">
        <f>AJ100-AE94</f>
        <v>#REF!</v>
      </c>
      <c r="AK101" s="200" t="e">
        <f>AK100-AF94</f>
        <v>#REF!</v>
      </c>
      <c r="AM101" s="286" t="e">
        <f>AM100-AH94</f>
        <v>#REF!</v>
      </c>
      <c r="AN101" s="219" t="e">
        <f>AN100-AI94</f>
        <v>#REF!</v>
      </c>
      <c r="AO101" s="219" t="e">
        <f>AO100-AJ94</f>
        <v>#REF!</v>
      </c>
      <c r="AP101" s="200" t="e">
        <f>AP100-AK94</f>
        <v>#REF!</v>
      </c>
    </row>
    <row r="102" spans="2:42" ht="13.15" hidden="1" thickBot="1">
      <c r="C102" s="314" t="s">
        <v>208</v>
      </c>
      <c r="D102" s="306" t="e">
        <f>D99+D90</f>
        <v>#REF!</v>
      </c>
      <c r="E102" s="188" t="e">
        <f>E99+E90</f>
        <v>#REF!</v>
      </c>
      <c r="F102" s="188" t="e">
        <f>F99+F90</f>
        <v>#REF!</v>
      </c>
      <c r="G102" s="305" t="e">
        <f>G99+G90</f>
        <v>#REF!</v>
      </c>
      <c r="I102" s="306" t="e">
        <f>I99+I90</f>
        <v>#REF!</v>
      </c>
      <c r="J102" s="188" t="e">
        <f>J99+J90</f>
        <v>#REF!</v>
      </c>
      <c r="K102" s="188" t="e">
        <f>K99+K90</f>
        <v>#REF!</v>
      </c>
      <c r="L102" s="305" t="e">
        <f>L99+L90</f>
        <v>#REF!</v>
      </c>
      <c r="N102" s="306" t="e">
        <f>N99+N90</f>
        <v>#REF!</v>
      </c>
      <c r="O102" s="188" t="e">
        <f>O99+O90</f>
        <v>#REF!</v>
      </c>
      <c r="P102" s="188" t="e">
        <f>P99+P90</f>
        <v>#REF!</v>
      </c>
      <c r="Q102" s="305" t="e">
        <f>Q99+Q90</f>
        <v>#REF!</v>
      </c>
      <c r="S102" s="306" t="e">
        <f>S99+S90</f>
        <v>#REF!</v>
      </c>
      <c r="T102" s="188" t="e">
        <f>T99+T90</f>
        <v>#REF!</v>
      </c>
      <c r="U102" s="188" t="e">
        <f>U99+U90</f>
        <v>#REF!</v>
      </c>
      <c r="V102" s="305" t="e">
        <f>V99+V90</f>
        <v>#REF!</v>
      </c>
      <c r="X102" s="306" t="e">
        <f>X99+X90</f>
        <v>#REF!</v>
      </c>
      <c r="Y102" s="188" t="e">
        <f>Y99+Y90</f>
        <v>#REF!</v>
      </c>
      <c r="Z102" s="188" t="e">
        <f>Z99+Z90</f>
        <v>#REF!</v>
      </c>
      <c r="AA102" s="305" t="e">
        <f>AA99+AA90</f>
        <v>#REF!</v>
      </c>
      <c r="AC102" s="306" t="e">
        <f>AC99+AC90</f>
        <v>#REF!</v>
      </c>
      <c r="AD102" s="188" t="e">
        <f>AD99+AD90</f>
        <v>#REF!</v>
      </c>
      <c r="AE102" s="188" t="e">
        <f>AE99+AE90</f>
        <v>#REF!</v>
      </c>
      <c r="AF102" s="305" t="e">
        <f>AF99+AF90</f>
        <v>#REF!</v>
      </c>
      <c r="AH102" s="306" t="e">
        <f>AH99+AH90</f>
        <v>#REF!</v>
      </c>
      <c r="AI102" s="188" t="e">
        <f>AI99+AI90</f>
        <v>#REF!</v>
      </c>
      <c r="AJ102" s="188" t="e">
        <f>AJ99+AJ90</f>
        <v>#REF!</v>
      </c>
      <c r="AK102" s="305" t="e">
        <f>AK99+AK90</f>
        <v>#REF!</v>
      </c>
      <c r="AM102" s="306" t="e">
        <f>AM99+AM90</f>
        <v>#REF!</v>
      </c>
      <c r="AN102" s="188" t="e">
        <f>AN99+AN90</f>
        <v>#REF!</v>
      </c>
      <c r="AO102" s="188" t="e">
        <f>AO99+AO90</f>
        <v>#REF!</v>
      </c>
      <c r="AP102" s="305" t="e">
        <f>AP99+AP90</f>
        <v>#REF!</v>
      </c>
    </row>
    <row r="103" spans="2:42" hidden="1">
      <c r="C103" s="311"/>
      <c r="D103" s="164"/>
      <c r="E103" s="161"/>
      <c r="F103" s="161"/>
      <c r="G103" s="300"/>
      <c r="I103" s="164"/>
      <c r="J103" s="161"/>
      <c r="K103" s="161"/>
      <c r="L103" s="300"/>
      <c r="N103" s="164"/>
      <c r="O103" s="161"/>
      <c r="P103" s="161"/>
      <c r="Q103" s="300"/>
      <c r="S103" s="164"/>
      <c r="T103" s="161"/>
      <c r="U103" s="161"/>
      <c r="V103" s="300"/>
      <c r="X103" s="164"/>
      <c r="Y103" s="161"/>
      <c r="Z103" s="161"/>
      <c r="AA103" s="300"/>
      <c r="AC103" s="164"/>
      <c r="AD103" s="161"/>
      <c r="AE103" s="161"/>
      <c r="AF103" s="300"/>
      <c r="AH103" s="164"/>
      <c r="AI103" s="161"/>
      <c r="AJ103" s="161"/>
      <c r="AK103" s="300"/>
      <c r="AM103" s="164"/>
      <c r="AN103" s="161"/>
      <c r="AO103" s="161"/>
      <c r="AP103" s="300"/>
    </row>
    <row r="104" spans="2:42" hidden="1">
      <c r="C104" s="315" t="s">
        <v>205</v>
      </c>
      <c r="D104" s="286" t="e">
        <f>D21+#REF!+#REF!+#REF!</f>
        <v>#REF!</v>
      </c>
      <c r="E104" s="219" t="e">
        <f>E21+D21+#REF!+#REF!</f>
        <v>#REF!</v>
      </c>
      <c r="F104" s="219" t="e">
        <f>F21+E21+D21+#REF!</f>
        <v>#REF!</v>
      </c>
      <c r="G104" s="200">
        <f>G21+F21+E21+D21</f>
        <v>24625</v>
      </c>
      <c r="I104" s="286">
        <f>I21+G21+F21+E21</f>
        <v>27845</v>
      </c>
      <c r="J104" s="219">
        <f>J21+I21+G21+F21</f>
        <v>27600</v>
      </c>
      <c r="K104" s="219">
        <f>K21+J21+I21+G21</f>
        <v>26642</v>
      </c>
      <c r="L104" s="200">
        <f>L21+K21+J21+I21</f>
        <v>25735</v>
      </c>
      <c r="N104" s="286">
        <f>N21+L21+K21+J21</f>
        <v>23815</v>
      </c>
      <c r="O104" s="219">
        <f>O21+N21+L21+K21</f>
        <v>25393</v>
      </c>
      <c r="P104" s="219">
        <f>P21+O21+N21+L21</f>
        <v>28734</v>
      </c>
      <c r="Q104" s="200">
        <f>Q21+P21+O21+N21</f>
        <v>32333</v>
      </c>
      <c r="S104" s="286">
        <f>S21+Q21+P21+O21</f>
        <v>37163</v>
      </c>
      <c r="T104" s="219">
        <f>T21+S21+Q21+P21</f>
        <v>42695</v>
      </c>
      <c r="U104" s="219">
        <f>U21+T21+S21+Q21</f>
        <v>47122</v>
      </c>
      <c r="V104" s="200">
        <f>V21+U21+T21+S21</f>
        <v>51190</v>
      </c>
      <c r="X104" s="286">
        <f>X21+V21+U21+T21</f>
        <v>53372</v>
      </c>
      <c r="Y104" s="219">
        <f>Y21+X21+V21+U21</f>
        <v>50792</v>
      </c>
      <c r="Z104" s="219">
        <f>Z21+Y21+X21+V21</f>
        <v>47078</v>
      </c>
      <c r="AA104" s="200">
        <f>AA21+Z21+Y21+X21</f>
        <v>42346</v>
      </c>
      <c r="AC104" s="286">
        <f>AC21+AA21+Z21+Y21</f>
        <v>39260</v>
      </c>
      <c r="AD104" s="219">
        <f>AD21+AC21+AA21+Z21</f>
        <v>39536</v>
      </c>
      <c r="AE104" s="219">
        <f>AE21+AD21+AC21+AA21</f>
        <v>40549</v>
      </c>
      <c r="AF104" s="200">
        <f>AF21+AE21+AD21+AC21</f>
        <v>43802</v>
      </c>
      <c r="AH104" s="286">
        <f>AH21+AF21+AE21+AD21</f>
        <v>46029</v>
      </c>
      <c r="AI104" s="219">
        <f>AI21+AH21+AF21+AE21</f>
        <v>46949</v>
      </c>
      <c r="AJ104" s="219">
        <f>AJ21+AI21+AH21+AF21</f>
        <v>47333</v>
      </c>
      <c r="AK104" s="200">
        <f>AK21+AJ21+AI21+AH21</f>
        <v>48364</v>
      </c>
      <c r="AM104" s="286">
        <f>AM21+AK21+AJ21+AI21</f>
        <v>49068.716200000003</v>
      </c>
      <c r="AN104" s="219">
        <f>AN21+AM21+AK21+AJ21</f>
        <v>49993.426820000001</v>
      </c>
      <c r="AO104" s="219">
        <f>AO21+AN21+AM21+AK21</f>
        <v>51348.534166000005</v>
      </c>
      <c r="AP104" s="200">
        <f>AP21+AO21+AN21+AM21</f>
        <v>51513.739254000007</v>
      </c>
    </row>
    <row r="105" spans="2:42" hidden="1">
      <c r="C105" s="311"/>
      <c r="D105" s="170"/>
      <c r="G105" s="209"/>
      <c r="I105" s="170"/>
      <c r="L105" s="209"/>
      <c r="N105" s="170"/>
      <c r="Q105" s="209"/>
      <c r="S105" s="170"/>
      <c r="V105" s="209"/>
      <c r="X105" s="170"/>
      <c r="AA105" s="209"/>
      <c r="AC105" s="170"/>
      <c r="AF105" s="209"/>
      <c r="AH105" s="170"/>
      <c r="AK105" s="209"/>
      <c r="AM105" s="170"/>
      <c r="AP105" s="209"/>
    </row>
    <row r="106" spans="2:42" ht="13.15" hidden="1" thickBot="1">
      <c r="C106" s="314" t="s">
        <v>209</v>
      </c>
      <c r="D106" s="308" t="e">
        <f>D104/D100</f>
        <v>#REF!</v>
      </c>
      <c r="E106" s="309" t="e">
        <f>E104/E100</f>
        <v>#REF!</v>
      </c>
      <c r="F106" s="309" t="e">
        <f>F104/F100</f>
        <v>#REF!</v>
      </c>
      <c r="G106" s="307" t="e">
        <f>G104/G100</f>
        <v>#REF!</v>
      </c>
      <c r="I106" s="308" t="e">
        <f>I104/I100</f>
        <v>#REF!</v>
      </c>
      <c r="J106" s="309" t="e">
        <f>J104/J100</f>
        <v>#REF!</v>
      </c>
      <c r="K106" s="309" t="e">
        <f>K104/K100</f>
        <v>#REF!</v>
      </c>
      <c r="L106" s="307" t="e">
        <f>L104/L100</f>
        <v>#REF!</v>
      </c>
      <c r="N106" s="308" t="e">
        <f>N104/N100</f>
        <v>#REF!</v>
      </c>
      <c r="O106" s="309" t="e">
        <f>O104/O100</f>
        <v>#REF!</v>
      </c>
      <c r="P106" s="309" t="e">
        <f>P104/P100</f>
        <v>#REF!</v>
      </c>
      <c r="Q106" s="307" t="e">
        <f>Q104/Q100</f>
        <v>#REF!</v>
      </c>
      <c r="S106" s="308" t="e">
        <f>S104/S100</f>
        <v>#REF!</v>
      </c>
      <c r="T106" s="309" t="e">
        <f>T104/T100</f>
        <v>#REF!</v>
      </c>
      <c r="U106" s="309" t="e">
        <f>U104/U100</f>
        <v>#REF!</v>
      </c>
      <c r="V106" s="307" t="e">
        <f>V104/V100</f>
        <v>#REF!</v>
      </c>
      <c r="X106" s="308" t="e">
        <f>X104/X100</f>
        <v>#REF!</v>
      </c>
      <c r="Y106" s="309" t="e">
        <f>Y104/Y100</f>
        <v>#REF!</v>
      </c>
      <c r="Z106" s="309" t="e">
        <f>Z104/Z100</f>
        <v>#REF!</v>
      </c>
      <c r="AA106" s="307" t="e">
        <f>AA104/AA100</f>
        <v>#REF!</v>
      </c>
      <c r="AC106" s="308" t="e">
        <f>AC104/AC100</f>
        <v>#REF!</v>
      </c>
      <c r="AD106" s="309" t="e">
        <f>AD104/AD100</f>
        <v>#REF!</v>
      </c>
      <c r="AE106" s="309" t="e">
        <f>AE104/AE100</f>
        <v>#REF!</v>
      </c>
      <c r="AF106" s="307" t="e">
        <f>AF104/AF100</f>
        <v>#REF!</v>
      </c>
      <c r="AH106" s="308" t="e">
        <f>AH104/AH100</f>
        <v>#REF!</v>
      </c>
      <c r="AI106" s="309" t="e">
        <f>AI104/AI100</f>
        <v>#REF!</v>
      </c>
      <c r="AJ106" s="309" t="e">
        <f>AJ104/AJ100</f>
        <v>#REF!</v>
      </c>
      <c r="AK106" s="307" t="e">
        <f>AK104/AK100</f>
        <v>#REF!</v>
      </c>
      <c r="AM106" s="308" t="e">
        <f>AM104/AM100</f>
        <v>#REF!</v>
      </c>
      <c r="AN106" s="309" t="e">
        <f>AN104/AN100</f>
        <v>#REF!</v>
      </c>
      <c r="AO106" s="309" t="e">
        <f>AO104/AO100</f>
        <v>#REF!</v>
      </c>
      <c r="AP106" s="307" t="e">
        <f>AP104/AP100</f>
        <v>#REF!</v>
      </c>
    </row>
    <row r="108" spans="2:42">
      <c r="B108" s="22" t="s">
        <v>226</v>
      </c>
      <c r="D108" s="224"/>
      <c r="E108" s="224"/>
      <c r="F108" s="224"/>
      <c r="G108" s="224"/>
      <c r="H108" s="224"/>
      <c r="I108" s="224"/>
      <c r="J108" s="224"/>
      <c r="K108" s="224"/>
      <c r="L108" s="224">
        <f>((L19+K19+J19+I19)/(L11+K11+J11+I11-G11-F11-E11-D11))</f>
        <v>1.5449517296862429</v>
      </c>
      <c r="M108" s="224"/>
      <c r="N108" s="224">
        <f>((N19+M19+L19+K19)/(N11+M11+L11+K11-I11-H11-G11-F11))</f>
        <v>1.4893179835055028</v>
      </c>
      <c r="O108" s="224">
        <f>((O19+N19+M19+L19)/(O11+N11+M11+L11-J11-I11-H11-G11))</f>
        <v>1.2782082653616096</v>
      </c>
      <c r="P108" s="224">
        <f>((P19+O19+N19+M19)/(P11+O11+N11+M11-K11-J11-I11-H11))</f>
        <v>1.2125991947148274</v>
      </c>
      <c r="Q108" s="224">
        <f>((Q19+P19+O19+N19)/(Q11+P11+O11+N11-L11-K11-J11-I11))</f>
        <v>0.99758159396923618</v>
      </c>
      <c r="R108" s="224"/>
      <c r="S108" s="224">
        <f>((S19+R19+Q19+P19)/(S11+R11+Q11+P11-N11-M11-L11-K11))</f>
        <v>1.0341525917297612</v>
      </c>
      <c r="T108" s="224">
        <f>((T19+S19+R19+Q19)/(T11+S11+R11+Q11-O11-N11-M11-L11))</f>
        <v>1.1972264233165004</v>
      </c>
      <c r="U108" s="224">
        <f>((U19+T19+S19+R19)/(U11+T11+S11+R11-P11-O11-N11-M11))</f>
        <v>1.4333348035107838</v>
      </c>
      <c r="V108" s="224">
        <f>((V19+U19+T19+S19)/(V11+U11+T11+S11-Q11-P11-O11-N11))</f>
        <v>3.2930257099002302</v>
      </c>
      <c r="W108" s="224"/>
      <c r="X108" s="224">
        <f>((X19+W19+V19+U19)/(X11+W11+V11+U11-S11-R11-Q11-P11))</f>
        <v>5.3221770136063347</v>
      </c>
      <c r="Y108" s="224">
        <f>((Y19+X19+W19+V19)/(Y11+X11+W11+V11-T11-S11-R11-Q11))</f>
        <v>6.3457610892458245</v>
      </c>
      <c r="Z108" s="224">
        <f>((Z19+Y19+X19+W19)/(Z11+Y11+X11+W11-U11-T11-S11-R11))</f>
        <v>5.7342160346590081</v>
      </c>
      <c r="AA108" s="224">
        <f>((AA19+Z19+Y19+X19)/(AA11+Z11+Y11+X11-V11-U11-T11-S11))</f>
        <v>21.42</v>
      </c>
      <c r="AC108" s="224">
        <f>((AC19+AB19+AA19+Z19)/(AC11+AB11+AA11+Z11-X11-W11-V11-U11))</f>
        <v>11.674986134220743</v>
      </c>
      <c r="AD108" s="224">
        <f>((AD19+AC19+AB19+AA19)/(AD11+AC11+AB11+AA11-Y11-X11-W11-V11))</f>
        <v>10.134877384196185</v>
      </c>
      <c r="AE108" s="224">
        <f>((AE19+AD19+AC19+AB19)/(AE11+AD11+AC11+AB11-Z11-Y11-X11-W11))</f>
        <v>12.502740052418394</v>
      </c>
      <c r="AF108" s="224">
        <f>((AF19+AE19+AD19+AC19)/(AF11+AE11+AD11+AC11-AA11-Z11-Y11-X11))</f>
        <v>8.3989038660939119</v>
      </c>
      <c r="AH108" s="224">
        <f>((AH19+AG19+AF19+AE19)/(AH11+AG11+AF11+AE11-AC11-AB11-AA11-Z11))</f>
        <v>9.3661768942667827</v>
      </c>
      <c r="AI108" s="224">
        <f>((AI19+AH19+AG19+AF19)/(AI11+AH11+AG11+AF11-AD11-AC11-AB11-AA11))</f>
        <v>8.7139665802877317</v>
      </c>
      <c r="AJ108" s="224">
        <f>((AJ19+AI19+AH19+AG19)/(AJ11+AI11+AH11+AG11-AE11-AD11-AC11-AB11))</f>
        <v>6.6675121683690959</v>
      </c>
      <c r="AK108" s="224">
        <f>((AK19+AJ19+AI19+AH19)/(AK11+AJ11+AI11+AH11-AF11-AE11-AD11-AC11))</f>
        <v>4.5343937375083279</v>
      </c>
      <c r="AM108" s="224">
        <f>((AM19+AL19+AK19+AJ19)/(AM11+AL11+AK11+AJ11-AH11-AG11-AF11-AE11))</f>
        <v>4.0160209211105622</v>
      </c>
      <c r="AN108" s="224">
        <f>((AN19+AM19+AL19+AK19)/(AN11+AM11+AL11+AK11-AI11-AH11-AG11-AF11))</f>
        <v>4.1106009725709942</v>
      </c>
      <c r="AO108" s="224">
        <f>((AO19+AN19+AM19+AL19)/(AO11+AN11+AM11+AL11-AJ11-AI11-AH11-AG11))</f>
        <v>4.3100184014346237</v>
      </c>
      <c r="AP108" s="224">
        <f>((AP19+AO19+AN19+AM19)/(AP11+AO11+AN11+AM11-AK11-AJ11-AI11-AH11))</f>
        <v>3.7539559485579264</v>
      </c>
    </row>
    <row r="109" spans="2:42">
      <c r="G109" s="224"/>
      <c r="I109" s="224"/>
      <c r="J109" s="224"/>
      <c r="K109" s="224"/>
      <c r="L109" s="224"/>
      <c r="N109" s="224"/>
      <c r="O109" s="224"/>
      <c r="P109" s="224"/>
      <c r="Q109" s="224"/>
      <c r="S109" s="224"/>
      <c r="T109" s="224"/>
      <c r="U109" s="224"/>
      <c r="V109" s="224"/>
      <c r="X109" s="224"/>
      <c r="Y109" s="224"/>
      <c r="Z109" s="224"/>
      <c r="AA109" s="224"/>
      <c r="AC109" s="224"/>
      <c r="AD109" s="224"/>
      <c r="AE109" s="224"/>
      <c r="AF109" s="224"/>
      <c r="AH109" s="224"/>
      <c r="AI109" s="224"/>
      <c r="AJ109" s="224"/>
      <c r="AK109" s="224"/>
      <c r="AM109" s="224"/>
      <c r="AN109" s="224"/>
      <c r="AO109" s="224"/>
      <c r="AP109" s="224"/>
    </row>
    <row r="110" spans="2:42" hidden="1"/>
    <row r="111" spans="2:42" hidden="1"/>
    <row r="112" spans="2:42" hidden="1"/>
    <row r="113" spans="2:43" hidden="1"/>
    <row r="114" spans="2:43" ht="15.2" hidden="1" customHeight="1">
      <c r="B114" s="423" t="s">
        <v>295</v>
      </c>
      <c r="C114" s="423"/>
      <c r="D114" s="423"/>
      <c r="E114" s="423"/>
      <c r="F114" s="423"/>
      <c r="G114" s="423"/>
      <c r="H114" s="423"/>
      <c r="I114" s="423"/>
      <c r="J114" s="423"/>
      <c r="K114" s="423"/>
      <c r="L114" s="423"/>
      <c r="M114" s="423"/>
      <c r="N114" s="423"/>
      <c r="O114" s="423"/>
      <c r="P114" s="423"/>
      <c r="Q114" s="423"/>
      <c r="R114" s="423"/>
      <c r="S114" s="423"/>
      <c r="T114" s="423"/>
      <c r="U114" s="423"/>
      <c r="V114" s="423"/>
      <c r="W114" s="423"/>
      <c r="X114" s="423"/>
      <c r="Y114" s="423"/>
      <c r="Z114" s="423"/>
      <c r="AA114" s="423"/>
      <c r="AB114" s="423"/>
      <c r="AC114" s="423"/>
      <c r="AD114" s="423"/>
      <c r="AE114" s="423"/>
      <c r="AF114" s="423"/>
      <c r="AG114" s="423"/>
      <c r="AH114" s="423"/>
      <c r="AI114" s="423"/>
      <c r="AJ114" s="423"/>
      <c r="AK114" s="423"/>
      <c r="AL114" s="423"/>
      <c r="AM114" s="423"/>
      <c r="AN114" s="423"/>
      <c r="AO114" s="423"/>
      <c r="AP114" s="423"/>
      <c r="AQ114" s="423"/>
    </row>
    <row r="115" spans="2:43" ht="15.2" hidden="1" customHeight="1">
      <c r="B115" s="22">
        <v>1000</v>
      </c>
    </row>
    <row r="116" spans="2:43" ht="15.2" hidden="1" customHeight="1">
      <c r="B116" s="22" t="s">
        <v>123</v>
      </c>
      <c r="D116" s="424">
        <v>10378</v>
      </c>
      <c r="E116" s="424">
        <v>11305</v>
      </c>
      <c r="F116" s="424">
        <v>12652</v>
      </c>
      <c r="G116" s="424">
        <v>14221</v>
      </c>
      <c r="H116" s="439">
        <f>SUM(D116:G116)</f>
        <v>48556</v>
      </c>
      <c r="I116" s="424">
        <v>15668</v>
      </c>
      <c r="J116" s="424">
        <v>15727</v>
      </c>
      <c r="K116" s="424">
        <v>17863</v>
      </c>
      <c r="L116" s="424">
        <v>19186</v>
      </c>
      <c r="M116" s="439">
        <f>SUM(I116:L116)</f>
        <v>68444</v>
      </c>
      <c r="N116" s="424">
        <v>21131</v>
      </c>
      <c r="O116" s="424"/>
      <c r="P116" s="424"/>
      <c r="Q116" s="424"/>
      <c r="R116" s="439"/>
      <c r="S116" s="424"/>
      <c r="T116" s="424"/>
      <c r="U116" s="424"/>
      <c r="V116" s="424"/>
      <c r="W116" s="439"/>
      <c r="X116" s="424"/>
      <c r="Y116" s="424"/>
      <c r="Z116" s="424"/>
      <c r="AA116" s="424"/>
      <c r="AB116" s="439"/>
      <c r="AC116" s="424"/>
      <c r="AD116" s="424"/>
      <c r="AE116" s="424"/>
      <c r="AF116" s="424"/>
      <c r="AG116" s="439"/>
      <c r="AH116" s="424"/>
      <c r="AI116" s="424"/>
      <c r="AJ116" s="424"/>
      <c r="AK116" s="424"/>
      <c r="AL116" s="439"/>
      <c r="AM116" s="424"/>
      <c r="AN116" s="424"/>
      <c r="AO116" s="424"/>
      <c r="AP116" s="424"/>
      <c r="AQ116" s="439"/>
    </row>
    <row r="117" spans="2:43" ht="15.2" hidden="1" customHeight="1">
      <c r="D117" s="424"/>
      <c r="E117" s="424"/>
      <c r="F117" s="424"/>
      <c r="G117" s="424"/>
      <c r="H117" s="439"/>
      <c r="I117" s="424"/>
      <c r="J117" s="424"/>
      <c r="K117" s="424"/>
      <c r="L117" s="424"/>
      <c r="M117" s="439"/>
      <c r="N117" s="424"/>
      <c r="O117" s="424"/>
      <c r="P117" s="424"/>
      <c r="Q117" s="424"/>
      <c r="R117" s="439"/>
      <c r="S117" s="424"/>
      <c r="T117" s="424"/>
      <c r="U117" s="424"/>
      <c r="V117" s="424"/>
      <c r="W117" s="439"/>
      <c r="X117" s="424"/>
      <c r="Y117" s="424"/>
      <c r="Z117" s="424"/>
      <c r="AA117" s="424"/>
      <c r="AB117" s="439"/>
      <c r="AC117" s="424"/>
      <c r="AD117" s="424"/>
      <c r="AE117" s="424"/>
      <c r="AF117" s="424"/>
      <c r="AG117" s="439"/>
      <c r="AH117" s="424"/>
      <c r="AI117" s="424"/>
      <c r="AJ117" s="424"/>
      <c r="AK117" s="424"/>
      <c r="AL117" s="439"/>
      <c r="AM117" s="424"/>
      <c r="AN117" s="424"/>
      <c r="AO117" s="424"/>
      <c r="AP117" s="424"/>
      <c r="AQ117" s="439"/>
    </row>
    <row r="118" spans="2:43" ht="15.2" hidden="1" customHeight="1">
      <c r="B118" s="22" t="s">
        <v>161</v>
      </c>
      <c r="D118" s="424">
        <v>2902</v>
      </c>
      <c r="E118" s="424">
        <v>3307</v>
      </c>
      <c r="F118" s="424">
        <v>3620</v>
      </c>
      <c r="G118" s="424">
        <v>4628</v>
      </c>
      <c r="H118" s="439">
        <f t="shared" ref="H118:H143" si="103">SUM(D118:G118)</f>
        <v>14457</v>
      </c>
      <c r="I118" s="424">
        <v>5071</v>
      </c>
      <c r="J118" s="424">
        <v>4509</v>
      </c>
      <c r="K118" s="424">
        <v>5522</v>
      </c>
      <c r="L118" s="424">
        <v>5347</v>
      </c>
      <c r="M118" s="439">
        <f t="shared" ref="M118:M143" si="104">SUM(I118:L118)</f>
        <v>20449</v>
      </c>
      <c r="N118" s="424">
        <v>5788</v>
      </c>
      <c r="O118" s="424"/>
      <c r="P118" s="424"/>
      <c r="Q118" s="424"/>
      <c r="R118" s="439"/>
      <c r="S118" s="424"/>
      <c r="T118" s="424"/>
      <c r="U118" s="424"/>
      <c r="V118" s="424"/>
      <c r="W118" s="439"/>
      <c r="X118" s="424"/>
      <c r="Y118" s="424"/>
      <c r="Z118" s="424"/>
      <c r="AA118" s="424"/>
      <c r="AB118" s="439"/>
      <c r="AC118" s="424"/>
      <c r="AD118" s="424"/>
      <c r="AE118" s="424"/>
      <c r="AF118" s="424"/>
      <c r="AG118" s="439"/>
      <c r="AH118" s="424"/>
      <c r="AI118" s="424"/>
      <c r="AJ118" s="424"/>
      <c r="AK118" s="424"/>
      <c r="AL118" s="439"/>
      <c r="AM118" s="424"/>
      <c r="AN118" s="424"/>
      <c r="AO118" s="424"/>
      <c r="AP118" s="424"/>
      <c r="AQ118" s="439"/>
    </row>
    <row r="119" spans="2:43" ht="15.2" hidden="1" customHeight="1">
      <c r="D119" s="424"/>
      <c r="E119" s="424"/>
      <c r="F119" s="424"/>
      <c r="G119" s="424"/>
      <c r="H119" s="439"/>
      <c r="I119" s="424"/>
      <c r="J119" s="424"/>
      <c r="K119" s="424"/>
      <c r="L119" s="424"/>
      <c r="M119" s="439"/>
      <c r="N119" s="424"/>
      <c r="O119" s="424"/>
      <c r="P119" s="424"/>
      <c r="Q119" s="424"/>
      <c r="R119" s="439"/>
      <c r="S119" s="424"/>
      <c r="T119" s="424"/>
      <c r="U119" s="424"/>
      <c r="V119" s="424"/>
      <c r="W119" s="439"/>
      <c r="X119" s="424"/>
      <c r="Y119" s="424"/>
      <c r="Z119" s="424"/>
      <c r="AA119" s="424"/>
      <c r="AB119" s="439"/>
      <c r="AC119" s="424"/>
      <c r="AD119" s="424"/>
      <c r="AE119" s="424"/>
      <c r="AF119" s="424"/>
      <c r="AG119" s="439"/>
      <c r="AH119" s="424"/>
      <c r="AI119" s="424"/>
      <c r="AJ119" s="424"/>
      <c r="AK119" s="424"/>
      <c r="AL119" s="439"/>
      <c r="AM119" s="424"/>
      <c r="AN119" s="424"/>
      <c r="AO119" s="424"/>
      <c r="AP119" s="424"/>
      <c r="AQ119" s="439"/>
    </row>
    <row r="120" spans="2:43" ht="15.2" hidden="1" customHeight="1">
      <c r="B120" s="22" t="s">
        <v>159</v>
      </c>
      <c r="D120" s="424">
        <f>D116-D118</f>
        <v>7476</v>
      </c>
      <c r="E120" s="424">
        <f>E116-E118</f>
        <v>7998</v>
      </c>
      <c r="F120" s="424">
        <f>F116-F118</f>
        <v>9032</v>
      </c>
      <c r="G120" s="424">
        <f>G116-G118</f>
        <v>9593</v>
      </c>
      <c r="H120" s="439">
        <f t="shared" si="103"/>
        <v>34099</v>
      </c>
      <c r="I120" s="424">
        <f>I116-I118</f>
        <v>10597</v>
      </c>
      <c r="J120" s="424">
        <f>J116-J118</f>
        <v>11218</v>
      </c>
      <c r="K120" s="424">
        <f>K116-K118</f>
        <v>12341</v>
      </c>
      <c r="L120" s="424">
        <f>L116-L118</f>
        <v>13839</v>
      </c>
      <c r="M120" s="439">
        <f t="shared" si="104"/>
        <v>47995</v>
      </c>
      <c r="N120" s="424">
        <f>N116-N118</f>
        <v>15343</v>
      </c>
      <c r="O120" s="424"/>
      <c r="P120" s="424"/>
      <c r="Q120" s="424"/>
      <c r="R120" s="439"/>
      <c r="S120" s="424"/>
      <c r="T120" s="424"/>
      <c r="U120" s="424"/>
      <c r="V120" s="424"/>
      <c r="W120" s="439"/>
      <c r="X120" s="424"/>
      <c r="Y120" s="424"/>
      <c r="Z120" s="424"/>
      <c r="AA120" s="424"/>
      <c r="AB120" s="439"/>
      <c r="AC120" s="424"/>
      <c r="AD120" s="424"/>
      <c r="AE120" s="424"/>
      <c r="AF120" s="424"/>
      <c r="AG120" s="439"/>
      <c r="AH120" s="424"/>
      <c r="AI120" s="424"/>
      <c r="AJ120" s="424"/>
      <c r="AK120" s="424"/>
      <c r="AL120" s="439"/>
      <c r="AM120" s="424"/>
      <c r="AN120" s="424"/>
      <c r="AO120" s="424"/>
      <c r="AP120" s="424"/>
      <c r="AQ120" s="439"/>
    </row>
    <row r="121" spans="2:43" ht="15.2" hidden="1" customHeight="1">
      <c r="D121" s="424"/>
      <c r="E121" s="424"/>
      <c r="F121" s="424"/>
      <c r="G121" s="424"/>
      <c r="H121" s="439"/>
      <c r="I121" s="424"/>
      <c r="J121" s="424"/>
      <c r="K121" s="424"/>
      <c r="L121" s="424"/>
      <c r="M121" s="439"/>
      <c r="N121" s="424"/>
      <c r="O121" s="424"/>
      <c r="P121" s="424"/>
      <c r="Q121" s="424"/>
      <c r="R121" s="439"/>
      <c r="S121" s="424"/>
      <c r="T121" s="424"/>
      <c r="U121" s="424"/>
      <c r="V121" s="424"/>
      <c r="W121" s="439"/>
      <c r="X121" s="424"/>
      <c r="Y121" s="424"/>
      <c r="Z121" s="424"/>
      <c r="AA121" s="424"/>
      <c r="AB121" s="439"/>
      <c r="AC121" s="424"/>
      <c r="AD121" s="424"/>
      <c r="AE121" s="424"/>
      <c r="AF121" s="424"/>
      <c r="AG121" s="439"/>
      <c r="AH121" s="424"/>
      <c r="AI121" s="424"/>
      <c r="AJ121" s="424"/>
      <c r="AK121" s="424"/>
      <c r="AL121" s="439"/>
      <c r="AM121" s="424"/>
      <c r="AN121" s="424"/>
      <c r="AO121" s="424"/>
      <c r="AP121" s="424"/>
      <c r="AQ121" s="439"/>
    </row>
    <row r="122" spans="2:43" ht="15.2" hidden="1" customHeight="1">
      <c r="C122" s="22" t="s">
        <v>296</v>
      </c>
      <c r="D122" s="424">
        <v>5346</v>
      </c>
      <c r="E122" s="424">
        <v>5890</v>
      </c>
      <c r="F122" s="424">
        <v>6998</v>
      </c>
      <c r="G122" s="424">
        <v>7888</v>
      </c>
      <c r="H122" s="439">
        <f t="shared" si="103"/>
        <v>26122</v>
      </c>
      <c r="I122" s="424">
        <v>9322</v>
      </c>
      <c r="J122" s="424">
        <v>7170</v>
      </c>
      <c r="K122" s="424">
        <v>7182</v>
      </c>
      <c r="L122" s="424">
        <v>7387</v>
      </c>
      <c r="M122" s="439">
        <f t="shared" si="104"/>
        <v>31061</v>
      </c>
      <c r="N122" s="424">
        <v>7876</v>
      </c>
      <c r="O122" s="424"/>
      <c r="P122" s="424"/>
      <c r="Q122" s="424"/>
      <c r="R122" s="439"/>
      <c r="S122" s="424"/>
      <c r="T122" s="424"/>
      <c r="U122" s="424"/>
      <c r="V122" s="424"/>
      <c r="W122" s="439"/>
      <c r="X122" s="424"/>
      <c r="Y122" s="424"/>
      <c r="Z122" s="424"/>
      <c r="AA122" s="424"/>
      <c r="AB122" s="439"/>
      <c r="AC122" s="424"/>
      <c r="AD122" s="424"/>
      <c r="AE122" s="424"/>
      <c r="AF122" s="424"/>
      <c r="AG122" s="439"/>
      <c r="AH122" s="424"/>
      <c r="AI122" s="424"/>
      <c r="AJ122" s="424"/>
      <c r="AK122" s="424"/>
      <c r="AL122" s="439"/>
      <c r="AM122" s="424"/>
      <c r="AN122" s="424"/>
      <c r="AO122" s="424"/>
      <c r="AP122" s="424"/>
      <c r="AQ122" s="439"/>
    </row>
    <row r="123" spans="2:43" ht="15.2" hidden="1" customHeight="1">
      <c r="C123" s="22" t="s">
        <v>297</v>
      </c>
      <c r="D123" s="424">
        <v>4809</v>
      </c>
      <c r="E123" s="424">
        <v>6471</v>
      </c>
      <c r="F123" s="424">
        <v>7190</v>
      </c>
      <c r="G123" s="424">
        <v>6882</v>
      </c>
      <c r="H123" s="439">
        <f t="shared" si="103"/>
        <v>25352</v>
      </c>
      <c r="I123" s="424">
        <v>8203</v>
      </c>
      <c r="J123" s="424">
        <v>6215</v>
      </c>
      <c r="K123" s="424">
        <v>6227</v>
      </c>
      <c r="L123" s="424">
        <v>5954</v>
      </c>
      <c r="M123" s="439">
        <f t="shared" si="104"/>
        <v>26599</v>
      </c>
      <c r="N123" s="424">
        <v>6262</v>
      </c>
      <c r="O123" s="424"/>
      <c r="P123" s="424"/>
      <c r="Q123" s="424"/>
      <c r="R123" s="439"/>
      <c r="S123" s="424"/>
      <c r="T123" s="424"/>
      <c r="U123" s="424"/>
      <c r="V123" s="424"/>
      <c r="W123" s="439"/>
      <c r="X123" s="424"/>
      <c r="Y123" s="424"/>
      <c r="Z123" s="424"/>
      <c r="AA123" s="424"/>
      <c r="AB123" s="439"/>
      <c r="AC123" s="424"/>
      <c r="AD123" s="424"/>
      <c r="AE123" s="424"/>
      <c r="AF123" s="424"/>
      <c r="AG123" s="439"/>
      <c r="AH123" s="424"/>
      <c r="AI123" s="424"/>
      <c r="AJ123" s="424"/>
      <c r="AK123" s="424"/>
      <c r="AL123" s="439"/>
      <c r="AM123" s="424"/>
      <c r="AN123" s="424"/>
      <c r="AO123" s="424"/>
      <c r="AP123" s="424"/>
      <c r="AQ123" s="439"/>
    </row>
    <row r="124" spans="2:43" ht="15.2" hidden="1" customHeight="1">
      <c r="C124" s="22" t="s">
        <v>298</v>
      </c>
      <c r="D124" s="424">
        <v>4417</v>
      </c>
      <c r="E124" s="424">
        <v>2866</v>
      </c>
      <c r="F124" s="424">
        <v>2631</v>
      </c>
      <c r="G124" s="424">
        <v>3061</v>
      </c>
      <c r="H124" s="439">
        <f t="shared" si="103"/>
        <v>12975</v>
      </c>
      <c r="I124" s="424">
        <v>4258</v>
      </c>
      <c r="J124" s="424">
        <v>3144</v>
      </c>
      <c r="K124" s="424">
        <v>3030</v>
      </c>
      <c r="L124" s="424">
        <v>3461</v>
      </c>
      <c r="M124" s="439">
        <f t="shared" si="104"/>
        <v>13893</v>
      </c>
      <c r="N124" s="424">
        <v>4053</v>
      </c>
      <c r="O124" s="424"/>
      <c r="P124" s="424"/>
      <c r="Q124" s="424"/>
      <c r="R124" s="439"/>
      <c r="S124" s="424"/>
      <c r="T124" s="424"/>
      <c r="U124" s="424"/>
      <c r="V124" s="424"/>
      <c r="W124" s="439"/>
      <c r="X124" s="424"/>
      <c r="Y124" s="424"/>
      <c r="Z124" s="424"/>
      <c r="AA124" s="424"/>
      <c r="AB124" s="439"/>
      <c r="AC124" s="424"/>
      <c r="AD124" s="424"/>
      <c r="AE124" s="424"/>
      <c r="AF124" s="424"/>
      <c r="AG124" s="439"/>
      <c r="AH124" s="424"/>
      <c r="AI124" s="424"/>
      <c r="AJ124" s="424"/>
      <c r="AK124" s="424"/>
      <c r="AL124" s="439"/>
      <c r="AM124" s="424"/>
      <c r="AN124" s="424"/>
      <c r="AO124" s="424"/>
      <c r="AP124" s="424"/>
      <c r="AQ124" s="439"/>
    </row>
    <row r="125" spans="2:43" ht="15.2" hidden="1" customHeight="1">
      <c r="C125" s="22" t="s">
        <v>319</v>
      </c>
      <c r="D125" s="424"/>
      <c r="E125" s="424"/>
      <c r="F125" s="424"/>
      <c r="G125" s="424"/>
      <c r="H125" s="439"/>
      <c r="I125" s="424"/>
      <c r="J125" s="424"/>
      <c r="K125" s="424">
        <v>-1057</v>
      </c>
      <c r="L125" s="424"/>
      <c r="M125" s="439"/>
      <c r="N125" s="424"/>
      <c r="O125" s="424"/>
      <c r="P125" s="424"/>
      <c r="Q125" s="424"/>
      <c r="R125" s="439"/>
      <c r="S125" s="424"/>
      <c r="T125" s="424"/>
      <c r="U125" s="424"/>
      <c r="V125" s="424"/>
      <c r="W125" s="439"/>
      <c r="X125" s="424"/>
      <c r="Y125" s="424"/>
      <c r="Z125" s="424"/>
      <c r="AA125" s="424"/>
      <c r="AB125" s="439"/>
      <c r="AC125" s="424"/>
      <c r="AD125" s="424"/>
      <c r="AE125" s="424"/>
      <c r="AF125" s="424"/>
      <c r="AG125" s="439"/>
      <c r="AH125" s="424"/>
      <c r="AI125" s="424"/>
      <c r="AJ125" s="424"/>
      <c r="AK125" s="424"/>
      <c r="AL125" s="439"/>
      <c r="AM125" s="424"/>
      <c r="AN125" s="424"/>
      <c r="AO125" s="424"/>
      <c r="AP125" s="424"/>
      <c r="AQ125" s="439"/>
    </row>
    <row r="126" spans="2:43" ht="15.2" hidden="1" customHeight="1">
      <c r="B126" s="22" t="s">
        <v>299</v>
      </c>
      <c r="D126" s="424">
        <f>SUM(D122:D125)</f>
        <v>14572</v>
      </c>
      <c r="E126" s="424">
        <f>SUM(E122:E125)</f>
        <v>15227</v>
      </c>
      <c r="F126" s="424">
        <f>SUM(F122:F125)</f>
        <v>16819</v>
      </c>
      <c r="G126" s="424">
        <f>SUM(G122:G125)</f>
        <v>17831</v>
      </c>
      <c r="H126" s="439">
        <f t="shared" ref="H126:N126" si="105">SUM(H122:H125)</f>
        <v>64449</v>
      </c>
      <c r="I126" s="424">
        <f>SUM(I122:I125)</f>
        <v>21783</v>
      </c>
      <c r="J126" s="424">
        <f>SUM(J122:J125)</f>
        <v>16529</v>
      </c>
      <c r="K126" s="424">
        <f>SUM(K122:K125)</f>
        <v>15382</v>
      </c>
      <c r="L126" s="424">
        <f>SUM(L122:L125)</f>
        <v>16802</v>
      </c>
      <c r="M126" s="439">
        <f t="shared" si="105"/>
        <v>71553</v>
      </c>
      <c r="N126" s="424">
        <f t="shared" si="105"/>
        <v>18191</v>
      </c>
      <c r="O126" s="424"/>
      <c r="P126" s="424"/>
      <c r="Q126" s="424"/>
      <c r="R126" s="439"/>
      <c r="S126" s="424"/>
      <c r="T126" s="424"/>
      <c r="U126" s="424"/>
      <c r="V126" s="424"/>
      <c r="W126" s="439"/>
      <c r="X126" s="424"/>
      <c r="Y126" s="424"/>
      <c r="Z126" s="424"/>
      <c r="AA126" s="424"/>
      <c r="AB126" s="439"/>
      <c r="AC126" s="424"/>
      <c r="AD126" s="424"/>
      <c r="AE126" s="424"/>
      <c r="AF126" s="424"/>
      <c r="AG126" s="439"/>
      <c r="AH126" s="424"/>
      <c r="AI126" s="424"/>
      <c r="AJ126" s="424"/>
      <c r="AK126" s="424"/>
      <c r="AL126" s="439"/>
      <c r="AM126" s="424"/>
      <c r="AN126" s="424"/>
      <c r="AO126" s="424"/>
      <c r="AP126" s="424"/>
      <c r="AQ126" s="439"/>
    </row>
    <row r="127" spans="2:43" ht="15.2" hidden="1" customHeight="1">
      <c r="D127" s="424"/>
      <c r="H127" s="439"/>
      <c r="M127" s="439"/>
      <c r="R127" s="439"/>
      <c r="W127" s="439"/>
      <c r="AB127" s="439"/>
      <c r="AG127" s="439"/>
      <c r="AL127" s="439"/>
      <c r="AQ127" s="439"/>
    </row>
    <row r="128" spans="2:43" ht="15.2" hidden="1" customHeight="1">
      <c r="B128" s="22" t="s">
        <v>302</v>
      </c>
      <c r="D128" s="424">
        <f t="shared" ref="D128:N128" si="106">D129+D130</f>
        <v>147</v>
      </c>
      <c r="E128" s="424">
        <f t="shared" si="106"/>
        <v>180</v>
      </c>
      <c r="F128" s="424">
        <f t="shared" si="106"/>
        <v>128</v>
      </c>
      <c r="G128" s="424">
        <f t="shared" si="106"/>
        <v>73</v>
      </c>
      <c r="H128" s="439">
        <f t="shared" si="106"/>
        <v>528</v>
      </c>
      <c r="I128" s="424">
        <f t="shared" si="106"/>
        <v>-25</v>
      </c>
      <c r="J128" s="424">
        <f t="shared" si="106"/>
        <v>-146</v>
      </c>
      <c r="K128" s="424">
        <f t="shared" si="106"/>
        <v>-115</v>
      </c>
      <c r="L128" s="424">
        <f t="shared" si="106"/>
        <v>-15</v>
      </c>
      <c r="M128" s="439">
        <f t="shared" si="106"/>
        <v>-301</v>
      </c>
      <c r="N128" s="424">
        <f t="shared" si="106"/>
        <v>-44</v>
      </c>
      <c r="O128" s="424"/>
      <c r="P128" s="424"/>
      <c r="Q128" s="424"/>
      <c r="R128" s="439"/>
      <c r="S128" s="424"/>
      <c r="T128" s="424"/>
      <c r="U128" s="424"/>
      <c r="V128" s="424"/>
      <c r="W128" s="439"/>
      <c r="X128" s="424"/>
      <c r="Y128" s="424"/>
      <c r="Z128" s="424"/>
      <c r="AA128" s="424"/>
      <c r="AB128" s="439"/>
      <c r="AC128" s="424"/>
      <c r="AD128" s="424"/>
      <c r="AE128" s="424"/>
      <c r="AF128" s="424"/>
      <c r="AG128" s="439"/>
      <c r="AH128" s="424"/>
      <c r="AI128" s="424"/>
      <c r="AJ128" s="424"/>
      <c r="AK128" s="424"/>
      <c r="AL128" s="439"/>
      <c r="AM128" s="424"/>
      <c r="AN128" s="424"/>
      <c r="AO128" s="424"/>
      <c r="AP128" s="424"/>
      <c r="AQ128" s="439"/>
    </row>
    <row r="129" spans="2:43" ht="15.2" hidden="1" customHeight="1">
      <c r="C129" s="22" t="s">
        <v>312</v>
      </c>
      <c r="D129" s="424">
        <v>180</v>
      </c>
      <c r="E129" s="424">
        <v>144</v>
      </c>
      <c r="F129" s="424">
        <v>215</v>
      </c>
      <c r="G129" s="424">
        <v>113</v>
      </c>
      <c r="H129" s="439">
        <f t="shared" si="103"/>
        <v>652</v>
      </c>
      <c r="I129" s="424">
        <v>63</v>
      </c>
      <c r="J129" s="424">
        <v>15</v>
      </c>
      <c r="K129" s="424">
        <v>55</v>
      </c>
      <c r="L129" s="424">
        <v>22</v>
      </c>
      <c r="M129" s="439">
        <f t="shared" si="104"/>
        <v>155</v>
      </c>
      <c r="N129" s="424">
        <v>13</v>
      </c>
      <c r="O129" s="424"/>
      <c r="P129" s="424"/>
      <c r="Q129" s="424"/>
      <c r="R129" s="439"/>
      <c r="S129" s="424"/>
      <c r="T129" s="424"/>
      <c r="U129" s="424"/>
      <c r="V129" s="424"/>
      <c r="W129" s="439"/>
      <c r="X129" s="424"/>
      <c r="Y129" s="424"/>
      <c r="Z129" s="424"/>
      <c r="AA129" s="424"/>
      <c r="AB129" s="439"/>
      <c r="AC129" s="424"/>
      <c r="AD129" s="424"/>
      <c r="AE129" s="424"/>
      <c r="AF129" s="424"/>
      <c r="AG129" s="439"/>
      <c r="AH129" s="424"/>
      <c r="AI129" s="424"/>
      <c r="AJ129" s="424"/>
      <c r="AK129" s="424"/>
      <c r="AL129" s="439"/>
      <c r="AM129" s="424"/>
      <c r="AN129" s="424"/>
      <c r="AO129" s="424"/>
      <c r="AP129" s="424"/>
      <c r="AQ129" s="439"/>
    </row>
    <row r="130" spans="2:43" ht="15.2" hidden="1" customHeight="1">
      <c r="C130" s="22" t="s">
        <v>313</v>
      </c>
      <c r="D130" s="424">
        <v>-33</v>
      </c>
      <c r="E130" s="424">
        <v>36</v>
      </c>
      <c r="F130" s="424">
        <v>-87</v>
      </c>
      <c r="G130" s="424">
        <v>-40</v>
      </c>
      <c r="H130" s="439">
        <f t="shared" si="103"/>
        <v>-124</v>
      </c>
      <c r="I130" s="424">
        <v>-88</v>
      </c>
      <c r="J130" s="424">
        <v>-161</v>
      </c>
      <c r="K130" s="424">
        <v>-170</v>
      </c>
      <c r="L130" s="424">
        <v>-37</v>
      </c>
      <c r="M130" s="439">
        <f t="shared" si="104"/>
        <v>-456</v>
      </c>
      <c r="N130" s="424">
        <v>-57</v>
      </c>
      <c r="O130" s="424"/>
      <c r="P130" s="424"/>
      <c r="Q130" s="424"/>
      <c r="R130" s="439"/>
      <c r="S130" s="424"/>
      <c r="T130" s="424"/>
      <c r="U130" s="424"/>
      <c r="V130" s="424"/>
      <c r="W130" s="439"/>
      <c r="X130" s="424"/>
      <c r="Y130" s="424"/>
      <c r="Z130" s="424"/>
      <c r="AA130" s="424"/>
      <c r="AB130" s="439"/>
      <c r="AC130" s="424"/>
      <c r="AD130" s="424"/>
      <c r="AE130" s="424"/>
      <c r="AF130" s="424"/>
      <c r="AG130" s="439"/>
      <c r="AH130" s="424"/>
      <c r="AI130" s="424"/>
      <c r="AJ130" s="424"/>
      <c r="AK130" s="424"/>
      <c r="AL130" s="439"/>
      <c r="AM130" s="424"/>
      <c r="AN130" s="424"/>
      <c r="AO130" s="424"/>
      <c r="AP130" s="424"/>
      <c r="AQ130" s="439"/>
    </row>
    <row r="131" spans="2:43" ht="15.2" hidden="1" customHeight="1">
      <c r="H131" s="439"/>
      <c r="M131" s="439"/>
      <c r="R131" s="439"/>
      <c r="W131" s="439"/>
      <c r="AB131" s="439"/>
      <c r="AG131" s="439"/>
      <c r="AL131" s="439"/>
      <c r="AQ131" s="439"/>
    </row>
    <row r="132" spans="2:43" ht="15.2" hidden="1" customHeight="1">
      <c r="B132" s="22" t="s">
        <v>304</v>
      </c>
      <c r="D132" s="424">
        <f>D120-D126+D128</f>
        <v>-6949</v>
      </c>
      <c r="E132" s="424">
        <f>E120-E126+E128</f>
        <v>-7049</v>
      </c>
      <c r="F132" s="424">
        <f>F120-F126+F128</f>
        <v>-7659</v>
      </c>
      <c r="G132" s="424">
        <f>G120-G126+G128</f>
        <v>-8165</v>
      </c>
      <c r="H132" s="439">
        <f t="shared" si="103"/>
        <v>-29822</v>
      </c>
      <c r="I132" s="424">
        <f>I120-I126+I128</f>
        <v>-11211</v>
      </c>
      <c r="J132" s="424">
        <f>J120-J126+J128</f>
        <v>-5457</v>
      </c>
      <c r="K132" s="424">
        <f>K120-K126+K128</f>
        <v>-3156</v>
      </c>
      <c r="L132" s="424">
        <f>L120-L126+L128</f>
        <v>-2978</v>
      </c>
      <c r="M132" s="439">
        <f t="shared" si="104"/>
        <v>-22802</v>
      </c>
      <c r="N132" s="424">
        <f>N120-N126+N128</f>
        <v>-2892</v>
      </c>
      <c r="O132" s="424"/>
      <c r="P132" s="424"/>
      <c r="Q132" s="424"/>
      <c r="R132" s="439"/>
      <c r="S132" s="424"/>
      <c r="T132" s="424"/>
      <c r="U132" s="424"/>
      <c r="V132" s="424"/>
      <c r="W132" s="439"/>
      <c r="X132" s="424"/>
      <c r="Y132" s="424"/>
      <c r="Z132" s="424"/>
      <c r="AA132" s="424"/>
      <c r="AB132" s="439"/>
      <c r="AC132" s="424"/>
      <c r="AD132" s="424"/>
      <c r="AE132" s="424"/>
      <c r="AF132" s="424"/>
      <c r="AG132" s="439"/>
      <c r="AH132" s="424"/>
      <c r="AI132" s="424"/>
      <c r="AJ132" s="424"/>
      <c r="AK132" s="424"/>
      <c r="AL132" s="439"/>
      <c r="AM132" s="424"/>
      <c r="AN132" s="424"/>
      <c r="AO132" s="424"/>
      <c r="AP132" s="424"/>
      <c r="AQ132" s="439"/>
    </row>
    <row r="133" spans="2:43" ht="15.2" hidden="1" customHeight="1">
      <c r="B133" s="22" t="s">
        <v>303</v>
      </c>
      <c r="D133" s="424">
        <v>3</v>
      </c>
      <c r="E133" s="424">
        <v>2</v>
      </c>
      <c r="F133" s="424">
        <v>2</v>
      </c>
      <c r="G133" s="424">
        <v>2</v>
      </c>
      <c r="H133" s="439">
        <f t="shared" si="103"/>
        <v>9</v>
      </c>
      <c r="I133" s="424">
        <v>25</v>
      </c>
      <c r="J133" s="424">
        <v>20</v>
      </c>
      <c r="K133" s="424">
        <v>13</v>
      </c>
      <c r="L133" s="424">
        <v>13</v>
      </c>
      <c r="M133" s="439">
        <f t="shared" si="104"/>
        <v>71</v>
      </c>
      <c r="N133" s="424">
        <v>36</v>
      </c>
      <c r="O133" s="424"/>
      <c r="P133" s="424"/>
      <c r="Q133" s="424"/>
      <c r="R133" s="439"/>
      <c r="S133" s="424"/>
      <c r="T133" s="424"/>
      <c r="U133" s="424"/>
      <c r="V133" s="424"/>
      <c r="W133" s="439"/>
      <c r="X133" s="424"/>
      <c r="Y133" s="424"/>
      <c r="Z133" s="424"/>
      <c r="AA133" s="424"/>
      <c r="AB133" s="439"/>
      <c r="AC133" s="424"/>
      <c r="AD133" s="424"/>
      <c r="AE133" s="424"/>
      <c r="AF133" s="424"/>
      <c r="AG133" s="439"/>
      <c r="AH133" s="424"/>
      <c r="AI133" s="424"/>
      <c r="AJ133" s="424"/>
      <c r="AK133" s="424"/>
      <c r="AL133" s="439"/>
      <c r="AM133" s="424"/>
      <c r="AN133" s="424"/>
      <c r="AO133" s="424"/>
      <c r="AP133" s="424"/>
      <c r="AQ133" s="439"/>
    </row>
    <row r="134" spans="2:43" ht="15.2" hidden="1" customHeight="1">
      <c r="B134" s="22" t="s">
        <v>106</v>
      </c>
      <c r="D134" s="424">
        <f>D132+D133</f>
        <v>-6946</v>
      </c>
      <c r="E134" s="424">
        <f>E132+E133</f>
        <v>-7047</v>
      </c>
      <c r="F134" s="424">
        <f>F132+F133</f>
        <v>-7657</v>
      </c>
      <c r="G134" s="424">
        <f>G132+G133</f>
        <v>-8163</v>
      </c>
      <c r="H134" s="439">
        <f t="shared" si="103"/>
        <v>-29813</v>
      </c>
      <c r="I134" s="424">
        <f>I132+I133</f>
        <v>-11186</v>
      </c>
      <c r="J134" s="424">
        <f>J132+J133</f>
        <v>-5437</v>
      </c>
      <c r="K134" s="424">
        <f>K132+K133</f>
        <v>-3143</v>
      </c>
      <c r="L134" s="424">
        <f>L132+L133</f>
        <v>-2965</v>
      </c>
      <c r="M134" s="439">
        <f t="shared" si="104"/>
        <v>-22731</v>
      </c>
      <c r="N134" s="424">
        <f>N132+N133</f>
        <v>-2856</v>
      </c>
      <c r="O134" s="424"/>
      <c r="P134" s="424"/>
      <c r="Q134" s="424"/>
      <c r="R134" s="439"/>
      <c r="S134" s="424"/>
      <c r="T134" s="424"/>
      <c r="U134" s="424"/>
      <c r="V134" s="424"/>
      <c r="W134" s="439"/>
      <c r="X134" s="424"/>
      <c r="Y134" s="424"/>
      <c r="Z134" s="424"/>
      <c r="AA134" s="424"/>
      <c r="AB134" s="439"/>
      <c r="AC134" s="424"/>
      <c r="AD134" s="424"/>
      <c r="AE134" s="424"/>
      <c r="AF134" s="424"/>
      <c r="AG134" s="439"/>
      <c r="AH134" s="424"/>
      <c r="AI134" s="424"/>
      <c r="AJ134" s="424"/>
      <c r="AK134" s="424"/>
      <c r="AL134" s="439"/>
      <c r="AM134" s="424"/>
      <c r="AN134" s="424"/>
      <c r="AO134" s="424"/>
      <c r="AP134" s="424"/>
      <c r="AQ134" s="439"/>
    </row>
    <row r="135" spans="2:43" ht="15.2" hidden="1" customHeight="1">
      <c r="H135" s="439"/>
      <c r="M135" s="439"/>
      <c r="R135" s="439"/>
      <c r="W135" s="439"/>
      <c r="AB135" s="439"/>
      <c r="AG135" s="439"/>
      <c r="AL135" s="439"/>
      <c r="AQ135" s="439"/>
    </row>
    <row r="136" spans="2:43" ht="15.2" hidden="1" customHeight="1">
      <c r="B136" s="22" t="s">
        <v>300</v>
      </c>
      <c r="H136" s="439"/>
      <c r="M136" s="439"/>
      <c r="R136" s="439"/>
      <c r="W136" s="439"/>
      <c r="AB136" s="439"/>
      <c r="AG136" s="439"/>
      <c r="AL136" s="439"/>
      <c r="AQ136" s="439"/>
    </row>
    <row r="137" spans="2:43" ht="15.2" hidden="1" customHeight="1">
      <c r="C137" s="22" t="s">
        <v>308</v>
      </c>
      <c r="D137" s="424">
        <v>0</v>
      </c>
      <c r="E137" s="424">
        <v>3</v>
      </c>
      <c r="F137" s="424">
        <v>2</v>
      </c>
      <c r="G137" s="424">
        <v>2</v>
      </c>
      <c r="H137" s="439">
        <f t="shared" si="103"/>
        <v>7</v>
      </c>
      <c r="I137" s="424">
        <v>6</v>
      </c>
      <c r="J137" s="424">
        <v>7</v>
      </c>
      <c r="K137" s="424">
        <v>7</v>
      </c>
      <c r="L137" s="424">
        <v>8</v>
      </c>
      <c r="M137" s="439">
        <f t="shared" si="104"/>
        <v>28</v>
      </c>
      <c r="N137" s="424">
        <v>8</v>
      </c>
      <c r="O137" s="424"/>
      <c r="P137" s="424"/>
      <c r="Q137" s="424"/>
      <c r="R137" s="439"/>
      <c r="S137" s="424"/>
      <c r="T137" s="424"/>
      <c r="U137" s="424"/>
      <c r="V137" s="424"/>
      <c r="W137" s="439"/>
      <c r="X137" s="424"/>
      <c r="Y137" s="424"/>
      <c r="Z137" s="424"/>
      <c r="AA137" s="424"/>
      <c r="AB137" s="439"/>
      <c r="AC137" s="424"/>
      <c r="AD137" s="424"/>
      <c r="AE137" s="424"/>
      <c r="AF137" s="424"/>
      <c r="AG137" s="439"/>
      <c r="AH137" s="424"/>
      <c r="AI137" s="424"/>
      <c r="AJ137" s="424"/>
      <c r="AK137" s="424"/>
      <c r="AL137" s="439"/>
      <c r="AM137" s="424"/>
      <c r="AN137" s="424"/>
      <c r="AO137" s="424"/>
      <c r="AP137" s="424"/>
      <c r="AQ137" s="439"/>
    </row>
    <row r="138" spans="2:43" ht="15.2" hidden="1" customHeight="1">
      <c r="C138" s="22" t="s">
        <v>309</v>
      </c>
      <c r="D138" s="424">
        <v>90</v>
      </c>
      <c r="E138" s="424">
        <v>69</v>
      </c>
      <c r="F138" s="424">
        <v>52</v>
      </c>
      <c r="G138" s="424">
        <v>90</v>
      </c>
      <c r="H138" s="439">
        <f t="shared" si="103"/>
        <v>301</v>
      </c>
      <c r="I138" s="424">
        <v>70</v>
      </c>
      <c r="J138" s="424">
        <v>88</v>
      </c>
      <c r="K138" s="424">
        <v>89</v>
      </c>
      <c r="L138" s="424">
        <v>88</v>
      </c>
      <c r="M138" s="439">
        <f t="shared" si="104"/>
        <v>335</v>
      </c>
      <c r="N138" s="424">
        <v>83</v>
      </c>
      <c r="O138" s="424"/>
      <c r="P138" s="424"/>
      <c r="Q138" s="424"/>
      <c r="R138" s="439"/>
      <c r="S138" s="424"/>
      <c r="T138" s="424"/>
      <c r="U138" s="424"/>
      <c r="V138" s="424"/>
      <c r="W138" s="439"/>
      <c r="X138" s="424"/>
      <c r="Y138" s="424"/>
      <c r="Z138" s="424"/>
      <c r="AA138" s="424"/>
      <c r="AB138" s="439"/>
      <c r="AC138" s="424"/>
      <c r="AD138" s="424"/>
      <c r="AE138" s="424"/>
      <c r="AF138" s="424"/>
      <c r="AG138" s="439"/>
      <c r="AH138" s="424"/>
      <c r="AI138" s="424"/>
      <c r="AJ138" s="424"/>
      <c r="AK138" s="424"/>
      <c r="AL138" s="439"/>
      <c r="AM138" s="424"/>
      <c r="AN138" s="424"/>
      <c r="AO138" s="424"/>
      <c r="AP138" s="424"/>
      <c r="AQ138" s="439"/>
    </row>
    <row r="139" spans="2:43" ht="15.2" hidden="1" customHeight="1">
      <c r="C139" s="22" t="s">
        <v>310</v>
      </c>
      <c r="D139" s="424">
        <v>48</v>
      </c>
      <c r="E139" s="424">
        <v>228</v>
      </c>
      <c r="F139" s="424">
        <v>222</v>
      </c>
      <c r="G139" s="424">
        <v>229</v>
      </c>
      <c r="H139" s="439">
        <f t="shared" si="103"/>
        <v>727</v>
      </c>
      <c r="I139" s="424">
        <v>222</v>
      </c>
      <c r="J139" s="424">
        <v>217</v>
      </c>
      <c r="K139" s="424">
        <v>217</v>
      </c>
      <c r="L139" s="424">
        <v>208</v>
      </c>
      <c r="M139" s="439">
        <f t="shared" si="104"/>
        <v>864</v>
      </c>
      <c r="N139" s="424">
        <v>201</v>
      </c>
      <c r="O139" s="424"/>
      <c r="P139" s="424"/>
      <c r="Q139" s="424"/>
      <c r="R139" s="439"/>
      <c r="S139" s="424"/>
      <c r="T139" s="424"/>
      <c r="U139" s="424"/>
      <c r="V139" s="424"/>
      <c r="W139" s="439"/>
      <c r="X139" s="424"/>
      <c r="Y139" s="424"/>
      <c r="Z139" s="424"/>
      <c r="AA139" s="424"/>
      <c r="AB139" s="439"/>
      <c r="AC139" s="424"/>
      <c r="AD139" s="424"/>
      <c r="AE139" s="424"/>
      <c r="AF139" s="424"/>
      <c r="AG139" s="439"/>
      <c r="AH139" s="424"/>
      <c r="AI139" s="424"/>
      <c r="AJ139" s="424"/>
      <c r="AK139" s="424"/>
      <c r="AL139" s="439"/>
      <c r="AM139" s="424"/>
      <c r="AN139" s="424"/>
      <c r="AO139" s="424"/>
      <c r="AP139" s="424"/>
      <c r="AQ139" s="439"/>
    </row>
    <row r="140" spans="2:43" ht="15.2" hidden="1" customHeight="1">
      <c r="C140" s="22" t="s">
        <v>311</v>
      </c>
      <c r="D140" s="424">
        <v>2494</v>
      </c>
      <c r="E140" s="424">
        <v>234</v>
      </c>
      <c r="F140" s="424">
        <v>177</v>
      </c>
      <c r="G140" s="424">
        <v>180</v>
      </c>
      <c r="H140" s="439">
        <f t="shared" si="103"/>
        <v>3085</v>
      </c>
      <c r="I140" s="424">
        <v>190</v>
      </c>
      <c r="J140" s="424">
        <v>192</v>
      </c>
      <c r="K140" s="424">
        <v>193</v>
      </c>
      <c r="L140" s="424">
        <v>191</v>
      </c>
      <c r="M140" s="439">
        <f t="shared" si="104"/>
        <v>766</v>
      </c>
      <c r="N140" s="424">
        <v>196</v>
      </c>
      <c r="O140" s="424"/>
      <c r="P140" s="424"/>
      <c r="Q140" s="424"/>
      <c r="R140" s="439"/>
      <c r="S140" s="424"/>
      <c r="T140" s="424"/>
      <c r="U140" s="424"/>
      <c r="V140" s="424"/>
      <c r="W140" s="439"/>
      <c r="X140" s="424"/>
      <c r="Y140" s="424"/>
      <c r="Z140" s="424"/>
      <c r="AA140" s="424"/>
      <c r="AB140" s="439"/>
      <c r="AC140" s="424"/>
      <c r="AD140" s="424"/>
      <c r="AE140" s="424"/>
      <c r="AF140" s="424"/>
      <c r="AG140" s="439"/>
      <c r="AH140" s="424"/>
      <c r="AI140" s="424"/>
      <c r="AJ140" s="424"/>
      <c r="AK140" s="424"/>
      <c r="AL140" s="439"/>
      <c r="AM140" s="424"/>
      <c r="AN140" s="424"/>
      <c r="AO140" s="424"/>
      <c r="AP140" s="424"/>
      <c r="AQ140" s="439"/>
    </row>
    <row r="141" spans="2:43" ht="15.2" hidden="1" customHeight="1">
      <c r="B141" s="22" t="s">
        <v>301</v>
      </c>
      <c r="D141" s="424">
        <f>SUM(D137:D140)</f>
        <v>2632</v>
      </c>
      <c r="E141" s="424">
        <f>SUM(E137:E140)</f>
        <v>534</v>
      </c>
      <c r="F141" s="424">
        <f>SUM(F137:F140)</f>
        <v>453</v>
      </c>
      <c r="G141" s="424">
        <f>SUM(G137:G140)</f>
        <v>501</v>
      </c>
      <c r="H141" s="439">
        <f t="shared" si="103"/>
        <v>4120</v>
      </c>
      <c r="I141" s="424">
        <f>SUM(I137:I140)</f>
        <v>488</v>
      </c>
      <c r="J141" s="424">
        <f>SUM(J137:J140)</f>
        <v>504</v>
      </c>
      <c r="K141" s="424">
        <f>SUM(K137:K140)</f>
        <v>506</v>
      </c>
      <c r="L141" s="424">
        <f>SUM(L137:L140)</f>
        <v>495</v>
      </c>
      <c r="M141" s="439">
        <f t="shared" si="104"/>
        <v>1993</v>
      </c>
      <c r="N141" s="424">
        <f>SUM(N137:N140)</f>
        <v>488</v>
      </c>
      <c r="O141" s="424"/>
      <c r="P141" s="424"/>
      <c r="Q141" s="424"/>
      <c r="R141" s="439"/>
      <c r="S141" s="424"/>
      <c r="T141" s="424"/>
      <c r="U141" s="424"/>
      <c r="V141" s="424"/>
      <c r="W141" s="439"/>
      <c r="X141" s="424"/>
      <c r="Y141" s="424"/>
      <c r="Z141" s="424"/>
      <c r="AA141" s="424"/>
      <c r="AB141" s="439"/>
      <c r="AC141" s="424"/>
      <c r="AD141" s="424"/>
      <c r="AE141" s="424"/>
      <c r="AF141" s="424"/>
      <c r="AG141" s="439"/>
      <c r="AH141" s="424"/>
      <c r="AI141" s="424"/>
      <c r="AJ141" s="424"/>
      <c r="AK141" s="424"/>
      <c r="AL141" s="439"/>
      <c r="AM141" s="424"/>
      <c r="AN141" s="424"/>
      <c r="AO141" s="424"/>
      <c r="AP141" s="424"/>
      <c r="AQ141" s="439"/>
    </row>
    <row r="142" spans="2:43" ht="15.2" hidden="1" customHeight="1">
      <c r="H142" s="439"/>
      <c r="M142" s="439"/>
      <c r="R142" s="439"/>
      <c r="W142" s="439"/>
      <c r="AB142" s="439"/>
      <c r="AG142" s="439"/>
      <c r="AL142" s="439"/>
      <c r="AQ142" s="439"/>
    </row>
    <row r="143" spans="2:43" ht="15.2" hidden="1" customHeight="1">
      <c r="B143" s="22" t="s">
        <v>314</v>
      </c>
      <c r="D143" s="22">
        <v>120</v>
      </c>
      <c r="E143" s="22">
        <v>176</v>
      </c>
      <c r="F143" s="22">
        <v>247</v>
      </c>
      <c r="G143" s="22">
        <v>260</v>
      </c>
      <c r="H143" s="439">
        <f t="shared" si="103"/>
        <v>803</v>
      </c>
      <c r="I143" s="22">
        <v>378</v>
      </c>
      <c r="J143" s="22">
        <v>421</v>
      </c>
      <c r="K143" s="22">
        <v>415</v>
      </c>
      <c r="L143" s="22">
        <v>410</v>
      </c>
      <c r="M143" s="439">
        <f t="shared" si="104"/>
        <v>1624</v>
      </c>
      <c r="N143" s="22">
        <v>424</v>
      </c>
      <c r="R143" s="439"/>
      <c r="W143" s="439"/>
      <c r="AB143" s="439"/>
      <c r="AG143" s="439"/>
      <c r="AL143" s="439"/>
      <c r="AQ143" s="439"/>
    </row>
    <row r="144" spans="2:43" ht="15.2" hidden="1" customHeight="1"/>
    <row r="145" spans="2:3" ht="15.2" hidden="1" customHeight="1"/>
    <row r="146" spans="2:3" ht="15.2" hidden="1" customHeight="1">
      <c r="B146" s="22" t="s">
        <v>349</v>
      </c>
    </row>
    <row r="147" spans="2:3" ht="15.2" hidden="1" customHeight="1">
      <c r="C147" s="22" t="s">
        <v>312</v>
      </c>
    </row>
    <row r="148" spans="2:3" ht="15.2" hidden="1" customHeight="1">
      <c r="C148" s="22" t="s">
        <v>313</v>
      </c>
    </row>
    <row r="149" spans="2:3" ht="15.2" hidden="1" customHeight="1">
      <c r="C149" s="22" t="s">
        <v>303</v>
      </c>
    </row>
    <row r="150" spans="2:3" ht="15.2" hidden="1" customHeight="1">
      <c r="C150" s="22" t="s">
        <v>308</v>
      </c>
    </row>
    <row r="151" spans="2:3" ht="15.2" hidden="1" customHeight="1">
      <c r="C151" s="22" t="s">
        <v>309</v>
      </c>
    </row>
    <row r="152" spans="2:3" ht="15.2" hidden="1" customHeight="1">
      <c r="C152" s="22" t="s">
        <v>310</v>
      </c>
    </row>
    <row r="153" spans="2:3" ht="15.2" hidden="1" customHeight="1">
      <c r="C153" s="22" t="s">
        <v>311</v>
      </c>
    </row>
    <row r="154" spans="2:3" ht="15.2" hidden="1" customHeight="1">
      <c r="C154" s="22" t="s">
        <v>314</v>
      </c>
    </row>
    <row r="155" spans="2:3" ht="15.2" hidden="1" customHeight="1"/>
    <row r="156" spans="2:3" ht="15.2" customHeight="1"/>
    <row r="157" spans="2:3" ht="15.2" customHeight="1"/>
    <row r="158" spans="2:3" ht="15.2" customHeight="1"/>
    <row r="159" spans="2:3" ht="15.2" customHeight="1"/>
    <row r="160" spans="2:3" ht="15.2" customHeight="1"/>
    <row r="161" ht="15.2" customHeight="1"/>
    <row r="162" ht="15.2" customHeight="1"/>
    <row r="163" ht="15.2" customHeight="1"/>
    <row r="164" ht="15.2" customHeight="1"/>
    <row r="165" ht="15.2" customHeight="1"/>
    <row r="166" ht="15.2" customHeight="1"/>
    <row r="167" ht="15.2" customHeight="1"/>
    <row r="168" ht="15.2" customHeight="1"/>
    <row r="169" ht="15.2" customHeight="1"/>
    <row r="170" ht="15.2" customHeight="1"/>
    <row r="171" ht="15.2" customHeight="1"/>
    <row r="172" ht="15.2" customHeight="1"/>
    <row r="173" ht="15.2" customHeight="1"/>
    <row r="174" ht="15.2" customHeight="1"/>
    <row r="175" ht="15.2" customHeight="1"/>
    <row r="176" ht="15.2" customHeight="1"/>
    <row r="177" ht="15.2" customHeight="1"/>
    <row r="178" ht="15.2" customHeight="1"/>
    <row r="179" ht="15.2" customHeight="1"/>
    <row r="180" ht="15.2" customHeight="1"/>
    <row r="181" ht="15.2" customHeight="1"/>
    <row r="182" ht="15.2" customHeight="1"/>
    <row r="183" ht="15.2" customHeight="1"/>
    <row r="184" ht="15.2" customHeight="1"/>
    <row r="185" ht="15.2" customHeight="1"/>
    <row r="186" ht="15.2" customHeight="1"/>
    <row r="187" ht="15.2" customHeight="1"/>
    <row r="188" ht="15.2" customHeight="1"/>
    <row r="189" ht="15.2" customHeight="1"/>
    <row r="190" ht="15.2" customHeight="1"/>
    <row r="191" ht="15.2" customHeight="1"/>
    <row r="192" ht="15.2" customHeight="1"/>
    <row r="193" ht="15.2" customHeight="1"/>
    <row r="194" ht="15.2" customHeight="1"/>
    <row r="195" ht="15.2" customHeight="1"/>
    <row r="196" ht="15.2" customHeight="1"/>
    <row r="197" ht="15.2" customHeight="1"/>
    <row r="198" ht="15.2" customHeight="1"/>
    <row r="199" ht="15.2" customHeight="1"/>
    <row r="200" ht="15.2" customHeight="1"/>
    <row r="201" ht="15.2" customHeight="1"/>
    <row r="202" ht="15.2" customHeight="1"/>
  </sheetData>
  <mergeCells count="8">
    <mergeCell ref="AM81:AP81"/>
    <mergeCell ref="AH81:AK81"/>
    <mergeCell ref="D81:G81"/>
    <mergeCell ref="AC81:AF81"/>
    <mergeCell ref="X81:AA81"/>
    <mergeCell ref="S81:V81"/>
    <mergeCell ref="N81:Q81"/>
    <mergeCell ref="I81:L81"/>
  </mergeCells>
  <pageMargins left="0.17" right="0.17" top="0.75" bottom="0.75" header="0.3" footer="0.3"/>
  <pageSetup scale="63" orientation="landscape" r:id="rId1"/>
  <ignoredErrors>
    <ignoredError sqref="H13:AB13 H72:AB72 H70:Q71 S71 H11:S11 W11 H12:S12 W12 H15:AB15 H14:S14 W14 H17:AB18 H16:S16 W16 H26:AB30 H19:S25 W19 H33:AB37 H31:S31 W31 H40:AB44 H38:S38 W38 H39:S39 W39 H55:AB59 H54:S54 W54 S70 W70 W71 H32:J32 W32 H49:AB49 H48:S48 W48 H51:AB52 H50:S50 U50:AB50 H80:AB80 H73:S77 W73 AB31 W23 W22 U25:AB25 W24 W21 W20 AB12 AB20 AB22 AB24 H61:AB64 H60:T60 V60:W60 H53:T53 V53:AB53 H78:V79 AB16 W75:W77 AB14 AB19 AB21 AB23 AB38 AB39 AB60 AB70 AB71 AB54 AB73 AB75:AB77 AB48 AB32 H46:AB47 H45:Z45 AB45 H81:W81 Y81:AB81 H69:AB69 H65:Q68 X65:AA68 S65:V68 L32:S32" formula="1"/>
    <ignoredError sqref="R70:R71" formula="1" formulaRange="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AQ61"/>
  <sheetViews>
    <sheetView showGridLines="0" tabSelected="1" zoomScaleNormal="100" workbookViewId="0">
      <pane xSplit="7" ySplit="4" topLeftCell="AD44" activePane="bottomRight" state="frozen"/>
      <selection pane="topRight" activeCell="H1" sqref="H1"/>
      <selection pane="bottomLeft" activeCell="A5" sqref="A5"/>
      <selection pane="bottomRight" activeCell="AK6" sqref="AK6"/>
    </sheetView>
  </sheetViews>
  <sheetFormatPr defaultRowHeight="12.75" outlineLevelRow="1" outlineLevelCol="1"/>
  <cols>
    <col min="1" max="2" width="1.625" style="22" customWidth="1"/>
    <col min="3" max="3" width="33.5" style="22" customWidth="1"/>
    <col min="4" max="7" width="8.625" style="22" hidden="1" customWidth="1" outlineLevel="1"/>
    <col min="8" max="8" width="8.625" style="22" customWidth="1" collapsed="1"/>
    <col min="9" max="12" width="8.625" style="22" hidden="1" customWidth="1" outlineLevel="1"/>
    <col min="13" max="13" width="8.625" style="22" customWidth="1" collapsed="1"/>
    <col min="14" max="16" width="8.625" style="22" hidden="1" customWidth="1" outlineLevel="1"/>
    <col min="17" max="17" width="8.375" style="22" hidden="1" customWidth="1" outlineLevel="1"/>
    <col min="18" max="18" width="9.625" style="22" bestFit="1" customWidth="1" collapsed="1"/>
    <col min="19" max="20" width="9" style="22" customWidth="1" outlineLevel="1"/>
    <col min="21" max="22" width="8.625" style="22" customWidth="1" outlineLevel="1"/>
    <col min="23" max="23" width="8.625" style="22" customWidth="1"/>
    <col min="24" max="27" width="8.625" style="22" customWidth="1" outlineLevel="1"/>
    <col min="28" max="28" width="8.625" style="22" customWidth="1"/>
    <col min="29" max="32" width="8.625" style="22" customWidth="1" outlineLevel="1"/>
    <col min="33" max="33" width="8.625" style="22" customWidth="1"/>
    <col min="34" max="37" width="8.625" style="22" customWidth="1" outlineLevel="1"/>
    <col min="38" max="38" width="8.625" style="22" customWidth="1"/>
    <col min="39" max="42" width="8.625" style="22" customWidth="1" outlineLevel="1"/>
    <col min="43" max="43" width="8.625" style="22" customWidth="1"/>
    <col min="44" max="224" width="9" style="22"/>
    <col min="225" max="225" width="3.625" style="22" customWidth="1"/>
    <col min="226" max="226" width="1.625" style="22" customWidth="1"/>
    <col min="227" max="227" width="35.25" style="22" customWidth="1"/>
    <col min="228" max="232" width="0" style="22" hidden="1" customWidth="1"/>
    <col min="233" max="234" width="8.5" style="22" customWidth="1"/>
    <col min="235" max="238" width="7.625" style="22" bestFit="1" customWidth="1"/>
    <col min="239" max="239" width="8.5" style="22" customWidth="1"/>
    <col min="240" max="240" width="7.625" style="22" bestFit="1" customWidth="1"/>
    <col min="241" max="241" width="9.75" style="22" bestFit="1" customWidth="1"/>
    <col min="242" max="243" width="7.625" style="22" bestFit="1" customWidth="1"/>
    <col min="244" max="244" width="9.75" style="22" bestFit="1" customWidth="1"/>
    <col min="245" max="480" width="9" style="22"/>
    <col min="481" max="481" width="3.625" style="22" customWidth="1"/>
    <col min="482" max="482" width="1.625" style="22" customWidth="1"/>
    <col min="483" max="483" width="35.25" style="22" customWidth="1"/>
    <col min="484" max="488" width="0" style="22" hidden="1" customWidth="1"/>
    <col min="489" max="490" width="8.5" style="22" customWidth="1"/>
    <col min="491" max="494" width="7.625" style="22" bestFit="1" customWidth="1"/>
    <col min="495" max="495" width="8.5" style="22" customWidth="1"/>
    <col min="496" max="496" width="7.625" style="22" bestFit="1" customWidth="1"/>
    <col min="497" max="497" width="9.75" style="22" bestFit="1" customWidth="1"/>
    <col min="498" max="499" width="7.625" style="22" bestFit="1" customWidth="1"/>
    <col min="500" max="500" width="9.75" style="22" bestFit="1" customWidth="1"/>
    <col min="501" max="736" width="9" style="22"/>
    <col min="737" max="737" width="3.625" style="22" customWidth="1"/>
    <col min="738" max="738" width="1.625" style="22" customWidth="1"/>
    <col min="739" max="739" width="35.25" style="22" customWidth="1"/>
    <col min="740" max="744" width="0" style="22" hidden="1" customWidth="1"/>
    <col min="745" max="746" width="8.5" style="22" customWidth="1"/>
    <col min="747" max="750" width="7.625" style="22" bestFit="1" customWidth="1"/>
    <col min="751" max="751" width="8.5" style="22" customWidth="1"/>
    <col min="752" max="752" width="7.625" style="22" bestFit="1" customWidth="1"/>
    <col min="753" max="753" width="9.75" style="22" bestFit="1" customWidth="1"/>
    <col min="754" max="755" width="7.625" style="22" bestFit="1" customWidth="1"/>
    <col min="756" max="756" width="9.75" style="22" bestFit="1" customWidth="1"/>
    <col min="757" max="992" width="9" style="22"/>
    <col min="993" max="993" width="3.625" style="22" customWidth="1"/>
    <col min="994" max="994" width="1.625" style="22" customWidth="1"/>
    <col min="995" max="995" width="35.25" style="22" customWidth="1"/>
    <col min="996" max="1000" width="0" style="22" hidden="1" customWidth="1"/>
    <col min="1001" max="1002" width="8.5" style="22" customWidth="1"/>
    <col min="1003" max="1006" width="7.625" style="22" bestFit="1" customWidth="1"/>
    <col min="1007" max="1007" width="8.5" style="22" customWidth="1"/>
    <col min="1008" max="1008" width="7.625" style="22" bestFit="1" customWidth="1"/>
    <col min="1009" max="1009" width="9.75" style="22" bestFit="1" customWidth="1"/>
    <col min="1010" max="1011" width="7.625" style="22" bestFit="1" customWidth="1"/>
    <col min="1012" max="1012" width="9.75" style="22" bestFit="1" customWidth="1"/>
    <col min="1013" max="1248" width="9" style="22"/>
    <col min="1249" max="1249" width="3.625" style="22" customWidth="1"/>
    <col min="1250" max="1250" width="1.625" style="22" customWidth="1"/>
    <col min="1251" max="1251" width="35.25" style="22" customWidth="1"/>
    <col min="1252" max="1256" width="0" style="22" hidden="1" customWidth="1"/>
    <col min="1257" max="1258" width="8.5" style="22" customWidth="1"/>
    <col min="1259" max="1262" width="7.625" style="22" bestFit="1" customWidth="1"/>
    <col min="1263" max="1263" width="8.5" style="22" customWidth="1"/>
    <col min="1264" max="1264" width="7.625" style="22" bestFit="1" customWidth="1"/>
    <col min="1265" max="1265" width="9.75" style="22" bestFit="1" customWidth="1"/>
    <col min="1266" max="1267" width="7.625" style="22" bestFit="1" customWidth="1"/>
    <col min="1268" max="1268" width="9.75" style="22" bestFit="1" customWidth="1"/>
    <col min="1269" max="1504" width="9" style="22"/>
    <col min="1505" max="1505" width="3.625" style="22" customWidth="1"/>
    <col min="1506" max="1506" width="1.625" style="22" customWidth="1"/>
    <col min="1507" max="1507" width="35.25" style="22" customWidth="1"/>
    <col min="1508" max="1512" width="0" style="22" hidden="1" customWidth="1"/>
    <col min="1513" max="1514" width="8.5" style="22" customWidth="1"/>
    <col min="1515" max="1518" width="7.625" style="22" bestFit="1" customWidth="1"/>
    <col min="1519" max="1519" width="8.5" style="22" customWidth="1"/>
    <col min="1520" max="1520" width="7.625" style="22" bestFit="1" customWidth="1"/>
    <col min="1521" max="1521" width="9.75" style="22" bestFit="1" customWidth="1"/>
    <col min="1522" max="1523" width="7.625" style="22" bestFit="1" customWidth="1"/>
    <col min="1524" max="1524" width="9.75" style="22" bestFit="1" customWidth="1"/>
    <col min="1525" max="1760" width="9" style="22"/>
    <col min="1761" max="1761" width="3.625" style="22" customWidth="1"/>
    <col min="1762" max="1762" width="1.625" style="22" customWidth="1"/>
    <col min="1763" max="1763" width="35.25" style="22" customWidth="1"/>
    <col min="1764" max="1768" width="0" style="22" hidden="1" customWidth="1"/>
    <col min="1769" max="1770" width="8.5" style="22" customWidth="1"/>
    <col min="1771" max="1774" width="7.625" style="22" bestFit="1" customWidth="1"/>
    <col min="1775" max="1775" width="8.5" style="22" customWidth="1"/>
    <col min="1776" max="1776" width="7.625" style="22" bestFit="1" customWidth="1"/>
    <col min="1777" max="1777" width="9.75" style="22" bestFit="1" customWidth="1"/>
    <col min="1778" max="1779" width="7.625" style="22" bestFit="1" customWidth="1"/>
    <col min="1780" max="1780" width="9.75" style="22" bestFit="1" customWidth="1"/>
    <col min="1781" max="2016" width="9" style="22"/>
    <col min="2017" max="2017" width="3.625" style="22" customWidth="1"/>
    <col min="2018" max="2018" width="1.625" style="22" customWidth="1"/>
    <col min="2019" max="2019" width="35.25" style="22" customWidth="1"/>
    <col min="2020" max="2024" width="0" style="22" hidden="1" customWidth="1"/>
    <col min="2025" max="2026" width="8.5" style="22" customWidth="1"/>
    <col min="2027" max="2030" width="7.625" style="22" bestFit="1" customWidth="1"/>
    <col min="2031" max="2031" width="8.5" style="22" customWidth="1"/>
    <col min="2032" max="2032" width="7.625" style="22" bestFit="1" customWidth="1"/>
    <col min="2033" max="2033" width="9.75" style="22" bestFit="1" customWidth="1"/>
    <col min="2034" max="2035" width="7.625" style="22" bestFit="1" customWidth="1"/>
    <col min="2036" max="2036" width="9.75" style="22" bestFit="1" customWidth="1"/>
    <col min="2037" max="2272" width="9" style="22"/>
    <col min="2273" max="2273" width="3.625" style="22" customWidth="1"/>
    <col min="2274" max="2274" width="1.625" style="22" customWidth="1"/>
    <col min="2275" max="2275" width="35.25" style="22" customWidth="1"/>
    <col min="2276" max="2280" width="0" style="22" hidden="1" customWidth="1"/>
    <col min="2281" max="2282" width="8.5" style="22" customWidth="1"/>
    <col min="2283" max="2286" width="7.625" style="22" bestFit="1" customWidth="1"/>
    <col min="2287" max="2287" width="8.5" style="22" customWidth="1"/>
    <col min="2288" max="2288" width="7.625" style="22" bestFit="1" customWidth="1"/>
    <col min="2289" max="2289" width="9.75" style="22" bestFit="1" customWidth="1"/>
    <col min="2290" max="2291" width="7.625" style="22" bestFit="1" customWidth="1"/>
    <col min="2292" max="2292" width="9.75" style="22" bestFit="1" customWidth="1"/>
    <col min="2293" max="2528" width="9" style="22"/>
    <col min="2529" max="2529" width="3.625" style="22" customWidth="1"/>
    <col min="2530" max="2530" width="1.625" style="22" customWidth="1"/>
    <col min="2531" max="2531" width="35.25" style="22" customWidth="1"/>
    <col min="2532" max="2536" width="0" style="22" hidden="1" customWidth="1"/>
    <col min="2537" max="2538" width="8.5" style="22" customWidth="1"/>
    <col min="2539" max="2542" width="7.625" style="22" bestFit="1" customWidth="1"/>
    <col min="2543" max="2543" width="8.5" style="22" customWidth="1"/>
    <col min="2544" max="2544" width="7.625" style="22" bestFit="1" customWidth="1"/>
    <col min="2545" max="2545" width="9.75" style="22" bestFit="1" customWidth="1"/>
    <col min="2546" max="2547" width="7.625" style="22" bestFit="1" customWidth="1"/>
    <col min="2548" max="2548" width="9.75" style="22" bestFit="1" customWidth="1"/>
    <col min="2549" max="2784" width="9" style="22"/>
    <col min="2785" max="2785" width="3.625" style="22" customWidth="1"/>
    <col min="2786" max="2786" width="1.625" style="22" customWidth="1"/>
    <col min="2787" max="2787" width="35.25" style="22" customWidth="1"/>
    <col min="2788" max="2792" width="0" style="22" hidden="1" customWidth="1"/>
    <col min="2793" max="2794" width="8.5" style="22" customWidth="1"/>
    <col min="2795" max="2798" width="7.625" style="22" bestFit="1" customWidth="1"/>
    <col min="2799" max="2799" width="8.5" style="22" customWidth="1"/>
    <col min="2800" max="2800" width="7.625" style="22" bestFit="1" customWidth="1"/>
    <col min="2801" max="2801" width="9.75" style="22" bestFit="1" customWidth="1"/>
    <col min="2802" max="2803" width="7.625" style="22" bestFit="1" customWidth="1"/>
    <col min="2804" max="2804" width="9.75" style="22" bestFit="1" customWidth="1"/>
    <col min="2805" max="3040" width="9" style="22"/>
    <col min="3041" max="3041" width="3.625" style="22" customWidth="1"/>
    <col min="3042" max="3042" width="1.625" style="22" customWidth="1"/>
    <col min="3043" max="3043" width="35.25" style="22" customWidth="1"/>
    <col min="3044" max="3048" width="0" style="22" hidden="1" customWidth="1"/>
    <col min="3049" max="3050" width="8.5" style="22" customWidth="1"/>
    <col min="3051" max="3054" width="7.625" style="22" bestFit="1" customWidth="1"/>
    <col min="3055" max="3055" width="8.5" style="22" customWidth="1"/>
    <col min="3056" max="3056" width="7.625" style="22" bestFit="1" customWidth="1"/>
    <col min="3057" max="3057" width="9.75" style="22" bestFit="1" customWidth="1"/>
    <col min="3058" max="3059" width="7.625" style="22" bestFit="1" customWidth="1"/>
    <col min="3060" max="3060" width="9.75" style="22" bestFit="1" customWidth="1"/>
    <col min="3061" max="3296" width="9" style="22"/>
    <col min="3297" max="3297" width="3.625" style="22" customWidth="1"/>
    <col min="3298" max="3298" width="1.625" style="22" customWidth="1"/>
    <col min="3299" max="3299" width="35.25" style="22" customWidth="1"/>
    <col min="3300" max="3304" width="0" style="22" hidden="1" customWidth="1"/>
    <col min="3305" max="3306" width="8.5" style="22" customWidth="1"/>
    <col min="3307" max="3310" width="7.625" style="22" bestFit="1" customWidth="1"/>
    <col min="3311" max="3311" width="8.5" style="22" customWidth="1"/>
    <col min="3312" max="3312" width="7.625" style="22" bestFit="1" customWidth="1"/>
    <col min="3313" max="3313" width="9.75" style="22" bestFit="1" customWidth="1"/>
    <col min="3314" max="3315" width="7.625" style="22" bestFit="1" customWidth="1"/>
    <col min="3316" max="3316" width="9.75" style="22" bestFit="1" customWidth="1"/>
    <col min="3317" max="3552" width="9" style="22"/>
    <col min="3553" max="3553" width="3.625" style="22" customWidth="1"/>
    <col min="3554" max="3554" width="1.625" style="22" customWidth="1"/>
    <col min="3555" max="3555" width="35.25" style="22" customWidth="1"/>
    <col min="3556" max="3560" width="0" style="22" hidden="1" customWidth="1"/>
    <col min="3561" max="3562" width="8.5" style="22" customWidth="1"/>
    <col min="3563" max="3566" width="7.625" style="22" bestFit="1" customWidth="1"/>
    <col min="3567" max="3567" width="8.5" style="22" customWidth="1"/>
    <col min="3568" max="3568" width="7.625" style="22" bestFit="1" customWidth="1"/>
    <col min="3569" max="3569" width="9.75" style="22" bestFit="1" customWidth="1"/>
    <col min="3570" max="3571" width="7.625" style="22" bestFit="1" customWidth="1"/>
    <col min="3572" max="3572" width="9.75" style="22" bestFit="1" customWidth="1"/>
    <col min="3573" max="3808" width="9" style="22"/>
    <col min="3809" max="3809" width="3.625" style="22" customWidth="1"/>
    <col min="3810" max="3810" width="1.625" style="22" customWidth="1"/>
    <col min="3811" max="3811" width="35.25" style="22" customWidth="1"/>
    <col min="3812" max="3816" width="0" style="22" hidden="1" customWidth="1"/>
    <col min="3817" max="3818" width="8.5" style="22" customWidth="1"/>
    <col min="3819" max="3822" width="7.625" style="22" bestFit="1" customWidth="1"/>
    <col min="3823" max="3823" width="8.5" style="22" customWidth="1"/>
    <col min="3824" max="3824" width="7.625" style="22" bestFit="1" customWidth="1"/>
    <col min="3825" max="3825" width="9.75" style="22" bestFit="1" customWidth="1"/>
    <col min="3826" max="3827" width="7.625" style="22" bestFit="1" customWidth="1"/>
    <col min="3828" max="3828" width="9.75" style="22" bestFit="1" customWidth="1"/>
    <col min="3829" max="4064" width="9" style="22"/>
    <col min="4065" max="4065" width="3.625" style="22" customWidth="1"/>
    <col min="4066" max="4066" width="1.625" style="22" customWidth="1"/>
    <col min="4067" max="4067" width="35.25" style="22" customWidth="1"/>
    <col min="4068" max="4072" width="0" style="22" hidden="1" customWidth="1"/>
    <col min="4073" max="4074" width="8.5" style="22" customWidth="1"/>
    <col min="4075" max="4078" width="7.625" style="22" bestFit="1" customWidth="1"/>
    <col min="4079" max="4079" width="8.5" style="22" customWidth="1"/>
    <col min="4080" max="4080" width="7.625" style="22" bestFit="1" customWidth="1"/>
    <col min="4081" max="4081" width="9.75" style="22" bestFit="1" customWidth="1"/>
    <col min="4082" max="4083" width="7.625" style="22" bestFit="1" customWidth="1"/>
    <col min="4084" max="4084" width="9.75" style="22" bestFit="1" customWidth="1"/>
    <col min="4085" max="4320" width="9" style="22"/>
    <col min="4321" max="4321" width="3.625" style="22" customWidth="1"/>
    <col min="4322" max="4322" width="1.625" style="22" customWidth="1"/>
    <col min="4323" max="4323" width="35.25" style="22" customWidth="1"/>
    <col min="4324" max="4328" width="0" style="22" hidden="1" customWidth="1"/>
    <col min="4329" max="4330" width="8.5" style="22" customWidth="1"/>
    <col min="4331" max="4334" width="7.625" style="22" bestFit="1" customWidth="1"/>
    <col min="4335" max="4335" width="8.5" style="22" customWidth="1"/>
    <col min="4336" max="4336" width="7.625" style="22" bestFit="1" customWidth="1"/>
    <col min="4337" max="4337" width="9.75" style="22" bestFit="1" customWidth="1"/>
    <col min="4338" max="4339" width="7.625" style="22" bestFit="1" customWidth="1"/>
    <col min="4340" max="4340" width="9.75" style="22" bestFit="1" customWidth="1"/>
    <col min="4341" max="4576" width="9" style="22"/>
    <col min="4577" max="4577" width="3.625" style="22" customWidth="1"/>
    <col min="4578" max="4578" width="1.625" style="22" customWidth="1"/>
    <col min="4579" max="4579" width="35.25" style="22" customWidth="1"/>
    <col min="4580" max="4584" width="0" style="22" hidden="1" customWidth="1"/>
    <col min="4585" max="4586" width="8.5" style="22" customWidth="1"/>
    <col min="4587" max="4590" width="7.625" style="22" bestFit="1" customWidth="1"/>
    <col min="4591" max="4591" width="8.5" style="22" customWidth="1"/>
    <col min="4592" max="4592" width="7.625" style="22" bestFit="1" customWidth="1"/>
    <col min="4593" max="4593" width="9.75" style="22" bestFit="1" customWidth="1"/>
    <col min="4594" max="4595" width="7.625" style="22" bestFit="1" customWidth="1"/>
    <col min="4596" max="4596" width="9.75" style="22" bestFit="1" customWidth="1"/>
    <col min="4597" max="4832" width="9" style="22"/>
    <col min="4833" max="4833" width="3.625" style="22" customWidth="1"/>
    <col min="4834" max="4834" width="1.625" style="22" customWidth="1"/>
    <col min="4835" max="4835" width="35.25" style="22" customWidth="1"/>
    <col min="4836" max="4840" width="0" style="22" hidden="1" customWidth="1"/>
    <col min="4841" max="4842" width="8.5" style="22" customWidth="1"/>
    <col min="4843" max="4846" width="7.625" style="22" bestFit="1" customWidth="1"/>
    <col min="4847" max="4847" width="8.5" style="22" customWidth="1"/>
    <col min="4848" max="4848" width="7.625" style="22" bestFit="1" customWidth="1"/>
    <col min="4849" max="4849" width="9.75" style="22" bestFit="1" customWidth="1"/>
    <col min="4850" max="4851" width="7.625" style="22" bestFit="1" customWidth="1"/>
    <col min="4852" max="4852" width="9.75" style="22" bestFit="1" customWidth="1"/>
    <col min="4853" max="5088" width="9" style="22"/>
    <col min="5089" max="5089" width="3.625" style="22" customWidth="1"/>
    <col min="5090" max="5090" width="1.625" style="22" customWidth="1"/>
    <col min="5091" max="5091" width="35.25" style="22" customWidth="1"/>
    <col min="5092" max="5096" width="0" style="22" hidden="1" customWidth="1"/>
    <col min="5097" max="5098" width="8.5" style="22" customWidth="1"/>
    <col min="5099" max="5102" width="7.625" style="22" bestFit="1" customWidth="1"/>
    <col min="5103" max="5103" width="8.5" style="22" customWidth="1"/>
    <col min="5104" max="5104" width="7.625" style="22" bestFit="1" customWidth="1"/>
    <col min="5105" max="5105" width="9.75" style="22" bestFit="1" customWidth="1"/>
    <col min="5106" max="5107" width="7.625" style="22" bestFit="1" customWidth="1"/>
    <col min="5108" max="5108" width="9.75" style="22" bestFit="1" customWidth="1"/>
    <col min="5109" max="5344" width="9" style="22"/>
    <col min="5345" max="5345" width="3.625" style="22" customWidth="1"/>
    <col min="5346" max="5346" width="1.625" style="22" customWidth="1"/>
    <col min="5347" max="5347" width="35.25" style="22" customWidth="1"/>
    <col min="5348" max="5352" width="0" style="22" hidden="1" customWidth="1"/>
    <col min="5353" max="5354" width="8.5" style="22" customWidth="1"/>
    <col min="5355" max="5358" width="7.625" style="22" bestFit="1" customWidth="1"/>
    <col min="5359" max="5359" width="8.5" style="22" customWidth="1"/>
    <col min="5360" max="5360" width="7.625" style="22" bestFit="1" customWidth="1"/>
    <col min="5361" max="5361" width="9.75" style="22" bestFit="1" customWidth="1"/>
    <col min="5362" max="5363" width="7.625" style="22" bestFit="1" customWidth="1"/>
    <col min="5364" max="5364" width="9.75" style="22" bestFit="1" customWidth="1"/>
    <col min="5365" max="5600" width="9" style="22"/>
    <col min="5601" max="5601" width="3.625" style="22" customWidth="1"/>
    <col min="5602" max="5602" width="1.625" style="22" customWidth="1"/>
    <col min="5603" max="5603" width="35.25" style="22" customWidth="1"/>
    <col min="5604" max="5608" width="0" style="22" hidden="1" customWidth="1"/>
    <col min="5609" max="5610" width="8.5" style="22" customWidth="1"/>
    <col min="5611" max="5614" width="7.625" style="22" bestFit="1" customWidth="1"/>
    <col min="5615" max="5615" width="8.5" style="22" customWidth="1"/>
    <col min="5616" max="5616" width="7.625" style="22" bestFit="1" customWidth="1"/>
    <col min="5617" max="5617" width="9.75" style="22" bestFit="1" customWidth="1"/>
    <col min="5618" max="5619" width="7.625" style="22" bestFit="1" customWidth="1"/>
    <col min="5620" max="5620" width="9.75" style="22" bestFit="1" customWidth="1"/>
    <col min="5621" max="5856" width="9" style="22"/>
    <col min="5857" max="5857" width="3.625" style="22" customWidth="1"/>
    <col min="5858" max="5858" width="1.625" style="22" customWidth="1"/>
    <col min="5859" max="5859" width="35.25" style="22" customWidth="1"/>
    <col min="5860" max="5864" width="0" style="22" hidden="1" customWidth="1"/>
    <col min="5865" max="5866" width="8.5" style="22" customWidth="1"/>
    <col min="5867" max="5870" width="7.625" style="22" bestFit="1" customWidth="1"/>
    <col min="5871" max="5871" width="8.5" style="22" customWidth="1"/>
    <col min="5872" max="5872" width="7.625" style="22" bestFit="1" customWidth="1"/>
    <col min="5873" max="5873" width="9.75" style="22" bestFit="1" customWidth="1"/>
    <col min="5874" max="5875" width="7.625" style="22" bestFit="1" customWidth="1"/>
    <col min="5876" max="5876" width="9.75" style="22" bestFit="1" customWidth="1"/>
    <col min="5877" max="6112" width="9" style="22"/>
    <col min="6113" max="6113" width="3.625" style="22" customWidth="1"/>
    <col min="6114" max="6114" width="1.625" style="22" customWidth="1"/>
    <col min="6115" max="6115" width="35.25" style="22" customWidth="1"/>
    <col min="6116" max="6120" width="0" style="22" hidden="1" customWidth="1"/>
    <col min="6121" max="6122" width="8.5" style="22" customWidth="1"/>
    <col min="6123" max="6126" width="7.625" style="22" bestFit="1" customWidth="1"/>
    <col min="6127" max="6127" width="8.5" style="22" customWidth="1"/>
    <col min="6128" max="6128" width="7.625" style="22" bestFit="1" customWidth="1"/>
    <col min="6129" max="6129" width="9.75" style="22" bestFit="1" customWidth="1"/>
    <col min="6130" max="6131" width="7.625" style="22" bestFit="1" customWidth="1"/>
    <col min="6132" max="6132" width="9.75" style="22" bestFit="1" customWidth="1"/>
    <col min="6133" max="6368" width="9" style="22"/>
    <col min="6369" max="6369" width="3.625" style="22" customWidth="1"/>
    <col min="6370" max="6370" width="1.625" style="22" customWidth="1"/>
    <col min="6371" max="6371" width="35.25" style="22" customWidth="1"/>
    <col min="6372" max="6376" width="0" style="22" hidden="1" customWidth="1"/>
    <col min="6377" max="6378" width="8.5" style="22" customWidth="1"/>
    <col min="6379" max="6382" width="7.625" style="22" bestFit="1" customWidth="1"/>
    <col min="6383" max="6383" width="8.5" style="22" customWidth="1"/>
    <col min="6384" max="6384" width="7.625" style="22" bestFit="1" customWidth="1"/>
    <col min="6385" max="6385" width="9.75" style="22" bestFit="1" customWidth="1"/>
    <col min="6386" max="6387" width="7.625" style="22" bestFit="1" customWidth="1"/>
    <col min="6388" max="6388" width="9.75" style="22" bestFit="1" customWidth="1"/>
    <col min="6389" max="6624" width="9" style="22"/>
    <col min="6625" max="6625" width="3.625" style="22" customWidth="1"/>
    <col min="6626" max="6626" width="1.625" style="22" customWidth="1"/>
    <col min="6627" max="6627" width="35.25" style="22" customWidth="1"/>
    <col min="6628" max="6632" width="0" style="22" hidden="1" customWidth="1"/>
    <col min="6633" max="6634" width="8.5" style="22" customWidth="1"/>
    <col min="6635" max="6638" width="7.625" style="22" bestFit="1" customWidth="1"/>
    <col min="6639" max="6639" width="8.5" style="22" customWidth="1"/>
    <col min="6640" max="6640" width="7.625" style="22" bestFit="1" customWidth="1"/>
    <col min="6641" max="6641" width="9.75" style="22" bestFit="1" customWidth="1"/>
    <col min="6642" max="6643" width="7.625" style="22" bestFit="1" customWidth="1"/>
    <col min="6644" max="6644" width="9.75" style="22" bestFit="1" customWidth="1"/>
    <col min="6645" max="6880" width="9" style="22"/>
    <col min="6881" max="6881" width="3.625" style="22" customWidth="1"/>
    <col min="6882" max="6882" width="1.625" style="22" customWidth="1"/>
    <col min="6883" max="6883" width="35.25" style="22" customWidth="1"/>
    <col min="6884" max="6888" width="0" style="22" hidden="1" customWidth="1"/>
    <col min="6889" max="6890" width="8.5" style="22" customWidth="1"/>
    <col min="6891" max="6894" width="7.625" style="22" bestFit="1" customWidth="1"/>
    <col min="6895" max="6895" width="8.5" style="22" customWidth="1"/>
    <col min="6896" max="6896" width="7.625" style="22" bestFit="1" customWidth="1"/>
    <col min="6897" max="6897" width="9.75" style="22" bestFit="1" customWidth="1"/>
    <col min="6898" max="6899" width="7.625" style="22" bestFit="1" customWidth="1"/>
    <col min="6900" max="6900" width="9.75" style="22" bestFit="1" customWidth="1"/>
    <col min="6901" max="7136" width="9" style="22"/>
    <col min="7137" max="7137" width="3.625" style="22" customWidth="1"/>
    <col min="7138" max="7138" width="1.625" style="22" customWidth="1"/>
    <col min="7139" max="7139" width="35.25" style="22" customWidth="1"/>
    <col min="7140" max="7144" width="0" style="22" hidden="1" customWidth="1"/>
    <col min="7145" max="7146" width="8.5" style="22" customWidth="1"/>
    <col min="7147" max="7150" width="7.625" style="22" bestFit="1" customWidth="1"/>
    <col min="7151" max="7151" width="8.5" style="22" customWidth="1"/>
    <col min="7152" max="7152" width="7.625" style="22" bestFit="1" customWidth="1"/>
    <col min="7153" max="7153" width="9.75" style="22" bestFit="1" customWidth="1"/>
    <col min="7154" max="7155" width="7.625" style="22" bestFit="1" customWidth="1"/>
    <col min="7156" max="7156" width="9.75" style="22" bestFit="1" customWidth="1"/>
    <col min="7157" max="7392" width="9" style="22"/>
    <col min="7393" max="7393" width="3.625" style="22" customWidth="1"/>
    <col min="7394" max="7394" width="1.625" style="22" customWidth="1"/>
    <col min="7395" max="7395" width="35.25" style="22" customWidth="1"/>
    <col min="7396" max="7400" width="0" style="22" hidden="1" customWidth="1"/>
    <col min="7401" max="7402" width="8.5" style="22" customWidth="1"/>
    <col min="7403" max="7406" width="7.625" style="22" bestFit="1" customWidth="1"/>
    <col min="7407" max="7407" width="8.5" style="22" customWidth="1"/>
    <col min="7408" max="7408" width="7.625" style="22" bestFit="1" customWidth="1"/>
    <col min="7409" max="7409" width="9.75" style="22" bestFit="1" customWidth="1"/>
    <col min="7410" max="7411" width="7.625" style="22" bestFit="1" customWidth="1"/>
    <col min="7412" max="7412" width="9.75" style="22" bestFit="1" customWidth="1"/>
    <col min="7413" max="7648" width="9" style="22"/>
    <col min="7649" max="7649" width="3.625" style="22" customWidth="1"/>
    <col min="7650" max="7650" width="1.625" style="22" customWidth="1"/>
    <col min="7651" max="7651" width="35.25" style="22" customWidth="1"/>
    <col min="7652" max="7656" width="0" style="22" hidden="1" customWidth="1"/>
    <col min="7657" max="7658" width="8.5" style="22" customWidth="1"/>
    <col min="7659" max="7662" width="7.625" style="22" bestFit="1" customWidth="1"/>
    <col min="7663" max="7663" width="8.5" style="22" customWidth="1"/>
    <col min="7664" max="7664" width="7.625" style="22" bestFit="1" customWidth="1"/>
    <col min="7665" max="7665" width="9.75" style="22" bestFit="1" customWidth="1"/>
    <col min="7666" max="7667" width="7.625" style="22" bestFit="1" customWidth="1"/>
    <col min="7668" max="7668" width="9.75" style="22" bestFit="1" customWidth="1"/>
    <col min="7669" max="7904" width="9" style="22"/>
    <col min="7905" max="7905" width="3.625" style="22" customWidth="1"/>
    <col min="7906" max="7906" width="1.625" style="22" customWidth="1"/>
    <col min="7907" max="7907" width="35.25" style="22" customWidth="1"/>
    <col min="7908" max="7912" width="0" style="22" hidden="1" customWidth="1"/>
    <col min="7913" max="7914" width="8.5" style="22" customWidth="1"/>
    <col min="7915" max="7918" width="7.625" style="22" bestFit="1" customWidth="1"/>
    <col min="7919" max="7919" width="8.5" style="22" customWidth="1"/>
    <col min="7920" max="7920" width="7.625" style="22" bestFit="1" customWidth="1"/>
    <col min="7921" max="7921" width="9.75" style="22" bestFit="1" customWidth="1"/>
    <col min="7922" max="7923" width="7.625" style="22" bestFit="1" customWidth="1"/>
    <col min="7924" max="7924" width="9.75" style="22" bestFit="1" customWidth="1"/>
    <col min="7925" max="8160" width="9" style="22"/>
    <col min="8161" max="8161" width="3.625" style="22" customWidth="1"/>
    <col min="8162" max="8162" width="1.625" style="22" customWidth="1"/>
    <col min="8163" max="8163" width="35.25" style="22" customWidth="1"/>
    <col min="8164" max="8168" width="0" style="22" hidden="1" customWidth="1"/>
    <col min="8169" max="8170" width="8.5" style="22" customWidth="1"/>
    <col min="8171" max="8174" width="7.625" style="22" bestFit="1" customWidth="1"/>
    <col min="8175" max="8175" width="8.5" style="22" customWidth="1"/>
    <col min="8176" max="8176" width="7.625" style="22" bestFit="1" customWidth="1"/>
    <col min="8177" max="8177" width="9.75" style="22" bestFit="1" customWidth="1"/>
    <col min="8178" max="8179" width="7.625" style="22" bestFit="1" customWidth="1"/>
    <col min="8180" max="8180" width="9.75" style="22" bestFit="1" customWidth="1"/>
    <col min="8181" max="8416" width="9" style="22"/>
    <col min="8417" max="8417" width="3.625" style="22" customWidth="1"/>
    <col min="8418" max="8418" width="1.625" style="22" customWidth="1"/>
    <col min="8419" max="8419" width="35.25" style="22" customWidth="1"/>
    <col min="8420" max="8424" width="0" style="22" hidden="1" customWidth="1"/>
    <col min="8425" max="8426" width="8.5" style="22" customWidth="1"/>
    <col min="8427" max="8430" width="7.625" style="22" bestFit="1" customWidth="1"/>
    <col min="8431" max="8431" width="8.5" style="22" customWidth="1"/>
    <col min="8432" max="8432" width="7.625" style="22" bestFit="1" customWidth="1"/>
    <col min="8433" max="8433" width="9.75" style="22" bestFit="1" customWidth="1"/>
    <col min="8434" max="8435" width="7.625" style="22" bestFit="1" customWidth="1"/>
    <col min="8436" max="8436" width="9.75" style="22" bestFit="1" customWidth="1"/>
    <col min="8437" max="8672" width="9" style="22"/>
    <col min="8673" max="8673" width="3.625" style="22" customWidth="1"/>
    <col min="8674" max="8674" width="1.625" style="22" customWidth="1"/>
    <col min="8675" max="8675" width="35.25" style="22" customWidth="1"/>
    <col min="8676" max="8680" width="0" style="22" hidden="1" customWidth="1"/>
    <col min="8681" max="8682" width="8.5" style="22" customWidth="1"/>
    <col min="8683" max="8686" width="7.625" style="22" bestFit="1" customWidth="1"/>
    <col min="8687" max="8687" width="8.5" style="22" customWidth="1"/>
    <col min="8688" max="8688" width="7.625" style="22" bestFit="1" customWidth="1"/>
    <col min="8689" max="8689" width="9.75" style="22" bestFit="1" customWidth="1"/>
    <col min="8690" max="8691" width="7.625" style="22" bestFit="1" customWidth="1"/>
    <col min="8692" max="8692" width="9.75" style="22" bestFit="1" customWidth="1"/>
    <col min="8693" max="8928" width="9" style="22"/>
    <col min="8929" max="8929" width="3.625" style="22" customWidth="1"/>
    <col min="8930" max="8930" width="1.625" style="22" customWidth="1"/>
    <col min="8931" max="8931" width="35.25" style="22" customWidth="1"/>
    <col min="8932" max="8936" width="0" style="22" hidden="1" customWidth="1"/>
    <col min="8937" max="8938" width="8.5" style="22" customWidth="1"/>
    <col min="8939" max="8942" width="7.625" style="22" bestFit="1" customWidth="1"/>
    <col min="8943" max="8943" width="8.5" style="22" customWidth="1"/>
    <col min="8944" max="8944" width="7.625" style="22" bestFit="1" customWidth="1"/>
    <col min="8945" max="8945" width="9.75" style="22" bestFit="1" customWidth="1"/>
    <col min="8946" max="8947" width="7.625" style="22" bestFit="1" customWidth="1"/>
    <col min="8948" max="8948" width="9.75" style="22" bestFit="1" customWidth="1"/>
    <col min="8949" max="9184" width="9" style="22"/>
    <col min="9185" max="9185" width="3.625" style="22" customWidth="1"/>
    <col min="9186" max="9186" width="1.625" style="22" customWidth="1"/>
    <col min="9187" max="9187" width="35.25" style="22" customWidth="1"/>
    <col min="9188" max="9192" width="0" style="22" hidden="1" customWidth="1"/>
    <col min="9193" max="9194" width="8.5" style="22" customWidth="1"/>
    <col min="9195" max="9198" width="7.625" style="22" bestFit="1" customWidth="1"/>
    <col min="9199" max="9199" width="8.5" style="22" customWidth="1"/>
    <col min="9200" max="9200" width="7.625" style="22" bestFit="1" customWidth="1"/>
    <col min="9201" max="9201" width="9.75" style="22" bestFit="1" customWidth="1"/>
    <col min="9202" max="9203" width="7.625" style="22" bestFit="1" customWidth="1"/>
    <col min="9204" max="9204" width="9.75" style="22" bestFit="1" customWidth="1"/>
    <col min="9205" max="9440" width="9" style="22"/>
    <col min="9441" max="9441" width="3.625" style="22" customWidth="1"/>
    <col min="9442" max="9442" width="1.625" style="22" customWidth="1"/>
    <col min="9443" max="9443" width="35.25" style="22" customWidth="1"/>
    <col min="9444" max="9448" width="0" style="22" hidden="1" customWidth="1"/>
    <col min="9449" max="9450" width="8.5" style="22" customWidth="1"/>
    <col min="9451" max="9454" width="7.625" style="22" bestFit="1" customWidth="1"/>
    <col min="9455" max="9455" width="8.5" style="22" customWidth="1"/>
    <col min="9456" max="9456" width="7.625" style="22" bestFit="1" customWidth="1"/>
    <col min="9457" max="9457" width="9.75" style="22" bestFit="1" customWidth="1"/>
    <col min="9458" max="9459" width="7.625" style="22" bestFit="1" customWidth="1"/>
    <col min="9460" max="9460" width="9.75" style="22" bestFit="1" customWidth="1"/>
    <col min="9461" max="9696" width="9" style="22"/>
    <col min="9697" max="9697" width="3.625" style="22" customWidth="1"/>
    <col min="9698" max="9698" width="1.625" style="22" customWidth="1"/>
    <col min="9699" max="9699" width="35.25" style="22" customWidth="1"/>
    <col min="9700" max="9704" width="0" style="22" hidden="1" customWidth="1"/>
    <col min="9705" max="9706" width="8.5" style="22" customWidth="1"/>
    <col min="9707" max="9710" width="7.625" style="22" bestFit="1" customWidth="1"/>
    <col min="9711" max="9711" width="8.5" style="22" customWidth="1"/>
    <col min="9712" max="9712" width="7.625" style="22" bestFit="1" customWidth="1"/>
    <col min="9713" max="9713" width="9.75" style="22" bestFit="1" customWidth="1"/>
    <col min="9714" max="9715" width="7.625" style="22" bestFit="1" customWidth="1"/>
    <col min="9716" max="9716" width="9.75" style="22" bestFit="1" customWidth="1"/>
    <col min="9717" max="9952" width="9" style="22"/>
    <col min="9953" max="9953" width="3.625" style="22" customWidth="1"/>
    <col min="9954" max="9954" width="1.625" style="22" customWidth="1"/>
    <col min="9955" max="9955" width="35.25" style="22" customWidth="1"/>
    <col min="9956" max="9960" width="0" style="22" hidden="1" customWidth="1"/>
    <col min="9961" max="9962" width="8.5" style="22" customWidth="1"/>
    <col min="9963" max="9966" width="7.625" style="22" bestFit="1" customWidth="1"/>
    <col min="9967" max="9967" width="8.5" style="22" customWidth="1"/>
    <col min="9968" max="9968" width="7.625" style="22" bestFit="1" customWidth="1"/>
    <col min="9969" max="9969" width="9.75" style="22" bestFit="1" customWidth="1"/>
    <col min="9970" max="9971" width="7.625" style="22" bestFit="1" customWidth="1"/>
    <col min="9972" max="9972" width="9.75" style="22" bestFit="1" customWidth="1"/>
    <col min="9973" max="10208" width="9" style="22"/>
    <col min="10209" max="10209" width="3.625" style="22" customWidth="1"/>
    <col min="10210" max="10210" width="1.625" style="22" customWidth="1"/>
    <col min="10211" max="10211" width="35.25" style="22" customWidth="1"/>
    <col min="10212" max="10216" width="0" style="22" hidden="1" customWidth="1"/>
    <col min="10217" max="10218" width="8.5" style="22" customWidth="1"/>
    <col min="10219" max="10222" width="7.625" style="22" bestFit="1" customWidth="1"/>
    <col min="10223" max="10223" width="8.5" style="22" customWidth="1"/>
    <col min="10224" max="10224" width="7.625" style="22" bestFit="1" customWidth="1"/>
    <col min="10225" max="10225" width="9.75" style="22" bestFit="1" customWidth="1"/>
    <col min="10226" max="10227" width="7.625" style="22" bestFit="1" customWidth="1"/>
    <col min="10228" max="10228" width="9.75" style="22" bestFit="1" customWidth="1"/>
    <col min="10229" max="10464" width="9" style="22"/>
    <col min="10465" max="10465" width="3.625" style="22" customWidth="1"/>
    <col min="10466" max="10466" width="1.625" style="22" customWidth="1"/>
    <col min="10467" max="10467" width="35.25" style="22" customWidth="1"/>
    <col min="10468" max="10472" width="0" style="22" hidden="1" customWidth="1"/>
    <col min="10473" max="10474" width="8.5" style="22" customWidth="1"/>
    <col min="10475" max="10478" width="7.625" style="22" bestFit="1" customWidth="1"/>
    <col min="10479" max="10479" width="8.5" style="22" customWidth="1"/>
    <col min="10480" max="10480" width="7.625" style="22" bestFit="1" customWidth="1"/>
    <col min="10481" max="10481" width="9.75" style="22" bestFit="1" customWidth="1"/>
    <col min="10482" max="10483" width="7.625" style="22" bestFit="1" customWidth="1"/>
    <col min="10484" max="10484" width="9.75" style="22" bestFit="1" customWidth="1"/>
    <col min="10485" max="10720" width="9" style="22"/>
    <col min="10721" max="10721" width="3.625" style="22" customWidth="1"/>
    <col min="10722" max="10722" width="1.625" style="22" customWidth="1"/>
    <col min="10723" max="10723" width="35.25" style="22" customWidth="1"/>
    <col min="10724" max="10728" width="0" style="22" hidden="1" customWidth="1"/>
    <col min="10729" max="10730" width="8.5" style="22" customWidth="1"/>
    <col min="10731" max="10734" width="7.625" style="22" bestFit="1" customWidth="1"/>
    <col min="10735" max="10735" width="8.5" style="22" customWidth="1"/>
    <col min="10736" max="10736" width="7.625" style="22" bestFit="1" customWidth="1"/>
    <col min="10737" max="10737" width="9.75" style="22" bestFit="1" customWidth="1"/>
    <col min="10738" max="10739" width="7.625" style="22" bestFit="1" customWidth="1"/>
    <col min="10740" max="10740" width="9.75" style="22" bestFit="1" customWidth="1"/>
    <col min="10741" max="10976" width="9" style="22"/>
    <col min="10977" max="10977" width="3.625" style="22" customWidth="1"/>
    <col min="10978" max="10978" width="1.625" style="22" customWidth="1"/>
    <col min="10979" max="10979" width="35.25" style="22" customWidth="1"/>
    <col min="10980" max="10984" width="0" style="22" hidden="1" customWidth="1"/>
    <col min="10985" max="10986" width="8.5" style="22" customWidth="1"/>
    <col min="10987" max="10990" width="7.625" style="22" bestFit="1" customWidth="1"/>
    <col min="10991" max="10991" width="8.5" style="22" customWidth="1"/>
    <col min="10992" max="10992" width="7.625" style="22" bestFit="1" customWidth="1"/>
    <col min="10993" max="10993" width="9.75" style="22" bestFit="1" customWidth="1"/>
    <col min="10994" max="10995" width="7.625" style="22" bestFit="1" customWidth="1"/>
    <col min="10996" max="10996" width="9.75" style="22" bestFit="1" customWidth="1"/>
    <col min="10997" max="11232" width="9" style="22"/>
    <col min="11233" max="11233" width="3.625" style="22" customWidth="1"/>
    <col min="11234" max="11234" width="1.625" style="22" customWidth="1"/>
    <col min="11235" max="11235" width="35.25" style="22" customWidth="1"/>
    <col min="11236" max="11240" width="0" style="22" hidden="1" customWidth="1"/>
    <col min="11241" max="11242" width="8.5" style="22" customWidth="1"/>
    <col min="11243" max="11246" width="7.625" style="22" bestFit="1" customWidth="1"/>
    <col min="11247" max="11247" width="8.5" style="22" customWidth="1"/>
    <col min="11248" max="11248" width="7.625" style="22" bestFit="1" customWidth="1"/>
    <col min="11249" max="11249" width="9.75" style="22" bestFit="1" customWidth="1"/>
    <col min="11250" max="11251" width="7.625" style="22" bestFit="1" customWidth="1"/>
    <col min="11252" max="11252" width="9.75" style="22" bestFit="1" customWidth="1"/>
    <col min="11253" max="11488" width="9" style="22"/>
    <col min="11489" max="11489" width="3.625" style="22" customWidth="1"/>
    <col min="11490" max="11490" width="1.625" style="22" customWidth="1"/>
    <col min="11491" max="11491" width="35.25" style="22" customWidth="1"/>
    <col min="11492" max="11496" width="0" style="22" hidden="1" customWidth="1"/>
    <col min="11497" max="11498" width="8.5" style="22" customWidth="1"/>
    <col min="11499" max="11502" width="7.625" style="22" bestFit="1" customWidth="1"/>
    <col min="11503" max="11503" width="8.5" style="22" customWidth="1"/>
    <col min="11504" max="11504" width="7.625" style="22" bestFit="1" customWidth="1"/>
    <col min="11505" max="11505" width="9.75" style="22" bestFit="1" customWidth="1"/>
    <col min="11506" max="11507" width="7.625" style="22" bestFit="1" customWidth="1"/>
    <col min="11508" max="11508" width="9.75" style="22" bestFit="1" customWidth="1"/>
    <col min="11509" max="11744" width="9" style="22"/>
    <col min="11745" max="11745" width="3.625" style="22" customWidth="1"/>
    <col min="11746" max="11746" width="1.625" style="22" customWidth="1"/>
    <col min="11747" max="11747" width="35.25" style="22" customWidth="1"/>
    <col min="11748" max="11752" width="0" style="22" hidden="1" customWidth="1"/>
    <col min="11753" max="11754" width="8.5" style="22" customWidth="1"/>
    <col min="11755" max="11758" width="7.625" style="22" bestFit="1" customWidth="1"/>
    <col min="11759" max="11759" width="8.5" style="22" customWidth="1"/>
    <col min="11760" max="11760" width="7.625" style="22" bestFit="1" customWidth="1"/>
    <col min="11761" max="11761" width="9.75" style="22" bestFit="1" customWidth="1"/>
    <col min="11762" max="11763" width="7.625" style="22" bestFit="1" customWidth="1"/>
    <col min="11764" max="11764" width="9.75" style="22" bestFit="1" customWidth="1"/>
    <col min="11765" max="12000" width="9" style="22"/>
    <col min="12001" max="12001" width="3.625" style="22" customWidth="1"/>
    <col min="12002" max="12002" width="1.625" style="22" customWidth="1"/>
    <col min="12003" max="12003" width="35.25" style="22" customWidth="1"/>
    <col min="12004" max="12008" width="0" style="22" hidden="1" customWidth="1"/>
    <col min="12009" max="12010" width="8.5" style="22" customWidth="1"/>
    <col min="12011" max="12014" width="7.625" style="22" bestFit="1" customWidth="1"/>
    <col min="12015" max="12015" width="8.5" style="22" customWidth="1"/>
    <col min="12016" max="12016" width="7.625" style="22" bestFit="1" customWidth="1"/>
    <col min="12017" max="12017" width="9.75" style="22" bestFit="1" customWidth="1"/>
    <col min="12018" max="12019" width="7.625" style="22" bestFit="1" customWidth="1"/>
    <col min="12020" max="12020" width="9.75" style="22" bestFit="1" customWidth="1"/>
    <col min="12021" max="12256" width="9" style="22"/>
    <col min="12257" max="12257" width="3.625" style="22" customWidth="1"/>
    <col min="12258" max="12258" width="1.625" style="22" customWidth="1"/>
    <col min="12259" max="12259" width="35.25" style="22" customWidth="1"/>
    <col min="12260" max="12264" width="0" style="22" hidden="1" customWidth="1"/>
    <col min="12265" max="12266" width="8.5" style="22" customWidth="1"/>
    <col min="12267" max="12270" width="7.625" style="22" bestFit="1" customWidth="1"/>
    <col min="12271" max="12271" width="8.5" style="22" customWidth="1"/>
    <col min="12272" max="12272" width="7.625" style="22" bestFit="1" customWidth="1"/>
    <col min="12273" max="12273" width="9.75" style="22" bestFit="1" customWidth="1"/>
    <col min="12274" max="12275" width="7.625" style="22" bestFit="1" customWidth="1"/>
    <col min="12276" max="12276" width="9.75" style="22" bestFit="1" customWidth="1"/>
    <col min="12277" max="12512" width="9" style="22"/>
    <col min="12513" max="12513" width="3.625" style="22" customWidth="1"/>
    <col min="12514" max="12514" width="1.625" style="22" customWidth="1"/>
    <col min="12515" max="12515" width="35.25" style="22" customWidth="1"/>
    <col min="12516" max="12520" width="0" style="22" hidden="1" customWidth="1"/>
    <col min="12521" max="12522" width="8.5" style="22" customWidth="1"/>
    <col min="12523" max="12526" width="7.625" style="22" bestFit="1" customWidth="1"/>
    <col min="12527" max="12527" width="8.5" style="22" customWidth="1"/>
    <col min="12528" max="12528" width="7.625" style="22" bestFit="1" customWidth="1"/>
    <col min="12529" max="12529" width="9.75" style="22" bestFit="1" customWidth="1"/>
    <col min="12530" max="12531" width="7.625" style="22" bestFit="1" customWidth="1"/>
    <col min="12532" max="12532" width="9.75" style="22" bestFit="1" customWidth="1"/>
    <col min="12533" max="12768" width="9" style="22"/>
    <col min="12769" max="12769" width="3.625" style="22" customWidth="1"/>
    <col min="12770" max="12770" width="1.625" style="22" customWidth="1"/>
    <col min="12771" max="12771" width="35.25" style="22" customWidth="1"/>
    <col min="12772" max="12776" width="0" style="22" hidden="1" customWidth="1"/>
    <col min="12777" max="12778" width="8.5" style="22" customWidth="1"/>
    <col min="12779" max="12782" width="7.625" style="22" bestFit="1" customWidth="1"/>
    <col min="12783" max="12783" width="8.5" style="22" customWidth="1"/>
    <col min="12784" max="12784" width="7.625" style="22" bestFit="1" customWidth="1"/>
    <col min="12785" max="12785" width="9.75" style="22" bestFit="1" customWidth="1"/>
    <col min="12786" max="12787" width="7.625" style="22" bestFit="1" customWidth="1"/>
    <col min="12788" max="12788" width="9.75" style="22" bestFit="1" customWidth="1"/>
    <col min="12789" max="13024" width="9" style="22"/>
    <col min="13025" max="13025" width="3.625" style="22" customWidth="1"/>
    <col min="13026" max="13026" width="1.625" style="22" customWidth="1"/>
    <col min="13027" max="13027" width="35.25" style="22" customWidth="1"/>
    <col min="13028" max="13032" width="0" style="22" hidden="1" customWidth="1"/>
    <col min="13033" max="13034" width="8.5" style="22" customWidth="1"/>
    <col min="13035" max="13038" width="7.625" style="22" bestFit="1" customWidth="1"/>
    <col min="13039" max="13039" width="8.5" style="22" customWidth="1"/>
    <col min="13040" max="13040" width="7.625" style="22" bestFit="1" customWidth="1"/>
    <col min="13041" max="13041" width="9.75" style="22" bestFit="1" customWidth="1"/>
    <col min="13042" max="13043" width="7.625" style="22" bestFit="1" customWidth="1"/>
    <col min="13044" max="13044" width="9.75" style="22" bestFit="1" customWidth="1"/>
    <col min="13045" max="13280" width="9" style="22"/>
    <col min="13281" max="13281" width="3.625" style="22" customWidth="1"/>
    <col min="13282" max="13282" width="1.625" style="22" customWidth="1"/>
    <col min="13283" max="13283" width="35.25" style="22" customWidth="1"/>
    <col min="13284" max="13288" width="0" style="22" hidden="1" customWidth="1"/>
    <col min="13289" max="13290" width="8.5" style="22" customWidth="1"/>
    <col min="13291" max="13294" width="7.625" style="22" bestFit="1" customWidth="1"/>
    <col min="13295" max="13295" width="8.5" style="22" customWidth="1"/>
    <col min="13296" max="13296" width="7.625" style="22" bestFit="1" customWidth="1"/>
    <col min="13297" max="13297" width="9.75" style="22" bestFit="1" customWidth="1"/>
    <col min="13298" max="13299" width="7.625" style="22" bestFit="1" customWidth="1"/>
    <col min="13300" max="13300" width="9.75" style="22" bestFit="1" customWidth="1"/>
    <col min="13301" max="13536" width="9" style="22"/>
    <col min="13537" max="13537" width="3.625" style="22" customWidth="1"/>
    <col min="13538" max="13538" width="1.625" style="22" customWidth="1"/>
    <col min="13539" max="13539" width="35.25" style="22" customWidth="1"/>
    <col min="13540" max="13544" width="0" style="22" hidden="1" customWidth="1"/>
    <col min="13545" max="13546" width="8.5" style="22" customWidth="1"/>
    <col min="13547" max="13550" width="7.625" style="22" bestFit="1" customWidth="1"/>
    <col min="13551" max="13551" width="8.5" style="22" customWidth="1"/>
    <col min="13552" max="13552" width="7.625" style="22" bestFit="1" customWidth="1"/>
    <col min="13553" max="13553" width="9.75" style="22" bestFit="1" customWidth="1"/>
    <col min="13554" max="13555" width="7.625" style="22" bestFit="1" customWidth="1"/>
    <col min="13556" max="13556" width="9.75" style="22" bestFit="1" customWidth="1"/>
    <col min="13557" max="13792" width="9" style="22"/>
    <col min="13793" max="13793" width="3.625" style="22" customWidth="1"/>
    <col min="13794" max="13794" width="1.625" style="22" customWidth="1"/>
    <col min="13795" max="13795" width="35.25" style="22" customWidth="1"/>
    <col min="13796" max="13800" width="0" style="22" hidden="1" customWidth="1"/>
    <col min="13801" max="13802" width="8.5" style="22" customWidth="1"/>
    <col min="13803" max="13806" width="7.625" style="22" bestFit="1" customWidth="1"/>
    <col min="13807" max="13807" width="8.5" style="22" customWidth="1"/>
    <col min="13808" max="13808" width="7.625" style="22" bestFit="1" customWidth="1"/>
    <col min="13809" max="13809" width="9.75" style="22" bestFit="1" customWidth="1"/>
    <col min="13810" max="13811" width="7.625" style="22" bestFit="1" customWidth="1"/>
    <col min="13812" max="13812" width="9.75" style="22" bestFit="1" customWidth="1"/>
    <col min="13813" max="14048" width="9" style="22"/>
    <col min="14049" max="14049" width="3.625" style="22" customWidth="1"/>
    <col min="14050" max="14050" width="1.625" style="22" customWidth="1"/>
    <col min="14051" max="14051" width="35.25" style="22" customWidth="1"/>
    <col min="14052" max="14056" width="0" style="22" hidden="1" customWidth="1"/>
    <col min="14057" max="14058" width="8.5" style="22" customWidth="1"/>
    <col min="14059" max="14062" width="7.625" style="22" bestFit="1" customWidth="1"/>
    <col min="14063" max="14063" width="8.5" style="22" customWidth="1"/>
    <col min="14064" max="14064" width="7.625" style="22" bestFit="1" customWidth="1"/>
    <col min="14065" max="14065" width="9.75" style="22" bestFit="1" customWidth="1"/>
    <col min="14066" max="14067" width="7.625" style="22" bestFit="1" customWidth="1"/>
    <col min="14068" max="14068" width="9.75" style="22" bestFit="1" customWidth="1"/>
    <col min="14069" max="14304" width="9" style="22"/>
    <col min="14305" max="14305" width="3.625" style="22" customWidth="1"/>
    <col min="14306" max="14306" width="1.625" style="22" customWidth="1"/>
    <col min="14307" max="14307" width="35.25" style="22" customWidth="1"/>
    <col min="14308" max="14312" width="0" style="22" hidden="1" customWidth="1"/>
    <col min="14313" max="14314" width="8.5" style="22" customWidth="1"/>
    <col min="14315" max="14318" width="7.625" style="22" bestFit="1" customWidth="1"/>
    <col min="14319" max="14319" width="8.5" style="22" customWidth="1"/>
    <col min="14320" max="14320" width="7.625" style="22" bestFit="1" customWidth="1"/>
    <col min="14321" max="14321" width="9.75" style="22" bestFit="1" customWidth="1"/>
    <col min="14322" max="14323" width="7.625" style="22" bestFit="1" customWidth="1"/>
    <col min="14324" max="14324" width="9.75" style="22" bestFit="1" customWidth="1"/>
    <col min="14325" max="14560" width="9" style="22"/>
    <col min="14561" max="14561" width="3.625" style="22" customWidth="1"/>
    <col min="14562" max="14562" width="1.625" style="22" customWidth="1"/>
    <col min="14563" max="14563" width="35.25" style="22" customWidth="1"/>
    <col min="14564" max="14568" width="0" style="22" hidden="1" customWidth="1"/>
    <col min="14569" max="14570" width="8.5" style="22" customWidth="1"/>
    <col min="14571" max="14574" width="7.625" style="22" bestFit="1" customWidth="1"/>
    <col min="14575" max="14575" width="8.5" style="22" customWidth="1"/>
    <col min="14576" max="14576" width="7.625" style="22" bestFit="1" customWidth="1"/>
    <col min="14577" max="14577" width="9.75" style="22" bestFit="1" customWidth="1"/>
    <col min="14578" max="14579" width="7.625" style="22" bestFit="1" customWidth="1"/>
    <col min="14580" max="14580" width="9.75" style="22" bestFit="1" customWidth="1"/>
    <col min="14581" max="14816" width="9" style="22"/>
    <col min="14817" max="14817" width="3.625" style="22" customWidth="1"/>
    <col min="14818" max="14818" width="1.625" style="22" customWidth="1"/>
    <col min="14819" max="14819" width="35.25" style="22" customWidth="1"/>
    <col min="14820" max="14824" width="0" style="22" hidden="1" customWidth="1"/>
    <col min="14825" max="14826" width="8.5" style="22" customWidth="1"/>
    <col min="14827" max="14830" width="7.625" style="22" bestFit="1" customWidth="1"/>
    <col min="14831" max="14831" width="8.5" style="22" customWidth="1"/>
    <col min="14832" max="14832" width="7.625" style="22" bestFit="1" customWidth="1"/>
    <col min="14833" max="14833" width="9.75" style="22" bestFit="1" customWidth="1"/>
    <col min="14834" max="14835" width="7.625" style="22" bestFit="1" customWidth="1"/>
    <col min="14836" max="14836" width="9.75" style="22" bestFit="1" customWidth="1"/>
    <col min="14837" max="15072" width="9" style="22"/>
    <col min="15073" max="15073" width="3.625" style="22" customWidth="1"/>
    <col min="15074" max="15074" width="1.625" style="22" customWidth="1"/>
    <col min="15075" max="15075" width="35.25" style="22" customWidth="1"/>
    <col min="15076" max="15080" width="0" style="22" hidden="1" customWidth="1"/>
    <col min="15081" max="15082" width="8.5" style="22" customWidth="1"/>
    <col min="15083" max="15086" width="7.625" style="22" bestFit="1" customWidth="1"/>
    <col min="15087" max="15087" width="8.5" style="22" customWidth="1"/>
    <col min="15088" max="15088" width="7.625" style="22" bestFit="1" customWidth="1"/>
    <col min="15089" max="15089" width="9.75" style="22" bestFit="1" customWidth="1"/>
    <col min="15090" max="15091" width="7.625" style="22" bestFit="1" customWidth="1"/>
    <col min="15092" max="15092" width="9.75" style="22" bestFit="1" customWidth="1"/>
    <col min="15093" max="15328" width="9" style="22"/>
    <col min="15329" max="15329" width="3.625" style="22" customWidth="1"/>
    <col min="15330" max="15330" width="1.625" style="22" customWidth="1"/>
    <col min="15331" max="15331" width="35.25" style="22" customWidth="1"/>
    <col min="15332" max="15336" width="0" style="22" hidden="1" customWidth="1"/>
    <col min="15337" max="15338" width="8.5" style="22" customWidth="1"/>
    <col min="15339" max="15342" width="7.625" style="22" bestFit="1" customWidth="1"/>
    <col min="15343" max="15343" width="8.5" style="22" customWidth="1"/>
    <col min="15344" max="15344" width="7.625" style="22" bestFit="1" customWidth="1"/>
    <col min="15345" max="15345" width="9.75" style="22" bestFit="1" customWidth="1"/>
    <col min="15346" max="15347" width="7.625" style="22" bestFit="1" customWidth="1"/>
    <col min="15348" max="15348" width="9.75" style="22" bestFit="1" customWidth="1"/>
    <col min="15349" max="15584" width="9" style="22"/>
    <col min="15585" max="15585" width="3.625" style="22" customWidth="1"/>
    <col min="15586" max="15586" width="1.625" style="22" customWidth="1"/>
    <col min="15587" max="15587" width="35.25" style="22" customWidth="1"/>
    <col min="15588" max="15592" width="0" style="22" hidden="1" customWidth="1"/>
    <col min="15593" max="15594" width="8.5" style="22" customWidth="1"/>
    <col min="15595" max="15598" width="7.625" style="22" bestFit="1" customWidth="1"/>
    <col min="15599" max="15599" width="8.5" style="22" customWidth="1"/>
    <col min="15600" max="15600" width="7.625" style="22" bestFit="1" customWidth="1"/>
    <col min="15601" max="15601" width="9.75" style="22" bestFit="1" customWidth="1"/>
    <col min="15602" max="15603" width="7.625" style="22" bestFit="1" customWidth="1"/>
    <col min="15604" max="15604" width="9.75" style="22" bestFit="1" customWidth="1"/>
    <col min="15605" max="15840" width="9" style="22"/>
    <col min="15841" max="15841" width="3.625" style="22" customWidth="1"/>
    <col min="15842" max="15842" width="1.625" style="22" customWidth="1"/>
    <col min="15843" max="15843" width="35.25" style="22" customWidth="1"/>
    <col min="15844" max="15848" width="0" style="22" hidden="1" customWidth="1"/>
    <col min="15849" max="15850" width="8.5" style="22" customWidth="1"/>
    <col min="15851" max="15854" width="7.625" style="22" bestFit="1" customWidth="1"/>
    <col min="15855" max="15855" width="8.5" style="22" customWidth="1"/>
    <col min="15856" max="15856" width="7.625" style="22" bestFit="1" customWidth="1"/>
    <col min="15857" max="15857" width="9.75" style="22" bestFit="1" customWidth="1"/>
    <col min="15858" max="15859" width="7.625" style="22" bestFit="1" customWidth="1"/>
    <col min="15860" max="15860" width="9.75" style="22" bestFit="1" customWidth="1"/>
    <col min="15861" max="16096" width="9" style="22"/>
    <col min="16097" max="16097" width="3.625" style="22" customWidth="1"/>
    <col min="16098" max="16098" width="1.625" style="22" customWidth="1"/>
    <col min="16099" max="16099" width="35.25" style="22" customWidth="1"/>
    <col min="16100" max="16104" width="0" style="22" hidden="1" customWidth="1"/>
    <col min="16105" max="16106" width="8.5" style="22" customWidth="1"/>
    <col min="16107" max="16110" width="7.625" style="22" bestFit="1" customWidth="1"/>
    <col min="16111" max="16111" width="8.5" style="22" customWidth="1"/>
    <col min="16112" max="16112" width="7.625" style="22" bestFit="1" customWidth="1"/>
    <col min="16113" max="16113" width="9.75" style="22" bestFit="1" customWidth="1"/>
    <col min="16114" max="16115" width="7.625" style="22" bestFit="1" customWidth="1"/>
    <col min="16116" max="16116" width="9.75" style="22" bestFit="1" customWidth="1"/>
    <col min="16117" max="16384" width="9" style="22"/>
  </cols>
  <sheetData>
    <row r="1" spans="2:43" ht="10.5" customHeight="1"/>
    <row r="2" spans="2:43" ht="15">
      <c r="B2" s="204" t="str">
        <f>IS!B2</f>
        <v xml:space="preserve">CS DISCO (LAW) </v>
      </c>
      <c r="C2" s="204"/>
    </row>
    <row r="3" spans="2:43" ht="5.45" customHeight="1" thickBot="1"/>
    <row r="4" spans="2:43" ht="13.5" thickBot="1">
      <c r="B4" s="805" t="s">
        <v>177</v>
      </c>
      <c r="C4" s="808"/>
      <c r="D4" s="806" t="s">
        <v>231</v>
      </c>
      <c r="E4" s="806" t="s">
        <v>233</v>
      </c>
      <c r="F4" s="806" t="s">
        <v>234</v>
      </c>
      <c r="G4" s="806" t="s">
        <v>235</v>
      </c>
      <c r="H4" s="807">
        <v>2019</v>
      </c>
      <c r="I4" s="806" t="s">
        <v>241</v>
      </c>
      <c r="J4" s="806" t="s">
        <v>259</v>
      </c>
      <c r="K4" s="806" t="s">
        <v>263</v>
      </c>
      <c r="L4" s="806" t="s">
        <v>265</v>
      </c>
      <c r="M4" s="807">
        <v>2020</v>
      </c>
      <c r="N4" s="806" t="s">
        <v>293</v>
      </c>
      <c r="O4" s="806" t="s">
        <v>352</v>
      </c>
      <c r="P4" s="806" t="s">
        <v>353</v>
      </c>
      <c r="Q4" s="806" t="s">
        <v>354</v>
      </c>
      <c r="R4" s="807">
        <v>2021</v>
      </c>
      <c r="S4" s="806" t="s">
        <v>429</v>
      </c>
      <c r="T4" s="806" t="s">
        <v>434</v>
      </c>
      <c r="U4" s="806" t="s">
        <v>435</v>
      </c>
      <c r="V4" s="806" t="s">
        <v>436</v>
      </c>
      <c r="W4" s="807">
        <v>2022</v>
      </c>
      <c r="X4" s="806" t="str">
        <f>IS!X4</f>
        <v>1Q23</v>
      </c>
      <c r="Y4" s="806" t="str">
        <f>IS!Y4</f>
        <v>2Q23</v>
      </c>
      <c r="Z4" s="806" t="str">
        <f>IS!Z4</f>
        <v>3Q23</v>
      </c>
      <c r="AA4" s="806" t="str">
        <f>IS!AA4</f>
        <v>4Q23</v>
      </c>
      <c r="AB4" s="807">
        <f>IS!AB4</f>
        <v>2023</v>
      </c>
      <c r="AC4" s="806" t="str">
        <f>IS!AC4</f>
        <v>1Q24</v>
      </c>
      <c r="AD4" s="806" t="str">
        <f>IS!AD4</f>
        <v>2Q24</v>
      </c>
      <c r="AE4" s="806" t="str">
        <f>IS!AE4</f>
        <v>3Q24</v>
      </c>
      <c r="AF4" s="806" t="str">
        <f>IS!AF4</f>
        <v>4Q24</v>
      </c>
      <c r="AG4" s="807">
        <f>IS!AG4</f>
        <v>2024</v>
      </c>
      <c r="AH4" s="806" t="str">
        <f>IS!AH4</f>
        <v>1Q25</v>
      </c>
      <c r="AI4" s="806" t="str">
        <f>IS!AI4</f>
        <v>2Q25</v>
      </c>
      <c r="AJ4" s="806" t="str">
        <f>IS!AJ4</f>
        <v>3Q25</v>
      </c>
      <c r="AK4" s="806" t="str">
        <f>IS!AK4</f>
        <v>4Q25</v>
      </c>
      <c r="AL4" s="807">
        <f>IS!AL4</f>
        <v>2025</v>
      </c>
      <c r="AM4" s="806" t="str">
        <f>IS!AM4</f>
        <v>1Q26E</v>
      </c>
      <c r="AN4" s="806" t="str">
        <f>IS!AN4</f>
        <v>2Q26E</v>
      </c>
      <c r="AO4" s="806" t="str">
        <f>IS!AO4</f>
        <v>3Q26E</v>
      </c>
      <c r="AP4" s="806" t="str">
        <f>IS!AP4</f>
        <v>4Q26E</v>
      </c>
      <c r="AQ4" s="807" t="str">
        <f>IS!AQ4</f>
        <v>2026E</v>
      </c>
    </row>
    <row r="5" spans="2:43" ht="15.2" customHeight="1">
      <c r="B5" s="193" t="s">
        <v>178</v>
      </c>
      <c r="D5" s="230"/>
      <c r="E5" s="230"/>
      <c r="F5" s="230"/>
      <c r="G5" s="230"/>
      <c r="H5" s="291"/>
      <c r="I5" s="230"/>
      <c r="J5" s="230"/>
      <c r="K5" s="230"/>
      <c r="L5" s="230"/>
      <c r="M5" s="291"/>
      <c r="N5" s="230"/>
      <c r="O5" s="230"/>
      <c r="P5" s="230"/>
      <c r="Q5" s="230"/>
      <c r="R5" s="291"/>
      <c r="S5" s="230"/>
      <c r="T5" s="230"/>
      <c r="U5" s="230"/>
      <c r="V5" s="230"/>
      <c r="W5" s="291"/>
      <c r="X5" s="230"/>
      <c r="Y5" s="230"/>
      <c r="Z5" s="230"/>
      <c r="AA5" s="230"/>
      <c r="AB5" s="291"/>
      <c r="AC5" s="230"/>
      <c r="AD5" s="230"/>
      <c r="AE5" s="230"/>
      <c r="AF5" s="230"/>
      <c r="AG5" s="291"/>
      <c r="AH5" s="230"/>
      <c r="AI5" s="230"/>
      <c r="AJ5" s="230"/>
      <c r="AK5" s="230"/>
      <c r="AL5" s="291"/>
      <c r="AM5" s="230"/>
      <c r="AN5" s="230"/>
      <c r="AO5" s="230"/>
      <c r="AP5" s="230"/>
      <c r="AQ5" s="291"/>
    </row>
    <row r="6" spans="2:43">
      <c r="B6" s="170"/>
      <c r="C6" s="22" t="s">
        <v>250</v>
      </c>
      <c r="D6" s="230">
        <v>43786</v>
      </c>
      <c r="E6" s="230">
        <v>40307</v>
      </c>
      <c r="F6" s="230">
        <v>33348</v>
      </c>
      <c r="G6" s="230">
        <v>23224</v>
      </c>
      <c r="H6" s="155">
        <f>G6</f>
        <v>23224</v>
      </c>
      <c r="I6" s="230">
        <v>29398</v>
      </c>
      <c r="J6" s="230">
        <v>24022</v>
      </c>
      <c r="K6" s="230">
        <v>78188</v>
      </c>
      <c r="L6" s="230">
        <v>58569</v>
      </c>
      <c r="M6" s="155">
        <f>L6</f>
        <v>58569</v>
      </c>
      <c r="N6" s="230">
        <v>53632</v>
      </c>
      <c r="O6" s="230">
        <v>47026</v>
      </c>
      <c r="P6" s="230">
        <v>258478</v>
      </c>
      <c r="Q6" s="230">
        <v>255477</v>
      </c>
      <c r="R6" s="155">
        <f>Q6</f>
        <v>255477</v>
      </c>
      <c r="S6" s="230">
        <v>238576</v>
      </c>
      <c r="T6" s="230">
        <v>228187</v>
      </c>
      <c r="U6" s="230">
        <v>213122</v>
      </c>
      <c r="V6" s="230">
        <v>203244</v>
      </c>
      <c r="W6" s="155">
        <f>V6</f>
        <v>203244</v>
      </c>
      <c r="X6" s="230">
        <v>187635</v>
      </c>
      <c r="Y6" s="230">
        <v>178919</v>
      </c>
      <c r="Z6" s="230">
        <v>157652</v>
      </c>
      <c r="AA6" s="230">
        <v>159551</v>
      </c>
      <c r="AB6" s="155">
        <f>AA6</f>
        <v>159551</v>
      </c>
      <c r="AC6" s="230">
        <v>148679</v>
      </c>
      <c r="AD6" s="230">
        <v>130005</v>
      </c>
      <c r="AE6" s="230">
        <f>76549+50245</f>
        <v>126794</v>
      </c>
      <c r="AF6" s="230">
        <f>52771+76356</f>
        <v>129127</v>
      </c>
      <c r="AG6" s="155">
        <f>AF6</f>
        <v>129127</v>
      </c>
      <c r="AH6" s="230">
        <f>34533+84278</f>
        <v>118811</v>
      </c>
      <c r="AI6" s="230">
        <f>21672+92672</f>
        <v>114344</v>
      </c>
      <c r="AJ6" s="230">
        <f>28804+84682</f>
        <v>113486</v>
      </c>
      <c r="AK6" s="230">
        <f>19655+94942</f>
        <v>114597</v>
      </c>
      <c r="AL6" s="155">
        <f>AK6</f>
        <v>114597</v>
      </c>
      <c r="AM6" s="230">
        <f>AL6+CF!AM51</f>
        <v>100786.59471200001</v>
      </c>
      <c r="AN6" s="230">
        <f>AM6+CF!AN51</f>
        <v>99653.353417000006</v>
      </c>
      <c r="AO6" s="230">
        <f>AN6+CF!AO51</f>
        <v>97358.689980125011</v>
      </c>
      <c r="AP6" s="230">
        <f>AO6+CF!AP51</f>
        <v>97706.937988810634</v>
      </c>
      <c r="AQ6" s="155">
        <f>AP6</f>
        <v>97706.937988810634</v>
      </c>
    </row>
    <row r="7" spans="2:43">
      <c r="B7" s="170"/>
      <c r="C7" s="22" t="s">
        <v>320</v>
      </c>
      <c r="D7" s="230">
        <v>4592</v>
      </c>
      <c r="E7" s="230">
        <v>4926</v>
      </c>
      <c r="F7" s="230">
        <v>5026</v>
      </c>
      <c r="G7" s="230">
        <v>7362</v>
      </c>
      <c r="H7" s="155">
        <f>G7</f>
        <v>7362</v>
      </c>
      <c r="I7" s="230">
        <v>8114</v>
      </c>
      <c r="J7" s="230">
        <v>8631</v>
      </c>
      <c r="K7" s="230">
        <v>9942</v>
      </c>
      <c r="L7" s="230">
        <v>12912</v>
      </c>
      <c r="M7" s="155">
        <f>L7</f>
        <v>12912</v>
      </c>
      <c r="N7" s="230">
        <v>14952</v>
      </c>
      <c r="O7" s="230">
        <v>21195</v>
      </c>
      <c r="P7" s="230">
        <v>23180</v>
      </c>
      <c r="Q7" s="230">
        <v>20740</v>
      </c>
      <c r="R7" s="155">
        <f t="shared" ref="R7:R17" si="0">Q7</f>
        <v>20740</v>
      </c>
      <c r="S7" s="230">
        <v>24930</v>
      </c>
      <c r="T7" s="230">
        <v>24309</v>
      </c>
      <c r="U7" s="230">
        <v>22204</v>
      </c>
      <c r="V7" s="230">
        <v>22720</v>
      </c>
      <c r="W7" s="155">
        <f t="shared" ref="W7:W17" si="1">V7</f>
        <v>22720</v>
      </c>
      <c r="X7" s="230">
        <v>23851</v>
      </c>
      <c r="Y7" s="230">
        <v>24577</v>
      </c>
      <c r="Z7" s="230">
        <v>27103</v>
      </c>
      <c r="AA7" s="230">
        <v>26993</v>
      </c>
      <c r="AB7" s="155">
        <f t="shared" ref="AB7:AB16" si="2">AA7</f>
        <v>26993</v>
      </c>
      <c r="AC7" s="230">
        <v>24501</v>
      </c>
      <c r="AD7" s="230">
        <v>25334</v>
      </c>
      <c r="AE7" s="230">
        <v>23988</v>
      </c>
      <c r="AF7" s="230">
        <v>23117</v>
      </c>
      <c r="AG7" s="155">
        <f t="shared" ref="AG7:AG13" si="3">AF7</f>
        <v>23117</v>
      </c>
      <c r="AH7" s="230">
        <v>22326</v>
      </c>
      <c r="AI7" s="230">
        <v>23861</v>
      </c>
      <c r="AJ7" s="230">
        <v>24233</v>
      </c>
      <c r="AK7" s="230">
        <v>25622</v>
      </c>
      <c r="AL7" s="155">
        <f t="shared" ref="AL7:AL13" si="4">AK7</f>
        <v>25622</v>
      </c>
      <c r="AM7" s="230">
        <f>AM50*IS!AM11</f>
        <v>29017.424080000001</v>
      </c>
      <c r="AN7" s="230">
        <f>AN50*IS!AN11</f>
        <v>30881.467400000001</v>
      </c>
      <c r="AO7" s="230">
        <f>AO50*IS!AO11</f>
        <v>32150.372380000004</v>
      </c>
      <c r="AP7" s="230">
        <f>AP50*IS!AP11</f>
        <v>33973.257920000004</v>
      </c>
      <c r="AQ7" s="155">
        <f t="shared" ref="AQ7:AQ13" si="5">AP7</f>
        <v>33973.257920000004</v>
      </c>
    </row>
    <row r="8" spans="2:43">
      <c r="B8" s="170"/>
      <c r="C8" s="22" t="s">
        <v>492</v>
      </c>
      <c r="D8" s="230"/>
      <c r="E8" s="230"/>
      <c r="F8" s="230"/>
      <c r="G8" s="230"/>
      <c r="H8" s="155"/>
      <c r="I8" s="230"/>
      <c r="J8" s="230"/>
      <c r="K8" s="230"/>
      <c r="L8" s="230"/>
      <c r="M8" s="155"/>
      <c r="N8" s="230"/>
      <c r="O8" s="230"/>
      <c r="P8" s="230"/>
      <c r="Q8" s="230"/>
      <c r="R8" s="155"/>
      <c r="S8" s="230"/>
      <c r="T8" s="230"/>
      <c r="U8" s="230"/>
      <c r="V8" s="230"/>
      <c r="W8" s="155"/>
      <c r="X8" s="230"/>
      <c r="Y8" s="230"/>
      <c r="Z8" s="230"/>
      <c r="AA8" s="230"/>
      <c r="AB8" s="155"/>
      <c r="AC8" s="230"/>
      <c r="AD8" s="230"/>
      <c r="AE8" s="230"/>
      <c r="AF8" s="230"/>
      <c r="AG8" s="155"/>
      <c r="AH8" s="230"/>
      <c r="AI8" s="230"/>
      <c r="AJ8" s="230">
        <v>9240</v>
      </c>
      <c r="AK8" s="230">
        <v>8039</v>
      </c>
      <c r="AL8" s="155">
        <f t="shared" si="4"/>
        <v>8039</v>
      </c>
      <c r="AM8" s="441">
        <f t="shared" ref="AM8:AP8" si="6">AL8</f>
        <v>8039</v>
      </c>
      <c r="AN8" s="441">
        <f t="shared" si="6"/>
        <v>8039</v>
      </c>
      <c r="AO8" s="441">
        <f t="shared" si="6"/>
        <v>8039</v>
      </c>
      <c r="AP8" s="441">
        <f t="shared" si="6"/>
        <v>8039</v>
      </c>
      <c r="AQ8" s="155">
        <f t="shared" si="5"/>
        <v>8039</v>
      </c>
    </row>
    <row r="9" spans="2:43">
      <c r="B9" s="170"/>
      <c r="C9" s="22" t="s">
        <v>321</v>
      </c>
      <c r="D9" s="230">
        <v>1736</v>
      </c>
      <c r="E9" s="230">
        <v>1354</v>
      </c>
      <c r="F9" s="230">
        <v>939</v>
      </c>
      <c r="G9" s="230">
        <v>1341</v>
      </c>
      <c r="H9" s="155">
        <f>G9</f>
        <v>1341</v>
      </c>
      <c r="I9" s="230">
        <v>1118</v>
      </c>
      <c r="J9" s="230">
        <v>1030</v>
      </c>
      <c r="K9" s="230">
        <v>1240</v>
      </c>
      <c r="L9" s="230">
        <v>1364</v>
      </c>
      <c r="M9" s="155">
        <f>L9</f>
        <v>1364</v>
      </c>
      <c r="N9" s="230">
        <v>1439</v>
      </c>
      <c r="O9" s="230">
        <v>4329</v>
      </c>
      <c r="P9" s="230">
        <v>6558</v>
      </c>
      <c r="Q9" s="230">
        <v>4634</v>
      </c>
      <c r="R9" s="155">
        <f t="shared" si="0"/>
        <v>4634</v>
      </c>
      <c r="S9" s="230">
        <v>3662</v>
      </c>
      <c r="T9" s="230">
        <v>2950</v>
      </c>
      <c r="U9" s="230">
        <v>6437</v>
      </c>
      <c r="V9" s="230">
        <v>5576</v>
      </c>
      <c r="W9" s="155">
        <f t="shared" si="1"/>
        <v>5576</v>
      </c>
      <c r="X9" s="230">
        <v>4880</v>
      </c>
      <c r="Y9" s="230">
        <v>3717</v>
      </c>
      <c r="Z9" s="230">
        <v>6292</v>
      </c>
      <c r="AA9" s="230">
        <v>5795</v>
      </c>
      <c r="AB9" s="155">
        <f t="shared" si="2"/>
        <v>5795</v>
      </c>
      <c r="AC9" s="230">
        <v>5388</v>
      </c>
      <c r="AD9" s="230">
        <v>4812</v>
      </c>
      <c r="AE9" s="230">
        <v>6318</v>
      </c>
      <c r="AF9" s="230">
        <v>4692</v>
      </c>
      <c r="AG9" s="155">
        <f t="shared" si="3"/>
        <v>4692</v>
      </c>
      <c r="AH9" s="230">
        <v>4459</v>
      </c>
      <c r="AI9" s="230">
        <v>4566</v>
      </c>
      <c r="AJ9" s="230">
        <v>6103</v>
      </c>
      <c r="AK9" s="230">
        <v>4736</v>
      </c>
      <c r="AL9" s="155">
        <f t="shared" si="4"/>
        <v>4736</v>
      </c>
      <c r="AM9" s="230">
        <f>AM51*IS!AM$11</f>
        <v>5962.4844000000003</v>
      </c>
      <c r="AN9" s="230">
        <f>AN51*IS!AN$11</f>
        <v>5499.4394000000011</v>
      </c>
      <c r="AO9" s="230">
        <f>AO51*IS!AO$11</f>
        <v>7046.6569600000012</v>
      </c>
      <c r="AP9" s="230">
        <f>AP51*IS!AP$11</f>
        <v>6886.4712000000009</v>
      </c>
      <c r="AQ9" s="155">
        <f t="shared" si="5"/>
        <v>6886.4712000000009</v>
      </c>
    </row>
    <row r="10" spans="2:43" s="197" customFormat="1" ht="13.15">
      <c r="B10" s="193" t="s">
        <v>6</v>
      </c>
      <c r="D10" s="192">
        <f t="shared" ref="D10:AA10" si="7">SUM(D6:D9)</f>
        <v>50114</v>
      </c>
      <c r="E10" s="192">
        <f t="shared" si="7"/>
        <v>46587</v>
      </c>
      <c r="F10" s="192">
        <f t="shared" si="7"/>
        <v>39313</v>
      </c>
      <c r="G10" s="192">
        <f t="shared" si="7"/>
        <v>31927</v>
      </c>
      <c r="H10" s="191">
        <f t="shared" si="7"/>
        <v>31927</v>
      </c>
      <c r="I10" s="192">
        <f t="shared" si="7"/>
        <v>38630</v>
      </c>
      <c r="J10" s="192">
        <f t="shared" si="7"/>
        <v>33683</v>
      </c>
      <c r="K10" s="192">
        <f t="shared" si="7"/>
        <v>89370</v>
      </c>
      <c r="L10" s="192">
        <f t="shared" si="7"/>
        <v>72845</v>
      </c>
      <c r="M10" s="191">
        <f t="shared" si="7"/>
        <v>72845</v>
      </c>
      <c r="N10" s="192">
        <f t="shared" si="7"/>
        <v>70023</v>
      </c>
      <c r="O10" s="192">
        <f t="shared" si="7"/>
        <v>72550</v>
      </c>
      <c r="P10" s="192">
        <f t="shared" si="7"/>
        <v>288216</v>
      </c>
      <c r="Q10" s="192">
        <f t="shared" si="7"/>
        <v>280851</v>
      </c>
      <c r="R10" s="191">
        <f t="shared" si="0"/>
        <v>280851</v>
      </c>
      <c r="S10" s="192">
        <f t="shared" si="7"/>
        <v>267168</v>
      </c>
      <c r="T10" s="192">
        <f t="shared" si="7"/>
        <v>255446</v>
      </c>
      <c r="U10" s="192">
        <f t="shared" si="7"/>
        <v>241763</v>
      </c>
      <c r="V10" s="192">
        <f t="shared" si="7"/>
        <v>231540</v>
      </c>
      <c r="W10" s="191">
        <f t="shared" si="1"/>
        <v>231540</v>
      </c>
      <c r="X10" s="192">
        <f t="shared" si="7"/>
        <v>216366</v>
      </c>
      <c r="Y10" s="192">
        <f t="shared" si="7"/>
        <v>207213</v>
      </c>
      <c r="Z10" s="192">
        <f t="shared" si="7"/>
        <v>191047</v>
      </c>
      <c r="AA10" s="192">
        <f t="shared" si="7"/>
        <v>192339</v>
      </c>
      <c r="AB10" s="191">
        <f t="shared" si="2"/>
        <v>192339</v>
      </c>
      <c r="AC10" s="192">
        <f>SUM(AC6:AC9)</f>
        <v>178568</v>
      </c>
      <c r="AD10" s="192">
        <f>SUM(AD6:AD9)</f>
        <v>160151</v>
      </c>
      <c r="AE10" s="192">
        <f>SUM(AE6:AE9)</f>
        <v>157100</v>
      </c>
      <c r="AF10" s="192">
        <f>SUM(AF6:AF9)</f>
        <v>156936</v>
      </c>
      <c r="AG10" s="191">
        <f t="shared" si="3"/>
        <v>156936</v>
      </c>
      <c r="AH10" s="192">
        <f>SUM(AH6:AH9)</f>
        <v>145596</v>
      </c>
      <c r="AI10" s="192">
        <f>SUM(AI6:AI9)</f>
        <v>142771</v>
      </c>
      <c r="AJ10" s="192">
        <f>SUM(AJ6:AJ9)</f>
        <v>153062</v>
      </c>
      <c r="AK10" s="192">
        <f>SUM(AK6:AK9)</f>
        <v>152994</v>
      </c>
      <c r="AL10" s="191">
        <f t="shared" si="4"/>
        <v>152994</v>
      </c>
      <c r="AM10" s="192">
        <f>SUM(AM6:AM9)</f>
        <v>143805.503192</v>
      </c>
      <c r="AN10" s="192">
        <f>SUM(AN6:AN9)</f>
        <v>144073.260217</v>
      </c>
      <c r="AO10" s="192">
        <f>SUM(AO6:AO9)</f>
        <v>144594.719320125</v>
      </c>
      <c r="AP10" s="192">
        <f>SUM(AP6:AP9)</f>
        <v>146605.66710881065</v>
      </c>
      <c r="AQ10" s="191">
        <f t="shared" si="5"/>
        <v>146605.66710881065</v>
      </c>
    </row>
    <row r="11" spans="2:43">
      <c r="B11" s="170"/>
      <c r="C11" s="22" t="s">
        <v>322</v>
      </c>
      <c r="D11" s="230">
        <v>1290</v>
      </c>
      <c r="E11" s="230">
        <v>2106</v>
      </c>
      <c r="F11" s="230">
        <v>2720</v>
      </c>
      <c r="G11" s="230">
        <v>3589</v>
      </c>
      <c r="H11" s="155">
        <f>G11</f>
        <v>3589</v>
      </c>
      <c r="I11" s="230">
        <v>3877</v>
      </c>
      <c r="J11" s="230">
        <v>3785</v>
      </c>
      <c r="K11" s="230">
        <v>3763</v>
      </c>
      <c r="L11" s="230">
        <v>3873</v>
      </c>
      <c r="M11" s="155">
        <f>L11</f>
        <v>3873</v>
      </c>
      <c r="N11" s="230">
        <v>4022</v>
      </c>
      <c r="O11" s="230">
        <v>4494</v>
      </c>
      <c r="P11" s="230">
        <v>4947</v>
      </c>
      <c r="Q11" s="230">
        <v>5335</v>
      </c>
      <c r="R11" s="155">
        <f t="shared" si="0"/>
        <v>5335</v>
      </c>
      <c r="S11" s="230">
        <v>5848</v>
      </c>
      <c r="T11" s="230">
        <v>7229</v>
      </c>
      <c r="U11" s="231">
        <v>7491</v>
      </c>
      <c r="V11" s="230">
        <v>7507</v>
      </c>
      <c r="W11" s="155">
        <f t="shared" si="1"/>
        <v>7507</v>
      </c>
      <c r="X11" s="230">
        <v>7795</v>
      </c>
      <c r="Y11" s="230">
        <v>8638</v>
      </c>
      <c r="Z11" s="230">
        <v>9182</v>
      </c>
      <c r="AA11" s="230">
        <v>9663</v>
      </c>
      <c r="AB11" s="155">
        <f t="shared" si="2"/>
        <v>9663</v>
      </c>
      <c r="AC11" s="230">
        <v>9518</v>
      </c>
      <c r="AD11" s="230">
        <v>9232</v>
      </c>
      <c r="AE11" s="230">
        <v>9239</v>
      </c>
      <c r="AF11" s="230">
        <v>7878</v>
      </c>
      <c r="AG11" s="155">
        <f t="shared" si="3"/>
        <v>7878</v>
      </c>
      <c r="AH11" s="230">
        <v>7538</v>
      </c>
      <c r="AI11" s="230">
        <v>7665</v>
      </c>
      <c r="AJ11" s="230">
        <v>8030</v>
      </c>
      <c r="AK11" s="230">
        <v>7583</v>
      </c>
      <c r="AL11" s="155">
        <f t="shared" si="4"/>
        <v>7583</v>
      </c>
      <c r="AM11" s="230">
        <f>AL11-CF!AM29-CF!AM10</f>
        <v>7560.9549999999999</v>
      </c>
      <c r="AN11" s="230">
        <f>AM11-CF!AN29-CF!AN10</f>
        <v>7641.4451749999998</v>
      </c>
      <c r="AO11" s="230">
        <f>AN11-CF!AO29-CF!AO10</f>
        <v>7712.6789798750006</v>
      </c>
      <c r="AP11" s="230">
        <f>AO11-CF!AP29-CF!AP10</f>
        <v>7775.7208971893742</v>
      </c>
      <c r="AQ11" s="155">
        <f t="shared" si="5"/>
        <v>7775.7208971893742</v>
      </c>
    </row>
    <row r="12" spans="2:43">
      <c r="B12" s="170"/>
      <c r="C12" s="22" t="s">
        <v>323</v>
      </c>
      <c r="D12" s="230">
        <v>0</v>
      </c>
      <c r="E12" s="230">
        <v>0</v>
      </c>
      <c r="F12" s="230">
        <v>0</v>
      </c>
      <c r="G12" s="230">
        <v>0</v>
      </c>
      <c r="H12" s="155">
        <f>G12</f>
        <v>0</v>
      </c>
      <c r="I12" s="230">
        <v>2813</v>
      </c>
      <c r="J12" s="230">
        <v>2468</v>
      </c>
      <c r="K12" s="230">
        <v>2100</v>
      </c>
      <c r="L12" s="230">
        <v>1850</v>
      </c>
      <c r="M12" s="155">
        <f>L12</f>
        <v>1850</v>
      </c>
      <c r="N12" s="230">
        <v>1608</v>
      </c>
      <c r="O12" s="230">
        <v>1364</v>
      </c>
      <c r="P12" s="230">
        <v>1115</v>
      </c>
      <c r="Q12" s="230">
        <v>864</v>
      </c>
      <c r="R12" s="155">
        <f t="shared" si="0"/>
        <v>864</v>
      </c>
      <c r="S12" s="230">
        <v>609</v>
      </c>
      <c r="T12" s="650">
        <v>10937</v>
      </c>
      <c r="U12" s="231">
        <v>10293</v>
      </c>
      <c r="V12" s="650">
        <v>9824</v>
      </c>
      <c r="W12" s="155">
        <f t="shared" si="1"/>
        <v>9824</v>
      </c>
      <c r="X12" s="650">
        <v>9606</v>
      </c>
      <c r="Y12" s="650">
        <v>9124</v>
      </c>
      <c r="Z12" s="650">
        <v>8637</v>
      </c>
      <c r="AA12" s="650">
        <v>8143</v>
      </c>
      <c r="AB12" s="155">
        <f t="shared" si="2"/>
        <v>8143</v>
      </c>
      <c r="AC12" s="650">
        <v>7878</v>
      </c>
      <c r="AD12" s="650">
        <v>7372</v>
      </c>
      <c r="AE12" s="650">
        <v>6859</v>
      </c>
      <c r="AF12" s="650">
        <v>8388</v>
      </c>
      <c r="AG12" s="155">
        <f t="shared" si="3"/>
        <v>8388</v>
      </c>
      <c r="AH12" s="650">
        <v>7832</v>
      </c>
      <c r="AI12" s="650">
        <v>7270</v>
      </c>
      <c r="AJ12" s="650">
        <v>6700</v>
      </c>
      <c r="AK12" s="650">
        <v>6121</v>
      </c>
      <c r="AL12" s="155">
        <f t="shared" si="4"/>
        <v>6121</v>
      </c>
      <c r="AM12" s="441">
        <f>AK12-500</f>
        <v>5621</v>
      </c>
      <c r="AN12" s="441">
        <f>AM12-500</f>
        <v>5121</v>
      </c>
      <c r="AO12" s="441">
        <f>AN12-500</f>
        <v>4621</v>
      </c>
      <c r="AP12" s="441">
        <f>AO12-500</f>
        <v>4121</v>
      </c>
      <c r="AQ12" s="155">
        <f t="shared" si="5"/>
        <v>4121</v>
      </c>
    </row>
    <row r="13" spans="2:43">
      <c r="B13" s="170"/>
      <c r="C13" s="22" t="s">
        <v>444</v>
      </c>
      <c r="D13" s="230"/>
      <c r="E13" s="230"/>
      <c r="F13" s="230"/>
      <c r="G13" s="230"/>
      <c r="H13" s="155"/>
      <c r="I13" s="230"/>
      <c r="J13" s="230"/>
      <c r="K13" s="230"/>
      <c r="L13" s="230"/>
      <c r="M13" s="155"/>
      <c r="N13" s="230"/>
      <c r="O13" s="230"/>
      <c r="P13" s="230"/>
      <c r="Q13" s="230"/>
      <c r="R13" s="155"/>
      <c r="S13" s="230"/>
      <c r="T13" s="650"/>
      <c r="U13" s="231"/>
      <c r="V13" s="650"/>
      <c r="W13" s="155"/>
      <c r="X13" s="650"/>
      <c r="Y13" s="650"/>
      <c r="Z13" s="650">
        <v>14000</v>
      </c>
      <c r="AA13" s="650">
        <v>14000</v>
      </c>
      <c r="AB13" s="155">
        <f t="shared" si="2"/>
        <v>14000</v>
      </c>
      <c r="AC13" s="650">
        <v>14000</v>
      </c>
      <c r="AD13" s="650">
        <v>14000</v>
      </c>
      <c r="AE13" s="650">
        <v>14000</v>
      </c>
      <c r="AF13" s="650">
        <v>0</v>
      </c>
      <c r="AG13" s="155">
        <f t="shared" si="3"/>
        <v>0</v>
      </c>
      <c r="AH13" s="650"/>
      <c r="AI13" s="650"/>
      <c r="AJ13" s="650"/>
      <c r="AK13" s="650">
        <v>0</v>
      </c>
      <c r="AL13" s="155">
        <f t="shared" si="4"/>
        <v>0</v>
      </c>
      <c r="AM13" s="441">
        <f>AL13</f>
        <v>0</v>
      </c>
      <c r="AN13" s="441">
        <f>AM13</f>
        <v>0</v>
      </c>
      <c r="AO13" s="441">
        <f>AN13</f>
        <v>0</v>
      </c>
      <c r="AP13" s="441">
        <f>AO13</f>
        <v>0</v>
      </c>
      <c r="AQ13" s="155">
        <f t="shared" si="5"/>
        <v>0</v>
      </c>
    </row>
    <row r="14" spans="2:43">
      <c r="B14" s="170"/>
      <c r="C14" s="22" t="s">
        <v>430</v>
      </c>
      <c r="D14" s="230"/>
      <c r="E14" s="230"/>
      <c r="F14" s="230"/>
      <c r="G14" s="230"/>
      <c r="H14" s="155">
        <f>G14</f>
        <v>0</v>
      </c>
      <c r="I14" s="230"/>
      <c r="J14" s="230"/>
      <c r="K14" s="230"/>
      <c r="L14" s="230"/>
      <c r="M14" s="155">
        <f>L14</f>
        <v>0</v>
      </c>
      <c r="N14" s="230"/>
      <c r="O14" s="230"/>
      <c r="P14" s="230"/>
      <c r="Q14" s="230"/>
      <c r="R14" s="155">
        <f>Q14</f>
        <v>0</v>
      </c>
      <c r="S14" s="230">
        <v>1173</v>
      </c>
      <c r="T14" s="650">
        <v>1101</v>
      </c>
      <c r="U14" s="231">
        <v>1031</v>
      </c>
      <c r="V14" s="650">
        <v>962</v>
      </c>
      <c r="W14" s="155">
        <f>V14</f>
        <v>962</v>
      </c>
      <c r="X14" s="650">
        <v>891</v>
      </c>
      <c r="Y14" s="650">
        <v>821</v>
      </c>
      <c r="Z14" s="650">
        <v>751</v>
      </c>
      <c r="AA14" s="650">
        <v>681</v>
      </c>
      <c r="AB14" s="155">
        <f>AA14</f>
        <v>681</v>
      </c>
      <c r="AC14" s="650">
        <v>610</v>
      </c>
      <c r="AD14" s="650">
        <v>540</v>
      </c>
      <c r="AE14" s="650">
        <v>470</v>
      </c>
      <c r="AF14" s="650">
        <v>400</v>
      </c>
      <c r="AG14" s="155">
        <f>AF14</f>
        <v>400</v>
      </c>
      <c r="AH14" s="650">
        <v>341</v>
      </c>
      <c r="AI14" s="650">
        <v>296</v>
      </c>
      <c r="AJ14" s="650">
        <v>251</v>
      </c>
      <c r="AK14" s="650">
        <v>206</v>
      </c>
      <c r="AL14" s="155">
        <f>AK14</f>
        <v>206</v>
      </c>
      <c r="AM14" s="441">
        <f>AK14-70</f>
        <v>136</v>
      </c>
      <c r="AN14" s="441">
        <f>AL14-70</f>
        <v>136</v>
      </c>
      <c r="AO14" s="441">
        <f>AM14-70</f>
        <v>66</v>
      </c>
      <c r="AP14" s="441">
        <f>AN14-70</f>
        <v>66</v>
      </c>
      <c r="AQ14" s="155">
        <f>AP14</f>
        <v>66</v>
      </c>
    </row>
    <row r="15" spans="2:43">
      <c r="B15" s="170"/>
      <c r="C15" s="22" t="s">
        <v>431</v>
      </c>
      <c r="D15" s="230"/>
      <c r="E15" s="230"/>
      <c r="F15" s="230"/>
      <c r="G15" s="230"/>
      <c r="H15" s="155">
        <f>G15</f>
        <v>0</v>
      </c>
      <c r="I15" s="230"/>
      <c r="J15" s="230"/>
      <c r="K15" s="230"/>
      <c r="L15" s="230"/>
      <c r="M15" s="155">
        <f>L15</f>
        <v>0</v>
      </c>
      <c r="N15" s="230"/>
      <c r="O15" s="230"/>
      <c r="P15" s="230"/>
      <c r="Q15" s="230"/>
      <c r="R15" s="155">
        <f>Q15</f>
        <v>0</v>
      </c>
      <c r="S15" s="230">
        <v>5898</v>
      </c>
      <c r="T15" s="650">
        <v>5898</v>
      </c>
      <c r="U15" s="231">
        <v>5898</v>
      </c>
      <c r="V15" s="650">
        <v>5898</v>
      </c>
      <c r="W15" s="155">
        <f>V15</f>
        <v>5898</v>
      </c>
      <c r="X15" s="650">
        <v>5898</v>
      </c>
      <c r="Y15" s="650">
        <v>5898</v>
      </c>
      <c r="Z15" s="650">
        <v>5898</v>
      </c>
      <c r="AA15" s="650">
        <v>5898</v>
      </c>
      <c r="AB15" s="155">
        <f>AA15</f>
        <v>5898</v>
      </c>
      <c r="AC15" s="650">
        <v>5898</v>
      </c>
      <c r="AD15" s="650">
        <v>5898</v>
      </c>
      <c r="AE15" s="650">
        <v>5898</v>
      </c>
      <c r="AF15" s="650">
        <v>5898</v>
      </c>
      <c r="AG15" s="155">
        <f>AF15</f>
        <v>5898</v>
      </c>
      <c r="AH15" s="650">
        <v>5898</v>
      </c>
      <c r="AI15" s="650">
        <v>5898</v>
      </c>
      <c r="AJ15" s="650">
        <v>5898</v>
      </c>
      <c r="AK15" s="650">
        <v>5898</v>
      </c>
      <c r="AL15" s="155">
        <f>AK15</f>
        <v>5898</v>
      </c>
      <c r="AM15" s="441">
        <f>AL15</f>
        <v>5898</v>
      </c>
      <c r="AN15" s="441">
        <f>AM15</f>
        <v>5898</v>
      </c>
      <c r="AO15" s="441">
        <f>AN15</f>
        <v>5898</v>
      </c>
      <c r="AP15" s="441">
        <f>AO15</f>
        <v>5898</v>
      </c>
      <c r="AQ15" s="155">
        <f>AP15</f>
        <v>5898</v>
      </c>
    </row>
    <row r="16" spans="2:43">
      <c r="B16" s="170"/>
      <c r="C16" s="22" t="s">
        <v>180</v>
      </c>
      <c r="D16" s="230">
        <v>224</v>
      </c>
      <c r="E16" s="230">
        <v>291</v>
      </c>
      <c r="F16" s="230">
        <v>278</v>
      </c>
      <c r="G16" s="230">
        <v>382</v>
      </c>
      <c r="H16" s="155">
        <f>G16</f>
        <v>382</v>
      </c>
      <c r="I16" s="230">
        <v>377</v>
      </c>
      <c r="J16" s="230">
        <v>341</v>
      </c>
      <c r="K16" s="230">
        <v>326</v>
      </c>
      <c r="L16" s="230">
        <v>539</v>
      </c>
      <c r="M16" s="155">
        <f>L16</f>
        <v>539</v>
      </c>
      <c r="N16" s="230">
        <v>535</v>
      </c>
      <c r="O16" s="230">
        <v>501</v>
      </c>
      <c r="P16" s="230">
        <v>534</v>
      </c>
      <c r="Q16" s="230">
        <v>351</v>
      </c>
      <c r="R16" s="155">
        <f t="shared" si="0"/>
        <v>351</v>
      </c>
      <c r="S16" s="230">
        <v>384</v>
      </c>
      <c r="T16" s="230">
        <v>737</v>
      </c>
      <c r="U16" s="231">
        <v>736</v>
      </c>
      <c r="V16" s="650">
        <v>591</v>
      </c>
      <c r="W16" s="155">
        <f t="shared" si="1"/>
        <v>591</v>
      </c>
      <c r="X16" s="650">
        <v>721</v>
      </c>
      <c r="Y16" s="650">
        <v>721</v>
      </c>
      <c r="Z16" s="650">
        <v>730</v>
      </c>
      <c r="AA16" s="650">
        <v>823</v>
      </c>
      <c r="AB16" s="155">
        <f t="shared" si="2"/>
        <v>823</v>
      </c>
      <c r="AC16" s="650">
        <v>804</v>
      </c>
      <c r="AD16" s="650">
        <v>808</v>
      </c>
      <c r="AE16" s="650">
        <v>816</v>
      </c>
      <c r="AF16" s="650">
        <v>820</v>
      </c>
      <c r="AG16" s="155">
        <f>AF16</f>
        <v>820</v>
      </c>
      <c r="AH16" s="650">
        <v>825</v>
      </c>
      <c r="AI16" s="650">
        <v>827</v>
      </c>
      <c r="AJ16" s="650">
        <v>820</v>
      </c>
      <c r="AK16" s="650">
        <v>837</v>
      </c>
      <c r="AL16" s="155">
        <f>AK16</f>
        <v>837</v>
      </c>
      <c r="AM16" s="230">
        <v>535</v>
      </c>
      <c r="AN16" s="230">
        <v>535</v>
      </c>
      <c r="AO16" s="230">
        <v>535</v>
      </c>
      <c r="AP16" s="230">
        <v>535</v>
      </c>
      <c r="AQ16" s="155">
        <f>AP16</f>
        <v>535</v>
      </c>
    </row>
    <row r="17" spans="2:43" s="197" customFormat="1" ht="13.15">
      <c r="B17" s="193" t="s">
        <v>7</v>
      </c>
      <c r="D17" s="192">
        <f t="shared" ref="D17:Q17" si="8">D10+SUM(D11:D16)</f>
        <v>51628</v>
      </c>
      <c r="E17" s="192">
        <f t="shared" si="8"/>
        <v>48984</v>
      </c>
      <c r="F17" s="192">
        <f t="shared" si="8"/>
        <v>42311</v>
      </c>
      <c r="G17" s="192">
        <f t="shared" si="8"/>
        <v>35898</v>
      </c>
      <c r="H17" s="191">
        <f t="shared" si="8"/>
        <v>35898</v>
      </c>
      <c r="I17" s="192">
        <f t="shared" si="8"/>
        <v>45697</v>
      </c>
      <c r="J17" s="192">
        <f t="shared" si="8"/>
        <v>40277</v>
      </c>
      <c r="K17" s="192">
        <f t="shared" si="8"/>
        <v>95559</v>
      </c>
      <c r="L17" s="192">
        <f t="shared" si="8"/>
        <v>79107</v>
      </c>
      <c r="M17" s="191">
        <f t="shared" si="8"/>
        <v>79107</v>
      </c>
      <c r="N17" s="192">
        <f t="shared" si="8"/>
        <v>76188</v>
      </c>
      <c r="O17" s="192">
        <f t="shared" si="8"/>
        <v>78909</v>
      </c>
      <c r="P17" s="192">
        <f t="shared" si="8"/>
        <v>294812</v>
      </c>
      <c r="Q17" s="192">
        <f t="shared" si="8"/>
        <v>287401</v>
      </c>
      <c r="R17" s="191">
        <f t="shared" si="0"/>
        <v>287401</v>
      </c>
      <c r="S17" s="192">
        <f>S10+SUM(S11:S16)</f>
        <v>281080</v>
      </c>
      <c r="T17" s="192">
        <f>T10+SUM(T11:T16)</f>
        <v>281348</v>
      </c>
      <c r="U17" s="192">
        <f>U10+SUM(U11:U16)</f>
        <v>267212</v>
      </c>
      <c r="V17" s="192">
        <f>V10+SUM(V11:V16)</f>
        <v>256322</v>
      </c>
      <c r="W17" s="191">
        <f t="shared" si="1"/>
        <v>256322</v>
      </c>
      <c r="X17" s="192">
        <f>X10+SUM(X11:X16)</f>
        <v>241277</v>
      </c>
      <c r="Y17" s="192">
        <f>Y10+SUM(Y11:Y16)</f>
        <v>232415</v>
      </c>
      <c r="Z17" s="192">
        <f>Z10+SUM(Z11:Z16)</f>
        <v>230245</v>
      </c>
      <c r="AA17" s="192">
        <f>AA10+SUM(AA11:AA16)</f>
        <v>231547</v>
      </c>
      <c r="AB17" s="191">
        <f>AA17</f>
        <v>231547</v>
      </c>
      <c r="AC17" s="192">
        <f>AC10+SUM(AC11:AC16)</f>
        <v>217276</v>
      </c>
      <c r="AD17" s="192">
        <f>AD10+SUM(AD11:AD16)</f>
        <v>198001</v>
      </c>
      <c r="AE17" s="192">
        <f>AE10+SUM(AE11:AE16)</f>
        <v>194382</v>
      </c>
      <c r="AF17" s="192">
        <f>AF10+SUM(AF11:AF16)</f>
        <v>180320</v>
      </c>
      <c r="AG17" s="191">
        <f>AF17</f>
        <v>180320</v>
      </c>
      <c r="AH17" s="192">
        <f>AH10+SUM(AH11:AH16)</f>
        <v>168030</v>
      </c>
      <c r="AI17" s="192">
        <f>AI10+SUM(AI11:AI16)</f>
        <v>164727</v>
      </c>
      <c r="AJ17" s="192">
        <f>AJ10+SUM(AJ11:AJ16)</f>
        <v>174761</v>
      </c>
      <c r="AK17" s="192">
        <f>AK10+SUM(AK11:AK16)</f>
        <v>173639</v>
      </c>
      <c r="AL17" s="191">
        <f>AK17</f>
        <v>173639</v>
      </c>
      <c r="AM17" s="192">
        <f>AM10+SUM(AM11:AM16)</f>
        <v>163556.45819199999</v>
      </c>
      <c r="AN17" s="192">
        <f>AN10+SUM(AN11:AN16)</f>
        <v>163404.705392</v>
      </c>
      <c r="AO17" s="192">
        <f>AO10+SUM(AO11:AO16)</f>
        <v>163427.3983</v>
      </c>
      <c r="AP17" s="192">
        <f>AP10+SUM(AP11:AP16)</f>
        <v>165001.38800600002</v>
      </c>
      <c r="AQ17" s="191">
        <f>AP17</f>
        <v>165001.38800600002</v>
      </c>
    </row>
    <row r="18" spans="2:43">
      <c r="B18" s="170"/>
      <c r="D18" s="230"/>
      <c r="E18" s="230"/>
      <c r="F18" s="230"/>
      <c r="G18" s="230"/>
      <c r="H18" s="155"/>
      <c r="I18" s="230"/>
      <c r="J18" s="230"/>
      <c r="K18" s="230"/>
      <c r="L18" s="230"/>
      <c r="M18" s="155"/>
      <c r="N18" s="230"/>
      <c r="O18" s="230"/>
      <c r="P18" s="230"/>
      <c r="Q18" s="230"/>
      <c r="R18" s="155"/>
      <c r="S18" s="230"/>
      <c r="T18" s="230"/>
      <c r="U18" s="230"/>
      <c r="V18" s="230"/>
      <c r="W18" s="155"/>
      <c r="X18" s="230"/>
      <c r="Y18" s="230"/>
      <c r="Z18" s="230"/>
      <c r="AA18" s="230"/>
      <c r="AB18" s="155"/>
      <c r="AC18" s="230"/>
      <c r="AD18" s="230"/>
      <c r="AE18" s="230"/>
      <c r="AF18" s="230"/>
      <c r="AG18" s="155"/>
      <c r="AH18" s="230"/>
      <c r="AI18" s="230"/>
      <c r="AJ18" s="230"/>
      <c r="AK18" s="230"/>
      <c r="AL18" s="155"/>
      <c r="AM18" s="230"/>
      <c r="AN18" s="230"/>
      <c r="AO18" s="230"/>
      <c r="AP18" s="230"/>
      <c r="AQ18" s="155"/>
    </row>
    <row r="19" spans="2:43" ht="13.15">
      <c r="B19" s="193" t="s">
        <v>181</v>
      </c>
      <c r="D19" s="230"/>
      <c r="E19" s="230"/>
      <c r="F19" s="230"/>
      <c r="G19" s="230"/>
      <c r="H19" s="155"/>
      <c r="I19" s="230"/>
      <c r="J19" s="230"/>
      <c r="K19" s="230"/>
      <c r="L19" s="230"/>
      <c r="M19" s="155"/>
      <c r="N19" s="230"/>
      <c r="O19" s="230"/>
      <c r="P19" s="230"/>
      <c r="Q19" s="230"/>
      <c r="R19" s="155"/>
      <c r="S19" s="230"/>
      <c r="T19" s="230"/>
      <c r="U19" s="230"/>
      <c r="V19" s="230"/>
      <c r="W19" s="155"/>
      <c r="X19" s="230"/>
      <c r="Y19" s="230"/>
      <c r="Z19" s="230"/>
      <c r="AA19" s="230"/>
      <c r="AB19" s="155"/>
      <c r="AC19" s="230"/>
      <c r="AD19" s="230"/>
      <c r="AE19" s="230"/>
      <c r="AF19" s="230"/>
      <c r="AG19" s="155"/>
      <c r="AH19" s="230"/>
      <c r="AI19" s="230"/>
      <c r="AJ19" s="230"/>
      <c r="AK19" s="230"/>
      <c r="AL19" s="155"/>
      <c r="AM19" s="230"/>
      <c r="AN19" s="230"/>
      <c r="AO19" s="230"/>
      <c r="AP19" s="230"/>
      <c r="AQ19" s="155"/>
    </row>
    <row r="20" spans="2:43" ht="13.15">
      <c r="B20" s="193"/>
      <c r="C20" s="22" t="s">
        <v>344</v>
      </c>
      <c r="D20" s="230">
        <v>1240</v>
      </c>
      <c r="E20" s="230">
        <v>2479</v>
      </c>
      <c r="F20" s="230">
        <v>2432</v>
      </c>
      <c r="G20" s="230">
        <v>3986</v>
      </c>
      <c r="H20" s="155">
        <f>G20</f>
        <v>3986</v>
      </c>
      <c r="I20" s="230">
        <v>4170</v>
      </c>
      <c r="J20" s="230">
        <v>4878</v>
      </c>
      <c r="K20" s="230">
        <v>5269</v>
      </c>
      <c r="L20" s="230">
        <v>3588</v>
      </c>
      <c r="M20" s="155">
        <f>L20</f>
        <v>3588</v>
      </c>
      <c r="N20" s="230">
        <v>4267</v>
      </c>
      <c r="O20" s="230">
        <v>6144</v>
      </c>
      <c r="P20" s="230">
        <v>7953</v>
      </c>
      <c r="Q20" s="230">
        <v>4686</v>
      </c>
      <c r="R20" s="155">
        <f>Q20</f>
        <v>4686</v>
      </c>
      <c r="S20" s="230">
        <v>7545</v>
      </c>
      <c r="T20" s="230">
        <v>8565</v>
      </c>
      <c r="U20" s="230">
        <v>6843</v>
      </c>
      <c r="V20" s="230">
        <v>8485</v>
      </c>
      <c r="W20" s="155">
        <f>V20</f>
        <v>8485</v>
      </c>
      <c r="X20" s="230">
        <v>6545</v>
      </c>
      <c r="Y20" s="230">
        <v>5122</v>
      </c>
      <c r="Z20" s="230">
        <v>6485</v>
      </c>
      <c r="AA20" s="230">
        <v>5234</v>
      </c>
      <c r="AB20" s="155">
        <f>AA20</f>
        <v>5234</v>
      </c>
      <c r="AC20" s="650">
        <v>1995</v>
      </c>
      <c r="AD20" s="230">
        <v>4040</v>
      </c>
      <c r="AE20" s="230">
        <v>3410</v>
      </c>
      <c r="AF20" s="230">
        <v>3994</v>
      </c>
      <c r="AG20" s="155">
        <f>AF20</f>
        <v>3994</v>
      </c>
      <c r="AH20" s="650">
        <v>5409</v>
      </c>
      <c r="AI20" s="230">
        <v>3122</v>
      </c>
      <c r="AJ20" s="230">
        <v>2464</v>
      </c>
      <c r="AK20" s="230">
        <v>3888</v>
      </c>
      <c r="AL20" s="155">
        <f>AK20</f>
        <v>3888</v>
      </c>
      <c r="AM20" s="230">
        <f>AM56*IS!AM$11</f>
        <v>5564.9854400000004</v>
      </c>
      <c r="AN20" s="230">
        <f>AN56*IS!AN$11</f>
        <v>5922.4732000000013</v>
      </c>
      <c r="AO20" s="230">
        <f>AO56*IS!AO$11</f>
        <v>6165.8248400000011</v>
      </c>
      <c r="AP20" s="230">
        <f>AP56*IS!AP$11</f>
        <v>6427.3731200000011</v>
      </c>
      <c r="AQ20" s="155">
        <f>AP20</f>
        <v>6427.3731200000011</v>
      </c>
    </row>
    <row r="21" spans="2:43">
      <c r="B21" s="170"/>
      <c r="C21" s="22" t="s">
        <v>324</v>
      </c>
      <c r="D21" s="230">
        <v>567</v>
      </c>
      <c r="E21" s="230">
        <v>713</v>
      </c>
      <c r="F21" s="230">
        <v>798</v>
      </c>
      <c r="G21" s="230">
        <v>1080</v>
      </c>
      <c r="H21" s="155">
        <f>G21</f>
        <v>1080</v>
      </c>
      <c r="I21" s="230">
        <v>1654</v>
      </c>
      <c r="J21" s="230">
        <v>762</v>
      </c>
      <c r="K21" s="230">
        <v>660</v>
      </c>
      <c r="L21" s="230">
        <v>641</v>
      </c>
      <c r="M21" s="155">
        <f>L21</f>
        <v>641</v>
      </c>
      <c r="N21" s="230">
        <v>771</v>
      </c>
      <c r="O21" s="230">
        <v>2800</v>
      </c>
      <c r="P21" s="230">
        <v>3244</v>
      </c>
      <c r="Q21" s="230">
        <v>2844</v>
      </c>
      <c r="R21" s="155">
        <f>Q21</f>
        <v>2844</v>
      </c>
      <c r="S21" s="230">
        <v>3816</v>
      </c>
      <c r="T21" s="230">
        <v>4609</v>
      </c>
      <c r="U21" s="230">
        <v>4728</v>
      </c>
      <c r="V21" s="230">
        <v>4705</v>
      </c>
      <c r="W21" s="155">
        <f>V21</f>
        <v>4705</v>
      </c>
      <c r="X21" s="230">
        <v>3696</v>
      </c>
      <c r="Y21" s="230">
        <v>4386</v>
      </c>
      <c r="Z21" s="230">
        <v>4161</v>
      </c>
      <c r="AA21" s="230">
        <v>5502</v>
      </c>
      <c r="AB21" s="155">
        <f>AA21</f>
        <v>5502</v>
      </c>
      <c r="AC21" s="650">
        <v>6341</v>
      </c>
      <c r="AD21" s="230">
        <v>5457</v>
      </c>
      <c r="AE21" s="230">
        <v>5847</v>
      </c>
      <c r="AF21" s="230">
        <v>5947</v>
      </c>
      <c r="AG21" s="155">
        <f>AF21</f>
        <v>5947</v>
      </c>
      <c r="AH21" s="650">
        <v>3901</v>
      </c>
      <c r="AI21" s="230">
        <v>6187</v>
      </c>
      <c r="AJ21" s="230">
        <v>5189</v>
      </c>
      <c r="AK21" s="230">
        <v>6533</v>
      </c>
      <c r="AL21" s="155">
        <f>AK21</f>
        <v>6533</v>
      </c>
      <c r="AM21" s="230">
        <f>AM57*IS!AM$11</f>
        <v>5564.9854400000004</v>
      </c>
      <c r="AN21" s="230">
        <f>AN57*IS!AN$11</f>
        <v>5922.4732000000013</v>
      </c>
      <c r="AO21" s="230">
        <f>AO57*IS!AO$11</f>
        <v>6165.8248400000011</v>
      </c>
      <c r="AP21" s="230">
        <f>AP57*IS!AP$11</f>
        <v>6656.9221600000001</v>
      </c>
      <c r="AQ21" s="155">
        <f>AP21</f>
        <v>6656.9221600000001</v>
      </c>
    </row>
    <row r="22" spans="2:43">
      <c r="B22" s="170"/>
      <c r="C22" s="22" t="s">
        <v>493</v>
      </c>
      <c r="D22" s="230"/>
      <c r="E22" s="230"/>
      <c r="F22" s="230"/>
      <c r="G22" s="230"/>
      <c r="H22" s="155"/>
      <c r="I22" s="230"/>
      <c r="J22" s="230"/>
      <c r="K22" s="230"/>
      <c r="L22" s="230"/>
      <c r="M22" s="155"/>
      <c r="N22" s="230"/>
      <c r="O22" s="230"/>
      <c r="P22" s="230"/>
      <c r="Q22" s="230"/>
      <c r="R22" s="155"/>
      <c r="S22" s="230"/>
      <c r="T22" s="230"/>
      <c r="U22" s="230"/>
      <c r="V22" s="230"/>
      <c r="W22" s="155"/>
      <c r="X22" s="230"/>
      <c r="Y22" s="230"/>
      <c r="Z22" s="230"/>
      <c r="AA22" s="230"/>
      <c r="AB22" s="155"/>
      <c r="AC22" s="650"/>
      <c r="AD22" s="230"/>
      <c r="AE22" s="230"/>
      <c r="AF22" s="230"/>
      <c r="AG22" s="155"/>
      <c r="AH22" s="650"/>
      <c r="AI22" s="230"/>
      <c r="AJ22" s="230">
        <v>15500</v>
      </c>
      <c r="AK22" s="230">
        <v>11500</v>
      </c>
      <c r="AL22" s="155">
        <f t="shared" ref="AL22:AP22" si="9">AK22</f>
        <v>11500</v>
      </c>
      <c r="AM22" s="441">
        <f t="shared" si="9"/>
        <v>11500</v>
      </c>
      <c r="AN22" s="441">
        <f t="shared" si="9"/>
        <v>11500</v>
      </c>
      <c r="AO22" s="441">
        <f t="shared" si="9"/>
        <v>11500</v>
      </c>
      <c r="AP22" s="441">
        <f t="shared" si="9"/>
        <v>11500</v>
      </c>
      <c r="AQ22" s="155">
        <f t="shared" ref="AQ22" si="10">AP22</f>
        <v>11500</v>
      </c>
    </row>
    <row r="23" spans="2:43">
      <c r="B23" s="170"/>
      <c r="C23" s="22" t="s">
        <v>325</v>
      </c>
      <c r="D23" s="230">
        <v>1174</v>
      </c>
      <c r="E23" s="230">
        <v>3549</v>
      </c>
      <c r="F23" s="230">
        <v>4002</v>
      </c>
      <c r="G23" s="230">
        <v>2723</v>
      </c>
      <c r="H23" s="155">
        <f>G23</f>
        <v>2723</v>
      </c>
      <c r="I23" s="230">
        <v>2465</v>
      </c>
      <c r="J23" s="230">
        <v>2810</v>
      </c>
      <c r="K23" s="230">
        <v>3959</v>
      </c>
      <c r="L23" s="230">
        <v>5240</v>
      </c>
      <c r="M23" s="155">
        <f>L23</f>
        <v>5240</v>
      </c>
      <c r="N23" s="230">
        <v>2945</v>
      </c>
      <c r="O23" s="230">
        <v>4858</v>
      </c>
      <c r="P23" s="230">
        <v>6775</v>
      </c>
      <c r="Q23" s="230">
        <v>7955</v>
      </c>
      <c r="R23" s="155">
        <f>Q23</f>
        <v>7955</v>
      </c>
      <c r="S23" s="230">
        <v>4503</v>
      </c>
      <c r="T23" s="230">
        <v>5817</v>
      </c>
      <c r="U23" s="230">
        <v>6337</v>
      </c>
      <c r="V23" s="230">
        <v>3536</v>
      </c>
      <c r="W23" s="155">
        <f>V23</f>
        <v>3536</v>
      </c>
      <c r="X23" s="230">
        <v>3952</v>
      </c>
      <c r="Y23" s="230">
        <v>5124</v>
      </c>
      <c r="Z23" s="230">
        <v>5526</v>
      </c>
      <c r="AA23" s="230">
        <v>6230</v>
      </c>
      <c r="AB23" s="155">
        <f>AA23</f>
        <v>6230</v>
      </c>
      <c r="AC23" s="650">
        <v>3134</v>
      </c>
      <c r="AD23" s="230">
        <v>5513</v>
      </c>
      <c r="AE23" s="230">
        <v>6816</v>
      </c>
      <c r="AF23" s="230">
        <v>9127</v>
      </c>
      <c r="AG23" s="155">
        <f>AF23</f>
        <v>9127</v>
      </c>
      <c r="AH23" s="650">
        <v>3692</v>
      </c>
      <c r="AI23" s="230">
        <v>5809</v>
      </c>
      <c r="AJ23" s="230">
        <v>7955</v>
      </c>
      <c r="AK23" s="230">
        <v>10457</v>
      </c>
      <c r="AL23" s="155">
        <f>AK23</f>
        <v>10457</v>
      </c>
      <c r="AM23" s="230">
        <f>AM58*IS!AM$11</f>
        <v>6757.482320000001</v>
      </c>
      <c r="AN23" s="230">
        <f>AN58*IS!AN$11</f>
        <v>7191.5746000000017</v>
      </c>
      <c r="AO23" s="230">
        <f>AO58*IS!AO$11</f>
        <v>7266.8649900000019</v>
      </c>
      <c r="AP23" s="230">
        <f>AP58*IS!AP$11</f>
        <v>7804.6673600000013</v>
      </c>
      <c r="AQ23" s="155">
        <f>AP23</f>
        <v>7804.6673600000013</v>
      </c>
    </row>
    <row r="24" spans="2:43">
      <c r="B24" s="170"/>
      <c r="C24" s="22" t="s">
        <v>326</v>
      </c>
      <c r="D24" s="230">
        <v>0</v>
      </c>
      <c r="E24" s="230">
        <v>0</v>
      </c>
      <c r="F24" s="230">
        <v>0</v>
      </c>
      <c r="G24" s="230">
        <v>0</v>
      </c>
      <c r="H24" s="155"/>
      <c r="I24" s="230">
        <v>0</v>
      </c>
      <c r="J24" s="230">
        <v>17000</v>
      </c>
      <c r="K24" s="230">
        <v>17000</v>
      </c>
      <c r="L24" s="230">
        <v>0</v>
      </c>
      <c r="M24" s="155"/>
      <c r="N24" s="230">
        <v>0</v>
      </c>
      <c r="O24" s="230">
        <v>0</v>
      </c>
      <c r="P24" s="230">
        <v>0</v>
      </c>
      <c r="Q24" s="230">
        <v>0</v>
      </c>
      <c r="R24" s="155"/>
      <c r="S24" s="230">
        <v>0</v>
      </c>
      <c r="T24" s="230">
        <v>0</v>
      </c>
      <c r="U24" s="230">
        <v>0</v>
      </c>
      <c r="V24" s="230">
        <v>0</v>
      </c>
      <c r="W24" s="155"/>
      <c r="X24" s="230">
        <v>0</v>
      </c>
      <c r="Y24" s="230"/>
      <c r="Z24" s="230">
        <v>0</v>
      </c>
      <c r="AA24" s="230">
        <v>0</v>
      </c>
      <c r="AB24" s="155"/>
      <c r="AC24" s="650">
        <v>0</v>
      </c>
      <c r="AD24" s="230"/>
      <c r="AE24" s="230"/>
      <c r="AF24" s="230"/>
      <c r="AG24" s="155"/>
      <c r="AH24" s="650"/>
      <c r="AI24" s="230"/>
      <c r="AJ24" s="230"/>
      <c r="AK24" s="230"/>
      <c r="AL24" s="155"/>
      <c r="AM24" s="230">
        <v>0</v>
      </c>
      <c r="AN24" s="230">
        <v>0</v>
      </c>
      <c r="AO24" s="230">
        <v>0</v>
      </c>
      <c r="AP24" s="230">
        <v>0</v>
      </c>
      <c r="AQ24" s="155"/>
    </row>
    <row r="25" spans="2:43">
      <c r="B25" s="170"/>
      <c r="C25" s="22" t="s">
        <v>135</v>
      </c>
      <c r="D25" s="230">
        <v>801</v>
      </c>
      <c r="E25" s="230">
        <v>681</v>
      </c>
      <c r="F25" s="230">
        <v>646</v>
      </c>
      <c r="G25" s="230">
        <v>1418</v>
      </c>
      <c r="H25" s="155">
        <f>G25</f>
        <v>1418</v>
      </c>
      <c r="I25" s="230">
        <v>1537</v>
      </c>
      <c r="J25" s="230">
        <v>1339</v>
      </c>
      <c r="K25" s="230">
        <v>1101</v>
      </c>
      <c r="L25" s="230">
        <v>1642</v>
      </c>
      <c r="M25" s="155">
        <f>L25</f>
        <v>1642</v>
      </c>
      <c r="N25" s="230">
        <v>2752</v>
      </c>
      <c r="O25" s="230">
        <v>1489</v>
      </c>
      <c r="P25" s="230">
        <v>1575</v>
      </c>
      <c r="Q25" s="230">
        <v>2175</v>
      </c>
      <c r="R25" s="155">
        <f>Q25</f>
        <v>2175</v>
      </c>
      <c r="S25" s="230">
        <v>3035</v>
      </c>
      <c r="T25" s="230">
        <v>2690</v>
      </c>
      <c r="U25" s="230">
        <v>2741</v>
      </c>
      <c r="V25" s="230">
        <v>4100</v>
      </c>
      <c r="W25" s="155">
        <f>V25</f>
        <v>4100</v>
      </c>
      <c r="X25" s="230">
        <v>4169</v>
      </c>
      <c r="Y25" s="230">
        <v>3310</v>
      </c>
      <c r="Z25" s="230">
        <v>2966</v>
      </c>
      <c r="AA25" s="230">
        <v>4285</v>
      </c>
      <c r="AB25" s="155">
        <f>AA25</f>
        <v>4285</v>
      </c>
      <c r="AC25" s="650">
        <v>3501</v>
      </c>
      <c r="AD25" s="230">
        <v>3518</v>
      </c>
      <c r="AE25" s="230">
        <v>3042</v>
      </c>
      <c r="AF25" s="230">
        <v>4296</v>
      </c>
      <c r="AG25" s="155">
        <f>AF25</f>
        <v>4296</v>
      </c>
      <c r="AH25" s="650">
        <v>3905</v>
      </c>
      <c r="AI25" s="230">
        <v>3493</v>
      </c>
      <c r="AJ25" s="230">
        <v>4272</v>
      </c>
      <c r="AK25" s="230">
        <v>5382</v>
      </c>
      <c r="AL25" s="155">
        <f>AK25</f>
        <v>5382</v>
      </c>
      <c r="AM25" s="230">
        <f>AM59*IS!AM$11</f>
        <v>3974.9896000000003</v>
      </c>
      <c r="AN25" s="230">
        <f>AN59*IS!AN$11</f>
        <v>4230.3380000000006</v>
      </c>
      <c r="AO25" s="230">
        <f>AO59*IS!AO$11</f>
        <v>4404.1606000000011</v>
      </c>
      <c r="AP25" s="230">
        <f>AP59*IS!AP$11</f>
        <v>5050.0788800000009</v>
      </c>
      <c r="AQ25" s="155">
        <f>AP25</f>
        <v>5050.0788800000009</v>
      </c>
    </row>
    <row r="26" spans="2:43">
      <c r="B26" s="170"/>
      <c r="C26" s="22" t="s">
        <v>327</v>
      </c>
      <c r="D26" s="230">
        <v>0</v>
      </c>
      <c r="E26" s="230">
        <v>0</v>
      </c>
      <c r="F26" s="230">
        <v>0</v>
      </c>
      <c r="G26" s="230">
        <v>0</v>
      </c>
      <c r="H26" s="155"/>
      <c r="I26" s="230">
        <v>1271</v>
      </c>
      <c r="J26" s="230">
        <v>1158</v>
      </c>
      <c r="K26" s="230">
        <v>1016</v>
      </c>
      <c r="L26" s="230">
        <v>1018</v>
      </c>
      <c r="M26" s="155"/>
      <c r="N26" s="230">
        <v>1031</v>
      </c>
      <c r="O26" s="230">
        <v>1045</v>
      </c>
      <c r="P26" s="230">
        <v>1059</v>
      </c>
      <c r="Q26" s="230">
        <v>890</v>
      </c>
      <c r="R26" s="155">
        <f>Q26</f>
        <v>890</v>
      </c>
      <c r="S26" s="230">
        <v>627</v>
      </c>
      <c r="T26" s="650">
        <v>1229</v>
      </c>
      <c r="U26" s="231">
        <v>1599</v>
      </c>
      <c r="V26" s="650">
        <v>1902</v>
      </c>
      <c r="W26" s="155">
        <f>V26</f>
        <v>1902</v>
      </c>
      <c r="X26" s="650">
        <v>1981</v>
      </c>
      <c r="Y26" s="650">
        <v>1982</v>
      </c>
      <c r="Z26" s="650">
        <v>1905</v>
      </c>
      <c r="AA26" s="650">
        <v>1826</v>
      </c>
      <c r="AB26" s="155">
        <f>AA26</f>
        <v>1826</v>
      </c>
      <c r="AC26" s="650">
        <v>1983</v>
      </c>
      <c r="AD26" s="650">
        <v>1905</v>
      </c>
      <c r="AE26" s="650">
        <v>1823</v>
      </c>
      <c r="AF26" s="650">
        <v>2288</v>
      </c>
      <c r="AG26" s="155">
        <f>AF26</f>
        <v>2288</v>
      </c>
      <c r="AH26" s="650">
        <v>2460</v>
      </c>
      <c r="AI26" s="650">
        <v>2514</v>
      </c>
      <c r="AJ26" s="650">
        <v>2569</v>
      </c>
      <c r="AK26" s="650">
        <v>2624</v>
      </c>
      <c r="AL26" s="155">
        <f>AK26</f>
        <v>2624</v>
      </c>
      <c r="AM26" s="441">
        <f>AK26-80</f>
        <v>2544</v>
      </c>
      <c r="AN26" s="441">
        <f>AM26-80</f>
        <v>2464</v>
      </c>
      <c r="AO26" s="441">
        <f>AN26-80</f>
        <v>2384</v>
      </c>
      <c r="AP26" s="441">
        <f>AO26-80</f>
        <v>2304</v>
      </c>
      <c r="AQ26" s="155">
        <f>AP26</f>
        <v>2304</v>
      </c>
    </row>
    <row r="27" spans="2:43" outlineLevel="1">
      <c r="B27" s="170"/>
      <c r="C27" s="22" t="s">
        <v>328</v>
      </c>
      <c r="D27" s="230">
        <v>0</v>
      </c>
      <c r="E27" s="230">
        <v>0</v>
      </c>
      <c r="F27" s="230">
        <v>0</v>
      </c>
      <c r="G27" s="230">
        <v>0</v>
      </c>
      <c r="H27" s="155">
        <f>G27</f>
        <v>0</v>
      </c>
      <c r="I27" s="230">
        <v>107</v>
      </c>
      <c r="J27" s="230">
        <v>109</v>
      </c>
      <c r="K27" s="230">
        <v>111</v>
      </c>
      <c r="L27" s="230">
        <v>112</v>
      </c>
      <c r="M27" s="155">
        <f>L27</f>
        <v>112</v>
      </c>
      <c r="N27" s="230">
        <v>114</v>
      </c>
      <c r="O27" s="230">
        <v>116</v>
      </c>
      <c r="P27" s="230">
        <v>117</v>
      </c>
      <c r="Q27" s="230">
        <v>99</v>
      </c>
      <c r="R27" s="155">
        <f>Q27</f>
        <v>99</v>
      </c>
      <c r="S27" s="230">
        <v>70</v>
      </c>
      <c r="T27" s="230">
        <v>39</v>
      </c>
      <c r="U27" s="231">
        <v>31</v>
      </c>
      <c r="V27" s="230">
        <v>39</v>
      </c>
      <c r="W27" s="155">
        <f>V27</f>
        <v>39</v>
      </c>
      <c r="X27" s="650">
        <v>40</v>
      </c>
      <c r="Y27" s="230">
        <v>40</v>
      </c>
      <c r="Z27" s="230">
        <f>Y27</f>
        <v>40</v>
      </c>
      <c r="AA27" s="650">
        <v>41</v>
      </c>
      <c r="AB27" s="155">
        <f>AA27</f>
        <v>41</v>
      </c>
      <c r="AC27" s="650">
        <v>41</v>
      </c>
      <c r="AD27" s="230">
        <v>41</v>
      </c>
      <c r="AE27" s="230">
        <v>42</v>
      </c>
      <c r="AF27" s="650">
        <v>42</v>
      </c>
      <c r="AG27" s="155">
        <f>AF27</f>
        <v>42</v>
      </c>
      <c r="AH27" s="650">
        <v>43</v>
      </c>
      <c r="AI27" s="230">
        <v>43</v>
      </c>
      <c r="AJ27" s="230">
        <v>43</v>
      </c>
      <c r="AK27" s="650">
        <v>44</v>
      </c>
      <c r="AL27" s="155">
        <f>AK27</f>
        <v>44</v>
      </c>
      <c r="AM27" s="230">
        <f>AL27</f>
        <v>44</v>
      </c>
      <c r="AN27" s="230">
        <f>AM27</f>
        <v>44</v>
      </c>
      <c r="AO27" s="230">
        <f>AN27</f>
        <v>44</v>
      </c>
      <c r="AP27" s="230">
        <f>AO27</f>
        <v>44</v>
      </c>
      <c r="AQ27" s="155">
        <f>AP27</f>
        <v>44</v>
      </c>
    </row>
    <row r="28" spans="2:43" s="197" customFormat="1" ht="13.15">
      <c r="B28" s="193" t="s">
        <v>8</v>
      </c>
      <c r="D28" s="192">
        <f t="shared" ref="D28:AB28" si="11">SUM(D20:D27)</f>
        <v>3782</v>
      </c>
      <c r="E28" s="192">
        <f t="shared" si="11"/>
        <v>7422</v>
      </c>
      <c r="F28" s="192">
        <f t="shared" si="11"/>
        <v>7878</v>
      </c>
      <c r="G28" s="192">
        <f t="shared" si="11"/>
        <v>9207</v>
      </c>
      <c r="H28" s="191">
        <f t="shared" si="11"/>
        <v>9207</v>
      </c>
      <c r="I28" s="192">
        <f t="shared" si="11"/>
        <v>11204</v>
      </c>
      <c r="J28" s="192">
        <f t="shared" si="11"/>
        <v>28056</v>
      </c>
      <c r="K28" s="192">
        <f t="shared" si="11"/>
        <v>29116</v>
      </c>
      <c r="L28" s="192">
        <f t="shared" si="11"/>
        <v>12241</v>
      </c>
      <c r="M28" s="191">
        <f t="shared" si="11"/>
        <v>11223</v>
      </c>
      <c r="N28" s="192">
        <f t="shared" si="11"/>
        <v>11880</v>
      </c>
      <c r="O28" s="192">
        <f t="shared" si="11"/>
        <v>16452</v>
      </c>
      <c r="P28" s="192">
        <f t="shared" si="11"/>
        <v>20723</v>
      </c>
      <c r="Q28" s="192">
        <f t="shared" si="11"/>
        <v>18649</v>
      </c>
      <c r="R28" s="191">
        <f t="shared" si="11"/>
        <v>18649</v>
      </c>
      <c r="S28" s="192">
        <f t="shared" si="11"/>
        <v>19596</v>
      </c>
      <c r="T28" s="192">
        <f t="shared" si="11"/>
        <v>22949</v>
      </c>
      <c r="U28" s="775">
        <f t="shared" si="11"/>
        <v>22279</v>
      </c>
      <c r="V28" s="192">
        <f t="shared" si="11"/>
        <v>22767</v>
      </c>
      <c r="W28" s="191">
        <f t="shared" si="11"/>
        <v>22767</v>
      </c>
      <c r="X28" s="652">
        <f t="shared" si="11"/>
        <v>20383</v>
      </c>
      <c r="Y28" s="192">
        <f t="shared" si="11"/>
        <v>19964</v>
      </c>
      <c r="Z28" s="192">
        <f t="shared" si="11"/>
        <v>21083</v>
      </c>
      <c r="AA28" s="192">
        <f t="shared" si="11"/>
        <v>23118</v>
      </c>
      <c r="AB28" s="191">
        <f t="shared" si="11"/>
        <v>23118</v>
      </c>
      <c r="AC28" s="652">
        <f t="shared" ref="AC28:AQ28" si="12">SUM(AC20:AC27)</f>
        <v>16995</v>
      </c>
      <c r="AD28" s="192">
        <f t="shared" si="12"/>
        <v>20474</v>
      </c>
      <c r="AE28" s="192">
        <f t="shared" si="12"/>
        <v>20980</v>
      </c>
      <c r="AF28" s="192">
        <f t="shared" si="12"/>
        <v>25694</v>
      </c>
      <c r="AG28" s="191">
        <f t="shared" si="12"/>
        <v>25694</v>
      </c>
      <c r="AH28" s="652">
        <f t="shared" si="12"/>
        <v>19410</v>
      </c>
      <c r="AI28" s="192">
        <f t="shared" si="12"/>
        <v>21168</v>
      </c>
      <c r="AJ28" s="192">
        <f t="shared" ref="AJ28:AK28" si="13">SUM(AJ20:AJ27)</f>
        <v>37992</v>
      </c>
      <c r="AK28" s="192">
        <f t="shared" si="13"/>
        <v>40428</v>
      </c>
      <c r="AL28" s="191">
        <f t="shared" si="12"/>
        <v>40428</v>
      </c>
      <c r="AM28" s="192">
        <f t="shared" si="12"/>
        <v>35950.442800000004</v>
      </c>
      <c r="AN28" s="192">
        <f t="shared" si="12"/>
        <v>37274.859000000004</v>
      </c>
      <c r="AO28" s="192">
        <f t="shared" si="12"/>
        <v>37930.675270000007</v>
      </c>
      <c r="AP28" s="192">
        <f t="shared" si="12"/>
        <v>39787.041520000006</v>
      </c>
      <c r="AQ28" s="191">
        <f t="shared" si="12"/>
        <v>39787.041520000006</v>
      </c>
    </row>
    <row r="29" spans="2:43">
      <c r="B29" s="170"/>
      <c r="C29" s="22" t="s">
        <v>329</v>
      </c>
      <c r="D29" s="230">
        <v>0</v>
      </c>
      <c r="E29" s="230">
        <v>0</v>
      </c>
      <c r="F29" s="230">
        <v>0</v>
      </c>
      <c r="G29" s="230">
        <v>0</v>
      </c>
      <c r="H29" s="155">
        <f>G29</f>
        <v>0</v>
      </c>
      <c r="I29" s="230">
        <v>17000</v>
      </c>
      <c r="J29" s="230">
        <v>0</v>
      </c>
      <c r="K29" s="230">
        <v>0</v>
      </c>
      <c r="L29" s="230">
        <v>0</v>
      </c>
      <c r="M29" s="155">
        <f>L29</f>
        <v>0</v>
      </c>
      <c r="N29" s="230">
        <v>0</v>
      </c>
      <c r="O29" s="230">
        <f t="shared" ref="O29:Q30" si="14">N29</f>
        <v>0</v>
      </c>
      <c r="P29" s="230">
        <f t="shared" si="14"/>
        <v>0</v>
      </c>
      <c r="Q29" s="230">
        <f t="shared" si="14"/>
        <v>0</v>
      </c>
      <c r="R29" s="155">
        <f t="shared" ref="R29:AF29" si="15">Q29</f>
        <v>0</v>
      </c>
      <c r="S29" s="230">
        <f t="shared" si="15"/>
        <v>0</v>
      </c>
      <c r="T29" s="230">
        <f t="shared" si="15"/>
        <v>0</v>
      </c>
      <c r="U29" s="231">
        <f t="shared" si="15"/>
        <v>0</v>
      </c>
      <c r="V29" s="230">
        <f t="shared" si="15"/>
        <v>0</v>
      </c>
      <c r="W29" s="155">
        <f t="shared" si="15"/>
        <v>0</v>
      </c>
      <c r="X29" s="650">
        <f t="shared" si="15"/>
        <v>0</v>
      </c>
      <c r="Y29" s="230">
        <f t="shared" si="15"/>
        <v>0</v>
      </c>
      <c r="Z29" s="230">
        <f t="shared" si="15"/>
        <v>0</v>
      </c>
      <c r="AA29" s="230">
        <f t="shared" si="15"/>
        <v>0</v>
      </c>
      <c r="AB29" s="155">
        <f t="shared" si="15"/>
        <v>0</v>
      </c>
      <c r="AC29" s="650">
        <f>AB29</f>
        <v>0</v>
      </c>
      <c r="AD29" s="230">
        <f t="shared" si="15"/>
        <v>0</v>
      </c>
      <c r="AE29" s="230">
        <v>0</v>
      </c>
      <c r="AF29" s="230">
        <f t="shared" si="15"/>
        <v>0</v>
      </c>
      <c r="AG29" s="155">
        <f t="shared" ref="AG29:AH30" si="16">AF29</f>
        <v>0</v>
      </c>
      <c r="AH29" s="650">
        <f t="shared" si="16"/>
        <v>0</v>
      </c>
      <c r="AI29" s="230"/>
      <c r="AJ29" s="230"/>
      <c r="AK29" s="230">
        <f t="shared" ref="AK29:AK30" si="17">AJ29</f>
        <v>0</v>
      </c>
      <c r="AL29" s="155">
        <f t="shared" ref="AL29:AQ30" si="18">AK29</f>
        <v>0</v>
      </c>
      <c r="AM29" s="230">
        <f t="shared" si="18"/>
        <v>0</v>
      </c>
      <c r="AN29" s="230">
        <f t="shared" si="18"/>
        <v>0</v>
      </c>
      <c r="AO29" s="230">
        <f t="shared" si="18"/>
        <v>0</v>
      </c>
      <c r="AP29" s="230">
        <f t="shared" si="18"/>
        <v>0</v>
      </c>
      <c r="AQ29" s="155">
        <f t="shared" si="18"/>
        <v>0</v>
      </c>
    </row>
    <row r="30" spans="2:43">
      <c r="B30" s="170"/>
      <c r="C30" s="22" t="s">
        <v>330</v>
      </c>
      <c r="D30" s="230">
        <v>0</v>
      </c>
      <c r="E30" s="230">
        <v>0</v>
      </c>
      <c r="F30" s="230">
        <v>0</v>
      </c>
      <c r="G30" s="230">
        <v>0</v>
      </c>
      <c r="H30" s="155">
        <f>G30</f>
        <v>0</v>
      </c>
      <c r="I30" s="230">
        <v>0</v>
      </c>
      <c r="J30" s="230">
        <v>0</v>
      </c>
      <c r="K30" s="230">
        <v>0</v>
      </c>
      <c r="L30" s="230">
        <v>0</v>
      </c>
      <c r="M30" s="155">
        <f>L30</f>
        <v>0</v>
      </c>
      <c r="N30" s="230">
        <v>0</v>
      </c>
      <c r="O30" s="230">
        <f t="shared" si="14"/>
        <v>0</v>
      </c>
      <c r="P30" s="230">
        <f t="shared" si="14"/>
        <v>0</v>
      </c>
      <c r="Q30" s="230">
        <f t="shared" si="14"/>
        <v>0</v>
      </c>
      <c r="R30" s="155">
        <f t="shared" ref="R30:AF30" si="19">Q30</f>
        <v>0</v>
      </c>
      <c r="S30" s="230">
        <f t="shared" si="19"/>
        <v>0</v>
      </c>
      <c r="T30" s="230">
        <f t="shared" si="19"/>
        <v>0</v>
      </c>
      <c r="U30" s="231">
        <f t="shared" si="19"/>
        <v>0</v>
      </c>
      <c r="V30" s="230">
        <f t="shared" si="19"/>
        <v>0</v>
      </c>
      <c r="W30" s="155">
        <f t="shared" si="19"/>
        <v>0</v>
      </c>
      <c r="X30" s="650">
        <f t="shared" si="19"/>
        <v>0</v>
      </c>
      <c r="Y30" s="230">
        <f t="shared" si="19"/>
        <v>0</v>
      </c>
      <c r="Z30" s="230">
        <f t="shared" si="19"/>
        <v>0</v>
      </c>
      <c r="AA30" s="230">
        <f t="shared" si="19"/>
        <v>0</v>
      </c>
      <c r="AB30" s="155">
        <f t="shared" si="19"/>
        <v>0</v>
      </c>
      <c r="AC30" s="650">
        <f>AB30</f>
        <v>0</v>
      </c>
      <c r="AD30" s="230">
        <f t="shared" si="19"/>
        <v>0</v>
      </c>
      <c r="AE30" s="230">
        <v>0</v>
      </c>
      <c r="AF30" s="230">
        <f t="shared" si="19"/>
        <v>0</v>
      </c>
      <c r="AG30" s="155">
        <f t="shared" si="16"/>
        <v>0</v>
      </c>
      <c r="AH30" s="650">
        <f t="shared" si="16"/>
        <v>0</v>
      </c>
      <c r="AI30" s="230"/>
      <c r="AJ30" s="230"/>
      <c r="AK30" s="230">
        <f t="shared" si="17"/>
        <v>0</v>
      </c>
      <c r="AL30" s="155">
        <f t="shared" si="18"/>
        <v>0</v>
      </c>
      <c r="AM30" s="230">
        <f t="shared" si="18"/>
        <v>0</v>
      </c>
      <c r="AN30" s="230">
        <f t="shared" si="18"/>
        <v>0</v>
      </c>
      <c r="AO30" s="230">
        <f t="shared" si="18"/>
        <v>0</v>
      </c>
      <c r="AP30" s="230">
        <f t="shared" si="18"/>
        <v>0</v>
      </c>
      <c r="AQ30" s="155">
        <f t="shared" si="18"/>
        <v>0</v>
      </c>
    </row>
    <row r="31" spans="2:43">
      <c r="B31" s="170"/>
      <c r="C31" s="22" t="s">
        <v>331</v>
      </c>
      <c r="D31" s="230">
        <v>0</v>
      </c>
      <c r="E31" s="230">
        <v>0</v>
      </c>
      <c r="F31" s="230">
        <v>0</v>
      </c>
      <c r="G31" s="230">
        <v>0</v>
      </c>
      <c r="H31" s="155">
        <f>G31</f>
        <v>0</v>
      </c>
      <c r="I31" s="230">
        <v>1658</v>
      </c>
      <c r="J31" s="230">
        <v>1405</v>
      </c>
      <c r="K31" s="230">
        <v>1149</v>
      </c>
      <c r="L31" s="230">
        <v>890</v>
      </c>
      <c r="M31" s="155">
        <f>L31</f>
        <v>890</v>
      </c>
      <c r="N31" s="230">
        <v>627</v>
      </c>
      <c r="O31" s="230">
        <v>361</v>
      </c>
      <c r="P31" s="230">
        <v>91</v>
      </c>
      <c r="Q31" s="230">
        <v>0</v>
      </c>
      <c r="R31" s="155">
        <f>Q31</f>
        <v>0</v>
      </c>
      <c r="S31" s="230">
        <v>0</v>
      </c>
      <c r="T31" s="650">
        <v>9711</v>
      </c>
      <c r="U31" s="231">
        <v>9219</v>
      </c>
      <c r="V31" s="650">
        <v>8770</v>
      </c>
      <c r="W31" s="155">
        <f>V31</f>
        <v>8770</v>
      </c>
      <c r="X31" s="650">
        <v>8449</v>
      </c>
      <c r="Y31" s="650">
        <v>7969</v>
      </c>
      <c r="Z31" s="650">
        <v>7560</v>
      </c>
      <c r="AA31" s="650">
        <v>7136</v>
      </c>
      <c r="AB31" s="155">
        <f>AA31</f>
        <v>7136</v>
      </c>
      <c r="AC31" s="650">
        <v>6702</v>
      </c>
      <c r="AD31" s="650">
        <v>6262</v>
      </c>
      <c r="AE31" s="650">
        <v>5817</v>
      </c>
      <c r="AF31" s="650">
        <v>6855</v>
      </c>
      <c r="AG31" s="155">
        <f>AF31</f>
        <v>6855</v>
      </c>
      <c r="AH31" s="650">
        <v>6216</v>
      </c>
      <c r="AI31" s="650">
        <v>5566</v>
      </c>
      <c r="AJ31" s="650">
        <v>4908</v>
      </c>
      <c r="AK31" s="650">
        <v>4231</v>
      </c>
      <c r="AL31" s="155">
        <f>AK31</f>
        <v>4231</v>
      </c>
      <c r="AM31" s="441">
        <f>AK31-440</f>
        <v>3791</v>
      </c>
      <c r="AN31" s="441">
        <f>AM31-440</f>
        <v>3351</v>
      </c>
      <c r="AO31" s="441">
        <f>AN31-440</f>
        <v>2911</v>
      </c>
      <c r="AP31" s="441">
        <f>AO31-440</f>
        <v>2471</v>
      </c>
      <c r="AQ31" s="155">
        <f>AP31</f>
        <v>2471</v>
      </c>
    </row>
    <row r="32" spans="2:43">
      <c r="B32" s="170"/>
      <c r="C32" s="22" t="s">
        <v>332</v>
      </c>
      <c r="D32" s="230">
        <v>0</v>
      </c>
      <c r="E32" s="230">
        <v>0</v>
      </c>
      <c r="F32" s="230">
        <v>0</v>
      </c>
      <c r="G32" s="230">
        <v>0</v>
      </c>
      <c r="H32" s="155"/>
      <c r="I32" s="230">
        <v>183</v>
      </c>
      <c r="J32" s="230">
        <v>156</v>
      </c>
      <c r="K32" s="230">
        <v>127</v>
      </c>
      <c r="L32" s="230">
        <v>99</v>
      </c>
      <c r="M32" s="155"/>
      <c r="N32" s="230">
        <v>70</v>
      </c>
      <c r="O32" s="230">
        <v>40</v>
      </c>
      <c r="P32" s="230">
        <v>10</v>
      </c>
      <c r="Q32" s="230">
        <v>0</v>
      </c>
      <c r="R32" s="155">
        <f>Q32</f>
        <v>0</v>
      </c>
      <c r="S32" s="230">
        <f>R32</f>
        <v>0</v>
      </c>
      <c r="T32" s="650">
        <v>219</v>
      </c>
      <c r="U32" s="231">
        <v>209</v>
      </c>
      <c r="V32" s="650">
        <v>199</v>
      </c>
      <c r="W32" s="155">
        <f>V32</f>
        <v>199</v>
      </c>
      <c r="X32" s="650">
        <v>189</v>
      </c>
      <c r="Y32" s="650">
        <v>179</v>
      </c>
      <c r="Z32" s="650">
        <v>169</v>
      </c>
      <c r="AA32" s="650">
        <v>158</v>
      </c>
      <c r="AB32" s="155">
        <f>AA32</f>
        <v>158</v>
      </c>
      <c r="AC32" s="650">
        <v>148</v>
      </c>
      <c r="AD32" s="650">
        <v>137</v>
      </c>
      <c r="AE32" s="650">
        <v>127</v>
      </c>
      <c r="AF32" s="650">
        <v>116</v>
      </c>
      <c r="AG32" s="155">
        <f>AF32</f>
        <v>116</v>
      </c>
      <c r="AH32" s="650">
        <v>105</v>
      </c>
      <c r="AI32" s="650">
        <v>94</v>
      </c>
      <c r="AJ32" s="650">
        <v>83</v>
      </c>
      <c r="AK32" s="650">
        <v>72</v>
      </c>
      <c r="AL32" s="155">
        <f>AK32</f>
        <v>72</v>
      </c>
      <c r="AM32" s="441">
        <f t="shared" ref="AM32:AP33" si="20">AL32</f>
        <v>72</v>
      </c>
      <c r="AN32" s="441">
        <f t="shared" si="20"/>
        <v>72</v>
      </c>
      <c r="AO32" s="441">
        <f t="shared" si="20"/>
        <v>72</v>
      </c>
      <c r="AP32" s="441">
        <f t="shared" si="20"/>
        <v>72</v>
      </c>
      <c r="AQ32" s="155">
        <f>AP32</f>
        <v>72</v>
      </c>
    </row>
    <row r="33" spans="2:43">
      <c r="B33" s="170"/>
      <c r="C33" s="22" t="s">
        <v>333</v>
      </c>
      <c r="D33" s="230">
        <v>121</v>
      </c>
      <c r="E33" s="230">
        <v>336</v>
      </c>
      <c r="F33" s="230">
        <v>361</v>
      </c>
      <c r="G33" s="230">
        <v>270</v>
      </c>
      <c r="H33" s="155">
        <f>G33</f>
        <v>270</v>
      </c>
      <c r="I33" s="230">
        <v>0</v>
      </c>
      <c r="J33" s="230">
        <v>0</v>
      </c>
      <c r="K33" s="230">
        <v>1</v>
      </c>
      <c r="L33" s="230">
        <v>0</v>
      </c>
      <c r="M33" s="155">
        <f>L33</f>
        <v>0</v>
      </c>
      <c r="N33" s="230">
        <v>0</v>
      </c>
      <c r="O33" s="230">
        <f>N33</f>
        <v>0</v>
      </c>
      <c r="P33" s="230">
        <f>O33</f>
        <v>0</v>
      </c>
      <c r="Q33" s="230">
        <v>75</v>
      </c>
      <c r="R33" s="155">
        <f>Q33</f>
        <v>75</v>
      </c>
      <c r="S33" s="230">
        <v>653</v>
      </c>
      <c r="T33" s="650">
        <v>631</v>
      </c>
      <c r="U33" s="231">
        <v>723</v>
      </c>
      <c r="V33" s="650">
        <v>950</v>
      </c>
      <c r="W33" s="155">
        <f>V33</f>
        <v>950</v>
      </c>
      <c r="X33" s="650">
        <v>458</v>
      </c>
      <c r="Y33" s="650">
        <v>424</v>
      </c>
      <c r="Z33" s="650">
        <v>389</v>
      </c>
      <c r="AA33" s="650">
        <v>800</v>
      </c>
      <c r="AB33" s="155">
        <f>AA33</f>
        <v>800</v>
      </c>
      <c r="AC33" s="650">
        <v>278</v>
      </c>
      <c r="AD33" s="650">
        <v>238</v>
      </c>
      <c r="AE33" s="650">
        <v>199</v>
      </c>
      <c r="AF33" s="650">
        <v>141</v>
      </c>
      <c r="AG33" s="155">
        <f>AF33</f>
        <v>141</v>
      </c>
      <c r="AH33" s="650">
        <v>127</v>
      </c>
      <c r="AI33" s="650">
        <v>149</v>
      </c>
      <c r="AJ33" s="650">
        <v>148</v>
      </c>
      <c r="AK33" s="650">
        <v>601</v>
      </c>
      <c r="AL33" s="155">
        <f>AK33</f>
        <v>601</v>
      </c>
      <c r="AM33" s="230">
        <f t="shared" si="20"/>
        <v>601</v>
      </c>
      <c r="AN33" s="230">
        <f t="shared" si="20"/>
        <v>601</v>
      </c>
      <c r="AO33" s="230">
        <f t="shared" si="20"/>
        <v>601</v>
      </c>
      <c r="AP33" s="230">
        <f t="shared" si="20"/>
        <v>601</v>
      </c>
      <c r="AQ33" s="155">
        <f>AP33</f>
        <v>601</v>
      </c>
    </row>
    <row r="34" spans="2:43" s="197" customFormat="1" ht="13.15">
      <c r="B34" s="193" t="s">
        <v>9</v>
      </c>
      <c r="D34" s="192">
        <f t="shared" ref="D34:V34" si="21">D28+SUM(D29:D33)</f>
        <v>3903</v>
      </c>
      <c r="E34" s="192">
        <f t="shared" si="21"/>
        <v>7758</v>
      </c>
      <c r="F34" s="192">
        <f t="shared" si="21"/>
        <v>8239</v>
      </c>
      <c r="G34" s="192">
        <f t="shared" si="21"/>
        <v>9477</v>
      </c>
      <c r="H34" s="191">
        <f>H28+SUM(H29:H33)</f>
        <v>9477</v>
      </c>
      <c r="I34" s="192">
        <f t="shared" si="21"/>
        <v>30045</v>
      </c>
      <c r="J34" s="192">
        <f t="shared" si="21"/>
        <v>29617</v>
      </c>
      <c r="K34" s="192">
        <f t="shared" si="21"/>
        <v>30393</v>
      </c>
      <c r="L34" s="192">
        <f t="shared" si="21"/>
        <v>13230</v>
      </c>
      <c r="M34" s="191">
        <f>M28+SUM(M29:M33)</f>
        <v>12113</v>
      </c>
      <c r="N34" s="192">
        <f t="shared" si="21"/>
        <v>12577</v>
      </c>
      <c r="O34" s="192">
        <f t="shared" si="21"/>
        <v>16853</v>
      </c>
      <c r="P34" s="192">
        <f t="shared" si="21"/>
        <v>20824</v>
      </c>
      <c r="Q34" s="192">
        <f t="shared" si="21"/>
        <v>18724</v>
      </c>
      <c r="R34" s="191">
        <f>R28+SUM(R29:R33)</f>
        <v>18724</v>
      </c>
      <c r="S34" s="192">
        <f t="shared" si="21"/>
        <v>20249</v>
      </c>
      <c r="T34" s="192">
        <f t="shared" si="21"/>
        <v>33510</v>
      </c>
      <c r="U34" s="192">
        <f t="shared" si="21"/>
        <v>32430</v>
      </c>
      <c r="V34" s="192">
        <f t="shared" si="21"/>
        <v>32686</v>
      </c>
      <c r="W34" s="191">
        <f t="shared" ref="W34:AB34" si="22">W28+SUM(W29:W33)</f>
        <v>32686</v>
      </c>
      <c r="X34" s="192">
        <f t="shared" si="22"/>
        <v>29479</v>
      </c>
      <c r="Y34" s="192">
        <f t="shared" si="22"/>
        <v>28536</v>
      </c>
      <c r="Z34" s="192">
        <f t="shared" si="22"/>
        <v>29201</v>
      </c>
      <c r="AA34" s="192">
        <f t="shared" si="22"/>
        <v>31212</v>
      </c>
      <c r="AB34" s="191">
        <f t="shared" si="22"/>
        <v>31212</v>
      </c>
      <c r="AC34" s="192">
        <f t="shared" ref="AC34:AQ34" si="23">AC28+SUM(AC29:AC33)</f>
        <v>24123</v>
      </c>
      <c r="AD34" s="192">
        <f t="shared" si="23"/>
        <v>27111</v>
      </c>
      <c r="AE34" s="192">
        <f t="shared" si="23"/>
        <v>27123</v>
      </c>
      <c r="AF34" s="192">
        <f t="shared" si="23"/>
        <v>32806</v>
      </c>
      <c r="AG34" s="191">
        <f t="shared" si="23"/>
        <v>32806</v>
      </c>
      <c r="AH34" s="192">
        <f t="shared" si="23"/>
        <v>25858</v>
      </c>
      <c r="AI34" s="192">
        <f t="shared" si="23"/>
        <v>26977</v>
      </c>
      <c r="AJ34" s="192">
        <f t="shared" ref="AJ34:AK34" si="24">AJ28+SUM(AJ29:AJ33)</f>
        <v>43131</v>
      </c>
      <c r="AK34" s="192">
        <f t="shared" si="24"/>
        <v>45332</v>
      </c>
      <c r="AL34" s="191">
        <f t="shared" si="23"/>
        <v>45332</v>
      </c>
      <c r="AM34" s="192">
        <f t="shared" si="23"/>
        <v>40414.442800000004</v>
      </c>
      <c r="AN34" s="192">
        <f t="shared" si="23"/>
        <v>41298.859000000004</v>
      </c>
      <c r="AO34" s="192">
        <f t="shared" si="23"/>
        <v>41514.675270000007</v>
      </c>
      <c r="AP34" s="192">
        <f t="shared" si="23"/>
        <v>42931.041520000006</v>
      </c>
      <c r="AQ34" s="191">
        <f t="shared" si="23"/>
        <v>42931.041520000006</v>
      </c>
    </row>
    <row r="35" spans="2:43" s="197" customFormat="1" ht="13.15">
      <c r="B35" s="193"/>
      <c r="D35" s="192"/>
      <c r="E35" s="192"/>
      <c r="F35" s="192"/>
      <c r="G35" s="192"/>
      <c r="H35" s="191"/>
      <c r="I35" s="192"/>
      <c r="J35" s="192"/>
      <c r="K35" s="192"/>
      <c r="L35" s="192"/>
      <c r="M35" s="191"/>
      <c r="N35" s="192"/>
      <c r="O35" s="192"/>
      <c r="P35" s="192"/>
      <c r="Q35" s="192"/>
      <c r="R35" s="191"/>
      <c r="S35" s="192"/>
      <c r="T35" s="192"/>
      <c r="U35" s="192"/>
      <c r="V35" s="192"/>
      <c r="W35" s="191"/>
      <c r="X35" s="192"/>
      <c r="Y35" s="192"/>
      <c r="Z35" s="192"/>
      <c r="AA35" s="192"/>
      <c r="AB35" s="191"/>
      <c r="AC35" s="192"/>
      <c r="AD35" s="192"/>
      <c r="AE35" s="192"/>
      <c r="AF35" s="192"/>
      <c r="AG35" s="191"/>
      <c r="AH35" s="192"/>
      <c r="AI35" s="192"/>
      <c r="AJ35" s="192"/>
      <c r="AK35" s="192"/>
      <c r="AL35" s="191"/>
      <c r="AM35" s="192"/>
      <c r="AN35" s="192"/>
      <c r="AO35" s="192"/>
      <c r="AP35" s="192"/>
      <c r="AQ35" s="191"/>
    </row>
    <row r="36" spans="2:43" ht="13.15">
      <c r="B36" s="193" t="s">
        <v>182</v>
      </c>
      <c r="D36" s="230"/>
      <c r="E36" s="230"/>
      <c r="F36" s="230"/>
      <c r="G36" s="230"/>
      <c r="H36" s="155"/>
      <c r="I36" s="230"/>
      <c r="J36" s="230"/>
      <c r="K36" s="230"/>
      <c r="L36" s="230"/>
      <c r="M36" s="155"/>
      <c r="N36" s="230"/>
      <c r="O36" s="230"/>
      <c r="P36" s="230"/>
      <c r="Q36" s="230"/>
      <c r="R36" s="155"/>
      <c r="S36" s="230"/>
      <c r="T36" s="230"/>
      <c r="U36" s="230"/>
      <c r="V36" s="230"/>
      <c r="W36" s="155"/>
      <c r="X36" s="230"/>
      <c r="Y36" s="230"/>
      <c r="Z36" s="230"/>
      <c r="AA36" s="230"/>
      <c r="AB36" s="155"/>
      <c r="AC36" s="230"/>
      <c r="AD36" s="230"/>
      <c r="AE36" s="230"/>
      <c r="AF36" s="230"/>
      <c r="AG36" s="155"/>
      <c r="AH36" s="230"/>
      <c r="AI36" s="230"/>
      <c r="AJ36" s="230"/>
      <c r="AK36" s="230"/>
      <c r="AL36" s="155"/>
      <c r="AM36" s="230"/>
      <c r="AN36" s="230"/>
      <c r="AO36" s="230"/>
      <c r="AP36" s="230"/>
      <c r="AQ36" s="155"/>
    </row>
    <row r="37" spans="2:43" s="197" customFormat="1" ht="13.15">
      <c r="B37" s="193"/>
      <c r="C37" s="197" t="s">
        <v>183</v>
      </c>
      <c r="D37" s="192">
        <f>D17-D34</f>
        <v>47725</v>
      </c>
      <c r="E37" s="192">
        <f>E17-E34</f>
        <v>41226</v>
      </c>
      <c r="F37" s="192">
        <f>F17-F34</f>
        <v>34072</v>
      </c>
      <c r="G37" s="192">
        <f>G17-G34</f>
        <v>26421</v>
      </c>
      <c r="H37" s="191">
        <f>G37</f>
        <v>26421</v>
      </c>
      <c r="I37" s="192">
        <f>I17-I34</f>
        <v>15652</v>
      </c>
      <c r="J37" s="192">
        <f>J17-J34</f>
        <v>10660</v>
      </c>
      <c r="K37" s="192">
        <f>K17-K34</f>
        <v>65166</v>
      </c>
      <c r="L37" s="192">
        <f>L17-L34</f>
        <v>65877</v>
      </c>
      <c r="M37" s="191">
        <f>L37</f>
        <v>65877</v>
      </c>
      <c r="N37" s="192">
        <f>N17-N34</f>
        <v>63611</v>
      </c>
      <c r="O37" s="192">
        <f>O17-O34</f>
        <v>62056</v>
      </c>
      <c r="P37" s="192">
        <f>P17-P34</f>
        <v>273988</v>
      </c>
      <c r="Q37" s="192">
        <f>Q17-Q34</f>
        <v>268677</v>
      </c>
      <c r="R37" s="191">
        <f>Q37</f>
        <v>268677</v>
      </c>
      <c r="S37" s="192">
        <f>S17-S34</f>
        <v>260831</v>
      </c>
      <c r="T37" s="192">
        <f>T17-T34</f>
        <v>247838</v>
      </c>
      <c r="U37" s="192">
        <f>U17-U34</f>
        <v>234782</v>
      </c>
      <c r="V37" s="192">
        <f>V17-V34</f>
        <v>223636</v>
      </c>
      <c r="W37" s="191">
        <f>V37</f>
        <v>223636</v>
      </c>
      <c r="X37" s="192">
        <f>X17-X34</f>
        <v>211798</v>
      </c>
      <c r="Y37" s="192">
        <f>Y17-Y34</f>
        <v>203879</v>
      </c>
      <c r="Z37" s="192">
        <f>Z17-Z34</f>
        <v>201044</v>
      </c>
      <c r="AA37" s="192">
        <f>AA17-AA34</f>
        <v>200335</v>
      </c>
      <c r="AB37" s="191">
        <f>AA37</f>
        <v>200335</v>
      </c>
      <c r="AC37" s="192">
        <f>AC17-AC34</f>
        <v>193153</v>
      </c>
      <c r="AD37" s="192">
        <f>AD17-AD34</f>
        <v>170890</v>
      </c>
      <c r="AE37" s="192">
        <f>AE17-AE34</f>
        <v>167259</v>
      </c>
      <c r="AF37" s="192">
        <f>AF17-AF34</f>
        <v>147514</v>
      </c>
      <c r="AG37" s="191">
        <f>AF37</f>
        <v>147514</v>
      </c>
      <c r="AH37" s="192">
        <f>AH17-AH34</f>
        <v>142172</v>
      </c>
      <c r="AI37" s="192">
        <f>AI17-AI34</f>
        <v>137750</v>
      </c>
      <c r="AJ37" s="192">
        <f>AJ17-AJ34</f>
        <v>131630</v>
      </c>
      <c r="AK37" s="192">
        <f>AK17-AK34</f>
        <v>128307</v>
      </c>
      <c r="AL37" s="191">
        <f>AK37</f>
        <v>128307</v>
      </c>
      <c r="AM37" s="192">
        <f>AM17-AM34</f>
        <v>123142.01539199999</v>
      </c>
      <c r="AN37" s="192">
        <f>AN17-AN34</f>
        <v>122105.84639200001</v>
      </c>
      <c r="AO37" s="192">
        <f>AO17-AO34</f>
        <v>121912.72302999999</v>
      </c>
      <c r="AP37" s="192">
        <f>AP17-AP34</f>
        <v>122070.34648600002</v>
      </c>
      <c r="AQ37" s="191">
        <f>AP37</f>
        <v>122070.34648600002</v>
      </c>
    </row>
    <row r="38" spans="2:43" s="197" customFormat="1" ht="13.5" thickBot="1">
      <c r="B38" s="220" t="s">
        <v>184</v>
      </c>
      <c r="C38" s="221"/>
      <c r="D38" s="223">
        <f>D37+D34</f>
        <v>51628</v>
      </c>
      <c r="E38" s="223">
        <f>E37+E34</f>
        <v>48984</v>
      </c>
      <c r="F38" s="223">
        <f>F37+F34</f>
        <v>42311</v>
      </c>
      <c r="G38" s="223">
        <f>G37+G34</f>
        <v>35898</v>
      </c>
      <c r="H38" s="222">
        <f>G38</f>
        <v>35898</v>
      </c>
      <c r="I38" s="223">
        <f>I37+I34</f>
        <v>45697</v>
      </c>
      <c r="J38" s="223">
        <f>J37+J34</f>
        <v>40277</v>
      </c>
      <c r="K38" s="223">
        <f>K37+K34</f>
        <v>95559</v>
      </c>
      <c r="L38" s="223">
        <f>L37+L34</f>
        <v>79107</v>
      </c>
      <c r="M38" s="222">
        <f>L38</f>
        <v>79107</v>
      </c>
      <c r="N38" s="223">
        <f>N37+N34</f>
        <v>76188</v>
      </c>
      <c r="O38" s="223">
        <f>O37+O34</f>
        <v>78909</v>
      </c>
      <c r="P38" s="223">
        <f>P37+P34</f>
        <v>294812</v>
      </c>
      <c r="Q38" s="223">
        <f>Q37+Q34</f>
        <v>287401</v>
      </c>
      <c r="R38" s="222">
        <f>Q38</f>
        <v>287401</v>
      </c>
      <c r="S38" s="223">
        <f>S37+S34</f>
        <v>281080</v>
      </c>
      <c r="T38" s="223">
        <f>T37+T34</f>
        <v>281348</v>
      </c>
      <c r="U38" s="223">
        <f>U37+U34</f>
        <v>267212</v>
      </c>
      <c r="V38" s="223">
        <f>V37+V34</f>
        <v>256322</v>
      </c>
      <c r="W38" s="222">
        <f>V38</f>
        <v>256322</v>
      </c>
      <c r="X38" s="223">
        <f>X37+X34</f>
        <v>241277</v>
      </c>
      <c r="Y38" s="223">
        <f>Y37+Y34</f>
        <v>232415</v>
      </c>
      <c r="Z38" s="223">
        <f>Z37+Z34</f>
        <v>230245</v>
      </c>
      <c r="AA38" s="223">
        <f>AA37+AA34</f>
        <v>231547</v>
      </c>
      <c r="AB38" s="222">
        <f>AA38</f>
        <v>231547</v>
      </c>
      <c r="AC38" s="223">
        <f>AC37+AC34</f>
        <v>217276</v>
      </c>
      <c r="AD38" s="223">
        <f>AD37+AD34</f>
        <v>198001</v>
      </c>
      <c r="AE38" s="223">
        <f>AE37+AE34</f>
        <v>194382</v>
      </c>
      <c r="AF38" s="223">
        <f>AF37+AF34</f>
        <v>180320</v>
      </c>
      <c r="AG38" s="222">
        <f>AF38</f>
        <v>180320</v>
      </c>
      <c r="AH38" s="223">
        <f>AH37+AH34</f>
        <v>168030</v>
      </c>
      <c r="AI38" s="223">
        <f>AI37+AI34</f>
        <v>164727</v>
      </c>
      <c r="AJ38" s="223">
        <f>AJ37+AJ34</f>
        <v>174761</v>
      </c>
      <c r="AK38" s="223">
        <f>AK37+AK34</f>
        <v>173639</v>
      </c>
      <c r="AL38" s="222">
        <f>AK38</f>
        <v>173639</v>
      </c>
      <c r="AM38" s="223">
        <f>AM37+AM34</f>
        <v>163556.45819199999</v>
      </c>
      <c r="AN38" s="223">
        <f>AN37+AN34</f>
        <v>163404.705392</v>
      </c>
      <c r="AO38" s="223">
        <f>AO37+AO34</f>
        <v>163427.3983</v>
      </c>
      <c r="AP38" s="223">
        <f>AP37+AP34</f>
        <v>165001.38800600002</v>
      </c>
      <c r="AQ38" s="222">
        <f>AP38</f>
        <v>165001.38800600002</v>
      </c>
    </row>
    <row r="39" spans="2:43" s="197" customFormat="1" ht="13.15">
      <c r="B39" s="148" t="s">
        <v>131</v>
      </c>
      <c r="C39" s="152"/>
      <c r="G39" s="22"/>
      <c r="W39" s="153"/>
      <c r="AB39" s="153" t="s">
        <v>130</v>
      </c>
      <c r="AG39" s="153" t="s">
        <v>130</v>
      </c>
      <c r="AL39" s="153" t="s">
        <v>130</v>
      </c>
      <c r="AQ39" s="153" t="s">
        <v>130</v>
      </c>
    </row>
    <row r="40" spans="2:43" s="197" customFormat="1" ht="13.15">
      <c r="B40" s="148" t="s">
        <v>129</v>
      </c>
      <c r="C40" s="152"/>
      <c r="L40" s="22"/>
      <c r="W40" s="151"/>
      <c r="AB40" s="151" t="s">
        <v>128</v>
      </c>
      <c r="AG40" s="151" t="s">
        <v>128</v>
      </c>
      <c r="AL40" s="151" t="s">
        <v>128</v>
      </c>
      <c r="AQ40" s="151" t="s">
        <v>128</v>
      </c>
    </row>
    <row r="41" spans="2:43">
      <c r="C41" s="22" t="s">
        <v>185</v>
      </c>
      <c r="D41" s="429">
        <f t="shared" ref="D41:W41" si="25">D17-D38</f>
        <v>0</v>
      </c>
      <c r="E41" s="429">
        <f t="shared" si="25"/>
        <v>0</v>
      </c>
      <c r="F41" s="429">
        <f t="shared" si="25"/>
        <v>0</v>
      </c>
      <c r="G41" s="429">
        <f t="shared" si="25"/>
        <v>0</v>
      </c>
      <c r="H41" s="429">
        <f t="shared" si="25"/>
        <v>0</v>
      </c>
      <c r="I41" s="424">
        <f t="shared" si="25"/>
        <v>0</v>
      </c>
      <c r="J41" s="424">
        <f t="shared" si="25"/>
        <v>0</v>
      </c>
      <c r="K41" s="424">
        <f t="shared" si="25"/>
        <v>0</v>
      </c>
      <c r="L41" s="424">
        <f t="shared" si="25"/>
        <v>0</v>
      </c>
      <c r="M41" s="424">
        <f t="shared" si="25"/>
        <v>0</v>
      </c>
      <c r="N41" s="424">
        <f t="shared" si="25"/>
        <v>0</v>
      </c>
      <c r="O41" s="424">
        <f t="shared" si="25"/>
        <v>0</v>
      </c>
      <c r="P41" s="424">
        <f t="shared" si="25"/>
        <v>0</v>
      </c>
      <c r="Q41" s="424">
        <f t="shared" si="25"/>
        <v>0</v>
      </c>
      <c r="R41" s="424">
        <f t="shared" si="25"/>
        <v>0</v>
      </c>
      <c r="S41" s="424">
        <f t="shared" si="25"/>
        <v>0</v>
      </c>
      <c r="T41" s="424">
        <f t="shared" si="25"/>
        <v>0</v>
      </c>
      <c r="U41" s="424">
        <f t="shared" si="25"/>
        <v>0</v>
      </c>
      <c r="V41" s="424">
        <f t="shared" si="25"/>
        <v>0</v>
      </c>
      <c r="W41" s="424">
        <f t="shared" si="25"/>
        <v>0</v>
      </c>
      <c r="X41" s="424">
        <f t="shared" ref="X41:AG41" si="26">X17-X38</f>
        <v>0</v>
      </c>
      <c r="Y41" s="424">
        <f t="shared" si="26"/>
        <v>0</v>
      </c>
      <c r="Z41" s="424">
        <f t="shared" si="26"/>
        <v>0</v>
      </c>
      <c r="AA41" s="424">
        <f t="shared" si="26"/>
        <v>0</v>
      </c>
      <c r="AB41" s="424">
        <f t="shared" si="26"/>
        <v>0</v>
      </c>
      <c r="AC41" s="424">
        <f t="shared" si="26"/>
        <v>0</v>
      </c>
      <c r="AD41" s="424">
        <f>AD17-AD38</f>
        <v>0</v>
      </c>
      <c r="AE41" s="424">
        <f>AE17-AE38</f>
        <v>0</v>
      </c>
      <c r="AF41" s="424">
        <f>AF17-AF38</f>
        <v>0</v>
      </c>
      <c r="AG41" s="424">
        <f t="shared" si="26"/>
        <v>0</v>
      </c>
      <c r="AH41" s="424">
        <f t="shared" ref="AH41:AQ41" si="27">AH17-AH38</f>
        <v>0</v>
      </c>
      <c r="AI41" s="424">
        <f t="shared" si="27"/>
        <v>0</v>
      </c>
      <c r="AJ41" s="424">
        <f>AJ17-AJ38</f>
        <v>0</v>
      </c>
      <c r="AK41" s="424">
        <f>AK17-AK38</f>
        <v>0</v>
      </c>
      <c r="AL41" s="424">
        <f t="shared" si="27"/>
        <v>0</v>
      </c>
      <c r="AM41" s="424">
        <f t="shared" si="27"/>
        <v>0</v>
      </c>
      <c r="AN41" s="424">
        <f t="shared" si="27"/>
        <v>0</v>
      </c>
      <c r="AO41" s="424">
        <f t="shared" si="27"/>
        <v>0</v>
      </c>
      <c r="AP41" s="424">
        <f t="shared" si="27"/>
        <v>0</v>
      </c>
      <c r="AQ41" s="424">
        <f t="shared" si="27"/>
        <v>0</v>
      </c>
    </row>
    <row r="43" spans="2:43">
      <c r="C43" s="22" t="s">
        <v>186</v>
      </c>
      <c r="D43" s="430" t="e">
        <f>((D7+#REF!)/2)/IS!D11*91</f>
        <v>#REF!</v>
      </c>
      <c r="E43" s="430">
        <f>((E7+D7)/2)/IS!E11*91</f>
        <v>38.307739938080495</v>
      </c>
      <c r="F43" s="430">
        <f>((F7+E7)/2)/IS!F11*91</f>
        <v>35.790072715776162</v>
      </c>
      <c r="G43" s="430">
        <f>((G7+F7)/2)/IS!G11*91</f>
        <v>39.635328036003095</v>
      </c>
      <c r="H43" s="430"/>
      <c r="I43" s="430">
        <f>((I7+H7)/2)/IS!I11*91</f>
        <v>44.942430431452642</v>
      </c>
      <c r="J43" s="430">
        <f>((J7+I7)/2)/IS!J11*91</f>
        <v>48.445189800979207</v>
      </c>
      <c r="K43" s="430">
        <f>((K7+J7)/2)/IS!K11*91</f>
        <v>47.308486816324248</v>
      </c>
      <c r="L43" s="430">
        <f>((L7+K7)/2)/IS!L11*91</f>
        <v>54.198738663608879</v>
      </c>
      <c r="M43" s="430"/>
      <c r="N43" s="430">
        <f>((N7+M7)/2)/IS!N11*91</f>
        <v>59.9977284558232</v>
      </c>
      <c r="O43" s="430">
        <f>((O7+N7)/2)/IS!O11*91</f>
        <v>55.663468372423601</v>
      </c>
      <c r="P43" s="430">
        <f>((P7+O7)/2)/IS!P11*91</f>
        <v>67.631221946807798</v>
      </c>
      <c r="Q43" s="430">
        <f>((Q7+P7)/2)/IS!Q11*91</f>
        <v>59.105590062111801</v>
      </c>
      <c r="R43" s="430"/>
      <c r="S43" s="430">
        <f>((S7+R7)/2)/IS!S11*91</f>
        <v>60.287367993501213</v>
      </c>
      <c r="T43" s="430">
        <f>((T7+S7)/2)/IS!T11*91</f>
        <v>66.460234351824383</v>
      </c>
      <c r="U43" s="430">
        <f>((U7+T7)/2)/IS!U11*91</f>
        <v>61.387715736040612</v>
      </c>
      <c r="V43" s="430">
        <f>((V7+U7)/2)/IS!V11*91</f>
        <v>62.82207947874727</v>
      </c>
      <c r="W43" s="430"/>
      <c r="X43" s="430">
        <f>((X7+W7)/2)/IS!X11*91</f>
        <v>63.961498988801353</v>
      </c>
      <c r="Y43" s="430">
        <f>((Y7+X7)/2)/IS!Y11*91</f>
        <v>64.286206091725987</v>
      </c>
      <c r="Z43" s="430">
        <f>((Z7+Y7)/2)/IS!Z11*91</f>
        <v>67.293592421944311</v>
      </c>
      <c r="AA43" s="430">
        <f>((AA7+Z7)/2)/IS!AA11*91</f>
        <v>68.86486486486487</v>
      </c>
      <c r="AC43" s="430">
        <f>((AC7+AB7)/2)/IS!AC11*91</f>
        <v>65.867616878918227</v>
      </c>
      <c r="AD43" s="430">
        <f>((AD7+AC7)/2)/IS!AD11*91</f>
        <v>62.97715595056242</v>
      </c>
      <c r="AE43" s="430">
        <f>((AE7+AD7)/2)/IS!AE11*91</f>
        <v>61.880301108476253</v>
      </c>
      <c r="AF43" s="430">
        <f>((AF7+AE7)/2)/IS!AF11*91</f>
        <v>57.927984540122701</v>
      </c>
      <c r="AH43" s="430">
        <f>((AH7+AG7)/2)/IS!AH11*91</f>
        <v>56.411657981611327</v>
      </c>
      <c r="AI43" s="430">
        <f>((AI7+AH7)/2)/IS!AI11*91</f>
        <v>55.149018527266044</v>
      </c>
      <c r="AJ43" s="430">
        <f>((AJ7+AI7)/2)/IS!AJ11*91</f>
        <v>53.478261932109781</v>
      </c>
      <c r="AK43" s="430">
        <f>((AK7+AJ7)/2)/IS!AK11*91</f>
        <v>55.097095042627089</v>
      </c>
      <c r="AM43" s="430">
        <f>((AM7+AL7)/2)/IS!AM11*91</f>
        <v>62.543403777458934</v>
      </c>
      <c r="AN43" s="430">
        <f>((AN7+AM7)/2)/IS!AN11*91</f>
        <v>64.425101784774654</v>
      </c>
      <c r="AO43" s="430">
        <f>((AO7+AN7)/2)/IS!AO11*91</f>
        <v>65.119076493032523</v>
      </c>
      <c r="AP43" s="430">
        <f>((AP7+AO7)/2)/IS!AP11*91</f>
        <v>65.533386213464453</v>
      </c>
    </row>
    <row r="45" spans="2:43">
      <c r="B45" s="22" t="s">
        <v>187</v>
      </c>
      <c r="D45" s="219">
        <f>D25</f>
        <v>801</v>
      </c>
      <c r="E45" s="219">
        <f t="shared" ref="E45:AA45" si="28">E25</f>
        <v>681</v>
      </c>
      <c r="F45" s="219">
        <f t="shared" si="28"/>
        <v>646</v>
      </c>
      <c r="G45" s="219">
        <f t="shared" si="28"/>
        <v>1418</v>
      </c>
      <c r="H45" s="219"/>
      <c r="I45" s="219">
        <f t="shared" si="28"/>
        <v>1537</v>
      </c>
      <c r="J45" s="219">
        <f t="shared" si="28"/>
        <v>1339</v>
      </c>
      <c r="K45" s="219">
        <f t="shared" si="28"/>
        <v>1101</v>
      </c>
      <c r="L45" s="219">
        <f t="shared" si="28"/>
        <v>1642</v>
      </c>
      <c r="M45" s="219"/>
      <c r="N45" s="219">
        <f t="shared" si="28"/>
        <v>2752</v>
      </c>
      <c r="O45" s="219">
        <f t="shared" si="28"/>
        <v>1489</v>
      </c>
      <c r="P45" s="219">
        <f t="shared" si="28"/>
        <v>1575</v>
      </c>
      <c r="Q45" s="219">
        <f t="shared" si="28"/>
        <v>2175</v>
      </c>
      <c r="R45" s="219"/>
      <c r="S45" s="219">
        <f t="shared" si="28"/>
        <v>3035</v>
      </c>
      <c r="T45" s="219">
        <f t="shared" si="28"/>
        <v>2690</v>
      </c>
      <c r="U45" s="219">
        <f t="shared" si="28"/>
        <v>2741</v>
      </c>
      <c r="V45" s="219">
        <f t="shared" si="28"/>
        <v>4100</v>
      </c>
      <c r="W45" s="219"/>
      <c r="X45" s="219">
        <f>X25</f>
        <v>4169</v>
      </c>
      <c r="Y45" s="219">
        <f t="shared" si="28"/>
        <v>3310</v>
      </c>
      <c r="Z45" s="219">
        <f t="shared" si="28"/>
        <v>2966</v>
      </c>
      <c r="AA45" s="219">
        <f t="shared" si="28"/>
        <v>4285</v>
      </c>
      <c r="AC45" s="219">
        <f>AC25</f>
        <v>3501</v>
      </c>
      <c r="AD45" s="219">
        <f>AD25</f>
        <v>3518</v>
      </c>
      <c r="AE45" s="219">
        <f>AE25</f>
        <v>3042</v>
      </c>
      <c r="AF45" s="219">
        <f>AF25</f>
        <v>4296</v>
      </c>
      <c r="AH45" s="219">
        <f>AH25</f>
        <v>3905</v>
      </c>
      <c r="AI45" s="219">
        <f>AI25</f>
        <v>3493</v>
      </c>
      <c r="AJ45" s="219">
        <f>AJ25</f>
        <v>4272</v>
      </c>
      <c r="AK45" s="219">
        <f>AK25</f>
        <v>5382</v>
      </c>
      <c r="AM45" s="219">
        <f>AM25</f>
        <v>3974.9896000000003</v>
      </c>
      <c r="AN45" s="219">
        <f>AN25</f>
        <v>4230.3380000000006</v>
      </c>
      <c r="AO45" s="219">
        <f>AO25</f>
        <v>4404.1606000000011</v>
      </c>
      <c r="AP45" s="219">
        <f>AP25</f>
        <v>5050.0788800000009</v>
      </c>
    </row>
    <row r="46" spans="2:43" s="420" customFormat="1" ht="13.5" customHeight="1">
      <c r="C46" s="427" t="s">
        <v>188</v>
      </c>
      <c r="D46" s="360"/>
      <c r="E46" s="360"/>
      <c r="F46" s="360"/>
      <c r="G46" s="360"/>
      <c r="I46" s="428">
        <f>I45/D45-1</f>
        <v>0.91885143570536831</v>
      </c>
      <c r="J46" s="428">
        <f>J45/E45-1</f>
        <v>0.96622613803230539</v>
      </c>
      <c r="K46" s="428">
        <f>K45/F45-1</f>
        <v>0.70433436532507732</v>
      </c>
      <c r="L46" s="428">
        <f>L45/G45-1</f>
        <v>0.15796897038081803</v>
      </c>
      <c r="N46" s="428">
        <f>N45/I45-1</f>
        <v>0.79050097592713087</v>
      </c>
      <c r="O46" s="428">
        <f>O45/J45-1</f>
        <v>0.11202389843166549</v>
      </c>
      <c r="P46" s="428">
        <f>P45/K45-1</f>
        <v>0.43051771117166204</v>
      </c>
      <c r="Q46" s="428">
        <f>Q45/L45-1</f>
        <v>0.32460414129110848</v>
      </c>
      <c r="S46" s="428">
        <f>S45/N45-1</f>
        <v>0.10283430232558133</v>
      </c>
      <c r="T46" s="428">
        <f>T45/O45-1</f>
        <v>0.80658159838817989</v>
      </c>
      <c r="U46" s="428">
        <f>U45/P45-1</f>
        <v>0.74031746031746026</v>
      </c>
      <c r="V46" s="428">
        <f>V45/Q45-1</f>
        <v>0.88505747126436773</v>
      </c>
      <c r="W46" s="428"/>
      <c r="X46" s="428">
        <f>X45/S45-1</f>
        <v>0.37364085667215807</v>
      </c>
      <c r="Y46" s="428">
        <f>Y45/T45-1</f>
        <v>0.23048327137546476</v>
      </c>
      <c r="Z46" s="428">
        <f>Z45/U45-1</f>
        <v>8.2086829624224755E-2</v>
      </c>
      <c r="AA46" s="428">
        <f>AA45/V45-1</f>
        <v>4.5121951219512235E-2</v>
      </c>
      <c r="AC46" s="428">
        <f>AC45/X45-1</f>
        <v>-0.16023027104821297</v>
      </c>
      <c r="AD46" s="428">
        <f>AD45/Y45-1</f>
        <v>6.2839879154078515E-2</v>
      </c>
      <c r="AE46" s="428">
        <f>AE45/Z45-1</f>
        <v>2.5623735670937231E-2</v>
      </c>
      <c r="AF46" s="428">
        <f>AF45/AA45-1</f>
        <v>2.5670945157525438E-3</v>
      </c>
      <c r="AH46" s="428">
        <f>AH45/AC45-1</f>
        <v>0.11539560125678383</v>
      </c>
      <c r="AI46" s="428">
        <f>AI45/AD45-1</f>
        <v>-7.106310403638405E-3</v>
      </c>
      <c r="AJ46" s="428">
        <f>AJ45/AE45-1</f>
        <v>0.40433925049309671</v>
      </c>
      <c r="AK46" s="428">
        <f>AK45/AF45-1</f>
        <v>0.2527932960893855</v>
      </c>
      <c r="AM46" s="428">
        <f>AM45/AH45-1</f>
        <v>1.7923072983354826E-2</v>
      </c>
      <c r="AN46" s="428">
        <f>AN45/AI45-1</f>
        <v>0.21109018036072169</v>
      </c>
      <c r="AO46" s="428">
        <f>AO45/AJ45-1</f>
        <v>3.0936470037453478E-2</v>
      </c>
      <c r="AP46" s="428">
        <f>AP45/AK45-1</f>
        <v>-6.1672448903753119E-2</v>
      </c>
    </row>
    <row r="47" spans="2:43" s="420" customFormat="1" ht="13.5" customHeight="1">
      <c r="C47" s="427" t="s">
        <v>189</v>
      </c>
      <c r="D47" s="360"/>
      <c r="E47" s="360">
        <f>E45/D45-1</f>
        <v>-0.14981273408239704</v>
      </c>
      <c r="F47" s="360">
        <f>F45/E45-1</f>
        <v>-5.1395007342143861E-2</v>
      </c>
      <c r="G47" s="360">
        <f>G45/F45-1</f>
        <v>1.195046439628483</v>
      </c>
      <c r="I47" s="428">
        <f>I45/G45-1</f>
        <v>8.3921015514809572E-2</v>
      </c>
      <c r="J47" s="428">
        <f>J45/I45-1</f>
        <v>-0.12882238126219914</v>
      </c>
      <c r="K47" s="428">
        <f>K45/J45-1</f>
        <v>-0.17774458551157579</v>
      </c>
      <c r="L47" s="428">
        <f>L45/K45-1</f>
        <v>0.49137148047229795</v>
      </c>
      <c r="N47" s="428">
        <f>N45/L45-1</f>
        <v>0.67600487210718629</v>
      </c>
      <c r="O47" s="428">
        <f>O45/N45-1</f>
        <v>-0.4589389534883721</v>
      </c>
      <c r="P47" s="428">
        <f>P45/O45-1</f>
        <v>5.7756883814640725E-2</v>
      </c>
      <c r="Q47" s="428">
        <f>Q45/P45-1</f>
        <v>0.38095238095238093</v>
      </c>
      <c r="S47" s="428">
        <f>S45/Q45-1</f>
        <v>0.39540229885057476</v>
      </c>
      <c r="T47" s="428">
        <f>T45/S45-1</f>
        <v>-0.11367380560131801</v>
      </c>
      <c r="U47" s="428">
        <f>U45/T45-1</f>
        <v>1.8959107806691522E-2</v>
      </c>
      <c r="V47" s="428">
        <f>V45/U45-1</f>
        <v>0.49580445093031744</v>
      </c>
      <c r="W47" s="428"/>
      <c r="X47" s="428">
        <f>X45/V45-1</f>
        <v>1.6829268292682942E-2</v>
      </c>
      <c r="Y47" s="428">
        <f>Y45/X45-1</f>
        <v>-0.20604461501559124</v>
      </c>
      <c r="Z47" s="428">
        <f>Z45/Y45-1</f>
        <v>-0.10392749244712995</v>
      </c>
      <c r="AA47" s="428">
        <f>AA45/Z45-1</f>
        <v>0.44470667565745114</v>
      </c>
      <c r="AC47" s="428">
        <f>AC45/AA45-1</f>
        <v>-0.18296382730455074</v>
      </c>
      <c r="AD47" s="428">
        <f>AD45/AC45-1</f>
        <v>4.8557554984289819E-3</v>
      </c>
      <c r="AE47" s="428">
        <f>AE45/AD45-1</f>
        <v>-0.13530415008527574</v>
      </c>
      <c r="AF47" s="428">
        <f>AF45/AE45-1</f>
        <v>0.41222879684418157</v>
      </c>
      <c r="AH47" s="428">
        <f>AH45/AF45-1</f>
        <v>-9.1014897579143383E-2</v>
      </c>
      <c r="AI47" s="428">
        <f>AI45/AH45-1</f>
        <v>-0.10550576184379001</v>
      </c>
      <c r="AJ47" s="428">
        <f>AJ45/AI45-1</f>
        <v>0.22301746349842544</v>
      </c>
      <c r="AK47" s="428">
        <f>AK45/AJ45-1</f>
        <v>0.25983146067415741</v>
      </c>
      <c r="AM47" s="428">
        <f>AM45/AK45-1</f>
        <v>-0.26142891118543288</v>
      </c>
      <c r="AN47" s="428">
        <f>AN45/AM45-1</f>
        <v>6.4238759266187939E-2</v>
      </c>
      <c r="AO47" s="428">
        <f>AO45/AN45-1</f>
        <v>4.1089529961908511E-2</v>
      </c>
      <c r="AP47" s="428">
        <f>AP45/AO45-1</f>
        <v>0.14666092785081442</v>
      </c>
    </row>
    <row r="49" spans="2:43">
      <c r="B49" s="22" t="s">
        <v>190</v>
      </c>
    </row>
    <row r="50" spans="2:43">
      <c r="C50" s="22" t="s">
        <v>179</v>
      </c>
      <c r="D50" s="225">
        <f>D7/IS!D$11</f>
        <v>0.4424744652148776</v>
      </c>
      <c r="E50" s="225">
        <f>E7/IS!E$11</f>
        <v>0.43573639982308715</v>
      </c>
      <c r="F50" s="225">
        <f>F7/IS!F$11</f>
        <v>0.39724944672779006</v>
      </c>
      <c r="G50" s="225">
        <f>G7/IS!G$11</f>
        <v>0.51768511356444691</v>
      </c>
      <c r="H50" s="225"/>
      <c r="I50" s="225">
        <f>I7/IS!I$11</f>
        <v>0.51787081950472302</v>
      </c>
      <c r="J50" s="225">
        <f>J7/IS!J$11</f>
        <v>0.5488014243021555</v>
      </c>
      <c r="K50" s="225">
        <f>K7/IS!K$11</f>
        <v>0.55656944522196716</v>
      </c>
      <c r="L50" s="225">
        <f>L7/IS!L$11</f>
        <v>0.67299072240175128</v>
      </c>
      <c r="M50" s="225"/>
      <c r="N50" s="225">
        <f>N7/IS!N$11</f>
        <v>0.70758601107377783</v>
      </c>
      <c r="O50" s="225">
        <f>O7/IS!O$11</f>
        <v>0.71733170880292418</v>
      </c>
      <c r="P50" s="225">
        <f>P7/IS!P$11</f>
        <v>0.77644536745494741</v>
      </c>
      <c r="Q50" s="225">
        <f>Q7/IS!Q$11</f>
        <v>0.61342797988760722</v>
      </c>
      <c r="R50" s="425"/>
      <c r="S50" s="225">
        <f>S7/IS!S$11</f>
        <v>0.72327956365324364</v>
      </c>
      <c r="T50" s="225">
        <f>T7/IS!T$11</f>
        <v>0.72112132898249781</v>
      </c>
      <c r="U50" s="225">
        <f>U7/IS!U$11</f>
        <v>0.64406091370558372</v>
      </c>
      <c r="V50" s="225">
        <f>V7/IS!V$11</f>
        <v>0.69828195592709841</v>
      </c>
      <c r="W50" s="225"/>
      <c r="X50" s="225">
        <f>X7/IS!X$11</f>
        <v>0.71994325213559118</v>
      </c>
      <c r="Y50" s="225">
        <f>Y7/IS!Y$11</f>
        <v>0.71703232582565057</v>
      </c>
      <c r="Z50" s="225">
        <f>Z7/IS!Z$11</f>
        <v>0.77563460492802561</v>
      </c>
      <c r="AA50" s="225">
        <f>AA7/IS!AA$11</f>
        <v>0.75521795087012478</v>
      </c>
      <c r="AC50" s="225">
        <f>AC7/IS!AC$11</f>
        <v>0.68879143122206288</v>
      </c>
      <c r="AD50" s="225">
        <f>AD7/IS!AD$11</f>
        <v>0.70362449659769477</v>
      </c>
      <c r="AE50" s="225">
        <f>AE7/IS!AE$11</f>
        <v>0.66144598246291297</v>
      </c>
      <c r="AF50" s="225">
        <f>AF7/IS!AF$11</f>
        <v>0.62480067028838615</v>
      </c>
      <c r="AH50" s="225">
        <f>AH7/IS!AH$11</f>
        <v>0.60911794396093089</v>
      </c>
      <c r="AI50" s="225">
        <f>AI7/IS!AI$11</f>
        <v>0.6261743557445022</v>
      </c>
      <c r="AJ50" s="225">
        <f>AJ7/IS!AJ$11</f>
        <v>0.59221877367482101</v>
      </c>
      <c r="AK50" s="225">
        <f>AK7/IS!AK$11</f>
        <v>0.62233125258069999</v>
      </c>
      <c r="AM50" s="425">
        <v>0.73</v>
      </c>
      <c r="AN50" s="425">
        <v>0.73</v>
      </c>
      <c r="AO50" s="425">
        <v>0.73</v>
      </c>
      <c r="AP50" s="425">
        <v>0.74</v>
      </c>
    </row>
    <row r="51" spans="2:43">
      <c r="C51" s="22" t="s">
        <v>321</v>
      </c>
      <c r="D51" s="225">
        <f>D9/IS!D$11</f>
        <v>0.16727693197147814</v>
      </c>
      <c r="E51" s="225">
        <f>E9/IS!E$11</f>
        <v>0.11977001326846529</v>
      </c>
      <c r="F51" s="225">
        <f>F9/IS!F$11</f>
        <v>7.4217515017388561E-2</v>
      </c>
      <c r="G51" s="225">
        <f>G9/IS!G$11</f>
        <v>9.4297166162717105E-2</v>
      </c>
      <c r="H51" s="225"/>
      <c r="I51" s="225">
        <f>I9/IS!I$11</f>
        <v>7.1355629308143986E-2</v>
      </c>
      <c r="J51" s="225">
        <f>J9/IS!J$11</f>
        <v>6.5492465187257584E-2</v>
      </c>
      <c r="K51" s="225">
        <f>K9/IS!K$11</f>
        <v>6.9417231148183392E-2</v>
      </c>
      <c r="L51" s="225">
        <f>L9/IS!L$11</f>
        <v>7.1093505681225896E-2</v>
      </c>
      <c r="M51" s="225"/>
      <c r="N51" s="225">
        <f>N9/IS!N$11</f>
        <v>6.8099001467038942E-2</v>
      </c>
      <c r="O51" s="225">
        <f>O9/IS!O$11</f>
        <v>0.1465123362777947</v>
      </c>
      <c r="P51" s="225">
        <f>P9/IS!P$11</f>
        <v>0.21966905607288806</v>
      </c>
      <c r="Q51" s="225">
        <f>Q9/IS!Q$11</f>
        <v>0.13706004140786748</v>
      </c>
      <c r="S51" s="225">
        <f>S9/IS!S$11</f>
        <v>0.10624347220610421</v>
      </c>
      <c r="T51" s="225">
        <f>T9/IS!T$11</f>
        <v>8.751112429546129E-2</v>
      </c>
      <c r="U51" s="225">
        <f>U9/IS!U$11</f>
        <v>0.18671501087744743</v>
      </c>
      <c r="V51" s="225">
        <f>V9/IS!V$11</f>
        <v>0.17137412791591111</v>
      </c>
      <c r="W51" s="225"/>
      <c r="X51" s="225">
        <f>X9/IS!X$11</f>
        <v>0.14730296718886776</v>
      </c>
      <c r="Y51" s="225">
        <f>Y9/IS!Y$11</f>
        <v>0.10844322558058117</v>
      </c>
      <c r="Z51" s="225">
        <f>Z9/IS!Z$11</f>
        <v>0.18006467675929372</v>
      </c>
      <c r="AA51" s="225">
        <f>AA9/IS!AA$11</f>
        <v>0.1621341838733143</v>
      </c>
      <c r="AC51" s="225">
        <f>AC9/IS!AC$11</f>
        <v>0.15147170447836722</v>
      </c>
      <c r="AD51" s="225">
        <f>AD9/IS!AD$11</f>
        <v>0.1336481044299403</v>
      </c>
      <c r="AE51" s="225">
        <f>AE9/IS!AE$11</f>
        <v>0.17421276126399382</v>
      </c>
      <c r="AF51" s="225">
        <f>AF9/IS!AF$11</f>
        <v>0.12681423822265467</v>
      </c>
      <c r="AH51" s="225">
        <f>AH9/IS!AH$11</f>
        <v>0.12165443483480207</v>
      </c>
      <c r="AI51" s="225">
        <f>AI9/IS!AI$11</f>
        <v>0.11982364981892615</v>
      </c>
      <c r="AJ51" s="225">
        <f>AJ9/IS!AJ$11</f>
        <v>0.14914831740756129</v>
      </c>
      <c r="AK51" s="225">
        <f>AK9/IS!AK$11</f>
        <v>0.11503242573656214</v>
      </c>
      <c r="AM51" s="425">
        <v>0.15</v>
      </c>
      <c r="AN51" s="425">
        <v>0.13</v>
      </c>
      <c r="AO51" s="425">
        <v>0.16</v>
      </c>
      <c r="AP51" s="425">
        <v>0.15</v>
      </c>
    </row>
    <row r="52" spans="2:43">
      <c r="C52" s="22" t="s">
        <v>383</v>
      </c>
      <c r="D52" s="225">
        <f>D12/IS!D$11</f>
        <v>0</v>
      </c>
      <c r="E52" s="225"/>
      <c r="F52" s="225"/>
      <c r="G52" s="225"/>
      <c r="H52" s="225"/>
      <c r="I52" s="225">
        <f>I12/IS!I$11</f>
        <v>0.17953791166709215</v>
      </c>
      <c r="J52" s="225">
        <f>J12/IS!J$11</f>
        <v>0.15692757677878807</v>
      </c>
      <c r="K52" s="225">
        <f>K12/IS!K$11</f>
        <v>0.11756143984772995</v>
      </c>
      <c r="L52" s="225">
        <f>L12/IS!L$11</f>
        <v>9.6424476180548321E-2</v>
      </c>
      <c r="M52" s="225"/>
      <c r="N52" s="225">
        <f>N12/IS!N$11</f>
        <v>7.609672992286215E-2</v>
      </c>
      <c r="O52" s="225">
        <f>O12/IS!O$11</f>
        <v>4.616373912749179E-2</v>
      </c>
      <c r="P52" s="225">
        <f>P12/IS!P$11</f>
        <v>3.7348429021236688E-2</v>
      </c>
      <c r="Q52" s="225">
        <f>Q12/IS!Q$11</f>
        <v>2.5554569653948537E-2</v>
      </c>
      <c r="S52" s="225">
        <f>S12/IS!S$11</f>
        <v>1.7668562144597888E-2</v>
      </c>
      <c r="T52" s="225">
        <f>T12/IS!T$11</f>
        <v>0.32444378522693562</v>
      </c>
      <c r="U52" s="225">
        <f>U12/IS!U$11</f>
        <v>0.29856417693981147</v>
      </c>
      <c r="V52" s="225">
        <f>V12/IS!V$11</f>
        <v>0.30193318376002704</v>
      </c>
      <c r="W52" s="225"/>
      <c r="X52" s="225">
        <f>X12/IS!X$11</f>
        <v>0.28995743910169336</v>
      </c>
      <c r="Y52" s="225">
        <f>Y12/IS!Y$11</f>
        <v>0.26619208775819814</v>
      </c>
      <c r="Z52" s="225">
        <f>Z12/IS!Z$11</f>
        <v>0.24717396903528605</v>
      </c>
      <c r="AA52" s="225">
        <f>AA12/IS!AA$11</f>
        <v>0.22782720608807566</v>
      </c>
      <c r="AC52" s="225">
        <f>AC12/IS!AC$11</f>
        <v>0.22147254786202245</v>
      </c>
      <c r="AD52" s="225">
        <f>AD12/IS!AD$11</f>
        <v>0.20474934036939313</v>
      </c>
      <c r="AE52" s="225">
        <f>AE12/IS!AE$11</f>
        <v>0.18913031489549439</v>
      </c>
      <c r="AF52" s="225">
        <f>AF12/IS!AF$11</f>
        <v>0.22670882996837752</v>
      </c>
      <c r="AH52" s="225">
        <f>AH12/IS!AH$11</f>
        <v>0.21367964423103156</v>
      </c>
      <c r="AI52" s="225">
        <f>AI12/IS!AI$11</f>
        <v>0.19078360363197397</v>
      </c>
      <c r="AJ52" s="225">
        <f>AJ12/IS!AJ$11</f>
        <v>0.16373811676727193</v>
      </c>
      <c r="AK52" s="225">
        <f>AK12/IS!AK$11</f>
        <v>0.14867260936095797</v>
      </c>
      <c r="AM52" s="425">
        <v>0.2</v>
      </c>
      <c r="AN52" s="425">
        <f>AM52</f>
        <v>0.2</v>
      </c>
      <c r="AO52" s="425">
        <f>AN52</f>
        <v>0.2</v>
      </c>
      <c r="AP52" s="425">
        <f>AO52</f>
        <v>0.2</v>
      </c>
    </row>
    <row r="53" spans="2:43">
      <c r="C53" s="22" t="s">
        <v>180</v>
      </c>
      <c r="D53" s="225">
        <f>D16/IS!D$11</f>
        <v>2.1584120254384276E-2</v>
      </c>
      <c r="E53" s="225">
        <f>(E17-E10)/IS!E11</f>
        <v>0.21203007518796993</v>
      </c>
      <c r="F53" s="225">
        <f>(F17-F10)/IS!F11</f>
        <v>0.23695858362314259</v>
      </c>
      <c r="G53" s="225">
        <f>(G17-G10)/IS!G11</f>
        <v>0.27923493425216228</v>
      </c>
      <c r="H53" s="225"/>
      <c r="I53" s="225">
        <f>I16/IS!I$11</f>
        <v>2.4061781976002044E-2</v>
      </c>
      <c r="J53" s="225">
        <f>J16/IS!J$11</f>
        <v>2.1682456921218288E-2</v>
      </c>
      <c r="K53" s="225">
        <f>K16/IS!K$11</f>
        <v>1.8250013995409507E-2</v>
      </c>
      <c r="L53" s="225">
        <f>L16/IS!L$11</f>
        <v>2.8093401438548941E-2</v>
      </c>
      <c r="M53" s="225"/>
      <c r="N53" s="225">
        <f>N16/IS!N$11</f>
        <v>2.5318252803937343E-2</v>
      </c>
      <c r="O53" s="225">
        <f>O16/IS!O$11</f>
        <v>1.6956036145801604E-2</v>
      </c>
      <c r="P53" s="225">
        <f>P16/IS!P$11</f>
        <v>1.7887050311516044E-2</v>
      </c>
      <c r="Q53" s="225">
        <f>Q16/IS!Q$11</f>
        <v>1.0381543921916593E-2</v>
      </c>
      <c r="S53" s="225">
        <f>S16/IS!S$11</f>
        <v>1.114076824881049E-2</v>
      </c>
      <c r="T53" s="225">
        <f>T16/IS!T$11</f>
        <v>2.1862948679916939E-2</v>
      </c>
      <c r="U53" s="225">
        <f>U16/IS!U$11</f>
        <v>2.1348803480783177E-2</v>
      </c>
      <c r="V53" s="225">
        <f>V16/IS!V$11</f>
        <v>1.8163936441589576E-2</v>
      </c>
      <c r="W53" s="225"/>
      <c r="X53" s="225">
        <f>X16/IS!X$11</f>
        <v>2.1763409701470011E-2</v>
      </c>
      <c r="Y53" s="225">
        <f>Y16/IS!Y$11</f>
        <v>2.1035126619208776E-2</v>
      </c>
      <c r="Z53" s="225">
        <f>Z16/IS!Z$11</f>
        <v>2.089116561256904E-2</v>
      </c>
      <c r="AA53" s="225">
        <f>AA16/IS!AA$11</f>
        <v>2.3026131721783895E-2</v>
      </c>
      <c r="AC53" s="225">
        <f>AC16/IS!AC$11</f>
        <v>2.2602681960023616E-2</v>
      </c>
      <c r="AD53" s="225">
        <f>AD16/IS!AD$11</f>
        <v>2.2441327593389807E-2</v>
      </c>
      <c r="AE53" s="225">
        <f>AE16/IS!AE$11</f>
        <v>2.250041361054431E-2</v>
      </c>
      <c r="AF53" s="225">
        <f>AF16/IS!AF$11</f>
        <v>2.2162761155706912E-2</v>
      </c>
      <c r="AH53" s="225">
        <f>AH16/IS!AH$11</f>
        <v>2.2508389490628326E-2</v>
      </c>
      <c r="AI53" s="225">
        <f>AI16/IS!AI$11</f>
        <v>2.170261901012964E-2</v>
      </c>
      <c r="AJ53" s="225">
        <f>AJ16/IS!AJ$11</f>
        <v>2.0039590410322834E-2</v>
      </c>
      <c r="AK53" s="225">
        <f>AK16/IS!AK$11</f>
        <v>2.0329843822107795E-2</v>
      </c>
      <c r="AM53" s="425">
        <v>0.02</v>
      </c>
      <c r="AN53" s="425">
        <v>0.02</v>
      </c>
      <c r="AO53" s="425">
        <v>0.02</v>
      </c>
      <c r="AP53" s="425">
        <v>0.02</v>
      </c>
    </row>
    <row r="54" spans="2:43">
      <c r="D54" s="226"/>
      <c r="E54" s="226"/>
      <c r="F54" s="226"/>
      <c r="G54" s="226"/>
      <c r="H54" s="226"/>
      <c r="I54" s="226"/>
      <c r="J54" s="226"/>
      <c r="K54" s="226"/>
      <c r="L54" s="226"/>
      <c r="M54" s="226"/>
      <c r="N54" s="226"/>
      <c r="O54" s="226"/>
      <c r="P54" s="226"/>
      <c r="Q54" s="226"/>
      <c r="S54" s="226"/>
      <c r="T54" s="321"/>
      <c r="U54" s="321"/>
      <c r="V54" s="321"/>
      <c r="W54" s="321"/>
      <c r="X54" s="321"/>
      <c r="Y54" s="321"/>
      <c r="Z54" s="321"/>
      <c r="AA54" s="321"/>
      <c r="AC54" s="321"/>
      <c r="AD54" s="321"/>
      <c r="AE54" s="321"/>
      <c r="AF54" s="321"/>
      <c r="AH54" s="321"/>
      <c r="AI54" s="321"/>
      <c r="AJ54" s="321"/>
      <c r="AK54" s="321"/>
      <c r="AM54" s="321"/>
      <c r="AN54" s="321"/>
      <c r="AO54" s="321"/>
      <c r="AP54" s="321"/>
    </row>
    <row r="55" spans="2:43">
      <c r="B55" s="22" t="s">
        <v>191</v>
      </c>
      <c r="D55" s="226"/>
      <c r="E55" s="226"/>
      <c r="F55" s="226"/>
      <c r="G55" s="226"/>
      <c r="H55" s="226"/>
      <c r="I55" s="226"/>
      <c r="J55" s="226"/>
      <c r="K55" s="226"/>
      <c r="L55" s="226"/>
      <c r="M55" s="226"/>
      <c r="N55" s="226"/>
      <c r="O55" s="226"/>
      <c r="P55" s="226"/>
      <c r="Q55" s="226"/>
      <c r="S55" s="226"/>
      <c r="T55" s="321"/>
      <c r="U55" s="321"/>
      <c r="V55" s="321"/>
      <c r="W55" s="321"/>
      <c r="X55" s="321"/>
      <c r="Y55" s="321"/>
      <c r="Z55" s="321"/>
      <c r="AA55" s="321"/>
      <c r="AC55" s="321"/>
      <c r="AD55" s="321"/>
      <c r="AE55" s="321"/>
      <c r="AF55" s="321"/>
      <c r="AH55" s="321"/>
      <c r="AI55" s="321"/>
      <c r="AJ55" s="321"/>
      <c r="AK55" s="321"/>
      <c r="AM55" s="321"/>
      <c r="AN55" s="321"/>
      <c r="AO55" s="321"/>
      <c r="AP55" s="321"/>
    </row>
    <row r="56" spans="2:43">
      <c r="C56" s="22" t="s">
        <v>344</v>
      </c>
      <c r="D56" s="225">
        <f>D20/IS!D$11</f>
        <v>0.11948352283677009</v>
      </c>
      <c r="E56" s="225">
        <f>E20/IS!E$11</f>
        <v>0.21928350287483414</v>
      </c>
      <c r="F56" s="225">
        <f>F20/IS!F$11</f>
        <v>0.19222257350616503</v>
      </c>
      <c r="G56" s="225">
        <f>G20/IS!G$11</f>
        <v>0.28028971239715911</v>
      </c>
      <c r="H56" s="225"/>
      <c r="I56" s="225">
        <f>I20/IS!I$11</f>
        <v>0.26614756190962469</v>
      </c>
      <c r="J56" s="225">
        <f>J20/IS!J$11</f>
        <v>0.31016722833343929</v>
      </c>
      <c r="K56" s="225">
        <f>K20/IS!K$11</f>
        <v>0.29496725074175673</v>
      </c>
      <c r="L56" s="225">
        <f>L20/IS!L$11</f>
        <v>0.18701136245178776</v>
      </c>
      <c r="M56" s="225"/>
      <c r="N56" s="225">
        <f>N20/IS!N$11</f>
        <v>0.20193081255028159</v>
      </c>
      <c r="O56" s="225">
        <f>O20/IS!O$11</f>
        <v>0.20793989237486038</v>
      </c>
      <c r="P56" s="225">
        <f>P20/IS!P$11</f>
        <v>0.2663964627855564</v>
      </c>
      <c r="Q56" s="225">
        <f>Q20/IS!Q$11</f>
        <v>0.13859804791481811</v>
      </c>
      <c r="R56" s="425"/>
      <c r="S56" s="225">
        <f>S20/IS!S$11</f>
        <v>0.21889868863873738</v>
      </c>
      <c r="T56" s="225">
        <f>T20/IS!T$11</f>
        <v>0.25407890833580538</v>
      </c>
      <c r="U56" s="225">
        <f>U20/IS!U$11</f>
        <v>0.19849166062364032</v>
      </c>
      <c r="V56" s="225">
        <f>V20/IS!V$11</f>
        <v>0.26078003503703479</v>
      </c>
      <c r="W56" s="225"/>
      <c r="X56" s="225">
        <f>X20/IS!X$11</f>
        <v>0.19756104923179088</v>
      </c>
      <c r="Y56" s="225">
        <f>Y20/IS!Y$11</f>
        <v>0.14943400630178549</v>
      </c>
      <c r="Z56" s="225">
        <f>Z20/IS!Z$11</f>
        <v>0.18558795753083593</v>
      </c>
      <c r="AA56" s="225">
        <f>AA20/IS!AA$11</f>
        <v>0.14643836382966818</v>
      </c>
      <c r="AC56" s="225">
        <f>AC20/IS!AC$11</f>
        <v>5.6085013072446656E-2</v>
      </c>
      <c r="AD56" s="225">
        <f>AD20/IS!AD$11</f>
        <v>0.11220663796694903</v>
      </c>
      <c r="AE56" s="225">
        <f>AE20/IS!AE$11</f>
        <v>9.4027463740142286E-2</v>
      </c>
      <c r="AF56" s="225">
        <f>AF20/IS!AF$11</f>
        <v>0.10794886348279684</v>
      </c>
      <c r="AH56" s="225">
        <f>AH20/IS!AH$11</f>
        <v>0.14757318636946498</v>
      </c>
      <c r="AI56" s="225">
        <f>AI20/IS!AI$11</f>
        <v>8.1929354957224587E-2</v>
      </c>
      <c r="AJ56" s="225">
        <f>AJ20/IS!AJ$11</f>
        <v>6.0216525330531047E-2</v>
      </c>
      <c r="AK56" s="225">
        <f>AK20/IS!AK$11</f>
        <v>9.4435403560758788E-2</v>
      </c>
      <c r="AM56" s="425">
        <v>0.14000000000000001</v>
      </c>
      <c r="AN56" s="425">
        <v>0.14000000000000001</v>
      </c>
      <c r="AO56" s="425">
        <v>0.14000000000000001</v>
      </c>
      <c r="AP56" s="425">
        <v>0.14000000000000001</v>
      </c>
    </row>
    <row r="57" spans="2:43">
      <c r="C57" s="22" t="s">
        <v>324</v>
      </c>
      <c r="D57" s="225">
        <f>D21/IS!D$11</f>
        <v>5.4634804393910191E-2</v>
      </c>
      <c r="E57" s="225">
        <f>E21/IS!E$11</f>
        <v>6.3069438301636443E-2</v>
      </c>
      <c r="F57" s="225">
        <f>F21/IS!F$11</f>
        <v>6.3073031931710405E-2</v>
      </c>
      <c r="G57" s="225">
        <f>G21/IS!G$11</f>
        <v>7.5944026439772175E-2</v>
      </c>
      <c r="H57" s="225"/>
      <c r="I57" s="225">
        <f>I21/IS!I$11</f>
        <v>0.10556548378861373</v>
      </c>
      <c r="J57" s="225">
        <f>J21/IS!J$11</f>
        <v>4.8451707255039105E-2</v>
      </c>
      <c r="K57" s="225">
        <f>K21/IS!K$11</f>
        <v>3.6947881095000842E-2</v>
      </c>
      <c r="L57" s="225">
        <f>L21/IS!L$11</f>
        <v>3.3409777963098089E-2</v>
      </c>
      <c r="M57" s="225"/>
      <c r="N57" s="225">
        <f>N21/IS!N$11</f>
        <v>3.6486678339879799E-2</v>
      </c>
      <c r="O57" s="225">
        <f>O21/IS!O$11</f>
        <v>9.4764273868751484E-2</v>
      </c>
      <c r="P57" s="225">
        <f>P21/IS!P$11</f>
        <v>0.10866215582501507</v>
      </c>
      <c r="Q57" s="225">
        <f>Q21/IS!Q$11</f>
        <v>8.4117125110913932E-2</v>
      </c>
      <c r="R57" s="425"/>
      <c r="S57" s="225">
        <f>S21/IS!S$11</f>
        <v>0.11071138447255426</v>
      </c>
      <c r="T57" s="225">
        <f>T21/IS!T$11</f>
        <v>0.13672500741619698</v>
      </c>
      <c r="U57" s="225">
        <f>U21/IS!U$11</f>
        <v>0.13714285714285715</v>
      </c>
      <c r="V57" s="225">
        <f>V21/IS!V$11</f>
        <v>0.1446046039893045</v>
      </c>
      <c r="W57" s="225"/>
      <c r="X57" s="225">
        <f>X21/IS!X$11</f>
        <v>0.11156388662501132</v>
      </c>
      <c r="Y57" s="225">
        <f>Y21/IS!Y$11</f>
        <v>0.1279612556891119</v>
      </c>
      <c r="Z57" s="225">
        <f>Z21/IS!Z$11</f>
        <v>0.11907964399164353</v>
      </c>
      <c r="AA57" s="225">
        <f>AA21/IS!AA$11</f>
        <v>0.15393654524089306</v>
      </c>
      <c r="AC57" s="225">
        <f>AC21/IS!AC$11</f>
        <v>0.17826319192600715</v>
      </c>
      <c r="AD57" s="225">
        <f>AD21/IS!AD$11</f>
        <v>0.15156228301624775</v>
      </c>
      <c r="AE57" s="225">
        <f>AE21/IS!AE$11</f>
        <v>0.16122539017261348</v>
      </c>
      <c r="AF57" s="225">
        <f>AF21/IS!AF$11</f>
        <v>0.16073407389388902</v>
      </c>
      <c r="AH57" s="225">
        <f>AH21/IS!AH$11</f>
        <v>0.10643057867023163</v>
      </c>
      <c r="AI57" s="225">
        <f>AI21/IS!AI$11</f>
        <v>0.1623628824856978</v>
      </c>
      <c r="AJ57" s="225">
        <f>AJ21/IS!AJ$11</f>
        <v>0.1268115056575185</v>
      </c>
      <c r="AK57" s="225">
        <f>AK21/IS!AK$11</f>
        <v>0.15867965315391902</v>
      </c>
      <c r="AM57" s="425">
        <v>0.14000000000000001</v>
      </c>
      <c r="AN57" s="425">
        <v>0.14000000000000001</v>
      </c>
      <c r="AO57" s="425">
        <v>0.14000000000000001</v>
      </c>
      <c r="AP57" s="425">
        <v>0.14499999999999999</v>
      </c>
    </row>
    <row r="58" spans="2:43">
      <c r="C58" s="22" t="s">
        <v>325</v>
      </c>
      <c r="D58" s="225">
        <f>D23/IS!D$11</f>
        <v>0.1131239159761033</v>
      </c>
      <c r="E58" s="225">
        <f>E23/IS!E$11</f>
        <v>0.31393188854489162</v>
      </c>
      <c r="F58" s="225">
        <f>F23/IS!F$11</f>
        <v>0.31631362630414162</v>
      </c>
      <c r="G58" s="225">
        <f>G23/IS!G$11</f>
        <v>0.19147739258842555</v>
      </c>
      <c r="H58" s="225"/>
      <c r="I58" s="225">
        <f>I23/IS!I$11</f>
        <v>0.15732703599693643</v>
      </c>
      <c r="J58" s="225">
        <f>J23/IS!J$11</f>
        <v>0.1786736186176639</v>
      </c>
      <c r="K58" s="225">
        <f>K23/IS!K$11</f>
        <v>0.2216313049319823</v>
      </c>
      <c r="L58" s="225">
        <f>L23/IS!L$11</f>
        <v>0.27311581361409359</v>
      </c>
      <c r="M58" s="225"/>
      <c r="N58" s="225">
        <f>N23/IS!N$11</f>
        <v>0.13936870001419716</v>
      </c>
      <c r="O58" s="225">
        <f>O23/IS!O$11</f>
        <v>0.16441601516228382</v>
      </c>
      <c r="P58" s="225">
        <f>P23/IS!P$11</f>
        <v>0.22693776378374758</v>
      </c>
      <c r="Q58" s="225">
        <f>Q23/IS!Q$11</f>
        <v>0.23528541851523219</v>
      </c>
      <c r="R58" s="426"/>
      <c r="S58" s="225">
        <f>S23/IS!S$11</f>
        <v>0.13064291516769178</v>
      </c>
      <c r="T58" s="225">
        <f>T23/IS!T$11</f>
        <v>0.17256007119549097</v>
      </c>
      <c r="U58" s="225">
        <f>U23/IS!U$11</f>
        <v>0.18381435823060188</v>
      </c>
      <c r="V58" s="225">
        <f>V23/IS!V$11</f>
        <v>0.10867627623935827</v>
      </c>
      <c r="W58" s="225"/>
      <c r="X58" s="225">
        <f>X23/IS!X$11</f>
        <v>0.11929125539557488</v>
      </c>
      <c r="Y58" s="225">
        <f>Y23/IS!Y$11</f>
        <v>0.1494923561675808</v>
      </c>
      <c r="Z58" s="225">
        <f>Z23/IS!Z$11</f>
        <v>0.15814326188363906</v>
      </c>
      <c r="AA58" s="225">
        <f>AA23/IS!AA$11</f>
        <v>0.17430473952213082</v>
      </c>
      <c r="AC58" s="225">
        <f>AC23/IS!AC$11</f>
        <v>8.8105479182480115E-2</v>
      </c>
      <c r="AD58" s="225">
        <f>AD23/IS!AD$11</f>
        <v>0.15311762255242328</v>
      </c>
      <c r="AE58" s="225">
        <f>AE23/IS!AE$11</f>
        <v>0.18794463133513484</v>
      </c>
      <c r="AF58" s="225">
        <f>AF23/IS!AF$11</f>
        <v>0.24668234276602069</v>
      </c>
      <c r="AG58" s="812"/>
      <c r="AH58" s="225">
        <f>AH23/IS!AH$11</f>
        <v>0.10072845333260579</v>
      </c>
      <c r="AI58" s="225">
        <f>AI23/IS!AI$11</f>
        <v>0.15244318480029392</v>
      </c>
      <c r="AJ58" s="225">
        <f>AJ23/IS!AJ$11</f>
        <v>0.19440846550502211</v>
      </c>
      <c r="AK58" s="225">
        <f>AK23/IS!AK$11</f>
        <v>0.25398945859949967</v>
      </c>
      <c r="AM58" s="425">
        <v>0.17</v>
      </c>
      <c r="AN58" s="425">
        <v>0.17</v>
      </c>
      <c r="AO58" s="425">
        <v>0.16500000000000001</v>
      </c>
      <c r="AP58" s="425">
        <v>0.17</v>
      </c>
    </row>
    <row r="59" spans="2:43">
      <c r="C59" s="22" t="s">
        <v>135</v>
      </c>
      <c r="D59" s="225">
        <f>D25/IS!D$11</f>
        <v>7.718250144536519E-2</v>
      </c>
      <c r="E59" s="225">
        <f>E25/IS!E$11</f>
        <v>6.0238832375055285E-2</v>
      </c>
      <c r="F59" s="225">
        <f>F25/IS!F$11</f>
        <v>5.1059121087575085E-2</v>
      </c>
      <c r="G59" s="225">
        <f>G25/IS!G$11</f>
        <v>9.971169397370086E-2</v>
      </c>
      <c r="H59" s="225"/>
      <c r="I59" s="225">
        <f>I25/IS!I$11</f>
        <v>9.8098034209854482E-2</v>
      </c>
      <c r="J59" s="225">
        <f>J25/IS!J$11</f>
        <v>8.5140204743434852E-2</v>
      </c>
      <c r="K59" s="225">
        <f>K25/IS!K$11</f>
        <v>6.1635783463024126E-2</v>
      </c>
      <c r="L59" s="225">
        <f>L25/IS!L$11</f>
        <v>8.5583237777546131E-2</v>
      </c>
      <c r="M59" s="225"/>
      <c r="N59" s="225">
        <f>N25/IS!N$11</f>
        <v>0.13023519946997303</v>
      </c>
      <c r="O59" s="225">
        <f>O25/IS!O$11</f>
        <v>5.0394287068061053E-2</v>
      </c>
      <c r="P59" s="225">
        <f>P25/IS!P$11</f>
        <v>5.2756749514302939E-2</v>
      </c>
      <c r="Q59" s="225">
        <f>Q25/IS!Q$11</f>
        <v>6.4330079858030173E-2</v>
      </c>
      <c r="R59" s="425"/>
      <c r="S59" s="225">
        <f>S25/IS!S$11</f>
        <v>8.8052686549843329E-2</v>
      </c>
      <c r="T59" s="225">
        <f>T25/IS!T$11</f>
        <v>7.9798279442301986E-2</v>
      </c>
      <c r="U59" s="225">
        <f>U25/IS!U$11</f>
        <v>7.9506889050036264E-2</v>
      </c>
      <c r="V59" s="225">
        <f>V25/IS!V$11</f>
        <v>0.12601038817346405</v>
      </c>
      <c r="W59" s="225"/>
      <c r="X59" s="225">
        <f>X25/IS!X$11</f>
        <v>0.12584140782999789</v>
      </c>
      <c r="Y59" s="225">
        <f>Y25/IS!Y$11</f>
        <v>9.6569027891235851E-2</v>
      </c>
      <c r="Z59" s="225">
        <f>Z25/IS!Z$11</f>
        <v>8.4881092064218872E-2</v>
      </c>
      <c r="AA59" s="225">
        <f>AA25/IS!AA$11</f>
        <v>0.11988696771305467</v>
      </c>
      <c r="AC59" s="225">
        <f>AC25/IS!AC$11</f>
        <v>9.8422872564729702E-2</v>
      </c>
      <c r="AD59" s="225">
        <f>AD25/IS!AD$11</f>
        <v>9.770865157616998E-2</v>
      </c>
      <c r="AE59" s="225">
        <f>AE25/IS!AE$11</f>
        <v>8.3880218386367403E-2</v>
      </c>
      <c r="AF59" s="225">
        <f>AF25/IS!AF$11</f>
        <v>0.11611124624989864</v>
      </c>
      <c r="AH59" s="225">
        <f>AH25/IS!AH$11</f>
        <v>0.10653971025564074</v>
      </c>
      <c r="AI59" s="225">
        <f>AI25/IS!AI$11</f>
        <v>9.1665354537343202E-2</v>
      </c>
      <c r="AJ59" s="225">
        <f>AJ25/IS!AJ$11</f>
        <v>0.10440137833280383</v>
      </c>
      <c r="AK59" s="225">
        <f>AK25/IS!AK$11</f>
        <v>0.13072308178086517</v>
      </c>
      <c r="AM59" s="425">
        <v>0.1</v>
      </c>
      <c r="AN59" s="425">
        <v>0.1</v>
      </c>
      <c r="AO59" s="425">
        <v>0.1</v>
      </c>
      <c r="AP59" s="425">
        <v>0.11</v>
      </c>
    </row>
    <row r="60" spans="2:43">
      <c r="D60" s="225"/>
      <c r="E60" s="225"/>
      <c r="F60" s="225"/>
      <c r="G60" s="225"/>
      <c r="H60" s="225"/>
      <c r="I60" s="225"/>
      <c r="J60" s="225"/>
      <c r="K60" s="225"/>
      <c r="L60" s="225"/>
      <c r="M60" s="225"/>
      <c r="N60" s="225"/>
      <c r="O60" s="425"/>
      <c r="P60" s="425"/>
      <c r="Q60" s="425"/>
      <c r="S60" s="425"/>
      <c r="T60" s="425"/>
      <c r="U60" s="425"/>
      <c r="V60" s="425"/>
      <c r="X60" s="425"/>
      <c r="Y60" s="425"/>
      <c r="Z60" s="425"/>
      <c r="AA60" s="425"/>
      <c r="AC60" s="425"/>
      <c r="AD60" s="425"/>
      <c r="AE60" s="425"/>
      <c r="AF60" s="425"/>
      <c r="AH60" s="425"/>
      <c r="AI60" s="425"/>
      <c r="AJ60" s="425"/>
      <c r="AK60" s="425"/>
      <c r="AM60" s="425"/>
      <c r="AN60" s="425"/>
      <c r="AO60" s="425"/>
      <c r="AP60" s="425"/>
    </row>
    <row r="61" spans="2:43">
      <c r="AG61" s="811"/>
      <c r="AL61" s="811"/>
      <c r="AQ61" s="811"/>
    </row>
  </sheetData>
  <pageMargins left="0.17" right="0.17" top="0.75" bottom="0.75" header="0.3" footer="0.3"/>
  <pageSetup scale="83"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Q59"/>
  <sheetViews>
    <sheetView showGridLines="0" workbookViewId="0">
      <pane xSplit="3" ySplit="4" topLeftCell="Y5" activePane="bottomRight" state="frozen"/>
      <selection pane="topRight" activeCell="D1" sqref="D1"/>
      <selection pane="bottomLeft" activeCell="A5" sqref="A5"/>
      <selection pane="bottomRight" activeCell="AP59" sqref="AP59"/>
    </sheetView>
  </sheetViews>
  <sheetFormatPr defaultColWidth="9" defaultRowHeight="12.75" outlineLevelRow="1" outlineLevelCol="1"/>
  <cols>
    <col min="1" max="2" width="1.625" style="134" customWidth="1"/>
    <col min="3" max="3" width="41.875" style="134" customWidth="1"/>
    <col min="4" max="7" width="8.625" style="134" customWidth="1" outlineLevel="1"/>
    <col min="8" max="8" width="8.625" style="134" customWidth="1"/>
    <col min="9" max="12" width="8.625" style="134" customWidth="1" outlineLevel="1"/>
    <col min="13" max="13" width="8.625" style="134" customWidth="1"/>
    <col min="14" max="17" width="8.625" style="134" customWidth="1" outlineLevel="1"/>
    <col min="18" max="18" width="8.625" style="134" customWidth="1"/>
    <col min="19" max="22" width="8.625" style="134" customWidth="1" outlineLevel="1"/>
    <col min="23" max="23" width="8.625" style="134" customWidth="1"/>
    <col min="24" max="27" width="8.625" style="134" customWidth="1" outlineLevel="1"/>
    <col min="28" max="28" width="8.625" style="134" customWidth="1"/>
    <col min="29" max="32" width="8.625" style="134" customWidth="1" outlineLevel="1"/>
    <col min="33" max="33" width="8.625" style="134" customWidth="1"/>
    <col min="34" max="37" width="8.625" style="134" customWidth="1" outlineLevel="1"/>
    <col min="38" max="38" width="8.625" style="134" customWidth="1"/>
    <col min="39" max="42" width="8.625" style="134" customWidth="1" outlineLevel="1"/>
    <col min="43" max="43" width="8.625" style="134" customWidth="1"/>
    <col min="44" max="16384" width="9" style="134"/>
  </cols>
  <sheetData>
    <row r="1" spans="1:43" ht="10.5" customHeight="1">
      <c r="A1" s="22"/>
      <c r="B1" s="22"/>
      <c r="C1" s="22"/>
    </row>
    <row r="2" spans="1:43" ht="15">
      <c r="A2" s="22"/>
      <c r="B2" s="204" t="str">
        <f>IS!B2</f>
        <v xml:space="preserve">CS DISCO (LAW) </v>
      </c>
      <c r="C2" s="204"/>
      <c r="J2" s="199"/>
      <c r="T2" s="199">
        <f>+T25-S25</f>
        <v>590</v>
      </c>
      <c r="U2" s="199">
        <f>U25-P25</f>
        <v>-5856</v>
      </c>
      <c r="AJ2" s="199">
        <f>AJ25-AE25</f>
        <v>1878</v>
      </c>
      <c r="AK2" s="199">
        <f>AK25-AF25</f>
        <v>-1326</v>
      </c>
    </row>
    <row r="3" spans="1:43" ht="5.45" customHeight="1" thickBot="1">
      <c r="A3" s="22"/>
      <c r="B3" s="22"/>
      <c r="C3" s="22"/>
    </row>
    <row r="4" spans="1:43" ht="13.5" thickBot="1">
      <c r="A4" s="22"/>
      <c r="B4" s="805" t="s">
        <v>294</v>
      </c>
      <c r="C4" s="808"/>
      <c r="D4" s="806" t="s">
        <v>231</v>
      </c>
      <c r="E4" s="806" t="s">
        <v>233</v>
      </c>
      <c r="F4" s="806" t="s">
        <v>234</v>
      </c>
      <c r="G4" s="806" t="s">
        <v>235</v>
      </c>
      <c r="H4" s="806">
        <v>2019</v>
      </c>
      <c r="I4" s="806" t="s">
        <v>241</v>
      </c>
      <c r="J4" s="806" t="s">
        <v>259</v>
      </c>
      <c r="K4" s="806" t="s">
        <v>263</v>
      </c>
      <c r="L4" s="806" t="s">
        <v>265</v>
      </c>
      <c r="M4" s="807">
        <f>IS!M4</f>
        <v>2020</v>
      </c>
      <c r="N4" s="806" t="str">
        <f>IS!N4</f>
        <v>1Q21</v>
      </c>
      <c r="O4" s="806" t="str">
        <f>IS!O4</f>
        <v>2Q21</v>
      </c>
      <c r="P4" s="806" t="str">
        <f>IS!P4</f>
        <v>3Q21</v>
      </c>
      <c r="Q4" s="806" t="str">
        <f>IS!Q4</f>
        <v>4Q21</v>
      </c>
      <c r="R4" s="807">
        <f>IS!R4</f>
        <v>2021</v>
      </c>
      <c r="S4" s="806" t="str">
        <f>IS!S4</f>
        <v>1Q22</v>
      </c>
      <c r="T4" s="806" t="str">
        <f>IS!T4</f>
        <v>2Q22</v>
      </c>
      <c r="U4" s="806" t="str">
        <f>IS!U4</f>
        <v>3Q22</v>
      </c>
      <c r="V4" s="806" t="str">
        <f>IS!V4</f>
        <v>4Q22</v>
      </c>
      <c r="W4" s="807">
        <f>IS!W4</f>
        <v>2022</v>
      </c>
      <c r="X4" s="806" t="str">
        <f>IS!X4</f>
        <v>1Q23</v>
      </c>
      <c r="Y4" s="806" t="str">
        <f>IS!Y4</f>
        <v>2Q23</v>
      </c>
      <c r="Z4" s="806" t="str">
        <f>IS!Z4</f>
        <v>3Q23</v>
      </c>
      <c r="AA4" s="806" t="str">
        <f>IS!AA4</f>
        <v>4Q23</v>
      </c>
      <c r="AB4" s="807">
        <f>IS!AB4</f>
        <v>2023</v>
      </c>
      <c r="AC4" s="806" t="str">
        <f>IS!AC4</f>
        <v>1Q24</v>
      </c>
      <c r="AD4" s="806" t="str">
        <f>IS!AD4</f>
        <v>2Q24</v>
      </c>
      <c r="AE4" s="806" t="str">
        <f>IS!AE4</f>
        <v>3Q24</v>
      </c>
      <c r="AF4" s="806" t="str">
        <f>IS!AF4</f>
        <v>4Q24</v>
      </c>
      <c r="AG4" s="807">
        <f>IS!AG4</f>
        <v>2024</v>
      </c>
      <c r="AH4" s="806" t="str">
        <f>IS!AH4</f>
        <v>1Q25</v>
      </c>
      <c r="AI4" s="806" t="str">
        <f>IS!AI4</f>
        <v>2Q25</v>
      </c>
      <c r="AJ4" s="806" t="str">
        <f>IS!AJ4</f>
        <v>3Q25</v>
      </c>
      <c r="AK4" s="806" t="str">
        <f>IS!AK4</f>
        <v>4Q25</v>
      </c>
      <c r="AL4" s="807">
        <f>IS!AL4</f>
        <v>2025</v>
      </c>
      <c r="AM4" s="806" t="str">
        <f>IS!AM4</f>
        <v>1Q26E</v>
      </c>
      <c r="AN4" s="806" t="str">
        <f>IS!AN4</f>
        <v>2Q26E</v>
      </c>
      <c r="AO4" s="806" t="str">
        <f>IS!AO4</f>
        <v>3Q26E</v>
      </c>
      <c r="AP4" s="806" t="str">
        <f>IS!AP4</f>
        <v>4Q26E</v>
      </c>
      <c r="AQ4" s="807" t="str">
        <f>IS!AQ4</f>
        <v>2026E</v>
      </c>
    </row>
    <row r="5" spans="1:43" ht="15.2" customHeight="1">
      <c r="B5" s="288" t="s">
        <v>176</v>
      </c>
      <c r="C5" s="255"/>
      <c r="D5" s="22"/>
      <c r="E5" s="22"/>
      <c r="F5" s="22"/>
      <c r="G5" s="22"/>
      <c r="H5" s="260"/>
      <c r="I5" s="22"/>
      <c r="J5" s="22"/>
      <c r="K5" s="22"/>
      <c r="L5" s="22"/>
      <c r="M5" s="260"/>
      <c r="N5" s="22"/>
      <c r="O5" s="22"/>
      <c r="P5" s="22"/>
      <c r="Q5" s="22"/>
      <c r="R5" s="260"/>
      <c r="S5" s="22"/>
      <c r="T5" s="22"/>
      <c r="U5" s="22"/>
      <c r="V5" s="22"/>
      <c r="W5" s="260"/>
      <c r="X5" s="22"/>
      <c r="Y5" s="22"/>
      <c r="Z5" s="22"/>
      <c r="AA5" s="22"/>
      <c r="AB5" s="260"/>
      <c r="AC5" s="22"/>
      <c r="AD5" s="22"/>
      <c r="AE5" s="22"/>
      <c r="AF5" s="22"/>
      <c r="AG5" s="260"/>
      <c r="AH5" s="22"/>
      <c r="AI5" s="22"/>
      <c r="AJ5" s="22"/>
      <c r="AK5" s="22"/>
      <c r="AL5" s="260"/>
      <c r="AM5" s="22"/>
      <c r="AN5" s="22"/>
      <c r="AO5" s="22"/>
      <c r="AP5" s="22"/>
      <c r="AQ5" s="260"/>
    </row>
    <row r="6" spans="1:43" ht="5.45" customHeight="1">
      <c r="B6" s="214"/>
      <c r="C6" s="209"/>
      <c r="D6" s="22"/>
      <c r="E6" s="22"/>
      <c r="F6" s="22"/>
      <c r="G6" s="22"/>
      <c r="H6" s="203"/>
      <c r="I6" s="22"/>
      <c r="J6" s="22"/>
      <c r="K6" s="22"/>
      <c r="L6" s="22"/>
      <c r="M6" s="203"/>
      <c r="N6" s="22"/>
      <c r="O6" s="22"/>
      <c r="P6" s="22"/>
      <c r="Q6" s="22"/>
      <c r="R6" s="203"/>
      <c r="S6" s="22"/>
      <c r="T6" s="22"/>
      <c r="U6" s="22"/>
      <c r="V6" s="22"/>
      <c r="W6" s="203"/>
      <c r="X6" s="22"/>
      <c r="Y6" s="22"/>
      <c r="Z6" s="22"/>
      <c r="AA6" s="22"/>
      <c r="AB6" s="203"/>
      <c r="AC6" s="22"/>
      <c r="AD6" s="22"/>
      <c r="AE6" s="22"/>
      <c r="AF6" s="22"/>
      <c r="AG6" s="203"/>
      <c r="AH6" s="22"/>
      <c r="AI6" s="22"/>
      <c r="AJ6" s="22"/>
      <c r="AK6" s="22"/>
      <c r="AL6" s="203"/>
      <c r="AM6" s="22"/>
      <c r="AN6" s="22"/>
      <c r="AO6" s="22"/>
      <c r="AP6" s="22"/>
      <c r="AQ6" s="203"/>
    </row>
    <row r="7" spans="1:43">
      <c r="B7" s="170" t="s">
        <v>251</v>
      </c>
      <c r="C7" s="209"/>
      <c r="D7" s="230">
        <f>IS!D62</f>
        <v>-6952</v>
      </c>
      <c r="E7" s="230">
        <f>IS!E62</f>
        <v>-7051</v>
      </c>
      <c r="F7" s="230">
        <f>IS!F62</f>
        <v>-7661</v>
      </c>
      <c r="G7" s="230">
        <f>IS!G62</f>
        <v>-8168</v>
      </c>
      <c r="H7" s="328">
        <f>IS!H62</f>
        <v>-29832</v>
      </c>
      <c r="I7" s="230">
        <f>IS!I62</f>
        <v>-11236</v>
      </c>
      <c r="J7" s="230">
        <f>IS!J62</f>
        <v>-5477</v>
      </c>
      <c r="K7" s="230">
        <f>IS!K62</f>
        <v>-3169</v>
      </c>
      <c r="L7" s="230">
        <f>IS!L62</f>
        <v>-2991</v>
      </c>
      <c r="M7" s="155">
        <f>IS!M62</f>
        <v>-22873</v>
      </c>
      <c r="N7" s="230">
        <f>IS!N62</f>
        <v>-2928</v>
      </c>
      <c r="O7" s="230">
        <f>IS!O62</f>
        <v>-3083</v>
      </c>
      <c r="P7" s="230">
        <f>IS!P62</f>
        <v>-9225</v>
      </c>
      <c r="Q7" s="230">
        <f>IS!Q62</f>
        <v>-9108</v>
      </c>
      <c r="R7" s="155">
        <f>SUM(N7:Q7)</f>
        <v>-24344</v>
      </c>
      <c r="S7" s="230">
        <f>IS!S62</f>
        <v>-11849</v>
      </c>
      <c r="T7" s="230">
        <f>+-32020-S7</f>
        <v>-20171</v>
      </c>
      <c r="U7" s="230">
        <f>-52077-T7-S7</f>
        <v>-20057</v>
      </c>
      <c r="V7" s="230">
        <f>-70765-U7-T7-S7</f>
        <v>-18688</v>
      </c>
      <c r="W7" s="155">
        <f>SUM(S7:V7)</f>
        <v>-70765</v>
      </c>
      <c r="X7" s="230">
        <v>-20365</v>
      </c>
      <c r="Y7" s="230">
        <f>+-35280-X7</f>
        <v>-14915</v>
      </c>
      <c r="Z7" s="230">
        <f>+-36310-Y7-X7</f>
        <v>-1030</v>
      </c>
      <c r="AA7" s="230">
        <f>+-42150-Z7-Y7-X7</f>
        <v>-5840</v>
      </c>
      <c r="AB7" s="155">
        <f>SUM(X7:AA7)</f>
        <v>-42150</v>
      </c>
      <c r="AC7" s="230">
        <f>IS!AC62</f>
        <v>-10582</v>
      </c>
      <c r="AD7" s="230">
        <f>IS!AD62</f>
        <v>-10834</v>
      </c>
      <c r="AE7" s="230">
        <f>IS!AE62</f>
        <v>-9158</v>
      </c>
      <c r="AF7" s="230">
        <f>IS!AF62</f>
        <v>-25200</v>
      </c>
      <c r="AG7" s="155">
        <v>-55774</v>
      </c>
      <c r="AH7" s="230">
        <f>IS!AH62</f>
        <v>-11393</v>
      </c>
      <c r="AI7" s="230">
        <f>IS!AI62</f>
        <v>-10812</v>
      </c>
      <c r="AJ7" s="230">
        <f>IS!AJ62</f>
        <v>-13665</v>
      </c>
      <c r="AK7" s="230">
        <f>IS!AK62</f>
        <v>-8502</v>
      </c>
      <c r="AL7" s="155">
        <f>SUM(AH7:AK7)</f>
        <v>-44372</v>
      </c>
      <c r="AM7" s="230">
        <f>IS!AM62</f>
        <v>-11061.984607999999</v>
      </c>
      <c r="AN7" s="230">
        <f>IS!AN62</f>
        <v>-7319.1690000000017</v>
      </c>
      <c r="AO7" s="230">
        <f>IS!AO62</f>
        <v>-6423.1233619999985</v>
      </c>
      <c r="AP7" s="230">
        <f>IS!AP62</f>
        <v>-6160.3765439999988</v>
      </c>
      <c r="AQ7" s="155">
        <f>SUM(AM7:AP7)</f>
        <v>-30964.653513999998</v>
      </c>
    </row>
    <row r="8" spans="1:43" ht="5.45" customHeight="1">
      <c r="B8" s="170"/>
      <c r="C8" s="209"/>
      <c r="D8" s="230"/>
      <c r="E8" s="230"/>
      <c r="F8" s="230"/>
      <c r="G8" s="230"/>
      <c r="H8" s="328"/>
      <c r="I8" s="230"/>
      <c r="J8" s="230"/>
      <c r="K8" s="230"/>
      <c r="L8" s="230"/>
      <c r="M8" s="155"/>
      <c r="N8" s="230"/>
      <c r="O8" s="230"/>
      <c r="P8" s="230"/>
      <c r="Q8" s="230"/>
      <c r="R8" s="155">
        <f t="shared" ref="R8:R23" si="0">SUM(N8:Q8)</f>
        <v>0</v>
      </c>
      <c r="S8" s="230"/>
      <c r="T8" s="230"/>
      <c r="U8" s="230"/>
      <c r="V8" s="230"/>
      <c r="W8" s="155">
        <f t="shared" ref="W8:W24" si="1">SUM(S8:V8)</f>
        <v>0</v>
      </c>
      <c r="X8" s="230"/>
      <c r="Y8" s="230"/>
      <c r="Z8" s="230"/>
      <c r="AA8" s="230"/>
      <c r="AB8" s="155">
        <f t="shared" ref="AB8:AB24" si="2">SUM(X8:AA8)</f>
        <v>0</v>
      </c>
      <c r="AC8" s="230"/>
      <c r="AD8" s="230"/>
      <c r="AE8" s="230"/>
      <c r="AF8" s="230"/>
      <c r="AG8" s="155"/>
      <c r="AH8" s="230"/>
      <c r="AI8" s="230"/>
      <c r="AJ8" s="230"/>
      <c r="AK8" s="230"/>
      <c r="AL8" s="155"/>
      <c r="AM8" s="230"/>
      <c r="AN8" s="230"/>
      <c r="AO8" s="230"/>
      <c r="AP8" s="230"/>
      <c r="AQ8" s="155">
        <f>SUM(AM8:AP8)</f>
        <v>0</v>
      </c>
    </row>
    <row r="9" spans="1:43">
      <c r="B9" s="170" t="s">
        <v>175</v>
      </c>
      <c r="C9" s="209"/>
      <c r="D9" s="22"/>
      <c r="E9" s="22"/>
      <c r="F9" s="22"/>
      <c r="G9" s="22"/>
      <c r="H9" s="203"/>
      <c r="I9" s="22"/>
      <c r="J9" s="22"/>
      <c r="K9" s="22"/>
      <c r="L9" s="22"/>
      <c r="M9" s="203"/>
      <c r="N9" s="22"/>
      <c r="O9" s="22"/>
      <c r="P9" s="22"/>
      <c r="Q9" s="22"/>
      <c r="R9" s="155"/>
      <c r="S9" s="22"/>
      <c r="T9" s="22"/>
      <c r="U9" s="22"/>
      <c r="V9" s="22"/>
      <c r="W9" s="155"/>
      <c r="X9" s="22"/>
      <c r="Y9" s="22"/>
      <c r="Z9" s="22"/>
      <c r="AA9" s="22"/>
      <c r="AB9" s="155"/>
      <c r="AC9" s="22"/>
      <c r="AD9" s="22"/>
      <c r="AE9" s="22"/>
      <c r="AF9" s="230"/>
      <c r="AG9" s="155"/>
      <c r="AH9" s="22"/>
      <c r="AI9" s="22"/>
      <c r="AJ9" s="22"/>
      <c r="AK9" s="230"/>
      <c r="AL9" s="155"/>
      <c r="AM9" s="22"/>
      <c r="AN9" s="22"/>
      <c r="AO9" s="22"/>
      <c r="AP9" s="22"/>
      <c r="AQ9" s="155"/>
    </row>
    <row r="10" spans="1:43">
      <c r="B10" s="170"/>
      <c r="C10" s="445" t="s">
        <v>305</v>
      </c>
      <c r="D10" s="230">
        <v>120</v>
      </c>
      <c r="E10" s="230">
        <v>176</v>
      </c>
      <c r="F10" s="230">
        <v>247</v>
      </c>
      <c r="G10" s="230">
        <v>260</v>
      </c>
      <c r="H10" s="328">
        <f t="shared" ref="H10:H16" si="3">SUM(D10:G10)</f>
        <v>803</v>
      </c>
      <c r="I10" s="230">
        <v>378</v>
      </c>
      <c r="J10" s="230">
        <v>421</v>
      </c>
      <c r="K10" s="230">
        <v>415</v>
      </c>
      <c r="L10" s="230">
        <v>410</v>
      </c>
      <c r="M10" s="155">
        <f t="shared" ref="M10:M15" si="4">SUM(I10:L10)</f>
        <v>1624</v>
      </c>
      <c r="N10" s="230">
        <v>424</v>
      </c>
      <c r="O10" s="230">
        <f>830-N10</f>
        <v>406</v>
      </c>
      <c r="P10" s="230">
        <f>1254-O10-N10</f>
        <v>424</v>
      </c>
      <c r="Q10" s="230">
        <f>1674-P10-O10-N10</f>
        <v>420</v>
      </c>
      <c r="R10" s="155">
        <f t="shared" si="0"/>
        <v>1674</v>
      </c>
      <c r="S10" s="230">
        <v>455</v>
      </c>
      <c r="T10" s="650">
        <f>1155-S10</f>
        <v>700</v>
      </c>
      <c r="U10" s="231">
        <f>2079-T10-S10</f>
        <v>924</v>
      </c>
      <c r="V10" s="650">
        <f>2974-U10-T10-S10</f>
        <v>895</v>
      </c>
      <c r="W10" s="155">
        <f t="shared" si="1"/>
        <v>2974</v>
      </c>
      <c r="X10" s="650">
        <v>952</v>
      </c>
      <c r="Y10" s="650">
        <f>1957-X10</f>
        <v>1005</v>
      </c>
      <c r="Z10" s="650">
        <f>3011-Y10-X10</f>
        <v>1054</v>
      </c>
      <c r="AA10" s="650">
        <f>4159-Z10-Y10-X10</f>
        <v>1148</v>
      </c>
      <c r="AB10" s="155">
        <f t="shared" si="2"/>
        <v>4159</v>
      </c>
      <c r="AC10" s="650">
        <v>1075</v>
      </c>
      <c r="AD10" s="650">
        <f>2103-AC10</f>
        <v>1028</v>
      </c>
      <c r="AE10" s="650">
        <v>989</v>
      </c>
      <c r="AF10" s="230">
        <f t="shared" ref="AF10:AF24" si="5">AG10-SUM(AC10:AE10)</f>
        <v>834</v>
      </c>
      <c r="AG10" s="155">
        <v>3926</v>
      </c>
      <c r="AH10" s="650">
        <v>927</v>
      </c>
      <c r="AI10" s="650">
        <v>902</v>
      </c>
      <c r="AJ10" s="650">
        <v>902</v>
      </c>
      <c r="AK10" s="230">
        <f t="shared" ref="AK10:AK24" si="6">AL10-SUM(AH10:AJ10)</f>
        <v>927</v>
      </c>
      <c r="AL10" s="155">
        <v>3658</v>
      </c>
      <c r="AM10" s="441">
        <f>AM58</f>
        <v>872.04500000000007</v>
      </c>
      <c r="AN10" s="441">
        <f>AN58</f>
        <v>869.50982499999998</v>
      </c>
      <c r="AO10" s="441">
        <f>AO58</f>
        <v>878.76619512499997</v>
      </c>
      <c r="AP10" s="441">
        <f>AP58</f>
        <v>886.95808268562507</v>
      </c>
      <c r="AQ10" s="155">
        <f t="shared" ref="AQ10:AQ15" si="7">SUM(AM10:AP10)</f>
        <v>3507.2791028106253</v>
      </c>
    </row>
    <row r="11" spans="1:43">
      <c r="B11" s="170"/>
      <c r="C11" s="445" t="s">
        <v>252</v>
      </c>
      <c r="D11" s="230">
        <v>2638</v>
      </c>
      <c r="E11" s="230">
        <v>531</v>
      </c>
      <c r="F11" s="230">
        <v>456</v>
      </c>
      <c r="G11" s="230">
        <v>495</v>
      </c>
      <c r="H11" s="328">
        <f t="shared" si="3"/>
        <v>4120</v>
      </c>
      <c r="I11" s="230">
        <v>488</v>
      </c>
      <c r="J11" s="230">
        <v>500</v>
      </c>
      <c r="K11" s="230">
        <v>502</v>
      </c>
      <c r="L11" s="230">
        <v>503</v>
      </c>
      <c r="M11" s="155">
        <f t="shared" si="4"/>
        <v>1993</v>
      </c>
      <c r="N11" s="230">
        <v>488</v>
      </c>
      <c r="O11" s="230">
        <f>1454-N11</f>
        <v>966</v>
      </c>
      <c r="P11" s="230">
        <f>2508-O11-N11</f>
        <v>1054</v>
      </c>
      <c r="Q11" s="230">
        <f>5603-P11-O11-N11</f>
        <v>3095</v>
      </c>
      <c r="R11" s="155">
        <f t="shared" si="0"/>
        <v>5603</v>
      </c>
      <c r="S11" s="230">
        <v>3206</v>
      </c>
      <c r="T11" s="230">
        <f>8728-S11</f>
        <v>5522</v>
      </c>
      <c r="U11" s="231">
        <f>14393-T11-S11</f>
        <v>5665</v>
      </c>
      <c r="V11" s="650">
        <f>21737-U11-T11-S11</f>
        <v>7344</v>
      </c>
      <c r="W11" s="155">
        <f t="shared" si="1"/>
        <v>21737</v>
      </c>
      <c r="X11" s="650">
        <v>7224</v>
      </c>
      <c r="Y11" s="230">
        <f>14092-X11</f>
        <v>6868</v>
      </c>
      <c r="Z11" s="650">
        <f>11211-Y11-X11</f>
        <v>-2881</v>
      </c>
      <c r="AA11" s="650">
        <f>16158-Z11-Y11-X11</f>
        <v>4947</v>
      </c>
      <c r="AB11" s="155">
        <f t="shared" si="2"/>
        <v>16158</v>
      </c>
      <c r="AC11" s="650">
        <v>5673</v>
      </c>
      <c r="AD11" s="230">
        <f>11731-AC11</f>
        <v>6058</v>
      </c>
      <c r="AE11" s="650">
        <v>5147</v>
      </c>
      <c r="AF11" s="230">
        <f t="shared" si="5"/>
        <v>5391</v>
      </c>
      <c r="AG11" s="155">
        <v>22269</v>
      </c>
      <c r="AH11" s="650">
        <v>5879</v>
      </c>
      <c r="AI11" s="230">
        <v>6478</v>
      </c>
      <c r="AJ11" s="650">
        <v>6090</v>
      </c>
      <c r="AK11" s="230">
        <f t="shared" si="6"/>
        <v>6017</v>
      </c>
      <c r="AL11" s="155">
        <v>24464</v>
      </c>
      <c r="AM11" s="230">
        <f>IS!AM31</f>
        <v>6000</v>
      </c>
      <c r="AN11" s="230">
        <f>IS!AN31</f>
        <v>6000</v>
      </c>
      <c r="AO11" s="230">
        <f>IS!AO31</f>
        <v>6000</v>
      </c>
      <c r="AP11" s="230">
        <f>IS!AP31</f>
        <v>6000</v>
      </c>
      <c r="AQ11" s="155">
        <f t="shared" si="7"/>
        <v>24000</v>
      </c>
    </row>
    <row r="12" spans="1:43" outlineLevel="1">
      <c r="B12" s="170"/>
      <c r="C12" s="209" t="s">
        <v>334</v>
      </c>
      <c r="D12" s="231">
        <v>89</v>
      </c>
      <c r="E12" s="231">
        <v>89</v>
      </c>
      <c r="F12" s="231">
        <v>89</v>
      </c>
      <c r="G12" s="231">
        <v>89</v>
      </c>
      <c r="H12" s="328">
        <f t="shared" si="3"/>
        <v>356</v>
      </c>
      <c r="I12" s="231">
        <v>135</v>
      </c>
      <c r="J12" s="231">
        <v>115</v>
      </c>
      <c r="K12" s="231">
        <v>77</v>
      </c>
      <c r="L12" s="231">
        <v>124</v>
      </c>
      <c r="M12" s="155">
        <f t="shared" si="4"/>
        <v>451</v>
      </c>
      <c r="N12" s="231">
        <v>130</v>
      </c>
      <c r="O12" s="231">
        <f>251-N12</f>
        <v>121</v>
      </c>
      <c r="P12" s="231">
        <f>517-O12-N12</f>
        <v>266</v>
      </c>
      <c r="Q12" s="231">
        <f>833-P12-O12-N12</f>
        <v>316</v>
      </c>
      <c r="R12" s="155">
        <f t="shared" si="0"/>
        <v>833</v>
      </c>
      <c r="S12" s="231">
        <v>180</v>
      </c>
      <c r="T12" s="650">
        <f>367-S12</f>
        <v>187</v>
      </c>
      <c r="U12" s="231">
        <f>853-T12-S12</f>
        <v>486</v>
      </c>
      <c r="V12" s="650">
        <f>1294-U12-T12-S12</f>
        <v>441</v>
      </c>
      <c r="W12" s="155">
        <f t="shared" si="1"/>
        <v>1294</v>
      </c>
      <c r="X12" s="650">
        <v>831</v>
      </c>
      <c r="Y12" s="650">
        <f>1356-X12</f>
        <v>525</v>
      </c>
      <c r="Z12" s="650">
        <f>1801-Y12-X12</f>
        <v>445</v>
      </c>
      <c r="AA12" s="650">
        <f>2432-Z12-Y12-X12</f>
        <v>631</v>
      </c>
      <c r="AB12" s="155">
        <f t="shared" si="2"/>
        <v>2432</v>
      </c>
      <c r="AC12" s="650">
        <v>564</v>
      </c>
      <c r="AD12" s="650">
        <f>1126-AC12</f>
        <v>562</v>
      </c>
      <c r="AE12" s="650">
        <v>933</v>
      </c>
      <c r="AF12" s="230">
        <f t="shared" si="5"/>
        <v>53</v>
      </c>
      <c r="AG12" s="155">
        <v>2112</v>
      </c>
      <c r="AH12" s="650">
        <v>534</v>
      </c>
      <c r="AI12" s="650">
        <v>563</v>
      </c>
      <c r="AJ12" s="650">
        <v>577</v>
      </c>
      <c r="AK12" s="230">
        <f t="shared" si="6"/>
        <v>213</v>
      </c>
      <c r="AL12" s="155">
        <v>1887</v>
      </c>
      <c r="AM12" s="441">
        <v>257</v>
      </c>
      <c r="AN12" s="441">
        <v>271</v>
      </c>
      <c r="AO12" s="441">
        <v>288</v>
      </c>
      <c r="AP12" s="441">
        <v>306</v>
      </c>
      <c r="AQ12" s="155">
        <f t="shared" si="7"/>
        <v>1122</v>
      </c>
    </row>
    <row r="13" spans="1:43" outlineLevel="1">
      <c r="B13" s="170"/>
      <c r="C13" s="209" t="s">
        <v>335</v>
      </c>
      <c r="D13" s="231">
        <v>0</v>
      </c>
      <c r="E13" s="231">
        <v>0</v>
      </c>
      <c r="F13" s="231">
        <v>0</v>
      </c>
      <c r="G13" s="231">
        <v>12</v>
      </c>
      <c r="H13" s="328">
        <f t="shared" si="3"/>
        <v>12</v>
      </c>
      <c r="I13" s="231">
        <v>0</v>
      </c>
      <c r="J13" s="231">
        <v>0</v>
      </c>
      <c r="K13" s="231">
        <v>0</v>
      </c>
      <c r="L13" s="231">
        <v>6</v>
      </c>
      <c r="M13" s="155">
        <f t="shared" si="4"/>
        <v>6</v>
      </c>
      <c r="N13" s="231">
        <v>0</v>
      </c>
      <c r="O13" s="231">
        <v>0</v>
      </c>
      <c r="P13" s="231">
        <v>0</v>
      </c>
      <c r="Q13" s="231">
        <f>-1-P13-O13-N13</f>
        <v>-1</v>
      </c>
      <c r="R13" s="155">
        <f t="shared" si="0"/>
        <v>-1</v>
      </c>
      <c r="S13" s="231">
        <v>0</v>
      </c>
      <c r="T13" s="650">
        <v>-1</v>
      </c>
      <c r="U13" s="231">
        <f>-1-T13</f>
        <v>0</v>
      </c>
      <c r="V13" s="650">
        <v>0</v>
      </c>
      <c r="W13" s="155">
        <f t="shared" si="1"/>
        <v>-1</v>
      </c>
      <c r="X13" s="650">
        <v>0</v>
      </c>
      <c r="Y13" s="650">
        <f>1-X13</f>
        <v>1</v>
      </c>
      <c r="Z13" s="650">
        <f>1-Y13</f>
        <v>0</v>
      </c>
      <c r="AA13" s="650">
        <f>41-Z13-Y13-X13</f>
        <v>40</v>
      </c>
      <c r="AB13" s="155">
        <f t="shared" si="2"/>
        <v>41</v>
      </c>
      <c r="AC13" s="650">
        <v>0</v>
      </c>
      <c r="AD13" s="650">
        <f>+-2</f>
        <v>-2</v>
      </c>
      <c r="AE13" s="650">
        <v>-1</v>
      </c>
      <c r="AF13" s="230">
        <f t="shared" si="5"/>
        <v>-1</v>
      </c>
      <c r="AG13" s="155">
        <v>-4</v>
      </c>
      <c r="AH13" s="650"/>
      <c r="AI13" s="650"/>
      <c r="AJ13" s="650"/>
      <c r="AK13" s="230">
        <f t="shared" si="6"/>
        <v>0</v>
      </c>
      <c r="AL13" s="155"/>
      <c r="AM13" s="448">
        <v>0</v>
      </c>
      <c r="AN13" s="448">
        <v>0</v>
      </c>
      <c r="AO13" s="448">
        <v>0</v>
      </c>
      <c r="AP13" s="448">
        <v>0</v>
      </c>
      <c r="AQ13" s="155">
        <f t="shared" si="7"/>
        <v>0</v>
      </c>
    </row>
    <row r="14" spans="1:43" outlineLevel="1">
      <c r="B14" s="170"/>
      <c r="C14" s="209" t="s">
        <v>336</v>
      </c>
      <c r="D14" s="230">
        <v>0</v>
      </c>
      <c r="E14" s="230">
        <v>0</v>
      </c>
      <c r="F14" s="230">
        <v>0</v>
      </c>
      <c r="G14" s="230">
        <v>0</v>
      </c>
      <c r="H14" s="328">
        <f t="shared" si="3"/>
        <v>0</v>
      </c>
      <c r="I14" s="230">
        <v>374</v>
      </c>
      <c r="J14" s="230">
        <v>346</v>
      </c>
      <c r="K14" s="230">
        <v>368</v>
      </c>
      <c r="L14" s="230">
        <v>249</v>
      </c>
      <c r="M14" s="155">
        <f t="shared" si="4"/>
        <v>1337</v>
      </c>
      <c r="N14" s="230">
        <v>242</v>
      </c>
      <c r="O14" s="230">
        <f>487-N14</f>
        <v>245</v>
      </c>
      <c r="P14" s="230">
        <f>735-O14-N14</f>
        <v>248</v>
      </c>
      <c r="Q14" s="230">
        <f>986-P14-O14-N14</f>
        <v>251</v>
      </c>
      <c r="R14" s="155">
        <f t="shared" si="0"/>
        <v>986</v>
      </c>
      <c r="S14" s="230">
        <v>255</v>
      </c>
      <c r="T14" s="650">
        <f>513-S14</f>
        <v>258</v>
      </c>
      <c r="U14" s="231">
        <f>983-T14-S14</f>
        <v>470</v>
      </c>
      <c r="V14" s="650">
        <f>1452-U14-T14-S14</f>
        <v>469</v>
      </c>
      <c r="W14" s="155">
        <f t="shared" si="1"/>
        <v>1452</v>
      </c>
      <c r="X14" s="650">
        <v>218</v>
      </c>
      <c r="Y14" s="650">
        <f>699-X14</f>
        <v>481</v>
      </c>
      <c r="Z14" s="650">
        <f>1187-Y14-X14</f>
        <v>488</v>
      </c>
      <c r="AA14" s="650">
        <f>1681-Z14-Y14-X14</f>
        <v>494</v>
      </c>
      <c r="AB14" s="155">
        <f t="shared" si="2"/>
        <v>1681</v>
      </c>
      <c r="AC14" s="650">
        <v>265</v>
      </c>
      <c r="AD14" s="650">
        <f>771-AC14</f>
        <v>506</v>
      </c>
      <c r="AE14" s="650">
        <v>513</v>
      </c>
      <c r="AF14" s="230">
        <f t="shared" si="5"/>
        <v>529</v>
      </c>
      <c r="AG14" s="155">
        <v>1813</v>
      </c>
      <c r="AH14" s="650">
        <v>556</v>
      </c>
      <c r="AI14" s="650">
        <v>562</v>
      </c>
      <c r="AJ14" s="650">
        <v>570</v>
      </c>
      <c r="AK14" s="230">
        <f t="shared" si="6"/>
        <v>578</v>
      </c>
      <c r="AL14" s="155">
        <v>2266</v>
      </c>
      <c r="AM14" s="441">
        <v>262</v>
      </c>
      <c r="AN14" s="441">
        <v>262</v>
      </c>
      <c r="AO14" s="441">
        <v>262</v>
      </c>
      <c r="AP14" s="441">
        <v>262</v>
      </c>
      <c r="AQ14" s="155">
        <f t="shared" si="7"/>
        <v>1048</v>
      </c>
    </row>
    <row r="15" spans="1:43" outlineLevel="1">
      <c r="B15" s="170"/>
      <c r="C15" s="209" t="s">
        <v>150</v>
      </c>
      <c r="D15" s="230">
        <v>9</v>
      </c>
      <c r="E15" s="230">
        <v>10</v>
      </c>
      <c r="F15" s="230">
        <v>10</v>
      </c>
      <c r="G15" s="230">
        <v>9</v>
      </c>
      <c r="H15" s="328">
        <f t="shared" si="3"/>
        <v>38</v>
      </c>
      <c r="I15" s="230">
        <v>9</v>
      </c>
      <c r="J15" s="230">
        <v>10</v>
      </c>
      <c r="K15" s="230">
        <v>9</v>
      </c>
      <c r="L15" s="230">
        <v>42</v>
      </c>
      <c r="M15" s="155">
        <f t="shared" si="4"/>
        <v>70</v>
      </c>
      <c r="N15" s="230">
        <v>21</v>
      </c>
      <c r="O15" s="230">
        <v>20</v>
      </c>
      <c r="P15" s="230">
        <v>22</v>
      </c>
      <c r="Q15" s="230">
        <v>177</v>
      </c>
      <c r="R15" s="155">
        <f t="shared" si="0"/>
        <v>240</v>
      </c>
      <c r="S15" s="230">
        <v>0</v>
      </c>
      <c r="T15" s="650">
        <v>798</v>
      </c>
      <c r="U15" s="231">
        <v>329</v>
      </c>
      <c r="V15" s="650">
        <v>540</v>
      </c>
      <c r="W15" s="155">
        <f t="shared" si="1"/>
        <v>1667</v>
      </c>
      <c r="X15" s="650">
        <v>0</v>
      </c>
      <c r="Y15" s="650">
        <v>0</v>
      </c>
      <c r="Z15" s="650">
        <v>0</v>
      </c>
      <c r="AA15" s="650">
        <v>500</v>
      </c>
      <c r="AB15" s="155">
        <f t="shared" si="2"/>
        <v>500</v>
      </c>
      <c r="AC15" s="650">
        <v>0</v>
      </c>
      <c r="AD15" s="650">
        <v>0</v>
      </c>
      <c r="AE15" s="650">
        <f>((-256+9)-0)-0</f>
        <v>-247</v>
      </c>
      <c r="AF15" s="230">
        <f t="shared" si="5"/>
        <v>14706</v>
      </c>
      <c r="AG15" s="155">
        <f>-1057+15213+303</f>
        <v>14459</v>
      </c>
      <c r="AH15" s="650">
        <f>-828-142</f>
        <v>-970</v>
      </c>
      <c r="AI15" s="650">
        <f>(-1707-103)--970</f>
        <v>-840</v>
      </c>
      <c r="AJ15" s="650">
        <f>((-2568+93)--840)--970</f>
        <v>-665</v>
      </c>
      <c r="AK15" s="230">
        <f t="shared" si="6"/>
        <v>-1162</v>
      </c>
      <c r="AL15" s="155">
        <f>-3444-193</f>
        <v>-3637</v>
      </c>
      <c r="AM15" s="448"/>
      <c r="AN15" s="448"/>
      <c r="AO15" s="448"/>
      <c r="AP15" s="448"/>
      <c r="AQ15" s="155">
        <f t="shared" si="7"/>
        <v>0</v>
      </c>
    </row>
    <row r="16" spans="1:43">
      <c r="B16" s="170" t="s">
        <v>213</v>
      </c>
      <c r="C16" s="209"/>
      <c r="D16" s="230"/>
      <c r="E16" s="230"/>
      <c r="F16" s="230"/>
      <c r="G16" s="230"/>
      <c r="H16" s="328">
        <f t="shared" si="3"/>
        <v>0</v>
      </c>
      <c r="I16" s="230"/>
      <c r="J16" s="230"/>
      <c r="K16" s="230"/>
      <c r="L16" s="230"/>
      <c r="M16" s="155"/>
      <c r="N16" s="230"/>
      <c r="O16" s="230"/>
      <c r="P16" s="230"/>
      <c r="Q16" s="230"/>
      <c r="R16" s="155"/>
      <c r="S16" s="230"/>
      <c r="T16" s="230"/>
      <c r="U16" s="231"/>
      <c r="V16" s="650"/>
      <c r="W16" s="155"/>
      <c r="X16" s="650"/>
      <c r="Y16" s="230"/>
      <c r="Z16" s="230"/>
      <c r="AA16" s="650"/>
      <c r="AB16" s="155"/>
      <c r="AC16" s="230"/>
      <c r="AD16" s="230"/>
      <c r="AE16" s="230"/>
      <c r="AF16" s="230">
        <f t="shared" si="5"/>
        <v>0</v>
      </c>
      <c r="AG16" s="155"/>
      <c r="AH16" s="230"/>
      <c r="AI16" s="230"/>
      <c r="AJ16" s="230"/>
      <c r="AK16" s="230">
        <f t="shared" si="6"/>
        <v>0</v>
      </c>
      <c r="AL16" s="155"/>
      <c r="AM16" s="230"/>
      <c r="AN16" s="230"/>
      <c r="AO16" s="230"/>
      <c r="AP16" s="230"/>
      <c r="AQ16" s="155"/>
    </row>
    <row r="17" spans="2:43">
      <c r="B17" s="170"/>
      <c r="C17" s="209" t="s">
        <v>174</v>
      </c>
      <c r="D17" s="230">
        <v>-1528</v>
      </c>
      <c r="E17" s="230">
        <v>-422</v>
      </c>
      <c r="F17" s="230">
        <v>-189</v>
      </c>
      <c r="G17" s="230">
        <v>-2425</v>
      </c>
      <c r="H17" s="328">
        <f t="shared" ref="H17:H23" si="8">SUM(D17:G17)</f>
        <v>-4564</v>
      </c>
      <c r="I17" s="230">
        <v>-932</v>
      </c>
      <c r="J17" s="230">
        <v>-631</v>
      </c>
      <c r="K17" s="230">
        <v>-1387</v>
      </c>
      <c r="L17" s="230">
        <v>-3051</v>
      </c>
      <c r="M17" s="328">
        <f t="shared" ref="M17:M23" si="9">SUM(I17:L17)</f>
        <v>-6001</v>
      </c>
      <c r="N17" s="230">
        <v>-2171</v>
      </c>
      <c r="O17" s="230">
        <f>-8534-N17</f>
        <v>-6363</v>
      </c>
      <c r="P17" s="230">
        <f>-10786-O17-N17</f>
        <v>-2252</v>
      </c>
      <c r="Q17" s="230">
        <f>-8662-P17-O17-N17</f>
        <v>2124</v>
      </c>
      <c r="R17" s="155">
        <f t="shared" si="0"/>
        <v>-8662</v>
      </c>
      <c r="S17" s="230">
        <v>-4370</v>
      </c>
      <c r="T17" s="230">
        <f>+-3935-S17</f>
        <v>435</v>
      </c>
      <c r="U17" s="231">
        <f>-2317-T17-S17</f>
        <v>1618</v>
      </c>
      <c r="V17" s="650">
        <f>+-3274-U17-T17-S17</f>
        <v>-957</v>
      </c>
      <c r="W17" s="155">
        <f t="shared" si="1"/>
        <v>-3274</v>
      </c>
      <c r="X17" s="650">
        <v>-1963</v>
      </c>
      <c r="Y17" s="230">
        <f>+-3214-X17</f>
        <v>-1251</v>
      </c>
      <c r="Z17" s="230">
        <f>+-6184-Y17-X17</f>
        <v>-2970</v>
      </c>
      <c r="AA17" s="650">
        <f>+-6705-Z17-Y17-X17</f>
        <v>-521</v>
      </c>
      <c r="AB17" s="155">
        <f t="shared" si="2"/>
        <v>-6705</v>
      </c>
      <c r="AC17" s="230">
        <v>1927</v>
      </c>
      <c r="AD17" s="230">
        <f>533-AC17</f>
        <v>-1394</v>
      </c>
      <c r="AE17" s="230">
        <v>413</v>
      </c>
      <c r="AF17" s="230">
        <f t="shared" si="5"/>
        <v>818</v>
      </c>
      <c r="AG17" s="155">
        <v>1764</v>
      </c>
      <c r="AH17" s="230">
        <v>258</v>
      </c>
      <c r="AI17" s="230">
        <v>-2098</v>
      </c>
      <c r="AJ17" s="230">
        <v>-950</v>
      </c>
      <c r="AK17" s="230">
        <f t="shared" si="6"/>
        <v>-1602</v>
      </c>
      <c r="AL17" s="155">
        <v>-4392</v>
      </c>
      <c r="AM17" s="230">
        <f>BS!AL7-BS!AM7</f>
        <v>-3395.4240800000007</v>
      </c>
      <c r="AN17" s="230">
        <f>BS!AM7-BS!AN7</f>
        <v>-1864.0433200000007</v>
      </c>
      <c r="AO17" s="230">
        <f>BS!AN7-BS!AO7</f>
        <v>-1268.904980000003</v>
      </c>
      <c r="AP17" s="230">
        <f>BS!AO7-BS!AP7</f>
        <v>-1822.8855399999993</v>
      </c>
      <c r="AQ17" s="155">
        <f>SUM(AM17:AP17)</f>
        <v>-8351.2579200000037</v>
      </c>
    </row>
    <row r="18" spans="2:43">
      <c r="B18" s="170"/>
      <c r="C18" s="209" t="s">
        <v>337</v>
      </c>
      <c r="D18" s="230">
        <v>-613</v>
      </c>
      <c r="E18" s="230">
        <v>382</v>
      </c>
      <c r="F18" s="230">
        <v>414</v>
      </c>
      <c r="G18" s="230">
        <v>-401</v>
      </c>
      <c r="H18" s="328">
        <f t="shared" si="8"/>
        <v>-218</v>
      </c>
      <c r="I18" s="230">
        <v>223</v>
      </c>
      <c r="J18" s="230">
        <v>119</v>
      </c>
      <c r="K18" s="230">
        <v>-219</v>
      </c>
      <c r="L18" s="230">
        <v>-147</v>
      </c>
      <c r="M18" s="328">
        <f t="shared" si="9"/>
        <v>-24</v>
      </c>
      <c r="N18" s="230">
        <v>-75</v>
      </c>
      <c r="O18" s="230">
        <f>-819-N18</f>
        <v>-744</v>
      </c>
      <c r="P18" s="230">
        <f>-4391-O18-N18</f>
        <v>-3572</v>
      </c>
      <c r="Q18" s="230">
        <f>-3168-P18-O18-N18</f>
        <v>1223</v>
      </c>
      <c r="R18" s="155">
        <f t="shared" si="0"/>
        <v>-3168</v>
      </c>
      <c r="S18" s="230">
        <v>965</v>
      </c>
      <c r="T18" s="230">
        <f>1671-S18</f>
        <v>706</v>
      </c>
      <c r="U18" s="231">
        <f>-1831-T18-S18</f>
        <v>-3502</v>
      </c>
      <c r="V18" s="650">
        <f>+-989-U18-T18-S18</f>
        <v>842</v>
      </c>
      <c r="W18" s="155">
        <f t="shared" si="1"/>
        <v>-989</v>
      </c>
      <c r="X18" s="650">
        <v>676</v>
      </c>
      <c r="Y18" s="230">
        <f>1819-X18</f>
        <v>1143</v>
      </c>
      <c r="Z18" s="230">
        <f>+-775-Y18-X18</f>
        <v>-2594</v>
      </c>
      <c r="AA18" s="650">
        <f>+-310-Z18-Y18-X18</f>
        <v>465</v>
      </c>
      <c r="AB18" s="155">
        <f t="shared" si="2"/>
        <v>-310</v>
      </c>
      <c r="AC18" s="230">
        <v>409</v>
      </c>
      <c r="AD18" s="230">
        <f>984-AC18</f>
        <v>575</v>
      </c>
      <c r="AE18" s="230">
        <v>-1507</v>
      </c>
      <c r="AF18" s="230">
        <f t="shared" si="5"/>
        <v>1626</v>
      </c>
      <c r="AG18" s="155">
        <v>1103</v>
      </c>
      <c r="AH18" s="230">
        <v>232</v>
      </c>
      <c r="AI18" s="230">
        <v>-107</v>
      </c>
      <c r="AJ18" s="230">
        <f>((-9240-1413)--107)-232</f>
        <v>-10778</v>
      </c>
      <c r="AK18" s="230">
        <f t="shared" si="6"/>
        <v>2571</v>
      </c>
      <c r="AL18" s="155">
        <f>-8039-43</f>
        <v>-8082</v>
      </c>
      <c r="AM18" s="230">
        <f>BS!AL9-BS!AM9</f>
        <v>-1226.4844000000003</v>
      </c>
      <c r="AN18" s="230">
        <f>BS!AM9-BS!AN9</f>
        <v>463.04499999999916</v>
      </c>
      <c r="AO18" s="230">
        <f>BS!AN9-BS!AO9</f>
        <v>-1547.21756</v>
      </c>
      <c r="AP18" s="230">
        <f>BS!AO9-BS!AP9</f>
        <v>160.1857600000003</v>
      </c>
      <c r="AQ18" s="155">
        <f>SUM(AM18:AP18)</f>
        <v>-2150.4712000000009</v>
      </c>
    </row>
    <row r="19" spans="2:43">
      <c r="B19" s="170"/>
      <c r="C19" s="209" t="s">
        <v>338</v>
      </c>
      <c r="D19" s="230">
        <v>-1</v>
      </c>
      <c r="E19" s="230">
        <v>-76</v>
      </c>
      <c r="F19" s="230">
        <v>2</v>
      </c>
      <c r="G19" s="230">
        <v>-10</v>
      </c>
      <c r="H19" s="328">
        <f>SUM(D19:G19)</f>
        <v>-85</v>
      </c>
      <c r="I19" s="230">
        <v>-5</v>
      </c>
      <c r="J19" s="230">
        <v>0</v>
      </c>
      <c r="K19" s="230">
        <v>17</v>
      </c>
      <c r="L19" s="230">
        <v>19</v>
      </c>
      <c r="M19" s="328">
        <f>SUM(I19:L19)</f>
        <v>31</v>
      </c>
      <c r="N19" s="230">
        <v>0</v>
      </c>
      <c r="O19" s="230"/>
      <c r="P19" s="230">
        <f>-40-O19-N19</f>
        <v>-40</v>
      </c>
      <c r="Q19" s="230">
        <f>-24-P19-O19-N19</f>
        <v>16</v>
      </c>
      <c r="R19" s="155">
        <f t="shared" si="0"/>
        <v>-24</v>
      </c>
      <c r="S19" s="230">
        <v>-39</v>
      </c>
      <c r="T19" s="230">
        <f>+-387-S19</f>
        <v>-348</v>
      </c>
      <c r="U19" s="231">
        <f>-387-T19-S19</f>
        <v>0</v>
      </c>
      <c r="V19" s="650">
        <f>+-237-U19-T19-S19</f>
        <v>150</v>
      </c>
      <c r="W19" s="155">
        <f t="shared" si="1"/>
        <v>-237</v>
      </c>
      <c r="X19" s="650">
        <v>-124</v>
      </c>
      <c r="Y19" s="230">
        <f>+-124-X19</f>
        <v>0</v>
      </c>
      <c r="Z19" s="230">
        <f>+-124-Y19-X19</f>
        <v>0</v>
      </c>
      <c r="AA19" s="650">
        <f>+-226-Z19-Y19-X19</f>
        <v>-102</v>
      </c>
      <c r="AB19" s="155">
        <f t="shared" si="2"/>
        <v>-226</v>
      </c>
      <c r="AC19" s="230">
        <v>17</v>
      </c>
      <c r="AD19" s="230">
        <f>14-AC19</f>
        <v>-3</v>
      </c>
      <c r="AE19" s="230">
        <v>0</v>
      </c>
      <c r="AF19" s="230">
        <f t="shared" si="5"/>
        <v>-21</v>
      </c>
      <c r="AG19" s="155">
        <v>-7</v>
      </c>
      <c r="AH19" s="230"/>
      <c r="AI19" s="230"/>
      <c r="AJ19" s="230">
        <v>0</v>
      </c>
      <c r="AK19" s="230">
        <f t="shared" si="6"/>
        <v>-36</v>
      </c>
      <c r="AL19" s="155">
        <v>-36</v>
      </c>
      <c r="AM19" s="230"/>
      <c r="AN19" s="230"/>
      <c r="AO19" s="230"/>
      <c r="AP19" s="230"/>
      <c r="AQ19" s="155"/>
    </row>
    <row r="20" spans="2:43">
      <c r="B20" s="170"/>
      <c r="C20" s="209" t="s">
        <v>306</v>
      </c>
      <c r="D20" s="230">
        <v>-467</v>
      </c>
      <c r="E20" s="230">
        <v>1238</v>
      </c>
      <c r="F20" s="230">
        <v>-47</v>
      </c>
      <c r="G20" s="230">
        <v>1554</v>
      </c>
      <c r="H20" s="449">
        <f t="shared" si="8"/>
        <v>2278</v>
      </c>
      <c r="I20" s="230">
        <v>184</v>
      </c>
      <c r="J20" s="230">
        <v>709</v>
      </c>
      <c r="K20" s="230">
        <v>391</v>
      </c>
      <c r="L20" s="230">
        <v>-1681</v>
      </c>
      <c r="M20" s="328">
        <f t="shared" si="9"/>
        <v>-397</v>
      </c>
      <c r="N20" s="230">
        <v>679</v>
      </c>
      <c r="O20" s="230">
        <f>1513-N20</f>
        <v>834</v>
      </c>
      <c r="P20" s="230">
        <f>3829-O20-N20</f>
        <v>2316</v>
      </c>
      <c r="Q20" s="230">
        <f>1091-P20-O20-N20</f>
        <v>-2738</v>
      </c>
      <c r="R20" s="155">
        <f t="shared" si="0"/>
        <v>1091</v>
      </c>
      <c r="S20" s="230">
        <v>2773</v>
      </c>
      <c r="T20" s="230">
        <f>2966-S20</f>
        <v>193</v>
      </c>
      <c r="U20" s="231">
        <f>2058-T20-S20</f>
        <v>-908</v>
      </c>
      <c r="V20" s="650">
        <f>3186-U20-T20-S20</f>
        <v>1128</v>
      </c>
      <c r="W20" s="155">
        <f t="shared" si="1"/>
        <v>3186</v>
      </c>
      <c r="X20" s="650">
        <v>-1765</v>
      </c>
      <c r="Y20" s="230">
        <f>+-3186-X20</f>
        <v>-1421</v>
      </c>
      <c r="Z20" s="230">
        <f>+-1928-Y20-X20</f>
        <v>1258</v>
      </c>
      <c r="AA20" s="650">
        <f>+-4091-Z20-Y20-X20</f>
        <v>-2163</v>
      </c>
      <c r="AB20" s="155">
        <f t="shared" si="2"/>
        <v>-4091</v>
      </c>
      <c r="AC20" s="230">
        <v>-2838</v>
      </c>
      <c r="AD20" s="230">
        <f>+-816-AC20</f>
        <v>2022</v>
      </c>
      <c r="AE20" s="230">
        <v>-616</v>
      </c>
      <c r="AF20" s="230">
        <f t="shared" si="5"/>
        <v>583</v>
      </c>
      <c r="AG20" s="155">
        <v>-849</v>
      </c>
      <c r="AH20" s="230">
        <v>1536</v>
      </c>
      <c r="AI20" s="230">
        <v>-2285</v>
      </c>
      <c r="AJ20" s="230">
        <v>116</v>
      </c>
      <c r="AK20" s="230">
        <f t="shared" si="6"/>
        <v>770</v>
      </c>
      <c r="AL20" s="155">
        <v>137</v>
      </c>
      <c r="AM20" s="230">
        <f>BS!AM20-BS!AK20</f>
        <v>1676.9854400000004</v>
      </c>
      <c r="AN20" s="230">
        <f>BS!AN20-BS!AM20</f>
        <v>357.48776000000089</v>
      </c>
      <c r="AO20" s="230">
        <f>BS!AO20-BS!AN20</f>
        <v>243.35163999999986</v>
      </c>
      <c r="AP20" s="230">
        <f>BS!AP20-BS!AO20</f>
        <v>261.54827999999998</v>
      </c>
      <c r="AQ20" s="155">
        <f>SUM(AM20:AP20)</f>
        <v>2539.3731200000011</v>
      </c>
    </row>
    <row r="21" spans="2:43">
      <c r="B21" s="170"/>
      <c r="C21" s="209" t="s">
        <v>339</v>
      </c>
      <c r="D21" s="230">
        <v>-2619</v>
      </c>
      <c r="E21" s="230">
        <v>2350</v>
      </c>
      <c r="F21" s="230">
        <v>562</v>
      </c>
      <c r="G21" s="230">
        <v>-1087</v>
      </c>
      <c r="H21" s="328">
        <f t="shared" si="8"/>
        <v>-794</v>
      </c>
      <c r="I21" s="230">
        <v>543</v>
      </c>
      <c r="J21" s="230">
        <v>-548</v>
      </c>
      <c r="K21" s="230">
        <v>1047</v>
      </c>
      <c r="L21" s="230">
        <v>1221</v>
      </c>
      <c r="M21" s="328">
        <f t="shared" si="9"/>
        <v>2263</v>
      </c>
      <c r="N21" s="230">
        <v>-2167</v>
      </c>
      <c r="O21" s="230">
        <f>1268-N21</f>
        <v>3435</v>
      </c>
      <c r="P21" s="230">
        <f>3578-O21-N21</f>
        <v>2310</v>
      </c>
      <c r="Q21" s="230">
        <f>4615-P21-O21-N21</f>
        <v>1037</v>
      </c>
      <c r="R21" s="155">
        <f t="shared" si="0"/>
        <v>4615</v>
      </c>
      <c r="S21" s="230">
        <v>-3253</v>
      </c>
      <c r="T21" s="230">
        <f>+-1703-S21</f>
        <v>1550</v>
      </c>
      <c r="U21" s="231">
        <f>-1474-T21-S21</f>
        <v>229</v>
      </c>
      <c r="V21" s="650">
        <f>+-4199-U21-T21-S21</f>
        <v>-2725</v>
      </c>
      <c r="W21" s="155">
        <f t="shared" si="1"/>
        <v>-4199</v>
      </c>
      <c r="X21" s="650">
        <v>-248</v>
      </c>
      <c r="Y21" s="230">
        <f>1616-X21</f>
        <v>1864</v>
      </c>
      <c r="Z21" s="230">
        <f>1791-Y21-X21</f>
        <v>175</v>
      </c>
      <c r="AA21" s="650">
        <f>4226-Z21-Y21-X21</f>
        <v>2435</v>
      </c>
      <c r="AB21" s="155">
        <f t="shared" si="2"/>
        <v>4226</v>
      </c>
      <c r="AC21" s="230">
        <v>-2738</v>
      </c>
      <c r="AD21" s="230">
        <f>-1365-AC21</f>
        <v>1373</v>
      </c>
      <c r="AE21" s="230">
        <v>1720</v>
      </c>
      <c r="AF21" s="230">
        <f t="shared" si="5"/>
        <v>2130</v>
      </c>
      <c r="AG21" s="155">
        <v>2485</v>
      </c>
      <c r="AH21" s="230">
        <v>-7159</v>
      </c>
      <c r="AI21" s="230">
        <v>4443</v>
      </c>
      <c r="AJ21" s="230">
        <v>1228</v>
      </c>
      <c r="AK21" s="230">
        <f t="shared" si="6"/>
        <v>3773</v>
      </c>
      <c r="AL21" s="155">
        <v>2285</v>
      </c>
      <c r="AM21" s="230">
        <f>BS!AM21-BS!AL21+BS!AM23-BS!AL23</f>
        <v>-4667.5322399999986</v>
      </c>
      <c r="AN21" s="230">
        <f>BS!AN21-BS!AM21+BS!AN23-BS!AM23</f>
        <v>791.58004000000165</v>
      </c>
      <c r="AO21" s="230">
        <f>BS!AO21-BS!AN21+BS!AO23-BS!AN23</f>
        <v>318.64202999999998</v>
      </c>
      <c r="AP21" s="230">
        <f>BS!AP21-BS!AO21+BS!AP23-BS!AO23</f>
        <v>1028.8996899999984</v>
      </c>
      <c r="AQ21" s="155">
        <f>SUM(AM21:AP21)</f>
        <v>-2528.4104799999986</v>
      </c>
    </row>
    <row r="22" spans="2:43">
      <c r="B22" s="170"/>
      <c r="C22" s="209" t="s">
        <v>135</v>
      </c>
      <c r="D22" s="230">
        <v>-30</v>
      </c>
      <c r="E22" s="230">
        <v>-120</v>
      </c>
      <c r="F22" s="230">
        <v>-35</v>
      </c>
      <c r="G22" s="230">
        <v>772</v>
      </c>
      <c r="H22" s="328">
        <f t="shared" si="8"/>
        <v>587</v>
      </c>
      <c r="I22" s="230">
        <v>119</v>
      </c>
      <c r="J22" s="230">
        <v>-198</v>
      </c>
      <c r="K22" s="230">
        <v>-238</v>
      </c>
      <c r="L22" s="230">
        <v>541</v>
      </c>
      <c r="M22" s="328">
        <f t="shared" si="9"/>
        <v>224</v>
      </c>
      <c r="N22" s="230">
        <v>1110</v>
      </c>
      <c r="O22" s="230">
        <f>-153-N22</f>
        <v>-1263</v>
      </c>
      <c r="P22" s="230">
        <f>-67-O22-N22</f>
        <v>86</v>
      </c>
      <c r="Q22" s="230">
        <f>533-P22-O22-N22</f>
        <v>600</v>
      </c>
      <c r="R22" s="155">
        <f t="shared" si="0"/>
        <v>533</v>
      </c>
      <c r="S22" s="230">
        <v>556</v>
      </c>
      <c r="T22" s="230">
        <f>211-S22</f>
        <v>-345</v>
      </c>
      <c r="U22" s="231">
        <f>261-T22-S22</f>
        <v>50</v>
      </c>
      <c r="V22" s="650">
        <f>1621-U22-T22-S22</f>
        <v>1360</v>
      </c>
      <c r="W22" s="155">
        <f t="shared" si="1"/>
        <v>1621</v>
      </c>
      <c r="X22" s="650">
        <v>69</v>
      </c>
      <c r="Y22" s="230">
        <f>+-790-X22</f>
        <v>-859</v>
      </c>
      <c r="Z22" s="230">
        <f>+-1134-Y22-X22</f>
        <v>-344</v>
      </c>
      <c r="AA22" s="650">
        <f>185-Z22-Y22-X22</f>
        <v>1319</v>
      </c>
      <c r="AB22" s="155">
        <f t="shared" si="2"/>
        <v>185</v>
      </c>
      <c r="AC22" s="230">
        <v>-784</v>
      </c>
      <c r="AD22" s="230">
        <f>-767-AC22</f>
        <v>17</v>
      </c>
      <c r="AE22" s="230">
        <v>-476</v>
      </c>
      <c r="AF22" s="230">
        <f t="shared" si="5"/>
        <v>1254</v>
      </c>
      <c r="AG22" s="155">
        <v>11</v>
      </c>
      <c r="AH22" s="230">
        <v>-391</v>
      </c>
      <c r="AI22" s="230">
        <v>-412</v>
      </c>
      <c r="AJ22" s="230">
        <v>779</v>
      </c>
      <c r="AK22" s="230">
        <f t="shared" si="6"/>
        <v>1110</v>
      </c>
      <c r="AL22" s="155">
        <v>1086</v>
      </c>
      <c r="AM22" s="230">
        <f>BS!AM25-BS!AL25</f>
        <v>-1407.0103999999997</v>
      </c>
      <c r="AN22" s="230">
        <f>BS!AN25-BS!AM25</f>
        <v>255.34840000000031</v>
      </c>
      <c r="AO22" s="230">
        <f>BS!AO25-BS!AN25</f>
        <v>173.82260000000042</v>
      </c>
      <c r="AP22" s="230">
        <f>BS!AP25-BS!AO25</f>
        <v>645.91827999999987</v>
      </c>
      <c r="AQ22" s="155">
        <f>SUM(AM22:AP22)</f>
        <v>-331.92111999999906</v>
      </c>
    </row>
    <row r="23" spans="2:43">
      <c r="B23" s="170"/>
      <c r="C23" s="209" t="s">
        <v>340</v>
      </c>
      <c r="D23" s="230">
        <v>0</v>
      </c>
      <c r="E23" s="230">
        <v>0</v>
      </c>
      <c r="F23" s="230">
        <v>0</v>
      </c>
      <c r="G23" s="230">
        <v>0</v>
      </c>
      <c r="H23" s="328">
        <f t="shared" si="8"/>
        <v>0</v>
      </c>
      <c r="I23" s="230">
        <v>-394</v>
      </c>
      <c r="J23" s="230">
        <v>-366</v>
      </c>
      <c r="K23" s="230">
        <v>-398</v>
      </c>
      <c r="L23" s="230">
        <v>-258</v>
      </c>
      <c r="M23" s="328">
        <f t="shared" si="9"/>
        <v>-1416</v>
      </c>
      <c r="N23" s="230">
        <v>-249</v>
      </c>
      <c r="O23" s="230">
        <f>-502-N23</f>
        <v>-253</v>
      </c>
      <c r="P23" s="230">
        <f>-758-O23-N23</f>
        <v>-256</v>
      </c>
      <c r="Q23" s="230">
        <f>-1018-P23-O23-N23</f>
        <v>-260</v>
      </c>
      <c r="R23" s="155">
        <f t="shared" si="0"/>
        <v>-1018</v>
      </c>
      <c r="S23" s="230">
        <v>-263</v>
      </c>
      <c r="T23" s="650">
        <f>+-525-S23</f>
        <v>-262</v>
      </c>
      <c r="U23" s="231">
        <f>-469-T23-S23</f>
        <v>56</v>
      </c>
      <c r="V23" s="650">
        <f>+-614-U23-T23-S23</f>
        <v>-145</v>
      </c>
      <c r="W23" s="155">
        <f t="shared" si="1"/>
        <v>-614</v>
      </c>
      <c r="X23" s="650">
        <v>-242</v>
      </c>
      <c r="Y23" s="650">
        <f>+-722-X23</f>
        <v>-480</v>
      </c>
      <c r="Z23" s="650">
        <f>+-1207-Y23-X23</f>
        <v>-485</v>
      </c>
      <c r="AA23" s="650">
        <f>+-1710-Z23-Y23-X23</f>
        <v>-503</v>
      </c>
      <c r="AB23" s="155">
        <f t="shared" si="2"/>
        <v>-1710</v>
      </c>
      <c r="AC23" s="650">
        <v>-278</v>
      </c>
      <c r="AD23" s="650">
        <f>-796-AC23</f>
        <v>-518</v>
      </c>
      <c r="AE23" s="650">
        <v>-527</v>
      </c>
      <c r="AF23" s="230">
        <f t="shared" si="5"/>
        <v>-555</v>
      </c>
      <c r="AG23" s="155">
        <v>-1878</v>
      </c>
      <c r="AH23" s="650">
        <v>-466</v>
      </c>
      <c r="AI23" s="650">
        <v>-596</v>
      </c>
      <c r="AJ23" s="650">
        <v>-604</v>
      </c>
      <c r="AK23" s="230">
        <f t="shared" si="6"/>
        <v>-622</v>
      </c>
      <c r="AL23" s="155">
        <v>-2288</v>
      </c>
      <c r="AM23" s="441">
        <v>-270</v>
      </c>
      <c r="AN23" s="441">
        <v>-270</v>
      </c>
      <c r="AO23" s="441">
        <v>-270</v>
      </c>
      <c r="AP23" s="441">
        <v>-270</v>
      </c>
      <c r="AQ23" s="155">
        <f>SUM(AM23:AP23)</f>
        <v>-1080</v>
      </c>
    </row>
    <row r="24" spans="2:43">
      <c r="B24" s="170"/>
      <c r="C24" s="209" t="s">
        <v>333</v>
      </c>
      <c r="D24" s="230"/>
      <c r="E24" s="230"/>
      <c r="F24" s="230"/>
      <c r="G24" s="230"/>
      <c r="H24" s="328"/>
      <c r="I24" s="230"/>
      <c r="J24" s="230"/>
      <c r="K24" s="230"/>
      <c r="L24" s="230"/>
      <c r="M24" s="328"/>
      <c r="N24" s="230"/>
      <c r="O24" s="230"/>
      <c r="P24" s="230"/>
      <c r="Q24" s="230"/>
      <c r="R24" s="155"/>
      <c r="S24" s="230"/>
      <c r="T24" s="650">
        <v>-16</v>
      </c>
      <c r="U24" s="231">
        <f>149-T24</f>
        <v>165</v>
      </c>
      <c r="V24" s="650">
        <f>134-U24-T24</f>
        <v>-15</v>
      </c>
      <c r="W24" s="155">
        <f t="shared" si="1"/>
        <v>134</v>
      </c>
      <c r="X24" s="650">
        <v>-15</v>
      </c>
      <c r="Y24" s="650">
        <f>+-30-X24</f>
        <v>-15</v>
      </c>
      <c r="Z24" s="650">
        <f>+-46-Y24-X24</f>
        <v>-16</v>
      </c>
      <c r="AA24" s="650">
        <f>279-Z24-Y24-X24</f>
        <v>325</v>
      </c>
      <c r="AB24" s="155">
        <f t="shared" si="2"/>
        <v>279</v>
      </c>
      <c r="AC24" s="650">
        <v>-40</v>
      </c>
      <c r="AD24" s="650">
        <f>-80-AC24</f>
        <v>-40</v>
      </c>
      <c r="AE24" s="650">
        <v>-40</v>
      </c>
      <c r="AF24" s="230">
        <f t="shared" si="5"/>
        <v>-59</v>
      </c>
      <c r="AG24" s="155">
        <v>-179</v>
      </c>
      <c r="AH24" s="650">
        <v>-41</v>
      </c>
      <c r="AI24" s="650">
        <v>-19</v>
      </c>
      <c r="AJ24" s="650">
        <f>((15500-139)--19)--41</f>
        <v>15421</v>
      </c>
      <c r="AK24" s="230">
        <f t="shared" si="6"/>
        <v>-3273</v>
      </c>
      <c r="AL24" s="155">
        <f>588+11500</f>
        <v>12088</v>
      </c>
      <c r="AM24" s="448"/>
      <c r="AN24" s="448"/>
      <c r="AO24" s="448"/>
      <c r="AP24" s="448"/>
      <c r="AQ24" s="155">
        <f>SUM(AM24:AP24)</f>
        <v>0</v>
      </c>
    </row>
    <row r="25" spans="2:43" s="174" customFormat="1" ht="13.15">
      <c r="B25" s="193" t="s">
        <v>173</v>
      </c>
      <c r="C25" s="211"/>
      <c r="D25" s="192">
        <f>SUM(D7:D23)</f>
        <v>-9354</v>
      </c>
      <c r="E25" s="192">
        <f>SUM(E7:E23)</f>
        <v>-2893</v>
      </c>
      <c r="F25" s="192">
        <f>SUM(F7:F23)</f>
        <v>-6152</v>
      </c>
      <c r="G25" s="192">
        <f>SUM(G7:G23)</f>
        <v>-8900</v>
      </c>
      <c r="H25" s="191">
        <f t="shared" ref="H25:AQ25" si="10">SUM(H7:H24)</f>
        <v>-27299</v>
      </c>
      <c r="I25" s="192">
        <f t="shared" si="10"/>
        <v>-10114</v>
      </c>
      <c r="J25" s="192">
        <f t="shared" si="10"/>
        <v>-5000</v>
      </c>
      <c r="K25" s="192">
        <f t="shared" si="10"/>
        <v>-2585</v>
      </c>
      <c r="L25" s="192">
        <f t="shared" si="10"/>
        <v>-5013</v>
      </c>
      <c r="M25" s="191">
        <f t="shared" si="10"/>
        <v>-22712</v>
      </c>
      <c r="N25" s="192">
        <f t="shared" si="10"/>
        <v>-4496</v>
      </c>
      <c r="O25" s="192">
        <f t="shared" si="10"/>
        <v>-5679</v>
      </c>
      <c r="P25" s="192">
        <f t="shared" si="10"/>
        <v>-8619</v>
      </c>
      <c r="Q25" s="192">
        <f t="shared" si="10"/>
        <v>-2848</v>
      </c>
      <c r="R25" s="191">
        <f t="shared" si="10"/>
        <v>-21642</v>
      </c>
      <c r="S25" s="192">
        <f t="shared" si="10"/>
        <v>-11384</v>
      </c>
      <c r="T25" s="192">
        <f t="shared" si="10"/>
        <v>-10794</v>
      </c>
      <c r="U25" s="192">
        <f t="shared" si="10"/>
        <v>-14475</v>
      </c>
      <c r="V25" s="192">
        <f t="shared" si="10"/>
        <v>-9361</v>
      </c>
      <c r="W25" s="191">
        <f t="shared" si="10"/>
        <v>-46014</v>
      </c>
      <c r="X25" s="192">
        <f t="shared" si="10"/>
        <v>-14752</v>
      </c>
      <c r="Y25" s="192">
        <f t="shared" si="10"/>
        <v>-7054</v>
      </c>
      <c r="Z25" s="192">
        <f t="shared" si="10"/>
        <v>-6900</v>
      </c>
      <c r="AA25" s="192">
        <f t="shared" si="10"/>
        <v>3175</v>
      </c>
      <c r="AB25" s="191">
        <f t="shared" si="10"/>
        <v>-25531</v>
      </c>
      <c r="AC25" s="192">
        <f t="shared" si="10"/>
        <v>-7330</v>
      </c>
      <c r="AD25" s="192">
        <f t="shared" si="10"/>
        <v>-650</v>
      </c>
      <c r="AE25" s="192">
        <f t="shared" si="10"/>
        <v>-2857</v>
      </c>
      <c r="AF25" s="192">
        <f t="shared" si="10"/>
        <v>2088</v>
      </c>
      <c r="AG25" s="191">
        <f t="shared" si="10"/>
        <v>-8749</v>
      </c>
      <c r="AH25" s="192">
        <f t="shared" si="10"/>
        <v>-10498</v>
      </c>
      <c r="AI25" s="192">
        <f t="shared" si="10"/>
        <v>-4221</v>
      </c>
      <c r="AJ25" s="192">
        <f t="shared" si="10"/>
        <v>-979</v>
      </c>
      <c r="AK25" s="192">
        <f t="shared" ref="AK25" si="11">SUM(AK7:AK24)</f>
        <v>762</v>
      </c>
      <c r="AL25" s="191">
        <f t="shared" ref="AL25" si="12">SUM(AL7:AL24)</f>
        <v>-14936</v>
      </c>
      <c r="AM25" s="192">
        <f t="shared" si="10"/>
        <v>-12960.405287999996</v>
      </c>
      <c r="AN25" s="192">
        <f t="shared" si="10"/>
        <v>-183.24129500000026</v>
      </c>
      <c r="AO25" s="192">
        <f t="shared" si="10"/>
        <v>-1344.663436875001</v>
      </c>
      <c r="AP25" s="192">
        <f t="shared" si="10"/>
        <v>1298.2480086856258</v>
      </c>
      <c r="AQ25" s="191">
        <f t="shared" si="10"/>
        <v>-13190.062011189373</v>
      </c>
    </row>
    <row r="26" spans="2:43" s="367" customFormat="1" ht="13.5" customHeight="1">
      <c r="B26" s="361"/>
      <c r="C26" s="362" t="s">
        <v>200</v>
      </c>
      <c r="D26" s="363">
        <f>D25/IS!D11</f>
        <v>-0.90132973597995758</v>
      </c>
      <c r="E26" s="363">
        <f>E25/IS!E11</f>
        <v>-0.25590446704997788</v>
      </c>
      <c r="F26" s="363">
        <f>F25/IS!F11</f>
        <v>-0.48624723363895034</v>
      </c>
      <c r="G26" s="363">
        <f>G25/IS!G11</f>
        <v>-0.62583503269812246</v>
      </c>
      <c r="H26" s="381">
        <f>H25/IS!H11</f>
        <v>-0.56221682181398802</v>
      </c>
      <c r="I26" s="363">
        <f>I25/IS!I11</f>
        <v>-0.64551953025274444</v>
      </c>
      <c r="J26" s="363">
        <f>J25/IS!J11</f>
        <v>-0.31792458828765818</v>
      </c>
      <c r="K26" s="363">
        <f>K25/IS!K11</f>
        <v>-0.14471253428875328</v>
      </c>
      <c r="L26" s="363">
        <f>L25/IS!L11</f>
        <v>-0.26128426978004793</v>
      </c>
      <c r="M26" s="381">
        <f>M25/IS!M11</f>
        <v>-0.33183332359301032</v>
      </c>
      <c r="N26" s="363">
        <f>N25/IS!N11</f>
        <v>-0.21276797122710708</v>
      </c>
      <c r="O26" s="363">
        <f>O25/IS!O11</f>
        <v>-0.19220225403594274</v>
      </c>
      <c r="P26" s="363">
        <f>P25/IS!P11</f>
        <v>-0.28870503115160445</v>
      </c>
      <c r="Q26" s="363">
        <f>Q25/IS!Q11</f>
        <v>-8.4235433303756282E-2</v>
      </c>
      <c r="R26" s="381">
        <f>R25/IS!R11</f>
        <v>-0.18927428241591016</v>
      </c>
      <c r="S26" s="363">
        <f>S25/IS!S11</f>
        <v>-0.33027735870952768</v>
      </c>
      <c r="T26" s="363">
        <f>T25/IS!T11</f>
        <v>-0.32020172055769802</v>
      </c>
      <c r="U26" s="363">
        <f>U25/IS!U11</f>
        <v>-0.41986947063089197</v>
      </c>
      <c r="V26" s="363">
        <f>V25/IS!V11</f>
        <v>-0.28770323016873101</v>
      </c>
      <c r="W26" s="381">
        <f>W25/IS!W11</f>
        <v>-0.34036541164287298</v>
      </c>
      <c r="X26" s="363">
        <f>X25/IS!X11</f>
        <v>-0.44528962540372485</v>
      </c>
      <c r="Y26" s="363">
        <f>Y25/IS!Y11</f>
        <v>-0.20579997666005367</v>
      </c>
      <c r="Z26" s="363">
        <f>Z25/IS!Z11</f>
        <v>-0.19746444209140601</v>
      </c>
      <c r="AA26" s="363">
        <f>AA25/IS!AA11</f>
        <v>8.8831067091936652E-2</v>
      </c>
      <c r="AB26" s="381">
        <f>AB25/IS!AB11</f>
        <v>-0.18488666811499746</v>
      </c>
      <c r="AC26" s="363">
        <f>AC25/IS!AC11</f>
        <v>-0.20606673975991679</v>
      </c>
      <c r="AD26" s="363">
        <f>AD25/IS!AD11</f>
        <v>-1.8053048187751702E-2</v>
      </c>
      <c r="AE26" s="363">
        <f>AE25/IS!AE11</f>
        <v>-7.877902167319252E-2</v>
      </c>
      <c r="AF26" s="363">
        <f>AF25/IS!AF11</f>
        <v>5.6433957674531743E-2</v>
      </c>
      <c r="AG26" s="381">
        <f>AG25/IS!AG11</f>
        <v>-6.0404167328311734E-2</v>
      </c>
      <c r="AH26" s="363">
        <f>AH25/IS!AH11</f>
        <v>-0.28641584590620139</v>
      </c>
      <c r="AI26" s="363">
        <f>AI25/IS!AI11</f>
        <v>-0.11076995748700992</v>
      </c>
      <c r="AJ26" s="363">
        <f>AJ25/IS!AJ11</f>
        <v>-2.3925315867934213E-2</v>
      </c>
      <c r="AK26" s="363">
        <f>AK25/IS!AK11</f>
        <v>1.8508173228728959E-2</v>
      </c>
      <c r="AL26" s="381">
        <f>AL25/IS!AL11</f>
        <v>-9.5225344120778585E-2</v>
      </c>
      <c r="AM26" s="363">
        <f>AM25/IS!AM11</f>
        <v>-0.32604878483204069</v>
      </c>
      <c r="AN26" s="363">
        <f>AN25/IS!AN11</f>
        <v>-4.3315993899305507E-3</v>
      </c>
      <c r="AO26" s="363">
        <f>AO25/IS!AO11</f>
        <v>-3.05316621940399E-2</v>
      </c>
      <c r="AP26" s="363">
        <f>AP25/IS!AP11</f>
        <v>2.8278227795804019E-2</v>
      </c>
      <c r="AQ26" s="381">
        <f>AQ25/IS!AQ11</f>
        <v>-7.6684316056668991E-2</v>
      </c>
    </row>
    <row r="27" spans="2:43">
      <c r="B27" s="170"/>
      <c r="C27" s="209"/>
      <c r="D27" s="22"/>
      <c r="E27" s="219"/>
      <c r="F27" s="22"/>
      <c r="G27" s="22"/>
      <c r="H27" s="203"/>
      <c r="I27" s="22"/>
      <c r="J27" s="22"/>
      <c r="K27" s="22"/>
      <c r="L27" s="22"/>
      <c r="M27" s="203"/>
      <c r="N27" s="22"/>
      <c r="O27" s="22"/>
      <c r="P27" s="219"/>
      <c r="Q27" s="219"/>
      <c r="R27" s="203"/>
      <c r="S27" s="219"/>
      <c r="T27" s="219"/>
      <c r="U27" s="219"/>
      <c r="V27" s="22"/>
      <c r="W27" s="203"/>
      <c r="X27" s="22"/>
      <c r="Y27" s="22"/>
      <c r="Z27" s="22"/>
      <c r="AA27" s="22"/>
      <c r="AB27" s="203"/>
      <c r="AC27" s="22"/>
      <c r="AD27" s="219"/>
      <c r="AE27" s="219"/>
      <c r="AF27" s="219"/>
      <c r="AG27" s="181"/>
      <c r="AH27" s="219"/>
      <c r="AI27" s="219"/>
      <c r="AJ27" s="219"/>
      <c r="AK27" s="219"/>
      <c r="AL27" s="181"/>
      <c r="AM27" s="22"/>
      <c r="AN27" s="22"/>
      <c r="AO27" s="22"/>
      <c r="AP27" s="22"/>
      <c r="AQ27" s="203"/>
    </row>
    <row r="28" spans="2:43" ht="13.15">
      <c r="B28" s="214" t="s">
        <v>172</v>
      </c>
      <c r="C28" s="209"/>
      <c r="D28" s="22"/>
      <c r="E28" s="22"/>
      <c r="F28" s="22"/>
      <c r="G28" s="22"/>
      <c r="H28" s="203"/>
      <c r="I28" s="22"/>
      <c r="J28" s="22"/>
      <c r="K28" s="22"/>
      <c r="L28" s="22"/>
      <c r="M28" s="203"/>
      <c r="N28" s="22"/>
      <c r="O28" s="22"/>
      <c r="P28" s="22"/>
      <c r="Q28" s="22"/>
      <c r="R28" s="203"/>
      <c r="S28" s="22"/>
      <c r="T28" s="219"/>
      <c r="U28" s="22"/>
      <c r="V28" s="22"/>
      <c r="W28" s="203"/>
      <c r="X28" s="22"/>
      <c r="Y28" s="22"/>
      <c r="Z28" s="22"/>
      <c r="AA28" s="22"/>
      <c r="AB28" s="203"/>
      <c r="AC28" s="22"/>
      <c r="AD28" s="22"/>
      <c r="AE28" s="22"/>
      <c r="AF28" s="22"/>
      <c r="AG28" s="203"/>
      <c r="AH28" s="22"/>
      <c r="AI28" s="22"/>
      <c r="AJ28" s="22"/>
      <c r="AK28" s="22"/>
      <c r="AL28" s="203"/>
      <c r="AM28" s="22"/>
      <c r="AN28" s="22"/>
      <c r="AO28" s="22"/>
      <c r="AP28" s="22"/>
      <c r="AQ28" s="203"/>
    </row>
    <row r="29" spans="2:43">
      <c r="B29" s="170"/>
      <c r="C29" s="209" t="s">
        <v>432</v>
      </c>
      <c r="D29" s="230">
        <v>-614</v>
      </c>
      <c r="E29" s="230">
        <v>-608</v>
      </c>
      <c r="F29" s="230">
        <v>-859</v>
      </c>
      <c r="G29" s="230">
        <v>-1244</v>
      </c>
      <c r="H29" s="328">
        <f>SUM(D29:G29)</f>
        <v>-3325</v>
      </c>
      <c r="I29" s="230">
        <v>-663</v>
      </c>
      <c r="J29" s="230">
        <v>-331</v>
      </c>
      <c r="K29" s="230">
        <v>-393</v>
      </c>
      <c r="L29" s="230">
        <v>-517</v>
      </c>
      <c r="M29" s="328">
        <f>SUM(I29:L29)</f>
        <v>-1904</v>
      </c>
      <c r="N29" s="230">
        <v>-586</v>
      </c>
      <c r="O29" s="230">
        <f>-1447-N29</f>
        <v>-861</v>
      </c>
      <c r="P29" s="650">
        <f>-2335-O29-N29</f>
        <v>-888</v>
      </c>
      <c r="Q29" s="650">
        <f>-3107-P29-O29-N29</f>
        <v>-772</v>
      </c>
      <c r="R29" s="328">
        <f>SUM(N29:Q29)</f>
        <v>-3107</v>
      </c>
      <c r="S29" s="650">
        <v>-631</v>
      </c>
      <c r="T29" s="650">
        <f>+-1868-S29</f>
        <v>-1237</v>
      </c>
      <c r="U29" s="231">
        <f>-3727-T29-S29</f>
        <v>-1859</v>
      </c>
      <c r="V29" s="650">
        <f>-4378-U29-T29-S29</f>
        <v>-651</v>
      </c>
      <c r="W29" s="328">
        <f>SUM(S29:V29)</f>
        <v>-4378</v>
      </c>
      <c r="X29" s="650">
        <v>-844</v>
      </c>
      <c r="Y29" s="650">
        <f>+-2497-X29</f>
        <v>-1653</v>
      </c>
      <c r="Z29" s="650">
        <f>+-3587-Y29-X29</f>
        <v>-1090</v>
      </c>
      <c r="AA29" s="650">
        <f>+-4859-Z29-Y29-X29</f>
        <v>-1272</v>
      </c>
      <c r="AB29" s="328">
        <f>SUM(X29:AA29)</f>
        <v>-4859</v>
      </c>
      <c r="AC29" s="650">
        <v>-688</v>
      </c>
      <c r="AD29" s="650">
        <f>-1346-AC29</f>
        <v>-658</v>
      </c>
      <c r="AE29" s="650">
        <f>-2223-AD29-AC29</f>
        <v>-877</v>
      </c>
      <c r="AF29" s="230">
        <f>AG29-SUM(AC29:AE29)</f>
        <v>-558</v>
      </c>
      <c r="AG29" s="328">
        <v>-2781</v>
      </c>
      <c r="AH29" s="650">
        <v>-525</v>
      </c>
      <c r="AI29" s="650">
        <f>-1490-AH29</f>
        <v>-965</v>
      </c>
      <c r="AJ29" s="650">
        <f>-2546-AI29-AH29</f>
        <v>-1056</v>
      </c>
      <c r="AK29" s="230">
        <f>AL29-SUM(AH29:AJ29)</f>
        <v>-507</v>
      </c>
      <c r="AL29" s="328">
        <v>-3053</v>
      </c>
      <c r="AM29" s="441">
        <v>-850</v>
      </c>
      <c r="AN29" s="441">
        <v>-950</v>
      </c>
      <c r="AO29" s="441">
        <v>-950</v>
      </c>
      <c r="AP29" s="441">
        <v>-950</v>
      </c>
      <c r="AQ29" s="328">
        <f>SUM(AM29:AP29)</f>
        <v>-3700</v>
      </c>
    </row>
    <row r="30" spans="2:43">
      <c r="B30" s="170"/>
      <c r="C30" s="209" t="s">
        <v>445</v>
      </c>
      <c r="D30" s="230"/>
      <c r="E30" s="230"/>
      <c r="F30" s="230"/>
      <c r="G30" s="230"/>
      <c r="H30" s="328"/>
      <c r="I30" s="230"/>
      <c r="J30" s="230"/>
      <c r="K30" s="230"/>
      <c r="L30" s="230"/>
      <c r="M30" s="328"/>
      <c r="N30" s="230"/>
      <c r="O30" s="230"/>
      <c r="P30" s="650"/>
      <c r="Q30" s="650"/>
      <c r="R30" s="328"/>
      <c r="S30" s="650"/>
      <c r="T30" s="650"/>
      <c r="U30" s="231"/>
      <c r="V30" s="650"/>
      <c r="W30" s="328"/>
      <c r="X30" s="650"/>
      <c r="Y30" s="650"/>
      <c r="Z30" s="650">
        <f>+-14000</f>
        <v>-14000</v>
      </c>
      <c r="AA30" s="650">
        <f>+-14000-Z30</f>
        <v>0</v>
      </c>
      <c r="AB30" s="328">
        <f>SUM(X30:AA30)</f>
        <v>-14000</v>
      </c>
      <c r="AC30" s="441"/>
      <c r="AD30" s="650"/>
      <c r="AE30" s="650"/>
      <c r="AF30" s="230">
        <f>AG30-SUM(AC30:AE30)</f>
        <v>0</v>
      </c>
      <c r="AG30" s="328"/>
      <c r="AH30" s="441"/>
      <c r="AI30" s="650"/>
      <c r="AJ30" s="650"/>
      <c r="AK30" s="230">
        <f>AL30-SUM(AH30:AJ30)</f>
        <v>0</v>
      </c>
      <c r="AL30" s="328"/>
      <c r="AM30" s="441"/>
      <c r="AN30" s="441"/>
      <c r="AO30" s="441"/>
      <c r="AP30" s="441"/>
      <c r="AQ30" s="328">
        <f>SUM(AM30:AP30)</f>
        <v>0</v>
      </c>
    </row>
    <row r="31" spans="2:43">
      <c r="B31" s="170"/>
      <c r="C31" s="209" t="s">
        <v>442</v>
      </c>
      <c r="D31" s="230"/>
      <c r="E31" s="230"/>
      <c r="F31" s="230"/>
      <c r="G31" s="230"/>
      <c r="H31" s="328"/>
      <c r="I31" s="230"/>
      <c r="J31" s="230"/>
      <c r="K31" s="230"/>
      <c r="L31" s="230"/>
      <c r="M31" s="328"/>
      <c r="N31" s="230"/>
      <c r="O31" s="230"/>
      <c r="P31" s="650"/>
      <c r="Q31" s="650"/>
      <c r="R31" s="328"/>
      <c r="S31" s="650"/>
      <c r="T31" s="650"/>
      <c r="U31" s="231"/>
      <c r="V31" s="650"/>
      <c r="W31" s="328"/>
      <c r="X31" s="650"/>
      <c r="Y31" s="650">
        <f>1-X31</f>
        <v>1</v>
      </c>
      <c r="Z31" s="650">
        <f>1-Y31-X31</f>
        <v>0</v>
      </c>
      <c r="AA31" s="650">
        <f>4-Y31</f>
        <v>3</v>
      </c>
      <c r="AB31" s="328">
        <f>SUM(X31:AA31)</f>
        <v>4</v>
      </c>
      <c r="AC31" s="441"/>
      <c r="AD31" s="650">
        <v>2</v>
      </c>
      <c r="AE31" s="650">
        <f>3-AD31</f>
        <v>1</v>
      </c>
      <c r="AF31" s="230">
        <f>AG31-SUM(AC31:AE31)</f>
        <v>1</v>
      </c>
      <c r="AG31" s="328">
        <v>4</v>
      </c>
      <c r="AH31" s="650">
        <v>2</v>
      </c>
      <c r="AI31" s="650">
        <f>4-AH31</f>
        <v>2</v>
      </c>
      <c r="AJ31" s="650">
        <f>6-AI31-AH31</f>
        <v>2</v>
      </c>
      <c r="AK31" s="230">
        <f>AL31-SUM(AH31:AJ31)</f>
        <v>2</v>
      </c>
      <c r="AL31" s="328">
        <v>8</v>
      </c>
      <c r="AM31" s="441"/>
      <c r="AN31" s="441"/>
      <c r="AO31" s="441"/>
      <c r="AP31" s="441"/>
      <c r="AQ31" s="328">
        <f>SUM(AM31:AP31)</f>
        <v>0</v>
      </c>
    </row>
    <row r="32" spans="2:43">
      <c r="B32" s="170"/>
      <c r="C32" s="209" t="s">
        <v>457</v>
      </c>
      <c r="D32" s="230"/>
      <c r="E32" s="230"/>
      <c r="F32" s="230"/>
      <c r="G32" s="230"/>
      <c r="H32" s="328"/>
      <c r="I32" s="230"/>
      <c r="J32" s="230"/>
      <c r="K32" s="230"/>
      <c r="L32" s="230"/>
      <c r="M32" s="328"/>
      <c r="N32" s="230"/>
      <c r="O32" s="230"/>
      <c r="P32" s="650"/>
      <c r="Q32" s="650"/>
      <c r="R32" s="328"/>
      <c r="S32" s="650"/>
      <c r="T32" s="650"/>
      <c r="U32" s="231"/>
      <c r="V32" s="650"/>
      <c r="W32" s="328"/>
      <c r="X32" s="650"/>
      <c r="Y32" s="650"/>
      <c r="Z32" s="650"/>
      <c r="AA32" s="650"/>
      <c r="AB32" s="328"/>
      <c r="AC32" s="441"/>
      <c r="AD32" s="650"/>
      <c r="AE32" s="650">
        <v>-49937</v>
      </c>
      <c r="AF32" s="230">
        <f>AG32-SUM(AC32:AE32)</f>
        <v>-25321</v>
      </c>
      <c r="AG32" s="328">
        <f>-87937+12679</f>
        <v>-75258</v>
      </c>
      <c r="AH32" s="650">
        <f>-45436+38303</f>
        <v>-7133</v>
      </c>
      <c r="AI32" s="650">
        <f>-91940+77138-AH32</f>
        <v>-7669</v>
      </c>
      <c r="AJ32" s="650">
        <f>+-155427+149639-AI32-AH32</f>
        <v>9014</v>
      </c>
      <c r="AK32" s="230">
        <f>AL32-SUM(AH32:AJ32)</f>
        <v>-9363</v>
      </c>
      <c r="AL32" s="328">
        <f>-206095+190944</f>
        <v>-15151</v>
      </c>
      <c r="AM32" s="441"/>
      <c r="AN32" s="441"/>
      <c r="AO32" s="441"/>
      <c r="AP32" s="441"/>
      <c r="AQ32" s="328">
        <f>SUM(AM32:AP32)</f>
        <v>0</v>
      </c>
    </row>
    <row r="33" spans="2:43">
      <c r="B33" s="170"/>
      <c r="C33" s="209" t="s">
        <v>433</v>
      </c>
      <c r="D33" s="230"/>
      <c r="E33" s="230"/>
      <c r="F33" s="230"/>
      <c r="G33" s="230"/>
      <c r="H33" s="328">
        <f>SUM(D33:G33)</f>
        <v>0</v>
      </c>
      <c r="I33" s="230"/>
      <c r="J33" s="230"/>
      <c r="K33" s="230"/>
      <c r="L33" s="230"/>
      <c r="M33" s="328">
        <f>SUM(I33:L33)</f>
        <v>0</v>
      </c>
      <c r="N33" s="230"/>
      <c r="O33" s="230"/>
      <c r="P33" s="650"/>
      <c r="Q33" s="650"/>
      <c r="R33" s="328">
        <f>SUM(N33:Q33)</f>
        <v>0</v>
      </c>
      <c r="S33" s="650">
        <v>-5310</v>
      </c>
      <c r="T33" s="650">
        <f>+-5310-S33</f>
        <v>0</v>
      </c>
      <c r="U33" s="231">
        <f>-5310-T33-S33</f>
        <v>0</v>
      </c>
      <c r="V33" s="650">
        <f>-5310-U33-T33-S33</f>
        <v>0</v>
      </c>
      <c r="W33" s="328">
        <f>SUM(S33:V33)</f>
        <v>-5310</v>
      </c>
      <c r="X33" s="650">
        <v>-1180</v>
      </c>
      <c r="Y33" s="650">
        <f>+-1180-X33</f>
        <v>0</v>
      </c>
      <c r="Z33" s="650">
        <f>+-1180-Y33-X33</f>
        <v>0</v>
      </c>
      <c r="AA33" s="650">
        <f>+-1180-Z33-Y33-X33</f>
        <v>0</v>
      </c>
      <c r="AB33" s="328">
        <f>SUM(X33:AA33)</f>
        <v>-1180</v>
      </c>
      <c r="AC33" s="441"/>
      <c r="AD33" s="650"/>
      <c r="AE33" s="650"/>
      <c r="AF33" s="230">
        <f>AG33-SUM(AC33:AE33)</f>
        <v>0</v>
      </c>
      <c r="AG33" s="328"/>
      <c r="AH33" s="441"/>
      <c r="AI33" s="650"/>
      <c r="AJ33" s="650"/>
      <c r="AK33" s="230">
        <f>AL33-SUM(AH33:AJ33)</f>
        <v>0</v>
      </c>
      <c r="AL33" s="328"/>
      <c r="AM33" s="441"/>
      <c r="AN33" s="441"/>
      <c r="AO33" s="441"/>
      <c r="AP33" s="441"/>
      <c r="AQ33" s="328">
        <f>SUM(AM33:AP33)</f>
        <v>0</v>
      </c>
    </row>
    <row r="34" spans="2:43" s="174" customFormat="1" ht="13.15">
      <c r="B34" s="193" t="s">
        <v>171</v>
      </c>
      <c r="C34" s="211"/>
      <c r="D34" s="192">
        <f>SUM(D29:D29)</f>
        <v>-614</v>
      </c>
      <c r="E34" s="192">
        <f>SUM(E29:E29)</f>
        <v>-608</v>
      </c>
      <c r="F34" s="192">
        <f>SUM(F29:F29)</f>
        <v>-859</v>
      </c>
      <c r="G34" s="192">
        <f>SUM(G29:G29)</f>
        <v>-1244</v>
      </c>
      <c r="H34" s="327">
        <f>SUM(H29:H33)</f>
        <v>-3325</v>
      </c>
      <c r="I34" s="192">
        <f t="shared" ref="I34:AB34" si="13">SUM(I29:I33)</f>
        <v>-663</v>
      </c>
      <c r="J34" s="192">
        <f t="shared" si="13"/>
        <v>-331</v>
      </c>
      <c r="K34" s="192">
        <f t="shared" si="13"/>
        <v>-393</v>
      </c>
      <c r="L34" s="192">
        <f t="shared" si="13"/>
        <v>-517</v>
      </c>
      <c r="M34" s="191">
        <f t="shared" si="13"/>
        <v>-1904</v>
      </c>
      <c r="N34" s="192">
        <f t="shared" si="13"/>
        <v>-586</v>
      </c>
      <c r="O34" s="192">
        <f t="shared" si="13"/>
        <v>-861</v>
      </c>
      <c r="P34" s="652">
        <f t="shared" si="13"/>
        <v>-888</v>
      </c>
      <c r="Q34" s="192">
        <f t="shared" si="13"/>
        <v>-772</v>
      </c>
      <c r="R34" s="191">
        <f t="shared" si="13"/>
        <v>-3107</v>
      </c>
      <c r="S34" s="192">
        <f t="shared" si="13"/>
        <v>-5941</v>
      </c>
      <c r="T34" s="192">
        <f t="shared" si="13"/>
        <v>-1237</v>
      </c>
      <c r="U34" s="192">
        <f t="shared" si="13"/>
        <v>-1859</v>
      </c>
      <c r="V34" s="652">
        <f t="shared" si="13"/>
        <v>-651</v>
      </c>
      <c r="W34" s="191">
        <f t="shared" si="13"/>
        <v>-9688</v>
      </c>
      <c r="X34" s="192">
        <f t="shared" si="13"/>
        <v>-2024</v>
      </c>
      <c r="Y34" s="192">
        <f>SUM(Y29:Y33)</f>
        <v>-1652</v>
      </c>
      <c r="Z34" s="192">
        <f t="shared" si="13"/>
        <v>-15090</v>
      </c>
      <c r="AA34" s="192">
        <f t="shared" si="13"/>
        <v>-1269</v>
      </c>
      <c r="AB34" s="191">
        <f t="shared" si="13"/>
        <v>-20035</v>
      </c>
      <c r="AC34" s="192">
        <f t="shared" ref="AC34:AQ34" si="14">SUM(AC29:AC33)</f>
        <v>-688</v>
      </c>
      <c r="AD34" s="192">
        <f t="shared" si="14"/>
        <v>-656</v>
      </c>
      <c r="AE34" s="192">
        <f t="shared" si="14"/>
        <v>-50813</v>
      </c>
      <c r="AF34" s="192">
        <f t="shared" si="14"/>
        <v>-25878</v>
      </c>
      <c r="AG34" s="191">
        <f t="shared" si="14"/>
        <v>-78035</v>
      </c>
      <c r="AH34" s="192">
        <f t="shared" si="14"/>
        <v>-7656</v>
      </c>
      <c r="AI34" s="192">
        <f t="shared" si="14"/>
        <v>-8632</v>
      </c>
      <c r="AJ34" s="192">
        <f t="shared" ref="AJ34:AL34" si="15">SUM(AJ29:AJ33)</f>
        <v>7960</v>
      </c>
      <c r="AK34" s="192">
        <f t="shared" si="15"/>
        <v>-9868</v>
      </c>
      <c r="AL34" s="191">
        <f t="shared" si="15"/>
        <v>-18196</v>
      </c>
      <c r="AM34" s="192">
        <f t="shared" si="14"/>
        <v>-850</v>
      </c>
      <c r="AN34" s="192">
        <f t="shared" si="14"/>
        <v>-950</v>
      </c>
      <c r="AO34" s="192">
        <f t="shared" si="14"/>
        <v>-950</v>
      </c>
      <c r="AP34" s="192">
        <f t="shared" si="14"/>
        <v>-950</v>
      </c>
      <c r="AQ34" s="191">
        <f t="shared" si="14"/>
        <v>-3700</v>
      </c>
    </row>
    <row r="35" spans="2:43" ht="13.15">
      <c r="B35" s="193"/>
      <c r="C35" s="209"/>
      <c r="D35" s="22"/>
      <c r="E35" s="22"/>
      <c r="F35" s="22"/>
      <c r="G35" s="22"/>
      <c r="H35" s="203"/>
      <c r="I35" s="22"/>
      <c r="J35" s="22"/>
      <c r="K35" s="22"/>
      <c r="L35" s="22"/>
      <c r="M35" s="203"/>
      <c r="N35" s="22"/>
      <c r="O35" s="22"/>
      <c r="P35" s="657"/>
      <c r="Q35" s="22"/>
      <c r="R35" s="203"/>
      <c r="S35" s="22"/>
      <c r="T35" s="22"/>
      <c r="U35" s="22"/>
      <c r="V35" s="22"/>
      <c r="W35" s="203"/>
      <c r="X35" s="22"/>
      <c r="Y35" s="22"/>
      <c r="Z35" s="22"/>
      <c r="AA35" s="22"/>
      <c r="AB35" s="203"/>
      <c r="AC35" s="22"/>
      <c r="AD35" s="22"/>
      <c r="AE35" s="22"/>
      <c r="AF35" s="22"/>
      <c r="AG35" s="203"/>
      <c r="AH35" s="22"/>
      <c r="AI35" s="22"/>
      <c r="AJ35" s="22"/>
      <c r="AK35" s="22"/>
      <c r="AL35" s="203"/>
      <c r="AM35" s="22"/>
      <c r="AN35" s="22"/>
      <c r="AO35" s="22"/>
      <c r="AP35" s="22"/>
      <c r="AQ35" s="203"/>
    </row>
    <row r="36" spans="2:43" s="174" customFormat="1" ht="13.15">
      <c r="B36" s="193" t="s">
        <v>170</v>
      </c>
      <c r="C36" s="211"/>
      <c r="D36" s="192">
        <f t="shared" ref="D36:AB36" si="16">D25+D29</f>
        <v>-9968</v>
      </c>
      <c r="E36" s="192">
        <f t="shared" si="16"/>
        <v>-3501</v>
      </c>
      <c r="F36" s="192">
        <f t="shared" si="16"/>
        <v>-7011</v>
      </c>
      <c r="G36" s="192">
        <f t="shared" si="16"/>
        <v>-10144</v>
      </c>
      <c r="H36" s="327">
        <f t="shared" si="16"/>
        <v>-30624</v>
      </c>
      <c r="I36" s="192">
        <f t="shared" si="16"/>
        <v>-10777</v>
      </c>
      <c r="J36" s="192">
        <f t="shared" si="16"/>
        <v>-5331</v>
      </c>
      <c r="K36" s="192">
        <f t="shared" si="16"/>
        <v>-2978</v>
      </c>
      <c r="L36" s="192">
        <f t="shared" si="16"/>
        <v>-5530</v>
      </c>
      <c r="M36" s="191">
        <f t="shared" si="16"/>
        <v>-24616</v>
      </c>
      <c r="N36" s="192">
        <f t="shared" si="16"/>
        <v>-5082</v>
      </c>
      <c r="O36" s="192">
        <f t="shared" si="16"/>
        <v>-6540</v>
      </c>
      <c r="P36" s="652">
        <f t="shared" si="16"/>
        <v>-9507</v>
      </c>
      <c r="Q36" s="192">
        <f t="shared" si="16"/>
        <v>-3620</v>
      </c>
      <c r="R36" s="191">
        <f t="shared" si="16"/>
        <v>-24749</v>
      </c>
      <c r="S36" s="192">
        <f t="shared" si="16"/>
        <v>-12015</v>
      </c>
      <c r="T36" s="192">
        <f t="shared" si="16"/>
        <v>-12031</v>
      </c>
      <c r="U36" s="192">
        <f t="shared" si="16"/>
        <v>-16334</v>
      </c>
      <c r="V36" s="192">
        <f t="shared" si="16"/>
        <v>-10012</v>
      </c>
      <c r="W36" s="191">
        <f t="shared" si="16"/>
        <v>-50392</v>
      </c>
      <c r="X36" s="192">
        <f t="shared" si="16"/>
        <v>-15596</v>
      </c>
      <c r="Y36" s="192">
        <f t="shared" si="16"/>
        <v>-8707</v>
      </c>
      <c r="Z36" s="192">
        <f t="shared" si="16"/>
        <v>-7990</v>
      </c>
      <c r="AA36" s="192">
        <f t="shared" si="16"/>
        <v>1903</v>
      </c>
      <c r="AB36" s="191">
        <f t="shared" si="16"/>
        <v>-30390</v>
      </c>
      <c r="AC36" s="192">
        <f t="shared" ref="AC36:AQ36" si="17">AC25+AC29</f>
        <v>-8018</v>
      </c>
      <c r="AD36" s="192">
        <f t="shared" si="17"/>
        <v>-1308</v>
      </c>
      <c r="AE36" s="192">
        <f t="shared" si="17"/>
        <v>-3734</v>
      </c>
      <c r="AF36" s="192">
        <f t="shared" si="17"/>
        <v>1530</v>
      </c>
      <c r="AG36" s="191">
        <f t="shared" si="17"/>
        <v>-11530</v>
      </c>
      <c r="AH36" s="192">
        <f t="shared" si="17"/>
        <v>-11023</v>
      </c>
      <c r="AI36" s="192">
        <f t="shared" si="17"/>
        <v>-5186</v>
      </c>
      <c r="AJ36" s="192">
        <f t="shared" ref="AJ36:AL36" si="18">AJ25+AJ29</f>
        <v>-2035</v>
      </c>
      <c r="AK36" s="192">
        <f t="shared" si="18"/>
        <v>255</v>
      </c>
      <c r="AL36" s="191">
        <f t="shared" si="18"/>
        <v>-17989</v>
      </c>
      <c r="AM36" s="192">
        <f t="shared" si="17"/>
        <v>-13810.405287999996</v>
      </c>
      <c r="AN36" s="192">
        <f t="shared" si="17"/>
        <v>-1133.2412950000003</v>
      </c>
      <c r="AO36" s="192">
        <f t="shared" si="17"/>
        <v>-2294.663436875001</v>
      </c>
      <c r="AP36" s="192">
        <f t="shared" si="17"/>
        <v>348.24800868562579</v>
      </c>
      <c r="AQ36" s="191">
        <f t="shared" si="17"/>
        <v>-16890.062011189373</v>
      </c>
    </row>
    <row r="37" spans="2:43" s="375" customFormat="1" ht="11.25">
      <c r="B37" s="387"/>
      <c r="C37" s="388" t="s">
        <v>169</v>
      </c>
      <c r="D37" s="390">
        <f>D36/IS!D11</f>
        <v>-0.96049335132010016</v>
      </c>
      <c r="E37" s="390">
        <f>E36/IS!E11</f>
        <v>-0.30968597965501993</v>
      </c>
      <c r="F37" s="390">
        <f>F36/IS!F11</f>
        <v>-0.55414163768574143</v>
      </c>
      <c r="G37" s="390">
        <f>G36/IS!G11</f>
        <v>-0.71331130018986011</v>
      </c>
      <c r="H37" s="389">
        <f>H36/IS!H11</f>
        <v>-0.63069445588598727</v>
      </c>
      <c r="I37" s="390">
        <f>I36/IS!I11</f>
        <v>-0.68783507786571352</v>
      </c>
      <c r="J37" s="390">
        <f>J36/IS!J11</f>
        <v>-0.33897119603230114</v>
      </c>
      <c r="K37" s="390">
        <f>K36/IS!K11</f>
        <v>-0.1667133180316856</v>
      </c>
      <c r="L37" s="390">
        <f>L36/IS!L11</f>
        <v>-0.28823100177212552</v>
      </c>
      <c r="M37" s="389">
        <f>M36/IS!M11</f>
        <v>-0.35965168604990944</v>
      </c>
      <c r="N37" s="390">
        <f>N36/IS!N11</f>
        <v>-0.2404997397188964</v>
      </c>
      <c r="O37" s="390">
        <f>O36/IS!O11</f>
        <v>-0.22134226825058381</v>
      </c>
      <c r="P37" s="653">
        <f>P36/IS!P11</f>
        <v>-0.31844978897300197</v>
      </c>
      <c r="Q37" s="390">
        <f>Q36/IS!Q11</f>
        <v>-0.10706891452233067</v>
      </c>
      <c r="R37" s="389">
        <f>R36/IS!R11</f>
        <v>-0.21644714977873397</v>
      </c>
      <c r="S37" s="390">
        <f>S36/IS!S11</f>
        <v>-0.34858419403504698</v>
      </c>
      <c r="T37" s="390">
        <f>T36/IS!T11</f>
        <v>-0.35689706318599823</v>
      </c>
      <c r="U37" s="390">
        <f>U36/IS!U11</f>
        <v>-0.47379260333575052</v>
      </c>
      <c r="V37" s="390">
        <f>V36/IS!V11</f>
        <v>-0.30771122107139565</v>
      </c>
      <c r="W37" s="389">
        <f>W36/IS!W11</f>
        <v>-0.3727494637177306</v>
      </c>
      <c r="X37" s="390">
        <f>X36/IS!X11</f>
        <v>-0.47076579431917653</v>
      </c>
      <c r="Y37" s="390">
        <f>Y36/IS!Y11</f>
        <v>-0.25402614073987628</v>
      </c>
      <c r="Z37" s="390">
        <f>Z36/IS!Z11</f>
        <v>-0.228658100334831</v>
      </c>
      <c r="AA37" s="390">
        <f>AA36/IS!AA11</f>
        <v>5.3242683677466283E-2</v>
      </c>
      <c r="AB37" s="389">
        <f>AB36/IS!AB11</f>
        <v>-0.22007386487073646</v>
      </c>
      <c r="AC37" s="390">
        <f>AC36/IS!AC11</f>
        <v>-0.22540833825307133</v>
      </c>
      <c r="AD37" s="390">
        <f>AD36/IS!AD11</f>
        <v>-3.6328287737814192E-2</v>
      </c>
      <c r="AE37" s="390">
        <f>AE36/IS!AE11</f>
        <v>-0.10296145149727016</v>
      </c>
      <c r="AF37" s="390">
        <f>AF36/IS!AF11</f>
        <v>4.1352468985648261E-2</v>
      </c>
      <c r="AG37" s="389">
        <f>AG36/IS!AG11</f>
        <v>-7.9604531865977171E-2</v>
      </c>
      <c r="AH37" s="390">
        <f>AH36/IS!AH11</f>
        <v>-0.30073936649114669</v>
      </c>
      <c r="AI37" s="390">
        <f>AI36/IS!AI11</f>
        <v>-0.13609405342990605</v>
      </c>
      <c r="AJ37" s="390">
        <f>AJ36/IS!AJ11</f>
        <v>-4.9732398152447517E-2</v>
      </c>
      <c r="AK37" s="390">
        <f>AK36/IS!AK11</f>
        <v>6.1936800174880379E-3</v>
      </c>
      <c r="AL37" s="389">
        <f>AL36/IS!AL11</f>
        <v>-0.11468992470465225</v>
      </c>
      <c r="AM37" s="390">
        <f>AM36/IS!AM11</f>
        <v>-0.34743248857808323</v>
      </c>
      <c r="AN37" s="390">
        <f>AN36/IS!AN11</f>
        <v>-2.678843380836236E-2</v>
      </c>
      <c r="AO37" s="390">
        <f>AO36/IS!AO11</f>
        <v>-5.2102174404698151E-2</v>
      </c>
      <c r="AP37" s="390">
        <f>AP36/IS!AP11</f>
        <v>7.5854817054696842E-3</v>
      </c>
      <c r="AQ37" s="389">
        <f>AQ36/IS!AQ11</f>
        <v>-9.8195357412576206E-2</v>
      </c>
    </row>
    <row r="38" spans="2:43" s="165" customFormat="1" ht="13.15">
      <c r="B38" s="218"/>
      <c r="C38" s="217"/>
      <c r="D38" s="216"/>
      <c r="E38" s="216"/>
      <c r="F38" s="216"/>
      <c r="G38" s="216"/>
      <c r="H38" s="215"/>
      <c r="I38" s="216"/>
      <c r="J38" s="216"/>
      <c r="K38" s="216"/>
      <c r="L38" s="216"/>
      <c r="M38" s="215"/>
      <c r="N38" s="216"/>
      <c r="O38" s="216"/>
      <c r="P38" s="654"/>
      <c r="Q38" s="216"/>
      <c r="R38" s="215"/>
      <c r="S38" s="192"/>
      <c r="T38" s="216"/>
      <c r="U38" s="216"/>
      <c r="V38" s="216"/>
      <c r="W38" s="215"/>
      <c r="X38" s="216"/>
      <c r="Y38" s="216"/>
      <c r="Z38" s="216"/>
      <c r="AA38" s="216"/>
      <c r="AB38" s="215"/>
      <c r="AC38" s="216"/>
      <c r="AD38" s="216"/>
      <c r="AE38" s="216"/>
      <c r="AF38" s="216"/>
      <c r="AG38" s="215"/>
      <c r="AH38" s="216"/>
      <c r="AI38" s="216"/>
      <c r="AJ38" s="216"/>
      <c r="AK38" s="216"/>
      <c r="AL38" s="215"/>
      <c r="AM38" s="216"/>
      <c r="AN38" s="216"/>
      <c r="AO38" s="216"/>
      <c r="AP38" s="216"/>
      <c r="AQ38" s="215"/>
    </row>
    <row r="39" spans="2:43" ht="13.15">
      <c r="B39" s="214" t="s">
        <v>168</v>
      </c>
      <c r="C39" s="209"/>
      <c r="D39" s="22"/>
      <c r="E39" s="22"/>
      <c r="F39" s="22"/>
      <c r="G39" s="22"/>
      <c r="H39" s="347"/>
      <c r="I39" s="22"/>
      <c r="J39" s="22"/>
      <c r="K39" s="22"/>
      <c r="L39" s="22"/>
      <c r="M39" s="212"/>
      <c r="N39" s="22"/>
      <c r="O39" s="22"/>
      <c r="P39" s="657"/>
      <c r="Q39" s="22"/>
      <c r="R39" s="212"/>
      <c r="S39" s="22"/>
      <c r="T39" s="213"/>
      <c r="U39" s="22"/>
      <c r="V39" s="22"/>
      <c r="W39" s="212"/>
      <c r="X39" s="22"/>
      <c r="Y39" s="22"/>
      <c r="Z39" s="22"/>
      <c r="AA39" s="22"/>
      <c r="AB39" s="212"/>
      <c r="AC39" s="22"/>
      <c r="AD39" s="22"/>
      <c r="AE39" s="22"/>
      <c r="AF39" s="22"/>
      <c r="AG39" s="212"/>
      <c r="AH39" s="22"/>
      <c r="AI39" s="22"/>
      <c r="AJ39" s="22"/>
      <c r="AK39" s="22"/>
      <c r="AL39" s="212"/>
      <c r="AM39" s="22"/>
      <c r="AN39" s="22"/>
      <c r="AO39" s="22"/>
      <c r="AP39" s="22"/>
      <c r="AQ39" s="212"/>
    </row>
    <row r="40" spans="2:43" ht="13.15">
      <c r="B40" s="214"/>
      <c r="C40" s="209" t="s">
        <v>501</v>
      </c>
      <c r="D40" s="213">
        <v>-5784</v>
      </c>
      <c r="E40" s="213">
        <v>0</v>
      </c>
      <c r="F40" s="213">
        <v>0</v>
      </c>
      <c r="G40" s="213">
        <v>0</v>
      </c>
      <c r="H40" s="328">
        <f t="shared" ref="H40:H48" si="19">SUM(D40:G40)</f>
        <v>-5784</v>
      </c>
      <c r="I40" s="213">
        <v>17000</v>
      </c>
      <c r="J40" s="213">
        <v>0</v>
      </c>
      <c r="K40" s="213">
        <v>0</v>
      </c>
      <c r="L40" s="213">
        <v>-17176</v>
      </c>
      <c r="M40" s="328">
        <f t="shared" ref="M40:M48" si="20">SUM(I40:L40)</f>
        <v>-176</v>
      </c>
      <c r="N40" s="213"/>
      <c r="O40" s="213"/>
      <c r="P40" s="213"/>
      <c r="Q40" s="213"/>
      <c r="R40" s="328">
        <f t="shared" ref="R40:R48" si="21">SUM(N40:Q40)</f>
        <v>0</v>
      </c>
      <c r="S40" s="213"/>
      <c r="T40" s="213"/>
      <c r="U40" s="213"/>
      <c r="V40" s="213"/>
      <c r="W40" s="328">
        <f t="shared" ref="W40:W48" si="22">SUM(S40:V40)</f>
        <v>0</v>
      </c>
      <c r="X40" s="213"/>
      <c r="Y40" s="213"/>
      <c r="Z40" s="213"/>
      <c r="AA40" s="213"/>
      <c r="AB40" s="328">
        <f t="shared" ref="AB40:AB48" si="23">SUM(X40:AA40)</f>
        <v>0</v>
      </c>
      <c r="AC40" s="213"/>
      <c r="AD40" s="213"/>
      <c r="AE40" s="213"/>
      <c r="AF40" s="230"/>
      <c r="AG40" s="328"/>
      <c r="AH40" s="213"/>
      <c r="AI40" s="213"/>
      <c r="AJ40" s="213"/>
      <c r="AK40" s="230"/>
      <c r="AL40" s="328"/>
      <c r="AM40" s="213"/>
      <c r="AN40" s="213"/>
      <c r="AO40" s="213"/>
      <c r="AP40" s="213"/>
      <c r="AQ40" s="328"/>
    </row>
    <row r="41" spans="2:43" ht="13.15">
      <c r="B41" s="214"/>
      <c r="C41" s="209" t="s">
        <v>341</v>
      </c>
      <c r="D41" s="213">
        <v>28</v>
      </c>
      <c r="E41" s="213">
        <v>21</v>
      </c>
      <c r="F41" s="213">
        <v>51</v>
      </c>
      <c r="G41" s="213">
        <v>23</v>
      </c>
      <c r="H41" s="328">
        <f t="shared" si="19"/>
        <v>123</v>
      </c>
      <c r="I41" s="213">
        <v>8</v>
      </c>
      <c r="J41" s="213">
        <v>8</v>
      </c>
      <c r="K41" s="213">
        <v>263</v>
      </c>
      <c r="L41" s="213">
        <v>168</v>
      </c>
      <c r="M41" s="328">
        <f t="shared" si="20"/>
        <v>447</v>
      </c>
      <c r="N41" s="213">
        <v>222</v>
      </c>
      <c r="O41" s="213">
        <f>835-N41</f>
        <v>613</v>
      </c>
      <c r="P41" s="655">
        <f>1598-O41-N41</f>
        <v>763</v>
      </c>
      <c r="Q41" s="213">
        <f>2288+146-P41-O41-N41</f>
        <v>836</v>
      </c>
      <c r="R41" s="328">
        <f t="shared" si="21"/>
        <v>2434</v>
      </c>
      <c r="S41" s="213">
        <v>970</v>
      </c>
      <c r="T41" s="213">
        <f>2656-S41</f>
        <v>1686</v>
      </c>
      <c r="U41" s="213">
        <f>3923-T41-S41</f>
        <v>1267</v>
      </c>
      <c r="V41" s="213">
        <f>4059-U41-T41-S41</f>
        <v>136</v>
      </c>
      <c r="W41" s="328">
        <f t="shared" si="22"/>
        <v>4059</v>
      </c>
      <c r="X41" s="213">
        <v>260</v>
      </c>
      <c r="Y41" s="213">
        <f>283-X41</f>
        <v>23</v>
      </c>
      <c r="Z41" s="213">
        <f>514-Y41-X41</f>
        <v>231</v>
      </c>
      <c r="AA41" s="213">
        <f>543-Z41-Y41-X41</f>
        <v>29</v>
      </c>
      <c r="AB41" s="328">
        <f t="shared" si="23"/>
        <v>543</v>
      </c>
      <c r="AC41" s="213">
        <v>10</v>
      </c>
      <c r="AD41" s="213">
        <f>18-AC41</f>
        <v>8</v>
      </c>
      <c r="AE41" s="213">
        <v>12</v>
      </c>
      <c r="AF41" s="230">
        <f t="shared" ref="AF41:AF48" si="24">AG41-SUM(AC41:AE41)</f>
        <v>50</v>
      </c>
      <c r="AG41" s="328">
        <v>80</v>
      </c>
      <c r="AH41" s="213">
        <v>6</v>
      </c>
      <c r="AI41" s="213">
        <f>29-AH41</f>
        <v>23</v>
      </c>
      <c r="AJ41" s="213">
        <f>36-AI41-AH41</f>
        <v>7</v>
      </c>
      <c r="AK41" s="230">
        <f t="shared" ref="AK41:AK48" si="25">AL41-SUM(AH41:AJ41)</f>
        <v>2</v>
      </c>
      <c r="AL41" s="328">
        <v>38</v>
      </c>
      <c r="AM41" s="213"/>
      <c r="AN41" s="213"/>
      <c r="AO41" s="213"/>
      <c r="AP41" s="213"/>
      <c r="AQ41" s="328">
        <f t="shared" ref="AQ41:AQ48" si="26">SUM(AM41:AP41)</f>
        <v>0</v>
      </c>
    </row>
    <row r="42" spans="2:43" ht="13.15">
      <c r="B42" s="214"/>
      <c r="C42" s="209" t="s">
        <v>504</v>
      </c>
      <c r="D42" s="213"/>
      <c r="E42" s="213"/>
      <c r="F42" s="213"/>
      <c r="G42" s="213"/>
      <c r="H42" s="328"/>
      <c r="I42" s="213"/>
      <c r="J42" s="213"/>
      <c r="K42" s="213"/>
      <c r="L42" s="213"/>
      <c r="M42" s="328"/>
      <c r="N42" s="213"/>
      <c r="O42" s="213"/>
      <c r="P42" s="655"/>
      <c r="Q42" s="213"/>
      <c r="R42" s="328"/>
      <c r="S42" s="213"/>
      <c r="T42" s="213"/>
      <c r="U42" s="213"/>
      <c r="V42" s="213"/>
      <c r="W42" s="328"/>
      <c r="X42" s="213">
        <v>932</v>
      </c>
      <c r="Y42" s="213">
        <f>932-X42</f>
        <v>0</v>
      </c>
      <c r="Z42" s="213">
        <f>1459-Y42-X42</f>
        <v>527</v>
      </c>
      <c r="AA42" s="213">
        <f>1459-Z42-Y42-X42</f>
        <v>0</v>
      </c>
      <c r="AB42" s="328">
        <f t="shared" si="23"/>
        <v>1459</v>
      </c>
      <c r="AC42" s="213">
        <v>360</v>
      </c>
      <c r="AD42" s="213">
        <f>360-AC42</f>
        <v>0</v>
      </c>
      <c r="AE42" s="213">
        <v>241</v>
      </c>
      <c r="AF42" s="230">
        <f t="shared" si="24"/>
        <v>-1</v>
      </c>
      <c r="AG42" s="328">
        <v>600</v>
      </c>
      <c r="AH42" s="213">
        <v>240</v>
      </c>
      <c r="AI42" s="213">
        <f>240-AH42</f>
        <v>0</v>
      </c>
      <c r="AJ42" s="213">
        <f>421-AI42-AH42</f>
        <v>181</v>
      </c>
      <c r="AK42" s="230">
        <f t="shared" si="25"/>
        <v>0</v>
      </c>
      <c r="AL42" s="328">
        <v>421</v>
      </c>
      <c r="AM42" s="213"/>
      <c r="AN42" s="213"/>
      <c r="AO42" s="213"/>
      <c r="AP42" s="213"/>
      <c r="AQ42" s="328">
        <f t="shared" si="26"/>
        <v>0</v>
      </c>
    </row>
    <row r="43" spans="2:43" ht="13.15">
      <c r="B43" s="214"/>
      <c r="C43" s="209" t="s">
        <v>502</v>
      </c>
      <c r="D43" s="213">
        <v>49765</v>
      </c>
      <c r="E43" s="213">
        <v>0</v>
      </c>
      <c r="F43" s="213">
        <v>0</v>
      </c>
      <c r="G43" s="213">
        <v>0</v>
      </c>
      <c r="H43" s="328">
        <f t="shared" si="19"/>
        <v>49765</v>
      </c>
      <c r="I43" s="213">
        <v>0</v>
      </c>
      <c r="J43" s="213">
        <v>0</v>
      </c>
      <c r="K43" s="213">
        <v>56936</v>
      </c>
      <c r="L43" s="213">
        <v>2999</v>
      </c>
      <c r="M43" s="328">
        <f t="shared" si="20"/>
        <v>59935</v>
      </c>
      <c r="N43" s="213">
        <v>0</v>
      </c>
      <c r="O43" s="213"/>
      <c r="P43" s="655"/>
      <c r="Q43" s="213"/>
      <c r="R43" s="328">
        <f t="shared" si="21"/>
        <v>0</v>
      </c>
      <c r="S43" s="213"/>
      <c r="T43" s="213"/>
      <c r="U43" s="213"/>
      <c r="V43" s="213"/>
      <c r="W43" s="328">
        <f t="shared" si="22"/>
        <v>0</v>
      </c>
      <c r="X43" s="213"/>
      <c r="Y43" s="213"/>
      <c r="Z43" s="213"/>
      <c r="AA43" s="213"/>
      <c r="AB43" s="328">
        <f t="shared" si="23"/>
        <v>0</v>
      </c>
      <c r="AC43" s="213"/>
      <c r="AD43" s="213"/>
      <c r="AE43" s="213"/>
      <c r="AF43" s="230">
        <f t="shared" si="24"/>
        <v>0</v>
      </c>
      <c r="AG43" s="328">
        <v>0</v>
      </c>
      <c r="AH43" s="213"/>
      <c r="AI43" s="213"/>
      <c r="AJ43" s="213"/>
      <c r="AK43" s="230">
        <f t="shared" si="25"/>
        <v>0</v>
      </c>
      <c r="AL43" s="328"/>
      <c r="AM43" s="213"/>
      <c r="AN43" s="213"/>
      <c r="AO43" s="213"/>
      <c r="AP43" s="213"/>
      <c r="AQ43" s="328">
        <f t="shared" si="26"/>
        <v>0</v>
      </c>
    </row>
    <row r="44" spans="2:43" ht="13.15">
      <c r="B44" s="214"/>
      <c r="C44" s="209" t="s">
        <v>342</v>
      </c>
      <c r="D44" s="213">
        <v>0</v>
      </c>
      <c r="E44" s="213">
        <v>0</v>
      </c>
      <c r="F44" s="213">
        <v>0</v>
      </c>
      <c r="G44" s="230">
        <v>0</v>
      </c>
      <c r="H44" s="328">
        <f t="shared" si="19"/>
        <v>0</v>
      </c>
      <c r="I44" s="230">
        <v>-31</v>
      </c>
      <c r="J44" s="230">
        <v>-27</v>
      </c>
      <c r="K44" s="230">
        <v>-27</v>
      </c>
      <c r="L44" s="230">
        <v>-53</v>
      </c>
      <c r="M44" s="328">
        <f t="shared" si="20"/>
        <v>-138</v>
      </c>
      <c r="N44" s="213">
        <v>-50</v>
      </c>
      <c r="O44" s="213">
        <f>-107-N44</f>
        <v>-57</v>
      </c>
      <c r="P44" s="655">
        <f>-296-O44-N44</f>
        <v>-189</v>
      </c>
      <c r="Q44" s="213">
        <f>-476-P44-O44-N44</f>
        <v>-180</v>
      </c>
      <c r="R44" s="328">
        <f t="shared" si="21"/>
        <v>-476</v>
      </c>
      <c r="S44" s="213">
        <v>-233</v>
      </c>
      <c r="T44" s="213">
        <f>+-264-S44</f>
        <v>-31</v>
      </c>
      <c r="U44" s="213">
        <f>-264-T44-S44</f>
        <v>0</v>
      </c>
      <c r="V44" s="213">
        <f>+-264-U44-T44-S44</f>
        <v>0</v>
      </c>
      <c r="W44" s="328">
        <f t="shared" si="22"/>
        <v>-264</v>
      </c>
      <c r="X44" s="213">
        <v>-15</v>
      </c>
      <c r="Y44" s="213">
        <f>+-38-X44</f>
        <v>-23</v>
      </c>
      <c r="Z44" s="213">
        <f>+-64-Y44-X44</f>
        <v>-26</v>
      </c>
      <c r="AA44" s="213">
        <f>+-89-Z44-Y44-X44</f>
        <v>-25</v>
      </c>
      <c r="AB44" s="328">
        <f t="shared" si="23"/>
        <v>-89</v>
      </c>
      <c r="AC44" s="213">
        <v>-39</v>
      </c>
      <c r="AD44" s="213">
        <f>-71-AC44</f>
        <v>-32</v>
      </c>
      <c r="AE44" s="213">
        <v>-29</v>
      </c>
      <c r="AF44" s="230">
        <f t="shared" si="24"/>
        <v>-27</v>
      </c>
      <c r="AG44" s="328">
        <v>-127</v>
      </c>
      <c r="AH44" s="213">
        <v>-24</v>
      </c>
      <c r="AI44" s="213">
        <f>-44-AH44</f>
        <v>-20</v>
      </c>
      <c r="AJ44" s="213">
        <f>-70-AI44-AH44</f>
        <v>-26</v>
      </c>
      <c r="AK44" s="230">
        <f t="shared" si="25"/>
        <v>-35</v>
      </c>
      <c r="AL44" s="328">
        <v>-105</v>
      </c>
      <c r="AM44" s="213"/>
      <c r="AN44" s="213"/>
      <c r="AO44" s="213"/>
      <c r="AP44" s="213"/>
      <c r="AQ44" s="328">
        <f t="shared" si="26"/>
        <v>0</v>
      </c>
    </row>
    <row r="45" spans="2:43" ht="13.15">
      <c r="B45" s="214"/>
      <c r="C45" s="209" t="s">
        <v>451</v>
      </c>
      <c r="D45" s="213"/>
      <c r="E45" s="213"/>
      <c r="F45" s="213"/>
      <c r="G45" s="230"/>
      <c r="H45" s="328"/>
      <c r="I45" s="230"/>
      <c r="J45" s="230"/>
      <c r="K45" s="230"/>
      <c r="L45" s="230"/>
      <c r="M45" s="328"/>
      <c r="N45" s="213"/>
      <c r="O45" s="213"/>
      <c r="P45" s="655"/>
      <c r="Q45" s="213"/>
      <c r="R45" s="328"/>
      <c r="S45" s="213"/>
      <c r="T45" s="213"/>
      <c r="U45" s="213"/>
      <c r="V45" s="213"/>
      <c r="W45" s="328"/>
      <c r="X45" s="213"/>
      <c r="Y45" s="213"/>
      <c r="Z45" s="213"/>
      <c r="AA45" s="213"/>
      <c r="AB45" s="328"/>
      <c r="AC45" s="213">
        <v>-2718</v>
      </c>
      <c r="AD45" s="213">
        <f>-20052-AC45</f>
        <v>-17334</v>
      </c>
      <c r="AE45" s="213">
        <v>0</v>
      </c>
      <c r="AF45" s="230">
        <f t="shared" si="24"/>
        <v>0</v>
      </c>
      <c r="AG45" s="328">
        <v>-20052</v>
      </c>
      <c r="AH45" s="213"/>
      <c r="AI45" s="213"/>
      <c r="AJ45" s="213"/>
      <c r="AK45" s="230">
        <f t="shared" si="25"/>
        <v>0</v>
      </c>
      <c r="AL45" s="328"/>
      <c r="AM45" s="213"/>
      <c r="AN45" s="213"/>
      <c r="AO45" s="213"/>
      <c r="AP45" s="213"/>
      <c r="AQ45" s="328">
        <f t="shared" si="26"/>
        <v>0</v>
      </c>
    </row>
    <row r="46" spans="2:43" ht="13.15">
      <c r="B46" s="214"/>
      <c r="C46" s="209" t="s">
        <v>452</v>
      </c>
      <c r="D46" s="213"/>
      <c r="E46" s="213"/>
      <c r="F46" s="213"/>
      <c r="G46" s="230"/>
      <c r="H46" s="328"/>
      <c r="I46" s="230"/>
      <c r="J46" s="230"/>
      <c r="K46" s="230"/>
      <c r="L46" s="230"/>
      <c r="M46" s="328"/>
      <c r="N46" s="213"/>
      <c r="O46" s="213"/>
      <c r="P46" s="655"/>
      <c r="Q46" s="213"/>
      <c r="R46" s="328"/>
      <c r="S46" s="213"/>
      <c r="T46" s="213"/>
      <c r="U46" s="213"/>
      <c r="V46" s="213"/>
      <c r="W46" s="328"/>
      <c r="X46" s="213"/>
      <c r="Y46" s="213"/>
      <c r="Z46" s="213"/>
      <c r="AA46" s="213"/>
      <c r="AB46" s="328"/>
      <c r="AC46" s="213">
        <v>-457</v>
      </c>
      <c r="AD46" s="213">
        <f>-457-AC46</f>
        <v>0</v>
      </c>
      <c r="AE46" s="213">
        <v>0</v>
      </c>
      <c r="AF46" s="230">
        <f t="shared" si="24"/>
        <v>1</v>
      </c>
      <c r="AG46" s="328">
        <v>-456</v>
      </c>
      <c r="AH46" s="213">
        <v>-296</v>
      </c>
      <c r="AI46" s="213">
        <f>-296-AH46</f>
        <v>0</v>
      </c>
      <c r="AJ46" s="213">
        <f>-296-AI46-AH46</f>
        <v>0</v>
      </c>
      <c r="AK46" s="230">
        <f t="shared" si="25"/>
        <v>0</v>
      </c>
      <c r="AL46" s="328">
        <v>-296</v>
      </c>
      <c r="AM46" s="213"/>
      <c r="AN46" s="213"/>
      <c r="AO46" s="213"/>
      <c r="AP46" s="213"/>
      <c r="AQ46" s="328">
        <f t="shared" si="26"/>
        <v>0</v>
      </c>
    </row>
    <row r="47" spans="2:43" ht="13.15">
      <c r="B47" s="214"/>
      <c r="C47" s="209" t="s">
        <v>343</v>
      </c>
      <c r="D47" s="213">
        <v>0</v>
      </c>
      <c r="E47" s="213">
        <v>0</v>
      </c>
      <c r="F47" s="213">
        <v>0</v>
      </c>
      <c r="G47" s="230">
        <v>0</v>
      </c>
      <c r="H47" s="328">
        <f t="shared" si="19"/>
        <v>0</v>
      </c>
      <c r="I47" s="230">
        <v>-26</v>
      </c>
      <c r="J47" s="230">
        <v>-26</v>
      </c>
      <c r="K47" s="230">
        <v>-28</v>
      </c>
      <c r="L47" s="230">
        <v>-27</v>
      </c>
      <c r="M47" s="328">
        <f t="shared" si="20"/>
        <v>-107</v>
      </c>
      <c r="N47" s="213">
        <v>-27</v>
      </c>
      <c r="O47" s="213">
        <f>-55-N47</f>
        <v>-28</v>
      </c>
      <c r="P47" s="655">
        <f>-83-O47-N47</f>
        <v>-28</v>
      </c>
      <c r="Q47" s="213">
        <f>-112-P47-O47-N47</f>
        <v>-29</v>
      </c>
      <c r="R47" s="328">
        <f t="shared" si="21"/>
        <v>-112</v>
      </c>
      <c r="S47" s="213">
        <v>-29</v>
      </c>
      <c r="T47" s="213">
        <f>+-42-S47</f>
        <v>-13</v>
      </c>
      <c r="U47" s="213">
        <f>-40-T47-S47</f>
        <v>2</v>
      </c>
      <c r="V47" s="213">
        <f>+-42-U47-T47-S47</f>
        <v>-2</v>
      </c>
      <c r="W47" s="328">
        <f t="shared" si="22"/>
        <v>-42</v>
      </c>
      <c r="X47" s="213">
        <v>-10</v>
      </c>
      <c r="Y47" s="213">
        <f>+-20-X47</f>
        <v>-10</v>
      </c>
      <c r="Z47" s="213">
        <f>+-29-Y47-X47</f>
        <v>-9</v>
      </c>
      <c r="AA47" s="213">
        <f>+-40-Z47-Y47-X47</f>
        <v>-11</v>
      </c>
      <c r="AB47" s="328">
        <f t="shared" si="23"/>
        <v>-40</v>
      </c>
      <c r="AC47" s="213">
        <v>-10</v>
      </c>
      <c r="AD47" s="213">
        <f>-20-AC47</f>
        <v>-10</v>
      </c>
      <c r="AE47" s="213">
        <v>-10</v>
      </c>
      <c r="AF47" s="230">
        <f t="shared" si="24"/>
        <v>-11</v>
      </c>
      <c r="AG47" s="328">
        <v>-41</v>
      </c>
      <c r="AH47" s="213">
        <v>-10</v>
      </c>
      <c r="AI47" s="213">
        <f>-21-AH47</f>
        <v>-11</v>
      </c>
      <c r="AJ47" s="213">
        <f>-32-AI47-AH47</f>
        <v>-11</v>
      </c>
      <c r="AK47" s="230">
        <f t="shared" si="25"/>
        <v>-10</v>
      </c>
      <c r="AL47" s="328">
        <v>-42</v>
      </c>
      <c r="AM47" s="213"/>
      <c r="AN47" s="213"/>
      <c r="AO47" s="213"/>
      <c r="AP47" s="213"/>
      <c r="AQ47" s="328">
        <f t="shared" si="26"/>
        <v>0</v>
      </c>
    </row>
    <row r="48" spans="2:43" ht="13.15">
      <c r="B48" s="214"/>
      <c r="C48" s="209" t="s">
        <v>503</v>
      </c>
      <c r="D48" s="213">
        <v>0</v>
      </c>
      <c r="E48" s="213">
        <v>0</v>
      </c>
      <c r="F48" s="213">
        <v>0</v>
      </c>
      <c r="G48" s="230">
        <v>0</v>
      </c>
      <c r="H48" s="328">
        <f t="shared" si="19"/>
        <v>0</v>
      </c>
      <c r="I48" s="230">
        <v>0</v>
      </c>
      <c r="J48" s="230">
        <v>0</v>
      </c>
      <c r="K48" s="230">
        <v>0</v>
      </c>
      <c r="L48" s="230">
        <v>0</v>
      </c>
      <c r="M48" s="328">
        <f t="shared" si="20"/>
        <v>0</v>
      </c>
      <c r="N48" s="213">
        <v>0</v>
      </c>
      <c r="O48" s="213">
        <v>-594</v>
      </c>
      <c r="P48" s="655">
        <f>219819-O48-N48</f>
        <v>220413</v>
      </c>
      <c r="Q48" s="213">
        <f>219811-P48-O48-N48</f>
        <v>-8</v>
      </c>
      <c r="R48" s="328">
        <f t="shared" si="21"/>
        <v>219811</v>
      </c>
      <c r="S48" s="213">
        <v>-284</v>
      </c>
      <c r="T48" s="213">
        <f>+-284-S48</f>
        <v>0</v>
      </c>
      <c r="U48" s="776">
        <f>-284-T48-S48</f>
        <v>0</v>
      </c>
      <c r="V48" s="213">
        <f>-284-U48-T48-S48</f>
        <v>0</v>
      </c>
      <c r="W48" s="328">
        <f t="shared" si="22"/>
        <v>-284</v>
      </c>
      <c r="X48" s="213"/>
      <c r="Y48" s="213">
        <f>0-X48</f>
        <v>0</v>
      </c>
      <c r="Z48" s="213"/>
      <c r="AA48" s="213"/>
      <c r="AB48" s="328">
        <f t="shared" si="23"/>
        <v>0</v>
      </c>
      <c r="AC48" s="213"/>
      <c r="AD48" s="213">
        <f>0-AC48</f>
        <v>0</v>
      </c>
      <c r="AE48" s="213"/>
      <c r="AF48" s="230">
        <f t="shared" si="24"/>
        <v>0</v>
      </c>
      <c r="AG48" s="328">
        <v>0</v>
      </c>
      <c r="AH48" s="213"/>
      <c r="AI48" s="213"/>
      <c r="AJ48" s="213"/>
      <c r="AK48" s="230">
        <f t="shared" si="25"/>
        <v>0</v>
      </c>
      <c r="AL48" s="328"/>
      <c r="AM48" s="213"/>
      <c r="AN48" s="213"/>
      <c r="AO48" s="213"/>
      <c r="AP48" s="213"/>
      <c r="AQ48" s="328">
        <f t="shared" si="26"/>
        <v>0</v>
      </c>
    </row>
    <row r="49" spans="2:43" s="174" customFormat="1" ht="13.15">
      <c r="B49" s="193" t="s">
        <v>167</v>
      </c>
      <c r="C49" s="211"/>
      <c r="D49" s="257">
        <f t="shared" ref="D49:AQ49" si="27">SUM(D40:D48)</f>
        <v>44009</v>
      </c>
      <c r="E49" s="257">
        <f t="shared" si="27"/>
        <v>21</v>
      </c>
      <c r="F49" s="257">
        <f t="shared" si="27"/>
        <v>51</v>
      </c>
      <c r="G49" s="257">
        <f t="shared" si="27"/>
        <v>23</v>
      </c>
      <c r="H49" s="348">
        <f t="shared" si="27"/>
        <v>44104</v>
      </c>
      <c r="I49" s="257">
        <f t="shared" si="27"/>
        <v>16951</v>
      </c>
      <c r="J49" s="257">
        <f t="shared" si="27"/>
        <v>-45</v>
      </c>
      <c r="K49" s="257">
        <f t="shared" si="27"/>
        <v>57144</v>
      </c>
      <c r="L49" s="257">
        <f t="shared" si="27"/>
        <v>-14089</v>
      </c>
      <c r="M49" s="342">
        <f t="shared" si="27"/>
        <v>59961</v>
      </c>
      <c r="N49" s="257">
        <f t="shared" si="27"/>
        <v>145</v>
      </c>
      <c r="O49" s="257">
        <f t="shared" si="27"/>
        <v>-66</v>
      </c>
      <c r="P49" s="656">
        <f t="shared" si="27"/>
        <v>220959</v>
      </c>
      <c r="Q49" s="257">
        <f t="shared" si="27"/>
        <v>619</v>
      </c>
      <c r="R49" s="342">
        <f t="shared" si="27"/>
        <v>221657</v>
      </c>
      <c r="S49" s="257">
        <f t="shared" si="27"/>
        <v>424</v>
      </c>
      <c r="T49" s="257">
        <f t="shared" si="27"/>
        <v>1642</v>
      </c>
      <c r="U49" s="257">
        <f t="shared" si="27"/>
        <v>1269</v>
      </c>
      <c r="V49" s="257">
        <f t="shared" si="27"/>
        <v>134</v>
      </c>
      <c r="W49" s="450">
        <f t="shared" si="27"/>
        <v>3469</v>
      </c>
      <c r="X49" s="257">
        <f t="shared" si="27"/>
        <v>1167</v>
      </c>
      <c r="Y49" s="257">
        <f t="shared" si="27"/>
        <v>-10</v>
      </c>
      <c r="Z49" s="257">
        <f t="shared" si="27"/>
        <v>723</v>
      </c>
      <c r="AA49" s="257">
        <f t="shared" si="27"/>
        <v>-7</v>
      </c>
      <c r="AB49" s="342">
        <f t="shared" si="27"/>
        <v>1873</v>
      </c>
      <c r="AC49" s="257">
        <f t="shared" si="27"/>
        <v>-2854</v>
      </c>
      <c r="AD49" s="257">
        <f t="shared" si="27"/>
        <v>-17368</v>
      </c>
      <c r="AE49" s="257">
        <f t="shared" si="27"/>
        <v>214</v>
      </c>
      <c r="AF49" s="257">
        <f t="shared" si="27"/>
        <v>12</v>
      </c>
      <c r="AG49" s="342">
        <f t="shared" si="27"/>
        <v>-19996</v>
      </c>
      <c r="AH49" s="257">
        <f t="shared" si="27"/>
        <v>-84</v>
      </c>
      <c r="AI49" s="257">
        <f t="shared" si="27"/>
        <v>-8</v>
      </c>
      <c r="AJ49" s="257">
        <f t="shared" si="27"/>
        <v>151</v>
      </c>
      <c r="AK49" s="257">
        <f t="shared" ref="AK49" si="28">SUM(AK40:AK48)</f>
        <v>-43</v>
      </c>
      <c r="AL49" s="342">
        <f t="shared" ref="AL49" si="29">SUM(AL40:AL48)</f>
        <v>16</v>
      </c>
      <c r="AM49" s="257">
        <f t="shared" si="27"/>
        <v>0</v>
      </c>
      <c r="AN49" s="257">
        <f t="shared" si="27"/>
        <v>0</v>
      </c>
      <c r="AO49" s="257">
        <f t="shared" si="27"/>
        <v>0</v>
      </c>
      <c r="AP49" s="257">
        <f t="shared" si="27"/>
        <v>0</v>
      </c>
      <c r="AQ49" s="810">
        <f t="shared" si="27"/>
        <v>0</v>
      </c>
    </row>
    <row r="50" spans="2:43" ht="13.15" thickBot="1">
      <c r="B50" s="166"/>
      <c r="C50" s="208"/>
      <c r="D50" s="451"/>
      <c r="E50" s="452"/>
      <c r="F50" s="452"/>
      <c r="G50" s="453"/>
      <c r="H50" s="210"/>
      <c r="I50" s="213"/>
      <c r="J50" s="213"/>
      <c r="K50" s="213"/>
      <c r="L50" s="213"/>
      <c r="M50" s="198"/>
      <c r="N50" s="213"/>
      <c r="O50" s="213"/>
      <c r="P50" s="213"/>
      <c r="Q50" s="213"/>
      <c r="R50" s="210"/>
      <c r="S50" s="213"/>
      <c r="T50" s="213"/>
      <c r="U50" s="213"/>
      <c r="V50" s="213"/>
      <c r="W50" s="210"/>
      <c r="X50" s="213"/>
      <c r="Y50" s="213"/>
      <c r="Z50" s="213"/>
      <c r="AA50" s="213"/>
      <c r="AB50" s="210"/>
      <c r="AC50" s="213"/>
      <c r="AD50" s="213"/>
      <c r="AE50" s="213"/>
      <c r="AF50" s="213"/>
      <c r="AG50" s="210"/>
      <c r="AH50" s="213"/>
      <c r="AI50" s="213"/>
      <c r="AJ50" s="213"/>
      <c r="AK50" s="213"/>
      <c r="AL50" s="210"/>
      <c r="AM50" s="213"/>
      <c r="AN50" s="213"/>
      <c r="AO50" s="213"/>
      <c r="AP50" s="213"/>
      <c r="AQ50" s="210"/>
    </row>
    <row r="51" spans="2:43" ht="13.15" thickBot="1">
      <c r="B51" s="189" t="s">
        <v>11</v>
      </c>
      <c r="C51" s="287"/>
      <c r="D51" s="244">
        <f t="shared" ref="D51:AQ51" si="30">D25+D34+D49</f>
        <v>34041</v>
      </c>
      <c r="E51" s="244">
        <f t="shared" si="30"/>
        <v>-3480</v>
      </c>
      <c r="F51" s="244">
        <f t="shared" si="30"/>
        <v>-6960</v>
      </c>
      <c r="G51" s="244">
        <f t="shared" si="30"/>
        <v>-10121</v>
      </c>
      <c r="H51" s="187">
        <f t="shared" si="30"/>
        <v>13480</v>
      </c>
      <c r="I51" s="244">
        <f t="shared" si="30"/>
        <v>6174</v>
      </c>
      <c r="J51" s="244">
        <f t="shared" si="30"/>
        <v>-5376</v>
      </c>
      <c r="K51" s="244">
        <f t="shared" si="30"/>
        <v>54166</v>
      </c>
      <c r="L51" s="244">
        <f t="shared" si="30"/>
        <v>-19619</v>
      </c>
      <c r="M51" s="187">
        <f t="shared" si="30"/>
        <v>35345</v>
      </c>
      <c r="N51" s="244">
        <f t="shared" si="30"/>
        <v>-4937</v>
      </c>
      <c r="O51" s="244">
        <f t="shared" si="30"/>
        <v>-6606</v>
      </c>
      <c r="P51" s="244">
        <f t="shared" si="30"/>
        <v>211452</v>
      </c>
      <c r="Q51" s="244">
        <f t="shared" si="30"/>
        <v>-3001</v>
      </c>
      <c r="R51" s="187">
        <f t="shared" si="30"/>
        <v>196908</v>
      </c>
      <c r="S51" s="244">
        <f t="shared" si="30"/>
        <v>-16901</v>
      </c>
      <c r="T51" s="188">
        <f t="shared" si="30"/>
        <v>-10389</v>
      </c>
      <c r="U51" s="188">
        <f t="shared" si="30"/>
        <v>-15065</v>
      </c>
      <c r="V51" s="188">
        <f t="shared" si="30"/>
        <v>-9878</v>
      </c>
      <c r="W51" s="187">
        <f t="shared" si="30"/>
        <v>-52233</v>
      </c>
      <c r="X51" s="188">
        <f t="shared" si="30"/>
        <v>-15609</v>
      </c>
      <c r="Y51" s="188">
        <f t="shared" si="30"/>
        <v>-8716</v>
      </c>
      <c r="Z51" s="188">
        <f t="shared" si="30"/>
        <v>-21267</v>
      </c>
      <c r="AA51" s="188">
        <f t="shared" si="30"/>
        <v>1899</v>
      </c>
      <c r="AB51" s="187">
        <f t="shared" si="30"/>
        <v>-43693</v>
      </c>
      <c r="AC51" s="188">
        <f t="shared" si="30"/>
        <v>-10872</v>
      </c>
      <c r="AD51" s="188">
        <f t="shared" si="30"/>
        <v>-18674</v>
      </c>
      <c r="AE51" s="188">
        <f t="shared" si="30"/>
        <v>-53456</v>
      </c>
      <c r="AF51" s="188">
        <f t="shared" si="30"/>
        <v>-23778</v>
      </c>
      <c r="AG51" s="187">
        <f t="shared" si="30"/>
        <v>-106780</v>
      </c>
      <c r="AH51" s="188">
        <f t="shared" si="30"/>
        <v>-18238</v>
      </c>
      <c r="AI51" s="188">
        <f t="shared" si="30"/>
        <v>-12861</v>
      </c>
      <c r="AJ51" s="188">
        <f t="shared" si="30"/>
        <v>7132</v>
      </c>
      <c r="AK51" s="188">
        <f t="shared" ref="AK51:AL51" si="31">AK25+AK34+AK49</f>
        <v>-9149</v>
      </c>
      <c r="AL51" s="187">
        <f t="shared" si="31"/>
        <v>-33116</v>
      </c>
      <c r="AM51" s="188">
        <f t="shared" si="30"/>
        <v>-13810.405287999996</v>
      </c>
      <c r="AN51" s="188">
        <f t="shared" si="30"/>
        <v>-1133.2412950000003</v>
      </c>
      <c r="AO51" s="188">
        <f t="shared" si="30"/>
        <v>-2294.663436875001</v>
      </c>
      <c r="AP51" s="188">
        <f t="shared" si="30"/>
        <v>348.24800868562579</v>
      </c>
      <c r="AQ51" s="187">
        <f t="shared" si="30"/>
        <v>-16890.062011189373</v>
      </c>
    </row>
    <row r="52" spans="2:43">
      <c r="B52" s="297"/>
      <c r="C52" s="296"/>
      <c r="D52" s="22"/>
      <c r="E52" s="22"/>
      <c r="F52" s="22"/>
      <c r="G52" s="22"/>
      <c r="H52" s="203"/>
      <c r="I52" s="219"/>
      <c r="J52" s="219"/>
      <c r="K52" s="219"/>
      <c r="L52" s="219"/>
      <c r="M52" s="203"/>
      <c r="N52" s="22"/>
      <c r="O52" s="22"/>
      <c r="P52" s="219"/>
      <c r="Q52" s="22"/>
      <c r="R52" s="203"/>
      <c r="S52" s="22"/>
      <c r="T52" s="219"/>
      <c r="U52" s="219"/>
      <c r="V52" s="22"/>
      <c r="W52" s="203"/>
      <c r="X52" s="22"/>
      <c r="Y52" s="22"/>
      <c r="Z52" s="22"/>
      <c r="AA52" s="22"/>
      <c r="AB52" s="203"/>
      <c r="AC52" s="22"/>
      <c r="AD52" s="22"/>
      <c r="AE52" s="22"/>
      <c r="AF52" s="22"/>
      <c r="AG52" s="203"/>
      <c r="AH52" s="22"/>
      <c r="AI52" s="22"/>
      <c r="AJ52" s="22"/>
      <c r="AK52" s="22"/>
      <c r="AL52" s="203"/>
      <c r="AM52" s="22"/>
      <c r="AN52" s="22"/>
      <c r="AO52" s="22"/>
      <c r="AP52" s="22"/>
      <c r="AQ52" s="203"/>
    </row>
    <row r="53" spans="2:43">
      <c r="B53" s="170" t="s">
        <v>166</v>
      </c>
      <c r="C53" s="209"/>
      <c r="D53" s="230">
        <v>9744</v>
      </c>
      <c r="E53" s="219">
        <f>D54</f>
        <v>43785</v>
      </c>
      <c r="F53" s="219">
        <f>E54</f>
        <v>40305</v>
      </c>
      <c r="G53" s="219">
        <f>F54</f>
        <v>33345</v>
      </c>
      <c r="H53" s="155">
        <v>9744</v>
      </c>
      <c r="I53" s="230">
        <f>H54</f>
        <v>23224</v>
      </c>
      <c r="J53" s="219">
        <f>I54</f>
        <v>29398</v>
      </c>
      <c r="K53" s="219">
        <f>J54</f>
        <v>24022</v>
      </c>
      <c r="L53" s="219">
        <f>K54</f>
        <v>78188</v>
      </c>
      <c r="M53" s="155">
        <f>H54</f>
        <v>23224</v>
      </c>
      <c r="N53" s="230">
        <f>L54</f>
        <v>58569</v>
      </c>
      <c r="O53" s="230">
        <f>N54</f>
        <v>53632</v>
      </c>
      <c r="P53" s="219">
        <f>O54</f>
        <v>47026</v>
      </c>
      <c r="Q53" s="219">
        <f>P54</f>
        <v>258478</v>
      </c>
      <c r="R53" s="155">
        <f>M54</f>
        <v>58569</v>
      </c>
      <c r="S53" s="219">
        <v>255477</v>
      </c>
      <c r="T53" s="219">
        <f>S54</f>
        <v>238576</v>
      </c>
      <c r="U53" s="219">
        <f>T54</f>
        <v>228187</v>
      </c>
      <c r="V53" s="219">
        <f>U54</f>
        <v>213122</v>
      </c>
      <c r="W53" s="155">
        <f>R54</f>
        <v>255477</v>
      </c>
      <c r="X53" s="230">
        <f>V54</f>
        <v>203244</v>
      </c>
      <c r="Y53" s="219">
        <f>X54</f>
        <v>187635</v>
      </c>
      <c r="Z53" s="219">
        <f>Y54</f>
        <v>178919</v>
      </c>
      <c r="AA53" s="219">
        <f>Z54</f>
        <v>157652</v>
      </c>
      <c r="AB53" s="155">
        <f>W54</f>
        <v>203244</v>
      </c>
      <c r="AC53" s="230">
        <f>AA54</f>
        <v>159551</v>
      </c>
      <c r="AD53" s="219">
        <f>AC54</f>
        <v>148679</v>
      </c>
      <c r="AE53" s="219">
        <f>AD54</f>
        <v>130005</v>
      </c>
      <c r="AF53" s="219">
        <f>AE54</f>
        <v>76549</v>
      </c>
      <c r="AG53" s="155">
        <f>AB54</f>
        <v>159551</v>
      </c>
      <c r="AH53" s="230">
        <f>AF54</f>
        <v>52771</v>
      </c>
      <c r="AI53" s="219">
        <f>AH54</f>
        <v>34533</v>
      </c>
      <c r="AJ53" s="219">
        <f>AI54</f>
        <v>21672</v>
      </c>
      <c r="AK53" s="219">
        <f>AJ54</f>
        <v>28804</v>
      </c>
      <c r="AL53" s="155">
        <f>AG54</f>
        <v>52771</v>
      </c>
      <c r="AM53" s="230">
        <f>AK54</f>
        <v>19655</v>
      </c>
      <c r="AN53" s="219">
        <f>AM54</f>
        <v>5844.5947120000037</v>
      </c>
      <c r="AO53" s="219">
        <f>AN54</f>
        <v>4711.3534170000039</v>
      </c>
      <c r="AP53" s="219">
        <f>AO54</f>
        <v>2416.6899801250029</v>
      </c>
      <c r="AQ53" s="155">
        <f>AL54</f>
        <v>19655</v>
      </c>
    </row>
    <row r="54" spans="2:43" ht="13.15" thickBot="1">
      <c r="B54" s="166" t="s">
        <v>165</v>
      </c>
      <c r="C54" s="208"/>
      <c r="D54" s="207">
        <f>D53+D51</f>
        <v>43785</v>
      </c>
      <c r="E54" s="207">
        <f>E53+E51</f>
        <v>40305</v>
      </c>
      <c r="F54" s="207">
        <f t="shared" ref="F54:AB54" si="32">F51+F53</f>
        <v>33345</v>
      </c>
      <c r="G54" s="207">
        <f t="shared" si="32"/>
        <v>23224</v>
      </c>
      <c r="H54" s="198">
        <f t="shared" si="32"/>
        <v>23224</v>
      </c>
      <c r="I54" s="207">
        <f t="shared" si="32"/>
        <v>29398</v>
      </c>
      <c r="J54" s="207">
        <f t="shared" si="32"/>
        <v>24022</v>
      </c>
      <c r="K54" s="207">
        <f t="shared" si="32"/>
        <v>78188</v>
      </c>
      <c r="L54" s="207">
        <f t="shared" si="32"/>
        <v>58569</v>
      </c>
      <c r="M54" s="198">
        <f t="shared" si="32"/>
        <v>58569</v>
      </c>
      <c r="N54" s="207">
        <f t="shared" si="32"/>
        <v>53632</v>
      </c>
      <c r="O54" s="207">
        <f t="shared" si="32"/>
        <v>47026</v>
      </c>
      <c r="P54" s="207">
        <f t="shared" si="32"/>
        <v>258478</v>
      </c>
      <c r="Q54" s="207">
        <f t="shared" si="32"/>
        <v>255477</v>
      </c>
      <c r="R54" s="198">
        <f t="shared" si="32"/>
        <v>255477</v>
      </c>
      <c r="S54" s="207">
        <f t="shared" si="32"/>
        <v>238576</v>
      </c>
      <c r="T54" s="207">
        <f t="shared" si="32"/>
        <v>228187</v>
      </c>
      <c r="U54" s="207">
        <f t="shared" si="32"/>
        <v>213122</v>
      </c>
      <c r="V54" s="207">
        <f t="shared" si="32"/>
        <v>203244</v>
      </c>
      <c r="W54" s="198">
        <f t="shared" si="32"/>
        <v>203244</v>
      </c>
      <c r="X54" s="207">
        <f t="shared" si="32"/>
        <v>187635</v>
      </c>
      <c r="Y54" s="207">
        <f t="shared" si="32"/>
        <v>178919</v>
      </c>
      <c r="Z54" s="207">
        <f t="shared" si="32"/>
        <v>157652</v>
      </c>
      <c r="AA54" s="207">
        <f t="shared" si="32"/>
        <v>159551</v>
      </c>
      <c r="AB54" s="198">
        <f t="shared" si="32"/>
        <v>159551</v>
      </c>
      <c r="AC54" s="207">
        <f t="shared" ref="AC54:AQ54" si="33">AC51+AC53</f>
        <v>148679</v>
      </c>
      <c r="AD54" s="207">
        <f t="shared" si="33"/>
        <v>130005</v>
      </c>
      <c r="AE54" s="207">
        <f t="shared" si="33"/>
        <v>76549</v>
      </c>
      <c r="AF54" s="207">
        <f t="shared" si="33"/>
        <v>52771</v>
      </c>
      <c r="AG54" s="198">
        <f t="shared" si="33"/>
        <v>52771</v>
      </c>
      <c r="AH54" s="207">
        <f t="shared" si="33"/>
        <v>34533</v>
      </c>
      <c r="AI54" s="207">
        <f t="shared" si="33"/>
        <v>21672</v>
      </c>
      <c r="AJ54" s="207">
        <f t="shared" ref="AJ54:AL54" si="34">AJ51+AJ53</f>
        <v>28804</v>
      </c>
      <c r="AK54" s="207">
        <f t="shared" si="34"/>
        <v>19655</v>
      </c>
      <c r="AL54" s="198">
        <f t="shared" si="34"/>
        <v>19655</v>
      </c>
      <c r="AM54" s="207">
        <f t="shared" si="33"/>
        <v>5844.5947120000037</v>
      </c>
      <c r="AN54" s="207">
        <f t="shared" si="33"/>
        <v>4711.3534170000039</v>
      </c>
      <c r="AO54" s="207">
        <f t="shared" si="33"/>
        <v>2416.6899801250029</v>
      </c>
      <c r="AP54" s="207">
        <f t="shared" si="33"/>
        <v>2764.9379888106287</v>
      </c>
      <c r="AQ54" s="198">
        <f t="shared" si="33"/>
        <v>2764.9379888106268</v>
      </c>
    </row>
    <row r="55" spans="2:43">
      <c r="B55" s="148" t="s">
        <v>131</v>
      </c>
      <c r="C55" s="152"/>
      <c r="H55" s="153"/>
      <c r="M55" s="199"/>
    </row>
    <row r="56" spans="2:43">
      <c r="B56" s="148" t="s">
        <v>129</v>
      </c>
      <c r="C56" s="152"/>
      <c r="D56" s="446">
        <f>D54-BS!D6</f>
        <v>-1</v>
      </c>
      <c r="E56" s="446">
        <f>E54-BS!E6</f>
        <v>-2</v>
      </c>
      <c r="F56" s="446">
        <f>F54-BS!F6</f>
        <v>-3</v>
      </c>
      <c r="G56" s="446">
        <f>G54-BS!G6</f>
        <v>0</v>
      </c>
      <c r="H56" s="446">
        <f>H54-BS!H6</f>
        <v>0</v>
      </c>
      <c r="I56" s="446">
        <f>I54-BS!I6</f>
        <v>0</v>
      </c>
      <c r="J56" s="446">
        <f>J54-BS!J6</f>
        <v>0</v>
      </c>
      <c r="K56" s="446">
        <f>K54-BS!K6</f>
        <v>0</v>
      </c>
      <c r="L56" s="446">
        <f>L54-BS!L6</f>
        <v>0</v>
      </c>
      <c r="M56" s="446">
        <f>M54-BS!M6</f>
        <v>0</v>
      </c>
      <c r="N56" s="446">
        <f>N54-BS!N6</f>
        <v>0</v>
      </c>
      <c r="O56" s="446">
        <f>O54-BS!O6</f>
        <v>0</v>
      </c>
      <c r="P56" s="446">
        <f>P54-BS!P6</f>
        <v>0</v>
      </c>
      <c r="Q56" s="446">
        <f>Q54-BS!Q6</f>
        <v>0</v>
      </c>
      <c r="R56" s="446">
        <f>R54-BS!R6</f>
        <v>0</v>
      </c>
      <c r="S56" s="446">
        <f>S54-BS!S6</f>
        <v>0</v>
      </c>
      <c r="T56" s="446">
        <f>T54-BS!T6</f>
        <v>0</v>
      </c>
      <c r="U56" s="446">
        <f>U54-BS!U6</f>
        <v>0</v>
      </c>
      <c r="V56" s="446">
        <f>V54-BS!V6</f>
        <v>0</v>
      </c>
      <c r="W56" s="446">
        <f>W54-BS!W6</f>
        <v>0</v>
      </c>
      <c r="X56" s="446">
        <f>X54-BS!X6</f>
        <v>0</v>
      </c>
      <c r="Y56" s="446">
        <f>Y54-BS!Y6</f>
        <v>0</v>
      </c>
      <c r="Z56" s="446">
        <f>Z54-BS!Z6</f>
        <v>0</v>
      </c>
      <c r="AA56" s="446">
        <f>AA54-BS!AA6</f>
        <v>0</v>
      </c>
      <c r="AB56" s="446">
        <f>AB54-BS!AB6</f>
        <v>0</v>
      </c>
      <c r="AC56" s="446">
        <f>AC54-BS!AC6</f>
        <v>0</v>
      </c>
      <c r="AD56" s="446">
        <f>AD54-BS!AD6</f>
        <v>0</v>
      </c>
      <c r="AE56" s="446">
        <f>AE54-BS!AE6</f>
        <v>-50245</v>
      </c>
      <c r="AF56" s="446">
        <f>AF54-BS!AF6</f>
        <v>-76356</v>
      </c>
      <c r="AG56" s="446">
        <f>AG54-BS!AG6</f>
        <v>-76356</v>
      </c>
      <c r="AH56" s="446">
        <f>AH54-BS!AH6</f>
        <v>-84278</v>
      </c>
      <c r="AI56" s="446">
        <f>AI54-BS!AI6</f>
        <v>-92672</v>
      </c>
      <c r="AJ56" s="446">
        <f>AJ54-BS!AJ6</f>
        <v>-84682</v>
      </c>
      <c r="AK56" s="446">
        <f>AK54-BS!AK6</f>
        <v>-94942</v>
      </c>
      <c r="AL56" s="446">
        <f>AL54-BS!AL6</f>
        <v>-94942</v>
      </c>
      <c r="AM56" s="446">
        <f>AM54-BS!AM6</f>
        <v>-94942</v>
      </c>
      <c r="AN56" s="446">
        <f>AN54-BS!AN6</f>
        <v>-94942</v>
      </c>
      <c r="AO56" s="446">
        <f>AO54-BS!AO6</f>
        <v>-94942.000000000015</v>
      </c>
      <c r="AP56" s="446">
        <f>AP54-BS!AP6</f>
        <v>-94942</v>
      </c>
      <c r="AQ56" s="446">
        <f>AQ54-BS!AQ6</f>
        <v>-94942</v>
      </c>
    </row>
    <row r="57" spans="2:43" s="206" customFormat="1"/>
    <row r="58" spans="2:43">
      <c r="B58" s="22" t="s">
        <v>305</v>
      </c>
      <c r="C58" s="205"/>
      <c r="D58" s="230">
        <f>IS!D143</f>
        <v>120</v>
      </c>
      <c r="E58" s="230">
        <f>IS!E143</f>
        <v>176</v>
      </c>
      <c r="F58" s="230">
        <f>IS!F143</f>
        <v>247</v>
      </c>
      <c r="G58" s="230">
        <f>IS!G143</f>
        <v>260</v>
      </c>
      <c r="H58" s="230"/>
      <c r="I58" s="230">
        <f>IS!I143</f>
        <v>378</v>
      </c>
      <c r="J58" s="230">
        <f>IS!J143</f>
        <v>421</v>
      </c>
      <c r="K58" s="230">
        <f>IS!K143</f>
        <v>415</v>
      </c>
      <c r="L58" s="230">
        <f>IS!L143</f>
        <v>410</v>
      </c>
      <c r="M58" s="230"/>
      <c r="N58" s="230">
        <f>IS!N143</f>
        <v>424</v>
      </c>
      <c r="O58" s="230">
        <f>IS!O143</f>
        <v>0</v>
      </c>
      <c r="P58" s="230">
        <f>IS!P143</f>
        <v>0</v>
      </c>
      <c r="Q58" s="230">
        <f>Q59*BS!P11</f>
        <v>415.548</v>
      </c>
      <c r="R58" s="230"/>
      <c r="S58" s="230">
        <f>S59*BS!R11</f>
        <v>455</v>
      </c>
      <c r="T58" s="230">
        <f>T59*BS!S11</f>
        <v>700</v>
      </c>
      <c r="U58" s="230">
        <f>U59*BS!T11</f>
        <v>924.00000000000011</v>
      </c>
      <c r="V58" s="230">
        <f>V59*BS!U11</f>
        <v>895</v>
      </c>
      <c r="W58" s="230"/>
      <c r="X58" s="230">
        <f>X59*BS!W11</f>
        <v>952.00000000000011</v>
      </c>
      <c r="Y58" s="230">
        <f>Y59*BS!X11</f>
        <v>1005</v>
      </c>
      <c r="Z58" s="230">
        <f>Z59*BS!Y11</f>
        <v>1054</v>
      </c>
      <c r="AA58" s="230">
        <f>AA59*BS!Z11</f>
        <v>1148</v>
      </c>
      <c r="AB58" s="230"/>
      <c r="AC58" s="230">
        <f>AC59*BS!AB11</f>
        <v>1075</v>
      </c>
      <c r="AD58" s="230">
        <f>AD59*BS!AC11</f>
        <v>1028</v>
      </c>
      <c r="AE58" s="230">
        <f>AE59*BS!AD11</f>
        <v>989</v>
      </c>
      <c r="AF58" s="230">
        <f>AF59*BS!AE11</f>
        <v>834</v>
      </c>
      <c r="AG58" s="230"/>
      <c r="AH58" s="230">
        <f>AH59*BS!AG11</f>
        <v>927</v>
      </c>
      <c r="AI58" s="230">
        <f>AI59*BS!AH11</f>
        <v>902</v>
      </c>
      <c r="AJ58" s="230">
        <f>AJ59*BS!AI11</f>
        <v>902</v>
      </c>
      <c r="AK58" s="230">
        <f>AK59*BS!AJ11</f>
        <v>927</v>
      </c>
      <c r="AL58" s="230"/>
      <c r="AM58" s="230">
        <f>AM59*BS!AL11</f>
        <v>872.04500000000007</v>
      </c>
      <c r="AN58" s="230">
        <f>AN59*BS!AM11</f>
        <v>869.50982499999998</v>
      </c>
      <c r="AO58" s="230">
        <f>AO59*BS!AN11</f>
        <v>878.76619512499997</v>
      </c>
      <c r="AP58" s="230">
        <f>AP59*BS!AO11</f>
        <v>886.95808268562507</v>
      </c>
      <c r="AQ58" s="230"/>
    </row>
    <row r="59" spans="2:43" s="442" customFormat="1" ht="11.65">
      <c r="C59" s="442" t="s">
        <v>266</v>
      </c>
      <c r="D59" s="443" t="e">
        <f>D58/BS!C11</f>
        <v>#VALUE!</v>
      </c>
      <c r="E59" s="443">
        <f>E58/BS!D11</f>
        <v>0.13643410852713178</v>
      </c>
      <c r="F59" s="443">
        <f>F58/BS!E11</f>
        <v>0.11728395061728394</v>
      </c>
      <c r="G59" s="443">
        <f>G58/BS!F11</f>
        <v>9.5588235294117641E-2</v>
      </c>
      <c r="H59" s="443"/>
      <c r="I59" s="443">
        <f>I58/BS!H11</f>
        <v>0.10532181666202285</v>
      </c>
      <c r="J59" s="443">
        <f>J58/BS!I11</f>
        <v>0.10858911529533144</v>
      </c>
      <c r="K59" s="443">
        <f>K58/BS!J11</f>
        <v>0.10964332892998679</v>
      </c>
      <c r="L59" s="443">
        <f>L58/BS!K11</f>
        <v>0.10895562051554611</v>
      </c>
      <c r="M59" s="443"/>
      <c r="N59" s="443">
        <f>N58/BS!M11</f>
        <v>0.10947585850761683</v>
      </c>
      <c r="O59" s="443">
        <f>O58/BS!N11</f>
        <v>0</v>
      </c>
      <c r="P59" s="443">
        <f>P58/BS!O11</f>
        <v>0</v>
      </c>
      <c r="Q59" s="444">
        <v>8.4000000000000005E-2</v>
      </c>
      <c r="R59" s="443"/>
      <c r="S59" s="443">
        <f>+S10/BS!R11</f>
        <v>8.528584817244611E-2</v>
      </c>
      <c r="T59" s="443">
        <f>+T10/BS!S11</f>
        <v>0.11969904240766074</v>
      </c>
      <c r="U59" s="443">
        <f>+U10/BS!T11</f>
        <v>0.1278185087840642</v>
      </c>
      <c r="V59" s="443">
        <f>+V10/BS!U11</f>
        <v>0.11947670537978908</v>
      </c>
      <c r="W59" s="443"/>
      <c r="X59" s="443">
        <f>+X10/BS!W11</f>
        <v>0.126814972692154</v>
      </c>
      <c r="Y59" s="443">
        <f>+Y10/BS!X11</f>
        <v>0.12892880051314945</v>
      </c>
      <c r="Z59" s="443">
        <f>+Z10/BS!Y11</f>
        <v>0.12201898587636027</v>
      </c>
      <c r="AA59" s="443">
        <f>+AA10/BS!Z11</f>
        <v>0.12502722718362014</v>
      </c>
      <c r="AB59" s="443"/>
      <c r="AC59" s="443">
        <f>+AC10/BS!AB11</f>
        <v>0.11124909448411466</v>
      </c>
      <c r="AD59" s="443">
        <f>+AD10/BS!AC11</f>
        <v>0.10800588358898928</v>
      </c>
      <c r="AE59" s="443">
        <f>+AE10/BS!AD11</f>
        <v>0.10712738301559792</v>
      </c>
      <c r="AF59" s="443">
        <f>+AF10/BS!AE11</f>
        <v>9.026950968719559E-2</v>
      </c>
      <c r="AG59" s="443"/>
      <c r="AH59" s="443">
        <f>+AH10/BS!AG11</f>
        <v>0.11766945925361767</v>
      </c>
      <c r="AI59" s="443">
        <f>+AI10/BS!AH11</f>
        <v>0.11966038737065535</v>
      </c>
      <c r="AJ59" s="443">
        <f>+AJ10/BS!AI11</f>
        <v>0.11767775603392042</v>
      </c>
      <c r="AK59" s="443">
        <f>+AK10/BS!AJ11</f>
        <v>0.11544209215442092</v>
      </c>
      <c r="AL59" s="443"/>
      <c r="AM59" s="444">
        <v>0.115</v>
      </c>
      <c r="AN59" s="444">
        <v>0.115</v>
      </c>
      <c r="AO59" s="444">
        <v>0.115</v>
      </c>
      <c r="AP59" s="444">
        <v>0.115</v>
      </c>
      <c r="AQ59" s="443"/>
    </row>
  </sheetData>
  <pageMargins left="0.17" right="0.17" top="0.75" bottom="0.75" header="0.3" footer="0.3"/>
  <pageSetup scale="78"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86A8C-571C-4D6E-B790-B56363EC9E6E}">
  <sheetPr>
    <pageSetUpPr fitToPage="1"/>
  </sheetPr>
  <dimension ref="A1:XFD82"/>
  <sheetViews>
    <sheetView zoomScaleNormal="100" workbookViewId="0">
      <pane xSplit="3" ySplit="4" topLeftCell="AK5" activePane="bottomRight" state="frozen"/>
      <selection pane="topRight" activeCell="D1" sqref="D1"/>
      <selection pane="bottomLeft" activeCell="A5" sqref="A5"/>
      <selection pane="bottomRight" activeCell="AQ25" sqref="AQ25"/>
    </sheetView>
  </sheetViews>
  <sheetFormatPr defaultColWidth="9" defaultRowHeight="12.75" outlineLevelRow="1" outlineLevelCol="1"/>
  <cols>
    <col min="1" max="2" width="1.625" style="558" customWidth="1"/>
    <col min="3" max="3" width="28.75" style="558" customWidth="1"/>
    <col min="4" max="5" width="9.5" style="558" customWidth="1" outlineLevel="1"/>
    <col min="6" max="7" width="8.125" style="558" customWidth="1" outlineLevel="1"/>
    <col min="8" max="8" width="7.625" style="558" customWidth="1"/>
    <col min="9" max="12" width="7.625" style="558" customWidth="1" outlineLevel="1"/>
    <col min="13" max="13" width="7.625" style="558" customWidth="1"/>
    <col min="14" max="17" width="7.625" style="558" customWidth="1" outlineLevel="1"/>
    <col min="18" max="18" width="7.875" style="558" customWidth="1"/>
    <col min="19" max="22" width="7.625" style="558" customWidth="1" outlineLevel="1"/>
    <col min="23" max="23" width="7.875" style="558" bestFit="1" customWidth="1"/>
    <col min="24" max="25" width="7.625" style="558" customWidth="1" outlineLevel="1"/>
    <col min="26" max="27" width="8.375" style="558" customWidth="1" outlineLevel="1"/>
    <col min="28" max="28" width="8.375" style="558" customWidth="1"/>
    <col min="29" max="32" width="8.375" style="558" customWidth="1" outlineLevel="1"/>
    <col min="33" max="33" width="8.375" style="558" customWidth="1"/>
    <col min="34" max="37" width="8.375" style="558" customWidth="1" outlineLevel="1"/>
    <col min="38" max="38" width="8.375" style="558" customWidth="1"/>
    <col min="39" max="42" width="8.375" style="558" customWidth="1" outlineLevel="1"/>
    <col min="43" max="43" width="7.875" style="558" bestFit="1" customWidth="1"/>
    <col min="44" max="47" width="8.375" style="558" customWidth="1" outlineLevel="1"/>
    <col min="48" max="48" width="7.875" style="558" bestFit="1" customWidth="1"/>
    <col min="49" max="16384" width="9" style="558"/>
  </cols>
  <sheetData>
    <row r="1" spans="1:48" ht="10.5" customHeight="1">
      <c r="D1" s="619"/>
      <c r="E1" s="619"/>
      <c r="F1" s="614"/>
      <c r="G1" s="620"/>
      <c r="I1" s="614"/>
      <c r="J1" s="614"/>
      <c r="K1" s="614"/>
      <c r="L1" s="614"/>
      <c r="M1" s="614"/>
      <c r="N1" s="614"/>
      <c r="O1" s="614"/>
      <c r="P1" s="614"/>
      <c r="Q1" s="614"/>
      <c r="R1" s="614"/>
      <c r="S1" s="614"/>
      <c r="T1" s="614"/>
      <c r="U1" s="614"/>
      <c r="V1" s="614"/>
      <c r="W1" s="614"/>
      <c r="X1" s="614"/>
      <c r="Y1" s="614"/>
      <c r="Z1" s="614"/>
      <c r="AA1" s="614"/>
    </row>
    <row r="2" spans="1:48" ht="15">
      <c r="B2" s="621" t="str">
        <f>Comparison!B2</f>
        <v xml:space="preserve">CS DISCO (LAW) </v>
      </c>
      <c r="C2" s="621"/>
      <c r="D2" s="619"/>
      <c r="E2" s="619"/>
      <c r="F2" s="614"/>
      <c r="G2" s="620"/>
      <c r="L2" s="614"/>
      <c r="M2" s="622"/>
      <c r="N2" s="622"/>
      <c r="O2" s="622"/>
      <c r="P2" s="622"/>
      <c r="Q2" s="623"/>
      <c r="R2" s="622"/>
      <c r="S2" s="622"/>
      <c r="T2" s="622"/>
      <c r="U2" s="622"/>
      <c r="V2" s="623"/>
      <c r="X2" s="622"/>
      <c r="Y2" s="622"/>
      <c r="Z2" s="622"/>
      <c r="AA2" s="623"/>
    </row>
    <row r="3" spans="1:48" ht="5.45" customHeight="1" thickBot="1">
      <c r="D3" s="619"/>
      <c r="E3" s="619"/>
      <c r="F3" s="614"/>
      <c r="G3" s="620"/>
      <c r="L3" s="614"/>
      <c r="M3" s="622"/>
      <c r="N3" s="622"/>
      <c r="O3" s="622"/>
      <c r="P3" s="622"/>
      <c r="Q3" s="623"/>
      <c r="R3" s="622"/>
      <c r="S3" s="622"/>
      <c r="T3" s="622"/>
      <c r="U3" s="622"/>
      <c r="V3" s="623"/>
      <c r="W3" s="622"/>
      <c r="X3" s="622"/>
      <c r="Y3" s="622"/>
      <c r="Z3" s="622"/>
      <c r="AA3" s="623"/>
      <c r="AB3" s="622"/>
      <c r="AC3" s="622"/>
      <c r="AD3" s="622"/>
      <c r="AE3" s="622"/>
      <c r="AF3" s="622"/>
      <c r="AG3" s="622"/>
      <c r="AH3" s="622"/>
      <c r="AI3" s="622"/>
      <c r="AJ3" s="622"/>
      <c r="AK3" s="622"/>
      <c r="AL3" s="622"/>
      <c r="AM3" s="622"/>
      <c r="AN3" s="622"/>
      <c r="AO3" s="622"/>
      <c r="AP3" s="622"/>
      <c r="AQ3" s="622"/>
      <c r="AR3" s="622"/>
      <c r="AS3" s="622"/>
      <c r="AT3" s="622"/>
      <c r="AU3" s="622"/>
      <c r="AV3" s="622"/>
    </row>
    <row r="4" spans="1:48" s="22" customFormat="1" ht="13.5" thickBot="1">
      <c r="A4" s="558"/>
      <c r="B4" s="805" t="s">
        <v>262</v>
      </c>
      <c r="C4" s="805"/>
      <c r="D4" s="806" t="s">
        <v>218</v>
      </c>
      <c r="E4" s="806" t="s">
        <v>219</v>
      </c>
      <c r="F4" s="806" t="s">
        <v>220</v>
      </c>
      <c r="G4" s="806" t="s">
        <v>221</v>
      </c>
      <c r="H4" s="807">
        <v>2017</v>
      </c>
      <c r="I4" s="806" t="s">
        <v>222</v>
      </c>
      <c r="J4" s="806" t="s">
        <v>223</v>
      </c>
      <c r="K4" s="806" t="s">
        <v>224</v>
      </c>
      <c r="L4" s="806" t="s">
        <v>225</v>
      </c>
      <c r="M4" s="807">
        <v>2018</v>
      </c>
      <c r="N4" s="806" t="s">
        <v>231</v>
      </c>
      <c r="O4" s="806" t="s">
        <v>233</v>
      </c>
      <c r="P4" s="806" t="s">
        <v>234</v>
      </c>
      <c r="Q4" s="806" t="s">
        <v>235</v>
      </c>
      <c r="R4" s="807">
        <v>2019</v>
      </c>
      <c r="S4" s="806" t="s">
        <v>241</v>
      </c>
      <c r="T4" s="806" t="s">
        <v>259</v>
      </c>
      <c r="U4" s="806" t="s">
        <v>263</v>
      </c>
      <c r="V4" s="806" t="s">
        <v>265</v>
      </c>
      <c r="W4" s="807">
        <f>IS!M4</f>
        <v>2020</v>
      </c>
      <c r="X4" s="806" t="str">
        <f>IS!N4</f>
        <v>1Q21</v>
      </c>
      <c r="Y4" s="806" t="str">
        <f>IS!O4</f>
        <v>2Q21</v>
      </c>
      <c r="Z4" s="806" t="str">
        <f>IS!P4</f>
        <v>3Q21</v>
      </c>
      <c r="AA4" s="806" t="str">
        <f>IS!Q4</f>
        <v>4Q21</v>
      </c>
      <c r="AB4" s="807">
        <f>IS!R4</f>
        <v>2021</v>
      </c>
      <c r="AC4" s="806" t="str">
        <f>IS!S4</f>
        <v>1Q22</v>
      </c>
      <c r="AD4" s="806" t="str">
        <f>IS!T4</f>
        <v>2Q22</v>
      </c>
      <c r="AE4" s="806" t="str">
        <f>IS!U4</f>
        <v>3Q22</v>
      </c>
      <c r="AF4" s="806" t="str">
        <f>IS!V4</f>
        <v>4Q22</v>
      </c>
      <c r="AG4" s="807">
        <f>IS!W4</f>
        <v>2022</v>
      </c>
      <c r="AH4" s="806" t="str">
        <f>IS!X4</f>
        <v>1Q23</v>
      </c>
      <c r="AI4" s="806" t="str">
        <f>IS!Y4</f>
        <v>2Q23</v>
      </c>
      <c r="AJ4" s="806" t="str">
        <f>IS!Z4</f>
        <v>3Q23</v>
      </c>
      <c r="AK4" s="806" t="str">
        <f>IS!AA4</f>
        <v>4Q23</v>
      </c>
      <c r="AL4" s="807">
        <f>IS!AB4</f>
        <v>2023</v>
      </c>
      <c r="AM4" s="806" t="str">
        <f>IS!AC4</f>
        <v>1Q24</v>
      </c>
      <c r="AN4" s="806" t="str">
        <f>IS!AD4</f>
        <v>2Q24</v>
      </c>
      <c r="AO4" s="806" t="str">
        <f>IS!AE4</f>
        <v>3Q24</v>
      </c>
      <c r="AP4" s="806" t="str">
        <f>IS!AF4</f>
        <v>4Q24</v>
      </c>
      <c r="AQ4" s="807">
        <f>IS!AG4</f>
        <v>2024</v>
      </c>
      <c r="AR4" s="806" t="str">
        <f>IS!AH4</f>
        <v>1Q25</v>
      </c>
      <c r="AS4" s="806" t="str">
        <f>IS!AI4</f>
        <v>2Q25</v>
      </c>
      <c r="AT4" s="806" t="str">
        <f>IS!AJ4</f>
        <v>3Q25</v>
      </c>
      <c r="AU4" s="806" t="str">
        <f>IS!AK4</f>
        <v>4Q25</v>
      </c>
      <c r="AV4" s="807">
        <f>IS!AL4</f>
        <v>2025</v>
      </c>
    </row>
    <row r="5" spans="1:48" s="617" customFormat="1" ht="15.75" customHeight="1">
      <c r="A5" s="839"/>
      <c r="B5" s="858" t="s">
        <v>384</v>
      </c>
      <c r="C5" s="859"/>
      <c r="D5" s="860"/>
      <c r="E5" s="860"/>
      <c r="F5" s="860"/>
      <c r="G5" s="860"/>
      <c r="H5" s="840"/>
      <c r="I5" s="860"/>
      <c r="J5" s="860"/>
      <c r="K5" s="860"/>
      <c r="L5" s="860"/>
      <c r="M5" s="840"/>
      <c r="N5" s="860">
        <v>480</v>
      </c>
      <c r="O5" s="860">
        <v>509</v>
      </c>
      <c r="P5" s="860">
        <v>530</v>
      </c>
      <c r="Q5" s="860">
        <v>635</v>
      </c>
      <c r="R5" s="840">
        <f>Q5</f>
        <v>635</v>
      </c>
      <c r="S5" s="860">
        <v>713</v>
      </c>
      <c r="T5" s="860">
        <v>762</v>
      </c>
      <c r="U5" s="860">
        <v>792</v>
      </c>
      <c r="V5" s="860">
        <v>825</v>
      </c>
      <c r="W5" s="840">
        <f>V5</f>
        <v>825</v>
      </c>
      <c r="X5" s="860">
        <v>909</v>
      </c>
      <c r="Y5" s="860"/>
      <c r="Z5" s="860">
        <f>1318/1.26</f>
        <v>1046.031746031746</v>
      </c>
      <c r="AA5" s="860">
        <v>1126</v>
      </c>
      <c r="AB5" s="840">
        <f>AA5</f>
        <v>1126</v>
      </c>
      <c r="AC5" s="860"/>
      <c r="AD5" s="860">
        <v>1255</v>
      </c>
      <c r="AE5" s="860">
        <v>1318</v>
      </c>
      <c r="AF5" s="860">
        <v>1327</v>
      </c>
      <c r="AG5" s="840">
        <f>AF5</f>
        <v>1327</v>
      </c>
      <c r="AH5" s="860">
        <v>1388</v>
      </c>
      <c r="AI5" s="860">
        <v>1431</v>
      </c>
      <c r="AJ5" s="860">
        <v>1449</v>
      </c>
      <c r="AK5" s="860">
        <v>1463</v>
      </c>
      <c r="AL5" s="840">
        <f>AK5</f>
        <v>1463</v>
      </c>
      <c r="AM5" s="860">
        <v>1442</v>
      </c>
      <c r="AN5" s="860">
        <v>1449</v>
      </c>
      <c r="AO5" s="860">
        <v>1439</v>
      </c>
      <c r="AP5" s="860">
        <v>1478</v>
      </c>
      <c r="AQ5" s="840">
        <f>AP5</f>
        <v>1478</v>
      </c>
      <c r="AR5" s="860"/>
      <c r="AS5" s="860"/>
      <c r="AT5" s="860"/>
      <c r="AU5" s="860"/>
      <c r="AV5" s="840">
        <v>1549</v>
      </c>
    </row>
    <row r="6" spans="1:48" s="616" customFormat="1">
      <c r="B6" s="866"/>
      <c r="C6" s="852" t="s">
        <v>163</v>
      </c>
      <c r="D6" s="867"/>
      <c r="E6" s="843"/>
      <c r="F6" s="843"/>
      <c r="G6" s="843"/>
      <c r="H6" s="842"/>
      <c r="I6" s="867" t="e">
        <f t="shared" ref="I6:V6" si="0">I5/D5-1</f>
        <v>#DIV/0!</v>
      </c>
      <c r="J6" s="843" t="e">
        <f t="shared" si="0"/>
        <v>#DIV/0!</v>
      </c>
      <c r="K6" s="843" t="e">
        <f t="shared" si="0"/>
        <v>#DIV/0!</v>
      </c>
      <c r="L6" s="843" t="e">
        <f t="shared" si="0"/>
        <v>#DIV/0!</v>
      </c>
      <c r="M6" s="842"/>
      <c r="N6" s="841"/>
      <c r="O6" s="841"/>
      <c r="P6" s="841"/>
      <c r="Q6" s="841"/>
      <c r="R6" s="842"/>
      <c r="S6" s="841">
        <f t="shared" si="0"/>
        <v>0.48541666666666661</v>
      </c>
      <c r="T6" s="843">
        <f t="shared" si="0"/>
        <v>0.4970530451866404</v>
      </c>
      <c r="U6" s="843">
        <f t="shared" si="0"/>
        <v>0.49433962264150932</v>
      </c>
      <c r="V6" s="843">
        <f t="shared" si="0"/>
        <v>0.29921259842519676</v>
      </c>
      <c r="W6" s="842">
        <f>W5/R5-1</f>
        <v>0.29921259842519676</v>
      </c>
      <c r="X6" s="841">
        <f>X5/S5-1</f>
        <v>0.27489481065918664</v>
      </c>
      <c r="Y6" s="843"/>
      <c r="Z6" s="843">
        <f>Z5/U5-1</f>
        <v>0.32074715408048737</v>
      </c>
      <c r="AA6" s="843">
        <f>AA5/V5-1</f>
        <v>0.36484848484848476</v>
      </c>
      <c r="AB6" s="842">
        <f>AB5/W5-1</f>
        <v>0.36484848484848476</v>
      </c>
      <c r="AC6" s="841"/>
      <c r="AD6" s="843"/>
      <c r="AE6" s="843">
        <f>AE5/Z5-1</f>
        <v>0.26</v>
      </c>
      <c r="AF6" s="843">
        <f>AF5/AA5-1</f>
        <v>0.17850799289520425</v>
      </c>
      <c r="AG6" s="842">
        <f>AG5/AB5-1</f>
        <v>0.17850799289520425</v>
      </c>
      <c r="AH6" s="841"/>
      <c r="AI6" s="843">
        <f t="shared" ref="AI6:AQ6" si="1">AI5/AD5-1</f>
        <v>0.1402390438247012</v>
      </c>
      <c r="AJ6" s="843">
        <f t="shared" si="1"/>
        <v>9.9393019726858878E-2</v>
      </c>
      <c r="AK6" s="843">
        <f t="shared" si="1"/>
        <v>0.10248681235870394</v>
      </c>
      <c r="AL6" s="842">
        <f t="shared" si="1"/>
        <v>0.10248681235870394</v>
      </c>
      <c r="AM6" s="868">
        <f t="shared" si="1"/>
        <v>3.8904899135446591E-2</v>
      </c>
      <c r="AN6" s="868">
        <f t="shared" si="1"/>
        <v>1.2578616352201255E-2</v>
      </c>
      <c r="AO6" s="843">
        <f t="shared" si="1"/>
        <v>-6.9013112491372874E-3</v>
      </c>
      <c r="AP6" s="843">
        <f t="shared" si="1"/>
        <v>1.0252904989747069E-2</v>
      </c>
      <c r="AQ6" s="842">
        <f t="shared" si="1"/>
        <v>1.0252904989747069E-2</v>
      </c>
      <c r="AR6" s="868"/>
      <c r="AS6" s="868"/>
      <c r="AT6" s="843"/>
      <c r="AU6" s="869"/>
      <c r="AV6" s="842">
        <f t="shared" ref="AV6" si="2">AV5/AQ5-1</f>
        <v>4.803788903924211E-2</v>
      </c>
    </row>
    <row r="7" spans="1:48" s="844" customFormat="1" ht="18" customHeight="1">
      <c r="B7" s="853" t="s">
        <v>307</v>
      </c>
      <c r="C7" s="855"/>
      <c r="D7" s="637"/>
      <c r="E7" s="637"/>
      <c r="F7" s="637"/>
      <c r="G7" s="637"/>
      <c r="H7" s="638"/>
      <c r="I7" s="637"/>
      <c r="J7" s="637"/>
      <c r="K7" s="637"/>
      <c r="L7" s="637"/>
      <c r="M7" s="638"/>
      <c r="N7" s="846"/>
      <c r="O7" s="637">
        <f>O5-N5</f>
        <v>29</v>
      </c>
      <c r="P7" s="637">
        <f>P5-O5</f>
        <v>21</v>
      </c>
      <c r="Q7" s="637">
        <f>Q5-P5</f>
        <v>105</v>
      </c>
      <c r="R7" s="638"/>
      <c r="S7" s="637">
        <f>S5-Q5</f>
        <v>78</v>
      </c>
      <c r="T7" s="637">
        <f>T5-S5</f>
        <v>49</v>
      </c>
      <c r="U7" s="637">
        <f>U5-T5</f>
        <v>30</v>
      </c>
      <c r="V7" s="637">
        <f>V5-U5</f>
        <v>33</v>
      </c>
      <c r="W7" s="638">
        <f>SUM(S7:V7)</f>
        <v>190</v>
      </c>
      <c r="X7" s="637">
        <f>X5-V5</f>
        <v>84</v>
      </c>
      <c r="Y7" s="637"/>
      <c r="Z7" s="637"/>
      <c r="AA7" s="637">
        <f>AA5-Z5</f>
        <v>79.968253968253975</v>
      </c>
      <c r="AB7" s="638">
        <f>SUM(X7:AA7)</f>
        <v>163.96825396825398</v>
      </c>
      <c r="AC7" s="847"/>
      <c r="AD7" s="847"/>
      <c r="AE7" s="847">
        <f>AE5-AD5</f>
        <v>63</v>
      </c>
      <c r="AF7" s="847">
        <f>AF5-AE5</f>
        <v>9</v>
      </c>
      <c r="AG7" s="638">
        <f>SUM(AC7:AF7)</f>
        <v>72</v>
      </c>
      <c r="AH7" s="847">
        <f>AH5-AF5</f>
        <v>61</v>
      </c>
      <c r="AI7" s="847">
        <f>AI5-AH5</f>
        <v>43</v>
      </c>
      <c r="AJ7" s="847">
        <f>AJ5-AI5</f>
        <v>18</v>
      </c>
      <c r="AK7" s="847">
        <f>AK5-AJ5</f>
        <v>14</v>
      </c>
      <c r="AL7" s="638">
        <f>SUM(AH7:AK7)</f>
        <v>136</v>
      </c>
      <c r="AM7" s="847">
        <f>AM5-AK5</f>
        <v>-21</v>
      </c>
      <c r="AN7" s="847">
        <f>AN5-AM5</f>
        <v>7</v>
      </c>
      <c r="AO7" s="847">
        <f>AO5-AN5</f>
        <v>-10</v>
      </c>
      <c r="AP7" s="847">
        <f>AP5-AO5</f>
        <v>39</v>
      </c>
      <c r="AQ7" s="638">
        <f>SUM(AM7:AP7)</f>
        <v>15</v>
      </c>
      <c r="AR7" s="847"/>
      <c r="AS7" s="847"/>
      <c r="AT7" s="847"/>
      <c r="AU7" s="847"/>
      <c r="AV7" s="638">
        <f>AV5-AQ5</f>
        <v>71</v>
      </c>
    </row>
    <row r="8" spans="1:48" s="615" customFormat="1" ht="11.25">
      <c r="B8" s="848"/>
      <c r="C8" s="849"/>
      <c r="D8" s="629"/>
      <c r="E8" s="629"/>
      <c r="F8" s="629"/>
      <c r="G8" s="629"/>
      <c r="H8" s="628"/>
      <c r="I8" s="629"/>
      <c r="J8" s="627"/>
      <c r="K8" s="629"/>
      <c r="L8" s="629"/>
      <c r="M8" s="628"/>
      <c r="N8" s="629"/>
      <c r="O8" s="629"/>
      <c r="P8" s="629"/>
      <c r="Q8" s="629"/>
      <c r="R8" s="628"/>
      <c r="S8" s="629"/>
      <c r="T8" s="627"/>
      <c r="U8" s="629"/>
      <c r="V8" s="629"/>
      <c r="W8" s="628"/>
      <c r="X8" s="629"/>
      <c r="Y8" s="629"/>
      <c r="Z8" s="629"/>
      <c r="AA8" s="629"/>
      <c r="AB8" s="628"/>
      <c r="AC8" s="629"/>
      <c r="AD8" s="629"/>
      <c r="AE8" s="629"/>
      <c r="AF8" s="629"/>
      <c r="AG8" s="628"/>
      <c r="AH8" s="629"/>
      <c r="AI8" s="629"/>
      <c r="AJ8" s="629"/>
      <c r="AK8" s="629"/>
      <c r="AL8" s="628"/>
      <c r="AM8" s="629"/>
      <c r="AN8" s="629"/>
      <c r="AO8" s="629"/>
      <c r="AP8" s="629"/>
      <c r="AQ8" s="628"/>
      <c r="AR8" s="629"/>
      <c r="AS8" s="629"/>
      <c r="AT8" s="629"/>
      <c r="AU8" s="629"/>
      <c r="AV8" s="628"/>
    </row>
    <row r="9" spans="1:48" s="615" customFormat="1">
      <c r="B9" s="850" t="s">
        <v>347</v>
      </c>
      <c r="C9" s="849"/>
      <c r="D9" s="629"/>
      <c r="E9" s="629"/>
      <c r="F9" s="629"/>
      <c r="G9" s="629"/>
      <c r="H9" s="628"/>
      <c r="I9" s="629"/>
      <c r="J9" s="627"/>
      <c r="K9" s="629"/>
      <c r="L9" s="629"/>
      <c r="M9" s="628"/>
      <c r="N9" s="624">
        <f>(4*IS!D11/N5)*1000</f>
        <v>86483.333333333328</v>
      </c>
      <c r="O9" s="624">
        <f>(4*IS!E11/O5)*1000</f>
        <v>88840.864440078585</v>
      </c>
      <c r="P9" s="624">
        <f>(4*IS!F11/P5)*1000</f>
        <v>95486.792452830181</v>
      </c>
      <c r="Q9" s="624">
        <f>(4*IS!G11/Q5)*1000</f>
        <v>89581.102362204721</v>
      </c>
      <c r="R9" s="625">
        <f>(4*IS!H11/R5)*1000</f>
        <v>305864.56692913384</v>
      </c>
      <c r="S9" s="624">
        <f>(4*IS!I11/S5)*1000</f>
        <v>87899.018232819071</v>
      </c>
      <c r="T9" s="624">
        <f>(4*IS!J11/T5)*1000</f>
        <v>82556.430446194223</v>
      </c>
      <c r="U9" s="624">
        <f>(4*IS!K11/U5)*1000</f>
        <v>90217.171717171717</v>
      </c>
      <c r="V9" s="624">
        <f>(4*IS!L11/V5)*1000</f>
        <v>93023.030303030289</v>
      </c>
      <c r="W9" s="625">
        <f>(4*IS!M11/W5)*1000</f>
        <v>331849.69696969702</v>
      </c>
      <c r="X9" s="624">
        <f>(4*IS!N11/X5)*1000</f>
        <v>92985.698569856977</v>
      </c>
      <c r="Y9" s="624"/>
      <c r="Z9" s="624">
        <f>(4*IS!P11/Z5)*1000</f>
        <v>114160.97116843703</v>
      </c>
      <c r="AA9" s="624">
        <f>(4*IS!Q11/AA5)*1000</f>
        <v>120106.57193605683</v>
      </c>
      <c r="AB9" s="625">
        <f>(4*IS!R11/AB5)*1000</f>
        <v>406188.27708703373</v>
      </c>
      <c r="AC9" s="624"/>
      <c r="AD9" s="624">
        <f>(4*IS!T11/AD5)*1000</f>
        <v>107442.23107569721</v>
      </c>
      <c r="AE9" s="624">
        <f>(4*IS!U11/AE5)*1000</f>
        <v>104628.22458270106</v>
      </c>
      <c r="AF9" s="624">
        <f>(4*IS!V11/AF5)*1000</f>
        <v>98076.865109269027</v>
      </c>
      <c r="AG9" s="625">
        <f>(4*IS!W11/AG5)*1000</f>
        <v>407505.65184626973</v>
      </c>
      <c r="AH9" s="624">
        <f>(4*IS!X11/AH5)*1000</f>
        <v>95472.622478386169</v>
      </c>
      <c r="AI9" s="624">
        <f>(4*IS!Y11/AI5)*1000</f>
        <v>95809.923130677838</v>
      </c>
      <c r="AJ9" s="624">
        <f>(4*IS!Z11/AJ5)*1000</f>
        <v>96461.007591442365</v>
      </c>
      <c r="AK9" s="624">
        <f>(4*IS!AA11/AK5)*1000</f>
        <v>97722.488038277515</v>
      </c>
      <c r="AL9" s="625">
        <f>(4*IS!AB11/AL5)*1000</f>
        <v>377552.97334244702</v>
      </c>
      <c r="AM9" s="624">
        <f>(4*IS!AC11/AM5)*1000</f>
        <v>98671.289875173374</v>
      </c>
      <c r="AN9" s="624">
        <f>(4*IS!AD11/AN5)*1000</f>
        <v>99392.684610075914</v>
      </c>
      <c r="AO9" s="624">
        <f>(4*IS!AE11/AO5)*1000</f>
        <v>100808.89506601807</v>
      </c>
      <c r="AP9" s="624">
        <f>(4*IS!AF11/AP5)*1000</f>
        <v>100132.61163734777</v>
      </c>
      <c r="AQ9" s="625">
        <f>(4*IS!AG11/AQ5)*1000</f>
        <v>391991.88092016237</v>
      </c>
      <c r="AR9" s="624"/>
      <c r="AS9" s="624"/>
      <c r="AT9" s="624"/>
      <c r="AU9" s="624"/>
      <c r="AV9" s="625">
        <f>(4*IS!AL11/AV5)*1000</f>
        <v>405032.92446739832</v>
      </c>
    </row>
    <row r="10" spans="1:48" s="616" customFormat="1">
      <c r="B10" s="870"/>
      <c r="C10" s="871" t="s">
        <v>163</v>
      </c>
      <c r="D10" s="872"/>
      <c r="E10" s="873"/>
      <c r="F10" s="873"/>
      <c r="G10" s="873"/>
      <c r="H10" s="874"/>
      <c r="I10" s="872" t="e">
        <f>I9/D9-1</f>
        <v>#DIV/0!</v>
      </c>
      <c r="J10" s="873" t="e">
        <f>J9/E9-1</f>
        <v>#DIV/0!</v>
      </c>
      <c r="K10" s="873" t="e">
        <f>K9/F9-1</f>
        <v>#DIV/0!</v>
      </c>
      <c r="L10" s="873" t="e">
        <f>L9/G9-1</f>
        <v>#DIV/0!</v>
      </c>
      <c r="M10" s="874"/>
      <c r="N10" s="875"/>
      <c r="O10" s="875"/>
      <c r="P10" s="875"/>
      <c r="Q10" s="875"/>
      <c r="R10" s="874"/>
      <c r="S10" s="875">
        <f t="shared" ref="S10:X10" si="3">S9/N9-1</f>
        <v>1.6369453453294325E-2</v>
      </c>
      <c r="T10" s="873">
        <f t="shared" si="3"/>
        <v>-7.0738100461900544E-2</v>
      </c>
      <c r="U10" s="873">
        <f t="shared" si="3"/>
        <v>-5.5186907008753283E-2</v>
      </c>
      <c r="V10" s="873">
        <f t="shared" si="3"/>
        <v>3.8422478068072419E-2</v>
      </c>
      <c r="W10" s="874">
        <f t="shared" si="3"/>
        <v>8.4956326590728271E-2</v>
      </c>
      <c r="X10" s="875">
        <f t="shared" si="3"/>
        <v>5.7869592167284045E-2</v>
      </c>
      <c r="Y10" s="873"/>
      <c r="Z10" s="873">
        <f>Z9/U9-1</f>
        <v>0.26540179652636908</v>
      </c>
      <c r="AA10" s="873">
        <f>AA9/V9-1</f>
        <v>0.29114877837025577</v>
      </c>
      <c r="AB10" s="874">
        <f>AB9/W9-1</f>
        <v>0.22401280096430209</v>
      </c>
      <c r="AC10" s="875"/>
      <c r="AD10" s="873"/>
      <c r="AE10" s="873">
        <f>AE9/Z9-1</f>
        <v>-8.3502675986095287E-2</v>
      </c>
      <c r="AF10" s="873">
        <f>AF9/AA9-1</f>
        <v>-0.18341799679801152</v>
      </c>
      <c r="AG10" s="874">
        <f>AG9/AB9-1</f>
        <v>3.2432613976047797E-3</v>
      </c>
      <c r="AH10" s="875"/>
      <c r="AI10" s="873">
        <f t="shared" ref="AI10:AQ10" si="4">AI9/AD9-1</f>
        <v>-0.10826569616582105</v>
      </c>
      <c r="AJ10" s="873">
        <f t="shared" si="4"/>
        <v>-7.8059405326170839E-2</v>
      </c>
      <c r="AK10" s="873">
        <f t="shared" si="4"/>
        <v>-3.6132585456998267E-3</v>
      </c>
      <c r="AL10" s="874">
        <f t="shared" si="4"/>
        <v>-7.3502486083609653E-2</v>
      </c>
      <c r="AM10" s="875">
        <f t="shared" si="4"/>
        <v>3.350350408056868E-2</v>
      </c>
      <c r="AN10" s="873">
        <f t="shared" si="4"/>
        <v>3.7394471911969429E-2</v>
      </c>
      <c r="AO10" s="873">
        <f t="shared" si="4"/>
        <v>4.5074041658273556E-2</v>
      </c>
      <c r="AP10" s="873">
        <f t="shared" si="4"/>
        <v>2.4662937338703728E-2</v>
      </c>
      <c r="AQ10" s="874">
        <f t="shared" si="4"/>
        <v>3.8243395224486942E-2</v>
      </c>
      <c r="AR10" s="875"/>
      <c r="AS10" s="873"/>
      <c r="AT10" s="873"/>
      <c r="AU10" s="873"/>
      <c r="AV10" s="874">
        <f t="shared" ref="AV10" si="5">AV9/AQ9-1</f>
        <v>3.3268657291124049E-2</v>
      </c>
    </row>
    <row r="11" spans="1:48" s="615" customFormat="1" ht="11.25" hidden="1" outlineLevel="1">
      <c r="B11" s="848"/>
      <c r="C11" s="849"/>
      <c r="D11" s="629"/>
      <c r="E11" s="629"/>
      <c r="F11" s="629"/>
      <c r="G11" s="629"/>
      <c r="H11" s="628"/>
      <c r="I11" s="629"/>
      <c r="J11" s="627"/>
      <c r="K11" s="629"/>
      <c r="L11" s="629"/>
      <c r="M11" s="628"/>
      <c r="N11" s="629"/>
      <c r="O11" s="629"/>
      <c r="P11" s="629"/>
      <c r="Q11" s="629"/>
      <c r="R11" s="628"/>
      <c r="S11" s="629"/>
      <c r="T11" s="627"/>
      <c r="U11" s="629"/>
      <c r="V11" s="629"/>
      <c r="W11" s="628"/>
      <c r="X11" s="629"/>
      <c r="Y11" s="629"/>
      <c r="Z11" s="629"/>
      <c r="AA11" s="629"/>
      <c r="AB11" s="628"/>
      <c r="AC11" s="629"/>
      <c r="AD11" s="629"/>
      <c r="AE11" s="629"/>
      <c r="AF11" s="629"/>
      <c r="AG11" s="628"/>
      <c r="AH11" s="629"/>
      <c r="AI11" s="629"/>
      <c r="AJ11" s="629"/>
      <c r="AK11" s="629"/>
      <c r="AL11" s="628"/>
      <c r="AM11" s="629"/>
      <c r="AN11" s="629"/>
      <c r="AO11" s="629"/>
      <c r="AP11" s="629"/>
      <c r="AQ11" s="628"/>
      <c r="AR11" s="629"/>
      <c r="AS11" s="629"/>
      <c r="AT11" s="629"/>
      <c r="AU11" s="629"/>
      <c r="AV11" s="628"/>
    </row>
    <row r="12" spans="1:48" s="615" customFormat="1" hidden="1" outlineLevel="1">
      <c r="B12" s="850" t="s">
        <v>348</v>
      </c>
      <c r="C12" s="849"/>
      <c r="D12" s="629"/>
      <c r="E12" s="629"/>
      <c r="F12" s="629"/>
      <c r="G12" s="629"/>
      <c r="H12" s="628"/>
      <c r="I12" s="629"/>
      <c r="J12" s="627"/>
      <c r="K12" s="629"/>
      <c r="L12" s="629"/>
      <c r="M12" s="628"/>
      <c r="N12" s="629"/>
      <c r="O12" s="631"/>
      <c r="P12" s="631"/>
      <c r="Q12" s="631"/>
      <c r="R12" s="632"/>
      <c r="S12" s="633">
        <v>1.3597564077733792</v>
      </c>
      <c r="T12" s="633">
        <v>1.3009329388501325</v>
      </c>
      <c r="U12" s="633">
        <v>1.275994251534539</v>
      </c>
      <c r="V12" s="633">
        <v>1.270670124548275</v>
      </c>
      <c r="W12" s="634"/>
      <c r="X12" s="633">
        <v>1.2241792032097341</v>
      </c>
      <c r="Y12" s="633"/>
      <c r="Z12" s="633"/>
      <c r="AA12" s="633"/>
      <c r="AB12" s="634"/>
      <c r="AC12" s="633"/>
      <c r="AD12" s="633"/>
      <c r="AE12" s="633"/>
      <c r="AF12" s="633"/>
      <c r="AG12" s="634"/>
      <c r="AH12" s="633"/>
      <c r="AI12" s="633"/>
      <c r="AJ12" s="633"/>
      <c r="AK12" s="633"/>
      <c r="AL12" s="634"/>
      <c r="AM12" s="633"/>
      <c r="AN12" s="633"/>
      <c r="AO12" s="633"/>
      <c r="AP12" s="633"/>
      <c r="AQ12" s="634"/>
      <c r="AR12" s="633"/>
      <c r="AS12" s="633"/>
      <c r="AT12" s="633"/>
      <c r="AU12" s="633"/>
      <c r="AV12" s="634"/>
    </row>
    <row r="13" spans="1:48" s="615" customFormat="1" ht="11.25" hidden="1" outlineLevel="1">
      <c r="B13" s="848"/>
      <c r="C13" s="849"/>
      <c r="D13" s="626"/>
      <c r="E13" s="627"/>
      <c r="F13" s="627"/>
      <c r="G13" s="627"/>
      <c r="H13" s="628"/>
      <c r="I13" s="626" t="e">
        <f>I12/D12-1</f>
        <v>#DIV/0!</v>
      </c>
      <c r="J13" s="627" t="e">
        <f>J12/E12-1</f>
        <v>#DIV/0!</v>
      </c>
      <c r="K13" s="627" t="e">
        <f>K12/F12-1</f>
        <v>#DIV/0!</v>
      </c>
      <c r="L13" s="627" t="e">
        <f>L12/G12-1</f>
        <v>#DIV/0!</v>
      </c>
      <c r="M13" s="628"/>
      <c r="N13" s="629"/>
      <c r="O13" s="629"/>
      <c r="P13" s="629"/>
      <c r="Q13" s="629"/>
      <c r="R13" s="628"/>
      <c r="S13" s="629"/>
      <c r="T13" s="627"/>
      <c r="U13" s="627"/>
      <c r="V13" s="627"/>
      <c r="W13" s="628"/>
      <c r="X13" s="635">
        <f t="shared" ref="X13:AL13" si="6">X12/S12-1</f>
        <v>-9.9706979712384514E-2</v>
      </c>
      <c r="Y13" s="635">
        <f t="shared" si="6"/>
        <v>-1</v>
      </c>
      <c r="Z13" s="635">
        <f t="shared" si="6"/>
        <v>-1</v>
      </c>
      <c r="AA13" s="635">
        <f t="shared" si="6"/>
        <v>-1</v>
      </c>
      <c r="AB13" s="636" t="e">
        <f t="shared" si="6"/>
        <v>#DIV/0!</v>
      </c>
      <c r="AC13" s="635">
        <f t="shared" si="6"/>
        <v>-1</v>
      </c>
      <c r="AD13" s="635" t="e">
        <f t="shared" si="6"/>
        <v>#DIV/0!</v>
      </c>
      <c r="AE13" s="635" t="e">
        <f t="shared" si="6"/>
        <v>#DIV/0!</v>
      </c>
      <c r="AF13" s="635" t="e">
        <f t="shared" si="6"/>
        <v>#DIV/0!</v>
      </c>
      <c r="AG13" s="636" t="e">
        <f t="shared" si="6"/>
        <v>#DIV/0!</v>
      </c>
      <c r="AH13" s="782" t="e">
        <f>AH12/AC12-1</f>
        <v>#DIV/0!</v>
      </c>
      <c r="AI13" s="635" t="e">
        <f t="shared" si="6"/>
        <v>#DIV/0!</v>
      </c>
      <c r="AJ13" s="635" t="e">
        <f t="shared" si="6"/>
        <v>#DIV/0!</v>
      </c>
      <c r="AK13" s="635" t="e">
        <f t="shared" si="6"/>
        <v>#DIV/0!</v>
      </c>
      <c r="AL13" s="636" t="e">
        <f t="shared" si="6"/>
        <v>#DIV/0!</v>
      </c>
      <c r="AM13" s="635" t="e">
        <f t="shared" ref="AM13:AV13" si="7">AM12/AH12-1</f>
        <v>#DIV/0!</v>
      </c>
      <c r="AN13" s="635" t="e">
        <f t="shared" si="7"/>
        <v>#DIV/0!</v>
      </c>
      <c r="AO13" s="635" t="e">
        <f t="shared" si="7"/>
        <v>#DIV/0!</v>
      </c>
      <c r="AP13" s="635" t="e">
        <f t="shared" si="7"/>
        <v>#DIV/0!</v>
      </c>
      <c r="AQ13" s="636" t="e">
        <f t="shared" si="7"/>
        <v>#DIV/0!</v>
      </c>
      <c r="AR13" s="635" t="e">
        <f t="shared" si="7"/>
        <v>#DIV/0!</v>
      </c>
      <c r="AS13" s="635" t="e">
        <f t="shared" si="7"/>
        <v>#DIV/0!</v>
      </c>
      <c r="AT13" s="635" t="e">
        <f t="shared" si="7"/>
        <v>#DIV/0!</v>
      </c>
      <c r="AU13" s="635" t="e">
        <f t="shared" si="7"/>
        <v>#DIV/0!</v>
      </c>
      <c r="AV13" s="636" t="e">
        <f t="shared" si="7"/>
        <v>#DIV/0!</v>
      </c>
    </row>
    <row r="14" spans="1:48" s="615" customFormat="1" ht="11.25" hidden="1" outlineLevel="1">
      <c r="B14" s="848"/>
      <c r="C14" s="849"/>
      <c r="D14" s="629"/>
      <c r="E14" s="629"/>
      <c r="F14" s="629"/>
      <c r="G14" s="629"/>
      <c r="H14" s="628"/>
      <c r="I14" s="629"/>
      <c r="J14" s="627"/>
      <c r="K14" s="629"/>
      <c r="L14" s="629"/>
      <c r="M14" s="628"/>
      <c r="N14" s="629"/>
      <c r="O14" s="629"/>
      <c r="P14" s="629"/>
      <c r="Q14" s="629"/>
      <c r="R14" s="628"/>
      <c r="S14" s="629"/>
      <c r="T14" s="627"/>
      <c r="U14" s="629"/>
      <c r="V14" s="629"/>
      <c r="W14" s="628"/>
      <c r="X14" s="629"/>
      <c r="Y14" s="629"/>
      <c r="Z14" s="629"/>
      <c r="AA14" s="629"/>
      <c r="AB14" s="628"/>
      <c r="AC14" s="629"/>
      <c r="AD14" s="629"/>
      <c r="AE14" s="629"/>
      <c r="AF14" s="629"/>
      <c r="AG14" s="628"/>
      <c r="AH14" s="629"/>
      <c r="AI14" s="629"/>
      <c r="AJ14" s="629"/>
      <c r="AK14" s="629"/>
      <c r="AL14" s="628"/>
      <c r="AM14" s="629"/>
      <c r="AN14" s="629"/>
      <c r="AO14" s="629"/>
      <c r="AP14" s="629"/>
      <c r="AQ14" s="628"/>
      <c r="AR14" s="629"/>
      <c r="AS14" s="629"/>
      <c r="AT14" s="629"/>
      <c r="AU14" s="629"/>
      <c r="AV14" s="628"/>
    </row>
    <row r="15" spans="1:48" s="615" customFormat="1" ht="11.25" hidden="1" collapsed="1">
      <c r="B15" s="848"/>
      <c r="C15" s="849"/>
      <c r="D15" s="629"/>
      <c r="E15" s="629"/>
      <c r="F15" s="629"/>
      <c r="G15" s="629"/>
      <c r="H15" s="628"/>
      <c r="I15" s="629"/>
      <c r="J15" s="627"/>
      <c r="K15" s="629"/>
      <c r="L15" s="629"/>
      <c r="M15" s="628"/>
      <c r="N15" s="629"/>
      <c r="O15" s="629"/>
      <c r="P15" s="629"/>
      <c r="Q15" s="629"/>
      <c r="R15" s="628"/>
      <c r="S15" s="629"/>
      <c r="T15" s="627"/>
      <c r="U15" s="629"/>
      <c r="V15" s="629"/>
      <c r="W15" s="628"/>
      <c r="X15" s="629"/>
      <c r="Y15" s="629"/>
      <c r="Z15" s="629"/>
      <c r="AA15" s="629"/>
      <c r="AB15" s="628"/>
      <c r="AC15" s="629"/>
      <c r="AD15" s="629"/>
      <c r="AE15" s="629"/>
      <c r="AF15" s="629"/>
      <c r="AG15" s="628"/>
      <c r="AH15" s="629"/>
      <c r="AI15" s="629"/>
      <c r="AJ15" s="629"/>
      <c r="AK15" s="629"/>
      <c r="AL15" s="628"/>
      <c r="AM15" s="629"/>
      <c r="AN15" s="629"/>
      <c r="AO15" s="629"/>
      <c r="AP15" s="629"/>
      <c r="AQ15" s="628"/>
      <c r="AR15" s="629"/>
      <c r="AS15" s="629"/>
      <c r="AT15" s="629"/>
      <c r="AU15" s="629"/>
      <c r="AV15" s="628"/>
    </row>
    <row r="16" spans="1:48" s="616" customFormat="1" hidden="1">
      <c r="B16" s="851" t="s">
        <v>292</v>
      </c>
      <c r="C16" s="852"/>
      <c r="D16" s="841"/>
      <c r="E16" s="841"/>
      <c r="F16" s="841"/>
      <c r="G16" s="841"/>
      <c r="H16" s="842"/>
      <c r="I16" s="841"/>
      <c r="J16" s="843"/>
      <c r="K16" s="841"/>
      <c r="L16" s="841"/>
      <c r="M16" s="842"/>
      <c r="N16" s="624">
        <f>IS!D11</f>
        <v>10378</v>
      </c>
      <c r="O16" s="624">
        <f>IS!E11</f>
        <v>11305</v>
      </c>
      <c r="P16" s="624">
        <f>IS!F11</f>
        <v>12652</v>
      </c>
      <c r="Q16" s="624">
        <f>IS!G11</f>
        <v>14221</v>
      </c>
      <c r="R16" s="625">
        <f>IS!R11</f>
        <v>114342</v>
      </c>
      <c r="S16" s="624">
        <f>IS!I11</f>
        <v>15668</v>
      </c>
      <c r="T16" s="624">
        <f>IS!J11</f>
        <v>15727</v>
      </c>
      <c r="U16" s="624">
        <f>IS!K11</f>
        <v>17863</v>
      </c>
      <c r="V16" s="624">
        <f>IS!L11</f>
        <v>19186</v>
      </c>
      <c r="W16" s="625">
        <f>SUM(S16:V16)</f>
        <v>68444</v>
      </c>
      <c r="X16" s="624">
        <f>IS!N11</f>
        <v>21131</v>
      </c>
      <c r="Y16" s="624">
        <f>IS!O11</f>
        <v>29547</v>
      </c>
      <c r="Z16" s="624">
        <f>IS!P11</f>
        <v>29854</v>
      </c>
      <c r="AA16" s="624">
        <f>IS!Q11</f>
        <v>33810</v>
      </c>
      <c r="AB16" s="625">
        <f>SUM(X16:AA16)</f>
        <v>114342</v>
      </c>
      <c r="AC16" s="624">
        <f>IS!S11</f>
        <v>34468</v>
      </c>
      <c r="AD16" s="624">
        <f>IS!T11</f>
        <v>33710</v>
      </c>
      <c r="AE16" s="624">
        <f>IS!U11</f>
        <v>34475</v>
      </c>
      <c r="AF16" s="624">
        <f>IS!V11</f>
        <v>32537</v>
      </c>
      <c r="AG16" s="625">
        <f>SUM(AC16:AF16)</f>
        <v>135190</v>
      </c>
      <c r="AH16" s="624">
        <f>IS!X11</f>
        <v>33129</v>
      </c>
      <c r="AI16" s="624">
        <f>IS!Y11</f>
        <v>34276</v>
      </c>
      <c r="AJ16" s="624">
        <f>IS!Z11</f>
        <v>34943</v>
      </c>
      <c r="AK16" s="624">
        <f>IS!AA11</f>
        <v>35742</v>
      </c>
      <c r="AL16" s="625">
        <f>SUM(AH16:AK16)</f>
        <v>138090</v>
      </c>
      <c r="AM16" s="624">
        <f>IS!AC11</f>
        <v>35571</v>
      </c>
      <c r="AN16" s="624">
        <f>IS!AD11</f>
        <v>36005</v>
      </c>
      <c r="AO16" s="624">
        <f>IS!AE11</f>
        <v>36266</v>
      </c>
      <c r="AP16" s="624">
        <f>IS!AF11</f>
        <v>36999</v>
      </c>
      <c r="AQ16" s="625">
        <f>SUM(AM16:AP16)</f>
        <v>144841</v>
      </c>
      <c r="AR16" s="624">
        <f>IS!AH11</f>
        <v>36653</v>
      </c>
      <c r="AS16" s="624">
        <f>IS!AI11</f>
        <v>38106</v>
      </c>
      <c r="AT16" s="624">
        <f>IS!AJ11</f>
        <v>40919</v>
      </c>
      <c r="AU16" s="624">
        <f>IS!AK11</f>
        <v>41171</v>
      </c>
      <c r="AV16" s="625">
        <f>SUM(AR16:AU16)</f>
        <v>156849</v>
      </c>
    </row>
    <row r="17" spans="1:48" s="615" customFormat="1" ht="11.25" hidden="1">
      <c r="B17" s="848"/>
      <c r="C17" s="849" t="s">
        <v>163</v>
      </c>
      <c r="D17" s="629"/>
      <c r="E17" s="629"/>
      <c r="F17" s="629"/>
      <c r="G17" s="629"/>
      <c r="H17" s="628"/>
      <c r="I17" s="629"/>
      <c r="J17" s="627"/>
      <c r="K17" s="629"/>
      <c r="L17" s="629"/>
      <c r="M17" s="628"/>
      <c r="N17" s="629"/>
      <c r="O17" s="629"/>
      <c r="P17" s="629"/>
      <c r="Q17" s="629"/>
      <c r="R17" s="628"/>
      <c r="S17" s="629">
        <f>(S16-N16)/N16</f>
        <v>0.50973212565041437</v>
      </c>
      <c r="T17" s="627">
        <f t="shared" ref="T17:AL17" si="8">(T16-O16)/O16</f>
        <v>0.39115435647943386</v>
      </c>
      <c r="U17" s="629">
        <f t="shared" si="8"/>
        <v>0.41187164084729688</v>
      </c>
      <c r="V17" s="629">
        <f t="shared" si="8"/>
        <v>0.34913156599395262</v>
      </c>
      <c r="W17" s="628">
        <f t="shared" si="8"/>
        <v>-0.40140980567070716</v>
      </c>
      <c r="X17" s="629">
        <f t="shared" si="8"/>
        <v>0.34867245340822056</v>
      </c>
      <c r="Y17" s="629">
        <f t="shared" si="8"/>
        <v>0.87874356202708714</v>
      </c>
      <c r="Z17" s="629">
        <f t="shared" si="8"/>
        <v>0.671275821530538</v>
      </c>
      <c r="AA17" s="629">
        <f t="shared" si="8"/>
        <v>0.76222245387261545</v>
      </c>
      <c r="AB17" s="628">
        <f t="shared" si="8"/>
        <v>0.67059201683127811</v>
      </c>
      <c r="AC17" s="629">
        <f t="shared" si="8"/>
        <v>0.63115801429179874</v>
      </c>
      <c r="AD17" s="629">
        <f t="shared" si="8"/>
        <v>0.14089416861271872</v>
      </c>
      <c r="AE17" s="629">
        <f t="shared" si="8"/>
        <v>0.15478662825751993</v>
      </c>
      <c r="AF17" s="629">
        <f t="shared" si="8"/>
        <v>-3.7651582372079266E-2</v>
      </c>
      <c r="AG17" s="628">
        <f t="shared" si="8"/>
        <v>0.18233020237533015</v>
      </c>
      <c r="AH17" s="629">
        <f t="shared" si="8"/>
        <v>-3.8847626784263664E-2</v>
      </c>
      <c r="AI17" s="629">
        <f t="shared" si="8"/>
        <v>1.679026994956986E-2</v>
      </c>
      <c r="AJ17" s="629">
        <f t="shared" si="8"/>
        <v>1.3575054387237129E-2</v>
      </c>
      <c r="AK17" s="629">
        <f t="shared" si="8"/>
        <v>9.8503242462427393E-2</v>
      </c>
      <c r="AL17" s="628">
        <f t="shared" si="8"/>
        <v>2.1451290775944966E-2</v>
      </c>
      <c r="AM17" s="629">
        <f t="shared" ref="AM17:AV17" si="9">(AM16-AH16)/AH16</f>
        <v>7.3711853662953908E-2</v>
      </c>
      <c r="AN17" s="629">
        <f t="shared" si="9"/>
        <v>5.0443458980044348E-2</v>
      </c>
      <c r="AO17" s="629">
        <f t="shared" si="9"/>
        <v>3.7861660418395671E-2</v>
      </c>
      <c r="AP17" s="629">
        <f t="shared" si="9"/>
        <v>3.5168709081752562E-2</v>
      </c>
      <c r="AQ17" s="628">
        <f t="shared" si="9"/>
        <v>4.8888406111955968E-2</v>
      </c>
      <c r="AR17" s="629">
        <f t="shared" si="9"/>
        <v>3.0418037165106406E-2</v>
      </c>
      <c r="AS17" s="629">
        <f t="shared" si="9"/>
        <v>5.8353006526871268E-2</v>
      </c>
      <c r="AT17" s="629">
        <f t="shared" si="9"/>
        <v>0.12830199084541996</v>
      </c>
      <c r="AU17" s="629">
        <f t="shared" si="9"/>
        <v>0.11275980431903565</v>
      </c>
      <c r="AV17" s="628">
        <f t="shared" si="9"/>
        <v>8.2904702397801733E-2</v>
      </c>
    </row>
    <row r="18" spans="1:48" s="617" customFormat="1" ht="20.25" customHeight="1">
      <c r="A18" s="845"/>
      <c r="B18" s="853" t="s">
        <v>505</v>
      </c>
      <c r="C18" s="854"/>
      <c r="D18" s="637"/>
      <c r="E18" s="637"/>
      <c r="F18" s="637"/>
      <c r="G18" s="637"/>
      <c r="H18" s="638"/>
      <c r="I18" s="637"/>
      <c r="J18" s="637"/>
      <c r="K18" s="637"/>
      <c r="L18" s="637"/>
      <c r="M18" s="638">
        <v>77</v>
      </c>
      <c r="N18" s="637"/>
      <c r="O18" s="637"/>
      <c r="P18" s="637"/>
      <c r="Q18" s="637"/>
      <c r="R18" s="638">
        <v>113</v>
      </c>
      <c r="S18" s="637"/>
      <c r="T18" s="637"/>
      <c r="U18" s="637"/>
      <c r="V18" s="637"/>
      <c r="W18" s="638">
        <v>141</v>
      </c>
      <c r="X18" s="637"/>
      <c r="Y18" s="637"/>
      <c r="Z18" s="637"/>
      <c r="AA18" s="637"/>
      <c r="AB18" s="638">
        <v>214</v>
      </c>
      <c r="AC18" s="637"/>
      <c r="AD18" s="637"/>
      <c r="AE18" s="637"/>
      <c r="AF18" s="637"/>
      <c r="AG18" s="638">
        <v>265</v>
      </c>
      <c r="AH18" s="637"/>
      <c r="AI18" s="637"/>
      <c r="AJ18" s="637"/>
      <c r="AK18" s="637"/>
      <c r="AL18" s="638">
        <v>289</v>
      </c>
      <c r="AM18" s="637">
        <f>AR18/(1+AR19)</f>
        <v>294.4444444444444</v>
      </c>
      <c r="AN18" s="637">
        <f>AS18/(1+AS19)</f>
        <v>304.71698113207543</v>
      </c>
      <c r="AO18" s="637">
        <f>AT18/(1+AT19)</f>
        <v>307.54716981132071</v>
      </c>
      <c r="AP18" s="637">
        <v>315</v>
      </c>
      <c r="AQ18" s="638">
        <v>315</v>
      </c>
      <c r="AR18" s="637">
        <v>318</v>
      </c>
      <c r="AS18" s="637">
        <v>323</v>
      </c>
      <c r="AT18" s="637">
        <v>326</v>
      </c>
      <c r="AU18" s="637">
        <v>330</v>
      </c>
      <c r="AV18" s="638">
        <v>330</v>
      </c>
    </row>
    <row r="19" spans="1:48" s="616" customFormat="1">
      <c r="B19" s="866"/>
      <c r="C19" s="852" t="s">
        <v>163</v>
      </c>
      <c r="D19" s="867"/>
      <c r="E19" s="843"/>
      <c r="F19" s="843"/>
      <c r="G19" s="843"/>
      <c r="H19" s="842"/>
      <c r="I19" s="867"/>
      <c r="J19" s="843"/>
      <c r="K19" s="843"/>
      <c r="L19" s="843"/>
      <c r="M19" s="842"/>
      <c r="N19" s="841"/>
      <c r="O19" s="841"/>
      <c r="P19" s="841"/>
      <c r="Q19" s="841"/>
      <c r="R19" s="842">
        <f>R18/M18-1</f>
        <v>0.46753246753246747</v>
      </c>
      <c r="S19" s="841"/>
      <c r="T19" s="843"/>
      <c r="U19" s="843"/>
      <c r="V19" s="843"/>
      <c r="W19" s="842">
        <f>W18/R18-1</f>
        <v>0.24778761061946897</v>
      </c>
      <c r="X19" s="841"/>
      <c r="Y19" s="843"/>
      <c r="Z19" s="843"/>
      <c r="AA19" s="843"/>
      <c r="AB19" s="842">
        <f>AB18/W18-1</f>
        <v>0.51773049645390068</v>
      </c>
      <c r="AC19" s="841"/>
      <c r="AD19" s="843"/>
      <c r="AE19" s="843"/>
      <c r="AF19" s="843"/>
      <c r="AG19" s="842">
        <f>AG18/AB18-1</f>
        <v>0.23831775700934577</v>
      </c>
      <c r="AH19" s="841"/>
      <c r="AI19" s="843"/>
      <c r="AJ19" s="843"/>
      <c r="AK19" s="843"/>
      <c r="AL19" s="842">
        <f>AL18/AG18-1</f>
        <v>9.0566037735849036E-2</v>
      </c>
      <c r="AM19" s="868"/>
      <c r="AN19" s="868"/>
      <c r="AO19" s="843"/>
      <c r="AP19" s="843"/>
      <c r="AQ19" s="842">
        <f>AQ18/AL18-1</f>
        <v>8.9965397923875479E-2</v>
      </c>
      <c r="AR19" s="868">
        <v>0.08</v>
      </c>
      <c r="AS19" s="868">
        <v>0.06</v>
      </c>
      <c r="AT19" s="868">
        <v>0.06</v>
      </c>
      <c r="AU19" s="868">
        <f>AU18/AP18-1</f>
        <v>4.7619047619047672E-2</v>
      </c>
      <c r="AV19" s="842">
        <f>AV18/AQ18-1</f>
        <v>4.7619047619047672E-2</v>
      </c>
    </row>
    <row r="20" spans="1:48" s="876" customFormat="1">
      <c r="B20" s="877"/>
      <c r="C20" s="878" t="s">
        <v>155</v>
      </c>
      <c r="D20" s="878"/>
      <c r="E20" s="878"/>
      <c r="F20" s="878"/>
      <c r="G20" s="878"/>
      <c r="H20" s="879"/>
      <c r="I20" s="878"/>
      <c r="J20" s="878"/>
      <c r="K20" s="878"/>
      <c r="L20" s="878"/>
      <c r="M20" s="879"/>
      <c r="N20" s="880"/>
      <c r="O20" s="880"/>
      <c r="P20" s="880"/>
      <c r="Q20" s="880"/>
      <c r="R20" s="879"/>
      <c r="S20" s="880"/>
      <c r="T20" s="878"/>
      <c r="U20" s="878"/>
      <c r="V20" s="878"/>
      <c r="W20" s="879">
        <v>0.74</v>
      </c>
      <c r="X20" s="880"/>
      <c r="Y20" s="878"/>
      <c r="Z20" s="878"/>
      <c r="AA20" s="878"/>
      <c r="AB20" s="879">
        <v>0.81</v>
      </c>
      <c r="AC20" s="880"/>
      <c r="AD20" s="878"/>
      <c r="AE20" s="878"/>
      <c r="AF20" s="878"/>
      <c r="AG20" s="879">
        <v>0.78</v>
      </c>
      <c r="AH20" s="880"/>
      <c r="AI20" s="878"/>
      <c r="AJ20" s="878"/>
      <c r="AK20" s="878"/>
      <c r="AL20" s="879">
        <v>0.75</v>
      </c>
      <c r="AM20" s="881"/>
      <c r="AN20" s="881"/>
      <c r="AO20" s="878"/>
      <c r="AP20" s="878"/>
      <c r="AQ20" s="879">
        <v>0.76</v>
      </c>
      <c r="AR20" s="881">
        <v>0.76</v>
      </c>
      <c r="AS20" s="881"/>
      <c r="AT20" s="878">
        <v>0.76</v>
      </c>
      <c r="AU20" s="882"/>
      <c r="AV20" s="879">
        <v>0.76</v>
      </c>
    </row>
    <row r="21" spans="1:48" s="615" customFormat="1" ht="18.95" customHeight="1">
      <c r="B21" s="856" t="s">
        <v>307</v>
      </c>
      <c r="C21" s="861"/>
      <c r="D21" s="862"/>
      <c r="E21" s="862"/>
      <c r="F21" s="862"/>
      <c r="G21" s="862"/>
      <c r="H21" s="863"/>
      <c r="I21" s="862"/>
      <c r="J21" s="862"/>
      <c r="K21" s="862"/>
      <c r="L21" s="862"/>
      <c r="M21" s="863"/>
      <c r="N21" s="864"/>
      <c r="O21" s="862"/>
      <c r="P21" s="862"/>
      <c r="Q21" s="862"/>
      <c r="R21" s="863"/>
      <c r="S21" s="862"/>
      <c r="T21" s="862"/>
      <c r="U21" s="862"/>
      <c r="V21" s="862"/>
      <c r="W21" s="863">
        <f>W18-R18</f>
        <v>28</v>
      </c>
      <c r="X21" s="862"/>
      <c r="Y21" s="862"/>
      <c r="Z21" s="862"/>
      <c r="AA21" s="862"/>
      <c r="AB21" s="863">
        <f>AB18-W18</f>
        <v>73</v>
      </c>
      <c r="AC21" s="865"/>
      <c r="AD21" s="865"/>
      <c r="AE21" s="865"/>
      <c r="AF21" s="865"/>
      <c r="AG21" s="863">
        <f>AG18-AB18</f>
        <v>51</v>
      </c>
      <c r="AH21" s="865"/>
      <c r="AI21" s="865"/>
      <c r="AJ21" s="865"/>
      <c r="AK21" s="865"/>
      <c r="AL21" s="863">
        <f>AL18-AG18</f>
        <v>24</v>
      </c>
      <c r="AM21" s="865"/>
      <c r="AN21" s="865">
        <f>AN18-AM18</f>
        <v>10.272536687631032</v>
      </c>
      <c r="AO21" s="865">
        <f>AO18-AN18</f>
        <v>2.8301886792452819</v>
      </c>
      <c r="AP21" s="865">
        <f>AP18-AO18</f>
        <v>7.452830188679286</v>
      </c>
      <c r="AQ21" s="863">
        <f>AQ18-AL18</f>
        <v>26</v>
      </c>
      <c r="AR21" s="865"/>
      <c r="AS21" s="865">
        <f>AS18-AR18</f>
        <v>5</v>
      </c>
      <c r="AT21" s="865">
        <f>AT18-AS18</f>
        <v>3</v>
      </c>
      <c r="AU21" s="865">
        <f>AU18-AT18</f>
        <v>4</v>
      </c>
      <c r="AV21" s="863">
        <f>AV18-AQ18</f>
        <v>15</v>
      </c>
    </row>
    <row r="22" spans="1:48" s="617" customFormat="1" ht="20.100000000000001" customHeight="1">
      <c r="A22" s="845"/>
      <c r="B22" s="853" t="s">
        <v>470</v>
      </c>
      <c r="C22" s="854"/>
      <c r="D22" s="637"/>
      <c r="E22" s="637"/>
      <c r="F22" s="637"/>
      <c r="G22" s="637"/>
      <c r="H22" s="638"/>
      <c r="I22" s="637"/>
      <c r="J22" s="637"/>
      <c r="K22" s="637"/>
      <c r="L22" s="637"/>
      <c r="M22" s="638"/>
      <c r="N22" s="637"/>
      <c r="O22" s="637"/>
      <c r="P22" s="637"/>
      <c r="Q22" s="637"/>
      <c r="R22" s="638"/>
      <c r="S22" s="637"/>
      <c r="T22" s="637"/>
      <c r="U22" s="637"/>
      <c r="V22" s="637"/>
      <c r="W22" s="638">
        <v>9</v>
      </c>
      <c r="X22" s="637"/>
      <c r="Y22" s="637"/>
      <c r="Z22" s="637"/>
      <c r="AA22" s="637"/>
      <c r="AB22" s="638">
        <v>20</v>
      </c>
      <c r="AC22" s="637"/>
      <c r="AD22" s="637"/>
      <c r="AE22" s="637"/>
      <c r="AF22" s="637"/>
      <c r="AG22" s="638">
        <v>23</v>
      </c>
      <c r="AH22" s="637"/>
      <c r="AI22" s="637"/>
      <c r="AJ22" s="637"/>
      <c r="AK22" s="637"/>
      <c r="AL22" s="638">
        <v>19</v>
      </c>
      <c r="AM22" s="637"/>
      <c r="AN22" s="637"/>
      <c r="AO22" s="637"/>
      <c r="AP22" s="637"/>
      <c r="AQ22" s="638">
        <v>19</v>
      </c>
      <c r="AR22" s="637"/>
      <c r="AS22" s="637"/>
      <c r="AT22" s="637"/>
      <c r="AU22" s="637"/>
      <c r="AV22" s="638">
        <v>20</v>
      </c>
    </row>
    <row r="23" spans="1:48" s="616" customFormat="1">
      <c r="B23" s="866"/>
      <c r="C23" s="852" t="s">
        <v>163</v>
      </c>
      <c r="D23" s="867"/>
      <c r="E23" s="843"/>
      <c r="F23" s="843"/>
      <c r="G23" s="843"/>
      <c r="H23" s="842"/>
      <c r="I23" s="867"/>
      <c r="J23" s="843"/>
      <c r="K23" s="843"/>
      <c r="L23" s="843"/>
      <c r="M23" s="842"/>
      <c r="N23" s="841"/>
      <c r="O23" s="841"/>
      <c r="P23" s="841"/>
      <c r="Q23" s="841"/>
      <c r="R23" s="842"/>
      <c r="S23" s="841"/>
      <c r="T23" s="843"/>
      <c r="U23" s="843"/>
      <c r="V23" s="843"/>
      <c r="W23" s="842"/>
      <c r="X23" s="841"/>
      <c r="Y23" s="843"/>
      <c r="Z23" s="843"/>
      <c r="AA23" s="843"/>
      <c r="AB23" s="842">
        <f>AB22/W22-1</f>
        <v>1.2222222222222223</v>
      </c>
      <c r="AC23" s="841"/>
      <c r="AD23" s="843"/>
      <c r="AE23" s="843"/>
      <c r="AF23" s="843"/>
      <c r="AG23" s="842">
        <f>AG22/AB22-1</f>
        <v>0.14999999999999991</v>
      </c>
      <c r="AH23" s="841"/>
      <c r="AI23" s="843"/>
      <c r="AJ23" s="843"/>
      <c r="AK23" s="843"/>
      <c r="AL23" s="842">
        <f>AL22/AG22-1</f>
        <v>-0.17391304347826086</v>
      </c>
      <c r="AM23" s="868"/>
      <c r="AN23" s="868"/>
      <c r="AO23" s="843"/>
      <c r="AP23" s="843"/>
      <c r="AQ23" s="842">
        <f>AQ22/AL22-1</f>
        <v>0</v>
      </c>
      <c r="AR23" s="868"/>
      <c r="AS23" s="869"/>
      <c r="AT23" s="843"/>
      <c r="AU23" s="869"/>
      <c r="AV23" s="842">
        <f>AV22/AQ22-1</f>
        <v>5.2631578947368363E-2</v>
      </c>
    </row>
    <row r="24" spans="1:48" s="615" customFormat="1" ht="18.95" customHeight="1">
      <c r="B24" s="856" t="s">
        <v>307</v>
      </c>
      <c r="C24" s="861"/>
      <c r="D24" s="862"/>
      <c r="E24" s="862"/>
      <c r="F24" s="862"/>
      <c r="G24" s="862"/>
      <c r="H24" s="863"/>
      <c r="I24" s="862"/>
      <c r="J24" s="862"/>
      <c r="K24" s="862"/>
      <c r="L24" s="862"/>
      <c r="M24" s="863"/>
      <c r="N24" s="864"/>
      <c r="O24" s="862"/>
      <c r="P24" s="862"/>
      <c r="Q24" s="862"/>
      <c r="R24" s="863"/>
      <c r="S24" s="862"/>
      <c r="T24" s="862"/>
      <c r="U24" s="862"/>
      <c r="V24" s="862"/>
      <c r="W24" s="863"/>
      <c r="X24" s="862"/>
      <c r="Y24" s="862"/>
      <c r="Z24" s="862"/>
      <c r="AA24" s="862"/>
      <c r="AB24" s="863">
        <f>AB22-W22</f>
        <v>11</v>
      </c>
      <c r="AC24" s="865"/>
      <c r="AD24" s="865"/>
      <c r="AE24" s="865"/>
      <c r="AF24" s="865"/>
      <c r="AG24" s="863">
        <f>AG22-AB22</f>
        <v>3</v>
      </c>
      <c r="AH24" s="865"/>
      <c r="AI24" s="865"/>
      <c r="AJ24" s="865"/>
      <c r="AK24" s="865"/>
      <c r="AL24" s="863">
        <f>AL22-AG22</f>
        <v>-4</v>
      </c>
      <c r="AM24" s="865"/>
      <c r="AN24" s="865"/>
      <c r="AO24" s="865"/>
      <c r="AP24" s="865"/>
      <c r="AQ24" s="863">
        <f>AQ22-AL22</f>
        <v>0</v>
      </c>
      <c r="AR24" s="865"/>
      <c r="AS24" s="865"/>
      <c r="AT24" s="865"/>
      <c r="AU24" s="865"/>
      <c r="AV24" s="863">
        <f>AV22-AQ22</f>
        <v>1</v>
      </c>
    </row>
    <row r="25" spans="1:48" s="936" customFormat="1" ht="20.45" customHeight="1">
      <c r="B25" s="851" t="s">
        <v>472</v>
      </c>
      <c r="C25" s="937"/>
      <c r="D25" s="633"/>
      <c r="E25" s="633"/>
      <c r="F25" s="633"/>
      <c r="G25" s="633"/>
      <c r="H25" s="634"/>
      <c r="I25" s="633"/>
      <c r="J25" s="633"/>
      <c r="K25" s="633"/>
      <c r="L25" s="633"/>
      <c r="M25" s="634"/>
      <c r="N25" s="633"/>
      <c r="O25" s="633"/>
      <c r="P25" s="633"/>
      <c r="Q25" s="633"/>
      <c r="R25" s="634"/>
      <c r="S25" s="633"/>
      <c r="T25" s="633"/>
      <c r="U25" s="633"/>
      <c r="V25" s="633"/>
      <c r="W25" s="634">
        <v>1.27</v>
      </c>
      <c r="X25" s="633"/>
      <c r="Y25" s="633"/>
      <c r="Z25" s="633"/>
      <c r="AA25" s="633"/>
      <c r="AB25" s="634">
        <v>1.46</v>
      </c>
      <c r="AC25" s="633"/>
      <c r="AD25" s="633"/>
      <c r="AE25" s="633"/>
      <c r="AF25" s="633"/>
      <c r="AG25" s="634">
        <v>1.06</v>
      </c>
      <c r="AH25" s="633"/>
      <c r="AI25" s="633"/>
      <c r="AJ25" s="633"/>
      <c r="AK25" s="633"/>
      <c r="AL25" s="634">
        <v>0.92</v>
      </c>
      <c r="AM25" s="633"/>
      <c r="AN25" s="633"/>
      <c r="AO25" s="633"/>
      <c r="AP25" s="633"/>
      <c r="AQ25" s="634">
        <v>0.96</v>
      </c>
      <c r="AR25" s="633"/>
      <c r="AS25" s="633"/>
      <c r="AT25" s="633"/>
      <c r="AU25" s="633"/>
      <c r="AV25" s="634">
        <v>0.98</v>
      </c>
    </row>
    <row r="26" spans="1:48" s="936" customFormat="1">
      <c r="B26" s="851" t="s">
        <v>506</v>
      </c>
      <c r="C26" s="937"/>
      <c r="D26" s="633"/>
      <c r="E26" s="633"/>
      <c r="F26" s="633"/>
      <c r="G26" s="633"/>
      <c r="H26" s="634"/>
      <c r="I26" s="633"/>
      <c r="J26" s="633"/>
      <c r="K26" s="633"/>
      <c r="L26" s="633"/>
      <c r="M26" s="634"/>
      <c r="N26" s="633"/>
      <c r="O26" s="633"/>
      <c r="P26" s="633"/>
      <c r="Q26" s="633"/>
      <c r="R26" s="634"/>
      <c r="S26" s="633"/>
      <c r="T26" s="633"/>
      <c r="U26" s="633"/>
      <c r="V26" s="633"/>
      <c r="W26" s="634">
        <v>1.27</v>
      </c>
      <c r="X26" s="633"/>
      <c r="Y26" s="633"/>
      <c r="Z26" s="633"/>
      <c r="AA26" s="633"/>
      <c r="AB26" s="634"/>
      <c r="AC26" s="633"/>
      <c r="AD26" s="633"/>
      <c r="AE26" s="633"/>
      <c r="AF26" s="633"/>
      <c r="AG26" s="634"/>
      <c r="AH26" s="633"/>
      <c r="AI26" s="633"/>
      <c r="AJ26" s="633"/>
      <c r="AK26" s="633"/>
      <c r="AL26" s="634">
        <v>0.98</v>
      </c>
      <c r="AM26" s="633"/>
      <c r="AN26" s="633"/>
      <c r="AO26" s="633"/>
      <c r="AP26" s="633"/>
      <c r="AQ26" s="634">
        <v>1</v>
      </c>
      <c r="AR26" s="633"/>
      <c r="AS26" s="633"/>
      <c r="AT26" s="633"/>
      <c r="AU26" s="633"/>
      <c r="AV26" s="634">
        <v>1.03</v>
      </c>
    </row>
    <row r="27" spans="1:48" s="936" customFormat="1">
      <c r="B27" s="851" t="s">
        <v>471</v>
      </c>
      <c r="C27" s="937"/>
      <c r="D27" s="633"/>
      <c r="E27" s="633"/>
      <c r="F27" s="633"/>
      <c r="G27" s="633"/>
      <c r="H27" s="634"/>
      <c r="I27" s="633"/>
      <c r="J27" s="633"/>
      <c r="K27" s="633"/>
      <c r="L27" s="633"/>
      <c r="M27" s="634"/>
      <c r="N27" s="633"/>
      <c r="O27" s="633"/>
      <c r="P27" s="633"/>
      <c r="Q27" s="633"/>
      <c r="R27" s="634"/>
      <c r="S27" s="633"/>
      <c r="T27" s="633"/>
      <c r="U27" s="633"/>
      <c r="V27" s="633"/>
      <c r="W27" s="634"/>
      <c r="X27" s="633"/>
      <c r="Y27" s="633"/>
      <c r="Z27" s="633"/>
      <c r="AA27" s="633"/>
      <c r="AB27" s="634"/>
      <c r="AC27" s="633"/>
      <c r="AD27" s="633"/>
      <c r="AE27" s="633"/>
      <c r="AF27" s="633"/>
      <c r="AG27" s="634">
        <v>0.11</v>
      </c>
      <c r="AH27" s="633"/>
      <c r="AI27" s="633"/>
      <c r="AJ27" s="633"/>
      <c r="AK27" s="633"/>
      <c r="AL27" s="634">
        <v>0.15</v>
      </c>
      <c r="AM27" s="633"/>
      <c r="AN27" s="633"/>
      <c r="AO27" s="633"/>
      <c r="AP27" s="633"/>
      <c r="AQ27" s="634">
        <v>0.17</v>
      </c>
      <c r="AR27" s="633"/>
      <c r="AS27" s="633"/>
      <c r="AT27" s="633"/>
      <c r="AU27" s="633"/>
      <c r="AV27" s="634">
        <v>0.19</v>
      </c>
    </row>
    <row r="28" spans="1:48" s="617" customFormat="1" ht="6.95" customHeight="1">
      <c r="B28" s="856"/>
      <c r="C28" s="857"/>
      <c r="D28" s="639"/>
      <c r="E28" s="639"/>
      <c r="F28" s="639"/>
      <c r="G28" s="639"/>
      <c r="H28" s="640"/>
      <c r="I28" s="639"/>
      <c r="J28" s="641"/>
      <c r="K28" s="639"/>
      <c r="L28" s="639"/>
      <c r="M28" s="640"/>
      <c r="N28" s="639"/>
      <c r="O28" s="639"/>
      <c r="P28" s="639"/>
      <c r="Q28" s="639"/>
      <c r="R28" s="640"/>
      <c r="S28" s="639"/>
      <c r="T28" s="641"/>
      <c r="U28" s="639"/>
      <c r="V28" s="639"/>
      <c r="W28" s="640"/>
      <c r="X28" s="639"/>
      <c r="Y28" s="639"/>
      <c r="Z28" s="639"/>
      <c r="AA28" s="639"/>
      <c r="AB28" s="640"/>
      <c r="AC28" s="639"/>
      <c r="AD28" s="639"/>
      <c r="AE28" s="639"/>
      <c r="AF28" s="639"/>
      <c r="AG28" s="640"/>
      <c r="AH28" s="639"/>
      <c r="AI28" s="639"/>
      <c r="AJ28" s="639"/>
      <c r="AK28" s="639"/>
      <c r="AL28" s="640"/>
      <c r="AM28" s="639"/>
      <c r="AN28" s="639"/>
      <c r="AO28" s="639"/>
      <c r="AP28" s="639"/>
      <c r="AQ28" s="640"/>
      <c r="AR28" s="639"/>
      <c r="AS28" s="639"/>
      <c r="AT28" s="639"/>
      <c r="AU28" s="639"/>
      <c r="AV28" s="640"/>
    </row>
    <row r="29" spans="1:48" s="617" customFormat="1" ht="13.15">
      <c r="B29" s="630"/>
      <c r="C29" s="627"/>
      <c r="D29" s="629"/>
      <c r="E29" s="629"/>
      <c r="F29" s="629"/>
      <c r="G29" s="629"/>
      <c r="H29" s="627"/>
      <c r="I29" s="629"/>
      <c r="J29" s="627"/>
      <c r="K29" s="629"/>
      <c r="L29" s="629"/>
      <c r="M29" s="627"/>
      <c r="N29" s="629"/>
      <c r="O29" s="629"/>
      <c r="P29" s="629"/>
      <c r="Q29" s="629"/>
      <c r="R29" s="627"/>
      <c r="S29" s="629"/>
      <c r="T29" s="627"/>
      <c r="U29" s="629"/>
      <c r="V29" s="629"/>
      <c r="W29" s="627"/>
      <c r="X29" s="629"/>
      <c r="Y29" s="629"/>
      <c r="Z29" s="629"/>
      <c r="AA29" s="629"/>
      <c r="AB29" s="627"/>
      <c r="AC29" s="629"/>
      <c r="AD29" s="629"/>
      <c r="AE29" s="629"/>
      <c r="AF29" s="629"/>
      <c r="AG29" s="627"/>
      <c r="AH29" s="629"/>
      <c r="AI29" s="629"/>
      <c r="AJ29" s="629"/>
      <c r="AK29" s="629"/>
      <c r="AL29" s="627"/>
      <c r="AM29" s="629"/>
      <c r="AN29" s="629"/>
      <c r="AO29" s="629"/>
      <c r="AP29" s="629"/>
      <c r="AQ29" s="627"/>
      <c r="AR29" s="629"/>
      <c r="AS29" s="629"/>
      <c r="AT29" s="629"/>
      <c r="AU29" s="629"/>
      <c r="AV29" s="627"/>
    </row>
    <row r="30" spans="1:48" hidden="1" outlineLevel="1">
      <c r="D30" s="643"/>
      <c r="E30" s="643"/>
      <c r="F30" s="643"/>
      <c r="G30" s="643"/>
      <c r="H30" s="642"/>
      <c r="I30" s="643"/>
      <c r="J30" s="642"/>
      <c r="K30" s="643"/>
      <c r="L30" s="630" t="s">
        <v>374</v>
      </c>
      <c r="M30" s="642"/>
      <c r="N30" s="643"/>
      <c r="O30" s="643"/>
      <c r="P30" s="643"/>
      <c r="Q30" s="643"/>
      <c r="R30" s="642"/>
      <c r="S30" s="643"/>
      <c r="T30" s="642"/>
      <c r="U30" s="643"/>
      <c r="V30" s="643"/>
      <c r="W30" s="642"/>
      <c r="X30" s="643"/>
      <c r="Y30" s="643"/>
      <c r="Z30" s="643"/>
      <c r="AA30" s="643"/>
      <c r="AB30" s="642"/>
      <c r="AC30" s="643"/>
      <c r="AD30" s="643"/>
      <c r="AE30" s="643"/>
      <c r="AF30" s="643"/>
      <c r="AG30" s="642"/>
      <c r="AH30" s="643"/>
      <c r="AI30" s="643"/>
      <c r="AJ30" s="643"/>
      <c r="AK30" s="643"/>
      <c r="AL30" s="642"/>
      <c r="AM30" s="643"/>
      <c r="AN30" s="643"/>
      <c r="AO30" s="643"/>
      <c r="AP30" s="643"/>
      <c r="AQ30" s="642"/>
      <c r="AR30" s="643"/>
      <c r="AS30" s="643"/>
      <c r="AT30" s="643"/>
      <c r="AU30" s="643"/>
      <c r="AV30" s="642"/>
    </row>
    <row r="31" spans="1:48" hidden="1" outlineLevel="1">
      <c r="B31" s="630"/>
      <c r="D31" s="643"/>
      <c r="E31" s="643"/>
      <c r="F31" s="643"/>
      <c r="G31" s="643"/>
      <c r="H31" s="642"/>
      <c r="I31" s="643"/>
      <c r="J31" s="642"/>
      <c r="K31" s="643"/>
      <c r="L31" s="642"/>
      <c r="M31" s="642"/>
      <c r="N31" s="643"/>
      <c r="O31" s="643"/>
      <c r="P31" s="643"/>
      <c r="Q31" s="643"/>
      <c r="R31" s="642"/>
      <c r="S31" s="643"/>
      <c r="T31" s="642"/>
      <c r="U31" s="643"/>
      <c r="V31" s="643"/>
      <c r="W31" s="642"/>
      <c r="X31" s="643"/>
      <c r="Y31" s="643"/>
      <c r="Z31" s="643"/>
      <c r="AA31" s="643"/>
      <c r="AB31" s="642"/>
      <c r="AC31" s="643"/>
      <c r="AD31" s="643"/>
      <c r="AE31" s="643"/>
      <c r="AF31" s="643"/>
      <c r="AG31" s="642"/>
      <c r="AH31" s="643"/>
      <c r="AI31" s="643"/>
      <c r="AJ31" s="643"/>
      <c r="AK31" s="643"/>
      <c r="AL31" s="642"/>
      <c r="AM31" s="643"/>
      <c r="AN31" s="643"/>
      <c r="AO31" s="643"/>
      <c r="AP31" s="643"/>
      <c r="AQ31" s="642"/>
      <c r="AR31" s="643"/>
      <c r="AS31" s="643"/>
      <c r="AT31" s="643"/>
      <c r="AU31" s="643"/>
      <c r="AV31" s="642"/>
    </row>
    <row r="32" spans="1:48" s="624" customFormat="1" hidden="1" outlineLevel="1">
      <c r="A32" s="618"/>
      <c r="B32" s="644"/>
      <c r="C32" s="618"/>
      <c r="D32" s="645"/>
      <c r="E32" s="645"/>
      <c r="F32" s="645"/>
      <c r="G32" s="645"/>
      <c r="L32" s="644" t="s">
        <v>375</v>
      </c>
      <c r="M32" s="624">
        <v>137</v>
      </c>
      <c r="V32" s="624">
        <v>262</v>
      </c>
    </row>
    <row r="33" spans="2:16384" s="618" customFormat="1" hidden="1" outlineLevel="1">
      <c r="B33" s="644"/>
      <c r="D33" s="645"/>
      <c r="E33" s="645"/>
      <c r="F33" s="645"/>
      <c r="G33" s="645"/>
      <c r="H33" s="644"/>
      <c r="I33" s="645"/>
      <c r="J33" s="644"/>
      <c r="K33" s="645"/>
      <c r="L33" s="644"/>
      <c r="M33" s="644"/>
      <c r="N33" s="645"/>
      <c r="O33" s="645"/>
      <c r="P33" s="645"/>
      <c r="Q33" s="645"/>
      <c r="R33" s="644"/>
      <c r="S33" s="645"/>
      <c r="T33" s="644"/>
      <c r="U33" s="645"/>
      <c r="V33" s="645"/>
      <c r="W33" s="644"/>
      <c r="X33" s="645"/>
      <c r="Y33" s="645"/>
      <c r="Z33" s="645"/>
      <c r="AA33" s="645"/>
      <c r="AB33" s="644"/>
      <c r="AC33" s="645"/>
      <c r="AD33" s="645"/>
      <c r="AE33" s="645"/>
      <c r="AF33" s="645"/>
      <c r="AG33" s="644"/>
      <c r="AH33" s="645"/>
      <c r="AI33" s="645"/>
      <c r="AJ33" s="645"/>
      <c r="AK33" s="645"/>
      <c r="AL33" s="644"/>
      <c r="AM33" s="645"/>
      <c r="AN33" s="645"/>
      <c r="AO33" s="645"/>
      <c r="AP33" s="645"/>
      <c r="AQ33" s="644"/>
      <c r="AR33" s="645"/>
      <c r="AS33" s="645"/>
      <c r="AT33" s="645"/>
      <c r="AU33" s="645"/>
      <c r="AV33" s="644"/>
    </row>
    <row r="34" spans="2:16384" s="618" customFormat="1" hidden="1" outlineLevel="1">
      <c r="B34" s="644"/>
      <c r="D34" s="645"/>
      <c r="E34" s="645"/>
      <c r="F34" s="645"/>
      <c r="G34" s="645"/>
      <c r="H34" s="644"/>
      <c r="I34" s="645"/>
      <c r="J34" s="644"/>
      <c r="K34" s="645"/>
      <c r="L34" s="644"/>
      <c r="M34" s="644"/>
      <c r="N34" s="645"/>
      <c r="O34" s="645"/>
      <c r="P34" s="645"/>
      <c r="Q34" s="645"/>
      <c r="R34" s="644"/>
      <c r="S34" s="645"/>
      <c r="T34" s="644"/>
      <c r="U34" s="645"/>
      <c r="V34" s="645"/>
      <c r="W34" s="644"/>
      <c r="X34" s="645"/>
      <c r="Y34" s="645"/>
      <c r="Z34" s="645"/>
      <c r="AA34" s="645"/>
      <c r="AB34" s="644"/>
      <c r="AC34" s="645"/>
      <c r="AD34" s="645"/>
      <c r="AE34" s="645"/>
      <c r="AF34" s="645"/>
      <c r="AG34" s="644"/>
      <c r="AH34" s="645"/>
      <c r="AI34" s="645"/>
      <c r="AJ34" s="645"/>
      <c r="AK34" s="645"/>
      <c r="AL34" s="644"/>
      <c r="AM34" s="645"/>
      <c r="AN34" s="645"/>
      <c r="AO34" s="645"/>
      <c r="AP34" s="645"/>
      <c r="AQ34" s="644"/>
      <c r="AR34" s="645"/>
      <c r="AS34" s="645"/>
      <c r="AT34" s="645"/>
      <c r="AU34" s="645"/>
      <c r="AV34" s="644"/>
    </row>
    <row r="35" spans="2:16384" s="618" customFormat="1" hidden="1" outlineLevel="1">
      <c r="B35" s="644"/>
      <c r="D35" s="645"/>
      <c r="E35" s="645"/>
      <c r="F35" s="645"/>
      <c r="G35" s="645"/>
      <c r="H35" s="624"/>
      <c r="I35" s="624"/>
      <c r="J35" s="624"/>
      <c r="K35" s="624"/>
      <c r="L35" s="644" t="s">
        <v>376</v>
      </c>
      <c r="M35" s="624">
        <v>77</v>
      </c>
      <c r="N35" s="624"/>
      <c r="O35" s="624"/>
      <c r="P35" s="624"/>
      <c r="Q35" s="624">
        <v>113</v>
      </c>
      <c r="R35" s="624"/>
      <c r="S35" s="624"/>
      <c r="T35" s="624"/>
      <c r="U35" s="624"/>
      <c r="V35" s="624">
        <v>141</v>
      </c>
      <c r="W35" s="624"/>
      <c r="X35" s="624">
        <v>157</v>
      </c>
      <c r="Y35" s="624"/>
      <c r="Z35" s="624"/>
      <c r="AA35" s="624">
        <v>214</v>
      </c>
      <c r="AB35" s="624"/>
      <c r="AC35" s="624"/>
      <c r="AD35" s="624"/>
      <c r="AE35" s="624"/>
      <c r="AF35" s="624">
        <v>265</v>
      </c>
      <c r="AG35" s="624"/>
      <c r="AH35" s="624"/>
      <c r="AI35" s="624"/>
      <c r="AJ35" s="624"/>
      <c r="AK35" s="624"/>
      <c r="AL35" s="624"/>
      <c r="AM35" s="624"/>
      <c r="AN35" s="624"/>
      <c r="AO35" s="624"/>
      <c r="AP35" s="624"/>
      <c r="AQ35" s="624"/>
      <c r="AR35" s="624"/>
      <c r="AS35" s="624"/>
      <c r="AT35" s="624"/>
      <c r="AU35" s="624"/>
      <c r="AV35" s="624"/>
      <c r="AW35" s="624"/>
      <c r="AX35" s="624"/>
      <c r="AY35" s="624"/>
      <c r="AZ35" s="624"/>
      <c r="BA35" s="624"/>
      <c r="BB35" s="624"/>
      <c r="BC35" s="624"/>
      <c r="BD35" s="624"/>
      <c r="BE35" s="624"/>
      <c r="BF35" s="624"/>
      <c r="BG35" s="624"/>
      <c r="BH35" s="624"/>
      <c r="BI35" s="624"/>
      <c r="BJ35" s="624"/>
      <c r="BK35" s="624"/>
      <c r="BL35" s="624"/>
      <c r="BM35" s="624"/>
      <c r="BN35" s="624"/>
      <c r="BO35" s="624"/>
      <c r="BP35" s="624"/>
      <c r="BQ35" s="624"/>
      <c r="BR35" s="624"/>
      <c r="BS35" s="624"/>
      <c r="BT35" s="624"/>
      <c r="BU35" s="624"/>
      <c r="BV35" s="624"/>
      <c r="BW35" s="624"/>
      <c r="BX35" s="624"/>
      <c r="BY35" s="624"/>
      <c r="BZ35" s="624"/>
      <c r="CA35" s="624"/>
      <c r="CB35" s="624"/>
      <c r="CC35" s="624"/>
      <c r="CD35" s="624"/>
      <c r="CE35" s="624"/>
      <c r="CF35" s="624"/>
      <c r="CG35" s="624"/>
      <c r="CH35" s="624"/>
      <c r="CI35" s="624"/>
      <c r="CJ35" s="624"/>
      <c r="CK35" s="624"/>
      <c r="CL35" s="624"/>
      <c r="CM35" s="624"/>
      <c r="CN35" s="624"/>
      <c r="CO35" s="624"/>
      <c r="CP35" s="624"/>
      <c r="CQ35" s="624"/>
      <c r="CR35" s="624"/>
      <c r="CS35" s="624"/>
      <c r="CT35" s="624"/>
      <c r="CU35" s="624"/>
      <c r="CV35" s="624"/>
      <c r="CW35" s="624"/>
      <c r="CX35" s="624"/>
      <c r="CY35" s="624"/>
      <c r="CZ35" s="624"/>
      <c r="DA35" s="624"/>
      <c r="DB35" s="624"/>
      <c r="DC35" s="624"/>
      <c r="DD35" s="624"/>
      <c r="DE35" s="624"/>
      <c r="DF35" s="624"/>
      <c r="DG35" s="624"/>
      <c r="DH35" s="624"/>
      <c r="DI35" s="624"/>
      <c r="DJ35" s="624"/>
      <c r="DK35" s="624"/>
      <c r="DL35" s="624"/>
      <c r="DM35" s="624"/>
      <c r="DN35" s="624"/>
      <c r="DO35" s="624"/>
      <c r="DP35" s="624"/>
      <c r="DQ35" s="624"/>
      <c r="DR35" s="624"/>
      <c r="DS35" s="624"/>
      <c r="DT35" s="624"/>
      <c r="DU35" s="624"/>
      <c r="DV35" s="624"/>
      <c r="DW35" s="624"/>
      <c r="DX35" s="624"/>
      <c r="DY35" s="624"/>
      <c r="DZ35" s="624"/>
      <c r="EA35" s="624"/>
      <c r="EB35" s="624"/>
      <c r="EC35" s="624"/>
      <c r="ED35" s="624"/>
      <c r="EE35" s="624"/>
      <c r="EF35" s="624"/>
      <c r="EG35" s="624"/>
      <c r="EH35" s="624"/>
      <c r="EI35" s="624"/>
      <c r="EJ35" s="624"/>
      <c r="EK35" s="624"/>
      <c r="EL35" s="624"/>
      <c r="EM35" s="624"/>
      <c r="EN35" s="624"/>
      <c r="EO35" s="624"/>
      <c r="EP35" s="624"/>
      <c r="EQ35" s="624"/>
      <c r="ER35" s="624"/>
      <c r="ES35" s="624"/>
      <c r="ET35" s="624"/>
      <c r="EU35" s="624"/>
      <c r="EV35" s="624"/>
      <c r="EW35" s="624"/>
      <c r="EX35" s="624"/>
      <c r="EY35" s="624"/>
      <c r="EZ35" s="624"/>
      <c r="FA35" s="624"/>
      <c r="FB35" s="624"/>
      <c r="FC35" s="624"/>
      <c r="FD35" s="624"/>
      <c r="FE35" s="624"/>
      <c r="FF35" s="624"/>
      <c r="FG35" s="624"/>
      <c r="FH35" s="624"/>
      <c r="FI35" s="624"/>
      <c r="FJ35" s="624"/>
      <c r="FK35" s="624"/>
      <c r="FL35" s="624"/>
      <c r="FM35" s="624"/>
      <c r="FN35" s="624"/>
      <c r="FO35" s="624"/>
      <c r="FP35" s="624"/>
      <c r="FQ35" s="624"/>
      <c r="FR35" s="624"/>
      <c r="FS35" s="624"/>
      <c r="FT35" s="624"/>
      <c r="FU35" s="624"/>
      <c r="FV35" s="624"/>
      <c r="FW35" s="624"/>
      <c r="FX35" s="624"/>
      <c r="FY35" s="624"/>
      <c r="FZ35" s="624"/>
      <c r="GA35" s="624"/>
      <c r="GB35" s="624"/>
      <c r="GC35" s="624"/>
      <c r="GD35" s="624"/>
      <c r="GE35" s="624"/>
      <c r="GF35" s="624"/>
      <c r="GG35" s="624"/>
      <c r="GH35" s="624"/>
      <c r="GI35" s="624"/>
      <c r="GJ35" s="624"/>
      <c r="GK35" s="624"/>
      <c r="GL35" s="624"/>
      <c r="GM35" s="624"/>
      <c r="GN35" s="624"/>
      <c r="GO35" s="624"/>
      <c r="GP35" s="624"/>
      <c r="GQ35" s="624"/>
      <c r="GR35" s="624"/>
      <c r="GS35" s="624"/>
      <c r="GT35" s="624"/>
      <c r="GU35" s="624"/>
      <c r="GV35" s="624"/>
      <c r="GW35" s="624"/>
      <c r="GX35" s="624"/>
      <c r="GY35" s="624"/>
      <c r="GZ35" s="624"/>
      <c r="HA35" s="624"/>
      <c r="HB35" s="624"/>
      <c r="HC35" s="624"/>
      <c r="HD35" s="624"/>
      <c r="HE35" s="624"/>
      <c r="HF35" s="624"/>
      <c r="HG35" s="624"/>
      <c r="HH35" s="624"/>
      <c r="HI35" s="624"/>
      <c r="HJ35" s="624"/>
      <c r="HK35" s="624"/>
      <c r="HL35" s="624"/>
      <c r="HM35" s="624"/>
      <c r="HN35" s="624"/>
      <c r="HO35" s="624"/>
      <c r="HP35" s="624"/>
      <c r="HQ35" s="624"/>
      <c r="HR35" s="624"/>
      <c r="HS35" s="624"/>
      <c r="HT35" s="624"/>
      <c r="HU35" s="624"/>
      <c r="HV35" s="624"/>
      <c r="HW35" s="624"/>
      <c r="HX35" s="624"/>
      <c r="HY35" s="624"/>
      <c r="HZ35" s="624"/>
      <c r="IA35" s="624"/>
      <c r="IB35" s="624"/>
      <c r="IC35" s="624"/>
      <c r="ID35" s="624"/>
      <c r="IE35" s="624"/>
      <c r="IF35" s="624"/>
      <c r="IG35" s="624"/>
      <c r="IH35" s="624"/>
      <c r="II35" s="624"/>
      <c r="IJ35" s="624"/>
      <c r="IK35" s="624"/>
      <c r="IL35" s="624"/>
      <c r="IM35" s="624"/>
      <c r="IN35" s="624"/>
      <c r="IO35" s="624"/>
      <c r="IP35" s="624"/>
      <c r="IQ35" s="624"/>
      <c r="IR35" s="624"/>
      <c r="IS35" s="624"/>
      <c r="IT35" s="624"/>
      <c r="IU35" s="624"/>
      <c r="IV35" s="624"/>
      <c r="IW35" s="624"/>
      <c r="IX35" s="624"/>
      <c r="IY35" s="624"/>
      <c r="IZ35" s="624"/>
      <c r="JA35" s="624"/>
      <c r="JB35" s="624"/>
      <c r="JC35" s="624"/>
      <c r="JD35" s="624"/>
      <c r="JE35" s="624"/>
      <c r="JF35" s="624"/>
      <c r="JG35" s="624"/>
      <c r="JH35" s="624"/>
      <c r="JI35" s="624"/>
      <c r="JJ35" s="624"/>
      <c r="JK35" s="624"/>
      <c r="JL35" s="624"/>
      <c r="JM35" s="624"/>
      <c r="JN35" s="624"/>
      <c r="JO35" s="624"/>
      <c r="JP35" s="624"/>
      <c r="JQ35" s="624"/>
      <c r="JR35" s="624"/>
      <c r="JS35" s="624"/>
      <c r="JT35" s="624"/>
      <c r="JU35" s="624"/>
      <c r="JV35" s="624"/>
      <c r="JW35" s="624"/>
      <c r="JX35" s="624"/>
      <c r="JY35" s="624"/>
      <c r="JZ35" s="624"/>
      <c r="KA35" s="624"/>
      <c r="KB35" s="624"/>
      <c r="KC35" s="624"/>
      <c r="KD35" s="624"/>
      <c r="KE35" s="624"/>
      <c r="KF35" s="624"/>
      <c r="KG35" s="624"/>
      <c r="KH35" s="624"/>
      <c r="KI35" s="624"/>
      <c r="KJ35" s="624"/>
      <c r="KK35" s="624"/>
      <c r="KL35" s="624"/>
      <c r="KM35" s="624"/>
      <c r="KN35" s="624"/>
      <c r="KO35" s="624"/>
      <c r="KP35" s="624"/>
      <c r="KQ35" s="624"/>
      <c r="KR35" s="624"/>
      <c r="KS35" s="624"/>
      <c r="KT35" s="624"/>
      <c r="KU35" s="624"/>
      <c r="KV35" s="624"/>
      <c r="KW35" s="624"/>
      <c r="KX35" s="624"/>
      <c r="KY35" s="624"/>
      <c r="KZ35" s="624"/>
      <c r="LA35" s="624"/>
      <c r="LB35" s="624"/>
      <c r="LC35" s="624"/>
      <c r="LD35" s="624"/>
      <c r="LE35" s="624"/>
      <c r="LF35" s="624"/>
      <c r="LG35" s="624"/>
      <c r="LH35" s="624"/>
      <c r="LI35" s="624"/>
      <c r="LJ35" s="624"/>
      <c r="LK35" s="624"/>
      <c r="LL35" s="624"/>
      <c r="LM35" s="624"/>
      <c r="LN35" s="624"/>
      <c r="LO35" s="624"/>
      <c r="LP35" s="624"/>
      <c r="LQ35" s="624"/>
      <c r="LR35" s="624"/>
      <c r="LS35" s="624"/>
      <c r="LT35" s="624"/>
      <c r="LU35" s="624"/>
      <c r="LV35" s="624"/>
      <c r="LW35" s="624"/>
      <c r="LX35" s="624"/>
      <c r="LY35" s="624"/>
      <c r="LZ35" s="624"/>
      <c r="MA35" s="624"/>
      <c r="MB35" s="624"/>
      <c r="MC35" s="624"/>
      <c r="MD35" s="624"/>
      <c r="ME35" s="624"/>
      <c r="MF35" s="624"/>
      <c r="MG35" s="624"/>
      <c r="MH35" s="624"/>
      <c r="MI35" s="624"/>
      <c r="MJ35" s="624"/>
      <c r="MK35" s="624"/>
      <c r="ML35" s="624"/>
      <c r="MM35" s="624"/>
      <c r="MN35" s="624"/>
      <c r="MO35" s="624"/>
      <c r="MP35" s="624"/>
      <c r="MQ35" s="624"/>
      <c r="MR35" s="624"/>
      <c r="MS35" s="624"/>
      <c r="MT35" s="624"/>
      <c r="MU35" s="624"/>
      <c r="MV35" s="624"/>
      <c r="MW35" s="624"/>
      <c r="MX35" s="624"/>
      <c r="MY35" s="624"/>
      <c r="MZ35" s="624"/>
      <c r="NA35" s="624"/>
      <c r="NB35" s="624"/>
      <c r="NC35" s="624"/>
      <c r="ND35" s="624"/>
      <c r="NE35" s="624"/>
      <c r="NF35" s="624"/>
      <c r="NG35" s="624"/>
      <c r="NH35" s="624"/>
      <c r="NI35" s="624"/>
      <c r="NJ35" s="624"/>
      <c r="NK35" s="624"/>
      <c r="NL35" s="624"/>
      <c r="NM35" s="624"/>
      <c r="NN35" s="624"/>
      <c r="NO35" s="624"/>
      <c r="NP35" s="624"/>
      <c r="NQ35" s="624"/>
      <c r="NR35" s="624"/>
      <c r="NS35" s="624"/>
      <c r="NT35" s="624"/>
      <c r="NU35" s="624"/>
      <c r="NV35" s="624"/>
      <c r="NW35" s="624"/>
      <c r="NX35" s="624"/>
      <c r="NY35" s="624"/>
      <c r="NZ35" s="624"/>
      <c r="OA35" s="624"/>
      <c r="OB35" s="624"/>
      <c r="OC35" s="624"/>
      <c r="OD35" s="624"/>
      <c r="OE35" s="624"/>
      <c r="OF35" s="624"/>
      <c r="OG35" s="624"/>
      <c r="OH35" s="624"/>
      <c r="OI35" s="624"/>
      <c r="OJ35" s="624"/>
      <c r="OK35" s="624"/>
      <c r="OL35" s="624"/>
      <c r="OM35" s="624"/>
      <c r="ON35" s="624"/>
      <c r="OO35" s="624"/>
      <c r="OP35" s="624"/>
      <c r="OQ35" s="624"/>
      <c r="OR35" s="624"/>
      <c r="OS35" s="624"/>
      <c r="OT35" s="624"/>
      <c r="OU35" s="624"/>
      <c r="OV35" s="624"/>
      <c r="OW35" s="624"/>
      <c r="OX35" s="624"/>
      <c r="OY35" s="624"/>
      <c r="OZ35" s="624"/>
      <c r="PA35" s="624"/>
      <c r="PB35" s="624"/>
      <c r="PC35" s="624"/>
      <c r="PD35" s="624"/>
      <c r="PE35" s="624"/>
      <c r="PF35" s="624"/>
      <c r="PG35" s="624"/>
      <c r="PH35" s="624"/>
      <c r="PI35" s="624"/>
      <c r="PJ35" s="624"/>
      <c r="PK35" s="624"/>
      <c r="PL35" s="624"/>
      <c r="PM35" s="624"/>
      <c r="PN35" s="624"/>
      <c r="PO35" s="624"/>
      <c r="PP35" s="624"/>
      <c r="PQ35" s="624"/>
      <c r="PR35" s="624"/>
      <c r="PS35" s="624"/>
      <c r="PT35" s="624"/>
      <c r="PU35" s="624"/>
      <c r="PV35" s="624"/>
      <c r="PW35" s="624"/>
      <c r="PX35" s="624"/>
      <c r="PY35" s="624"/>
      <c r="PZ35" s="624"/>
      <c r="QA35" s="624"/>
      <c r="QB35" s="624"/>
      <c r="QC35" s="624"/>
      <c r="QD35" s="624"/>
      <c r="QE35" s="624"/>
      <c r="QF35" s="624"/>
      <c r="QG35" s="624"/>
      <c r="QH35" s="624"/>
      <c r="QI35" s="624"/>
      <c r="QJ35" s="624"/>
      <c r="QK35" s="624"/>
      <c r="QL35" s="624"/>
      <c r="QM35" s="624"/>
      <c r="QN35" s="624"/>
      <c r="QO35" s="624"/>
      <c r="QP35" s="624"/>
      <c r="QQ35" s="624"/>
      <c r="QR35" s="624"/>
      <c r="QS35" s="624"/>
      <c r="QT35" s="624"/>
      <c r="QU35" s="624"/>
      <c r="QV35" s="624"/>
      <c r="QW35" s="624"/>
      <c r="QX35" s="624"/>
      <c r="QY35" s="624"/>
      <c r="QZ35" s="624"/>
      <c r="RA35" s="624"/>
      <c r="RB35" s="624"/>
      <c r="RC35" s="624"/>
      <c r="RD35" s="624"/>
      <c r="RE35" s="624"/>
      <c r="RF35" s="624"/>
      <c r="RG35" s="624"/>
      <c r="RH35" s="624"/>
      <c r="RI35" s="624"/>
      <c r="RJ35" s="624"/>
      <c r="RK35" s="624"/>
      <c r="RL35" s="624"/>
      <c r="RM35" s="624"/>
      <c r="RN35" s="624"/>
      <c r="RO35" s="624"/>
      <c r="RP35" s="624"/>
      <c r="RQ35" s="624"/>
      <c r="RR35" s="624"/>
      <c r="RS35" s="624"/>
      <c r="RT35" s="624"/>
      <c r="RU35" s="624"/>
      <c r="RV35" s="624"/>
      <c r="RW35" s="624"/>
      <c r="RX35" s="624"/>
      <c r="RY35" s="624"/>
      <c r="RZ35" s="624"/>
      <c r="SA35" s="624"/>
      <c r="SB35" s="624"/>
      <c r="SC35" s="624"/>
      <c r="SD35" s="624"/>
      <c r="SE35" s="624"/>
      <c r="SF35" s="624"/>
      <c r="SG35" s="624"/>
      <c r="SH35" s="624"/>
      <c r="SI35" s="624"/>
      <c r="SJ35" s="624"/>
      <c r="SK35" s="624"/>
      <c r="SL35" s="624"/>
      <c r="SM35" s="624"/>
      <c r="SN35" s="624"/>
      <c r="SO35" s="624"/>
      <c r="SP35" s="624"/>
      <c r="SQ35" s="624"/>
      <c r="SR35" s="624"/>
      <c r="SS35" s="624"/>
      <c r="ST35" s="624"/>
      <c r="SU35" s="624"/>
      <c r="SV35" s="624"/>
      <c r="SW35" s="624"/>
      <c r="SX35" s="624"/>
      <c r="SY35" s="624"/>
      <c r="SZ35" s="624"/>
      <c r="TA35" s="624"/>
      <c r="TB35" s="624"/>
      <c r="TC35" s="624"/>
      <c r="TD35" s="624"/>
      <c r="TE35" s="624"/>
      <c r="TF35" s="624"/>
      <c r="TG35" s="624"/>
      <c r="TH35" s="624"/>
      <c r="TI35" s="624"/>
      <c r="TJ35" s="624"/>
      <c r="TK35" s="624"/>
      <c r="TL35" s="624"/>
      <c r="TM35" s="624"/>
      <c r="TN35" s="624"/>
      <c r="TO35" s="624"/>
      <c r="TP35" s="624"/>
      <c r="TQ35" s="624"/>
      <c r="TR35" s="624"/>
      <c r="TS35" s="624"/>
      <c r="TT35" s="624"/>
      <c r="TU35" s="624"/>
      <c r="TV35" s="624"/>
      <c r="TW35" s="624"/>
      <c r="TX35" s="624"/>
      <c r="TY35" s="624"/>
      <c r="TZ35" s="624"/>
      <c r="UA35" s="624"/>
      <c r="UB35" s="624"/>
      <c r="UC35" s="624"/>
      <c r="UD35" s="624"/>
      <c r="UE35" s="624"/>
      <c r="UF35" s="624"/>
      <c r="UG35" s="624"/>
      <c r="UH35" s="624"/>
      <c r="UI35" s="624"/>
      <c r="UJ35" s="624"/>
      <c r="UK35" s="624"/>
      <c r="UL35" s="624"/>
      <c r="UM35" s="624"/>
      <c r="UN35" s="624"/>
      <c r="UO35" s="624"/>
      <c r="UP35" s="624"/>
      <c r="UQ35" s="624"/>
      <c r="UR35" s="624"/>
      <c r="US35" s="624"/>
      <c r="UT35" s="624"/>
      <c r="UU35" s="624"/>
      <c r="UV35" s="624"/>
      <c r="UW35" s="624"/>
      <c r="UX35" s="624"/>
      <c r="UY35" s="624"/>
      <c r="UZ35" s="624"/>
      <c r="VA35" s="624"/>
      <c r="VB35" s="624"/>
      <c r="VC35" s="624"/>
      <c r="VD35" s="624"/>
      <c r="VE35" s="624"/>
      <c r="VF35" s="624"/>
      <c r="VG35" s="624"/>
      <c r="VH35" s="624"/>
      <c r="VI35" s="624"/>
      <c r="VJ35" s="624"/>
      <c r="VK35" s="624"/>
      <c r="VL35" s="624"/>
      <c r="VM35" s="624"/>
      <c r="VN35" s="624"/>
      <c r="VO35" s="624"/>
      <c r="VP35" s="624"/>
      <c r="VQ35" s="624"/>
      <c r="VR35" s="624"/>
      <c r="VS35" s="624"/>
      <c r="VT35" s="624"/>
      <c r="VU35" s="624"/>
      <c r="VV35" s="624"/>
      <c r="VW35" s="624"/>
      <c r="VX35" s="624"/>
      <c r="VY35" s="624"/>
      <c r="VZ35" s="624"/>
      <c r="WA35" s="624"/>
      <c r="WB35" s="624"/>
      <c r="WC35" s="624"/>
      <c r="WD35" s="624"/>
      <c r="WE35" s="624"/>
      <c r="WF35" s="624"/>
      <c r="WG35" s="624"/>
      <c r="WH35" s="624"/>
      <c r="WI35" s="624"/>
      <c r="WJ35" s="624"/>
      <c r="WK35" s="624"/>
      <c r="WL35" s="624"/>
      <c r="WM35" s="624"/>
      <c r="WN35" s="624"/>
      <c r="WO35" s="624"/>
      <c r="WP35" s="624"/>
      <c r="WQ35" s="624"/>
      <c r="WR35" s="624"/>
      <c r="WS35" s="624"/>
      <c r="WT35" s="624"/>
      <c r="WU35" s="624"/>
      <c r="WV35" s="624"/>
      <c r="WW35" s="624"/>
      <c r="WX35" s="624"/>
      <c r="WY35" s="624"/>
      <c r="WZ35" s="624"/>
      <c r="XA35" s="624"/>
      <c r="XB35" s="624"/>
      <c r="XC35" s="624"/>
      <c r="XD35" s="624"/>
      <c r="XE35" s="624"/>
      <c r="XF35" s="624"/>
      <c r="XG35" s="624"/>
      <c r="XH35" s="624"/>
      <c r="XI35" s="624"/>
      <c r="XJ35" s="624"/>
      <c r="XK35" s="624"/>
      <c r="XL35" s="624"/>
      <c r="XM35" s="624"/>
      <c r="XN35" s="624"/>
      <c r="XO35" s="624"/>
      <c r="XP35" s="624"/>
      <c r="XQ35" s="624"/>
      <c r="XR35" s="624"/>
      <c r="XS35" s="624"/>
      <c r="XT35" s="624"/>
      <c r="XU35" s="624"/>
      <c r="XV35" s="624"/>
      <c r="XW35" s="624"/>
      <c r="XX35" s="624"/>
      <c r="XY35" s="624"/>
      <c r="XZ35" s="624"/>
      <c r="YA35" s="624"/>
      <c r="YB35" s="624"/>
      <c r="YC35" s="624"/>
      <c r="YD35" s="624"/>
      <c r="YE35" s="624"/>
      <c r="YF35" s="624"/>
      <c r="YG35" s="624"/>
      <c r="YH35" s="624"/>
      <c r="YI35" s="624"/>
      <c r="YJ35" s="624"/>
      <c r="YK35" s="624"/>
      <c r="YL35" s="624"/>
      <c r="YM35" s="624"/>
      <c r="YN35" s="624"/>
      <c r="YO35" s="624"/>
      <c r="YP35" s="624"/>
      <c r="YQ35" s="624"/>
      <c r="YR35" s="624"/>
      <c r="YS35" s="624"/>
      <c r="YT35" s="624"/>
      <c r="YU35" s="624"/>
      <c r="YV35" s="624"/>
      <c r="YW35" s="624"/>
      <c r="YX35" s="624"/>
      <c r="YY35" s="624"/>
      <c r="YZ35" s="624"/>
      <c r="ZA35" s="624"/>
      <c r="ZB35" s="624"/>
      <c r="ZC35" s="624"/>
      <c r="ZD35" s="624"/>
      <c r="ZE35" s="624"/>
      <c r="ZF35" s="624"/>
      <c r="ZG35" s="624"/>
      <c r="ZH35" s="624"/>
      <c r="ZI35" s="624"/>
      <c r="ZJ35" s="624"/>
      <c r="ZK35" s="624"/>
      <c r="ZL35" s="624"/>
      <c r="ZM35" s="624"/>
      <c r="ZN35" s="624"/>
      <c r="ZO35" s="624"/>
      <c r="ZP35" s="624"/>
      <c r="ZQ35" s="624"/>
      <c r="ZR35" s="624"/>
      <c r="ZS35" s="624"/>
      <c r="ZT35" s="624"/>
      <c r="ZU35" s="624"/>
      <c r="ZV35" s="624"/>
      <c r="ZW35" s="624"/>
      <c r="ZX35" s="624"/>
      <c r="ZY35" s="624"/>
      <c r="ZZ35" s="624"/>
      <c r="AAA35" s="624"/>
      <c r="AAB35" s="624"/>
      <c r="AAC35" s="624"/>
      <c r="AAD35" s="624"/>
      <c r="AAE35" s="624"/>
      <c r="AAF35" s="624"/>
      <c r="AAG35" s="624"/>
      <c r="AAH35" s="624"/>
      <c r="AAI35" s="624"/>
      <c r="AAJ35" s="624"/>
      <c r="AAK35" s="624"/>
      <c r="AAL35" s="624"/>
      <c r="AAM35" s="624"/>
      <c r="AAN35" s="624"/>
      <c r="AAO35" s="624"/>
      <c r="AAP35" s="624"/>
      <c r="AAQ35" s="624"/>
      <c r="AAR35" s="624"/>
      <c r="AAS35" s="624"/>
      <c r="AAT35" s="624"/>
      <c r="AAU35" s="624"/>
      <c r="AAV35" s="624"/>
      <c r="AAW35" s="624"/>
      <c r="AAX35" s="624"/>
      <c r="AAY35" s="624"/>
      <c r="AAZ35" s="624"/>
      <c r="ABA35" s="624"/>
      <c r="ABB35" s="624"/>
      <c r="ABC35" s="624"/>
      <c r="ABD35" s="624"/>
      <c r="ABE35" s="624"/>
      <c r="ABF35" s="624"/>
      <c r="ABG35" s="624"/>
      <c r="ABH35" s="624"/>
      <c r="ABI35" s="624"/>
      <c r="ABJ35" s="624"/>
      <c r="ABK35" s="624"/>
      <c r="ABL35" s="624"/>
      <c r="ABM35" s="624"/>
      <c r="ABN35" s="624"/>
      <c r="ABO35" s="624"/>
      <c r="ABP35" s="624"/>
      <c r="ABQ35" s="624"/>
      <c r="ABR35" s="624"/>
      <c r="ABS35" s="624"/>
      <c r="ABT35" s="624"/>
      <c r="ABU35" s="624"/>
      <c r="ABV35" s="624"/>
      <c r="ABW35" s="624"/>
      <c r="ABX35" s="624"/>
      <c r="ABY35" s="624"/>
      <c r="ABZ35" s="624"/>
      <c r="ACA35" s="624"/>
      <c r="ACB35" s="624"/>
      <c r="ACC35" s="624"/>
      <c r="ACD35" s="624"/>
      <c r="ACE35" s="624"/>
      <c r="ACF35" s="624"/>
      <c r="ACG35" s="624"/>
      <c r="ACH35" s="624"/>
      <c r="ACI35" s="624"/>
      <c r="ACJ35" s="624"/>
      <c r="ACK35" s="624"/>
      <c r="ACL35" s="624"/>
      <c r="ACM35" s="624"/>
      <c r="ACN35" s="624"/>
      <c r="ACO35" s="624"/>
      <c r="ACP35" s="624"/>
      <c r="ACQ35" s="624"/>
      <c r="ACR35" s="624"/>
      <c r="ACS35" s="624"/>
      <c r="ACT35" s="624"/>
      <c r="ACU35" s="624"/>
      <c r="ACV35" s="624"/>
      <c r="ACW35" s="624"/>
      <c r="ACX35" s="624"/>
      <c r="ACY35" s="624"/>
      <c r="ACZ35" s="624"/>
      <c r="ADA35" s="624"/>
      <c r="ADB35" s="624"/>
      <c r="ADC35" s="624"/>
      <c r="ADD35" s="624"/>
      <c r="ADE35" s="624"/>
      <c r="ADF35" s="624"/>
      <c r="ADG35" s="624"/>
      <c r="ADH35" s="624"/>
      <c r="ADI35" s="624"/>
      <c r="ADJ35" s="624"/>
      <c r="ADK35" s="624"/>
      <c r="ADL35" s="624"/>
      <c r="ADM35" s="624"/>
      <c r="ADN35" s="624"/>
      <c r="ADO35" s="624"/>
      <c r="ADP35" s="624"/>
      <c r="ADQ35" s="624"/>
      <c r="ADR35" s="624"/>
      <c r="ADS35" s="624"/>
      <c r="ADT35" s="624"/>
      <c r="ADU35" s="624"/>
      <c r="ADV35" s="624"/>
      <c r="ADW35" s="624"/>
      <c r="ADX35" s="624"/>
      <c r="ADY35" s="624"/>
      <c r="ADZ35" s="624"/>
      <c r="AEA35" s="624"/>
      <c r="AEB35" s="624"/>
      <c r="AEC35" s="624"/>
      <c r="AED35" s="624"/>
      <c r="AEE35" s="624"/>
      <c r="AEF35" s="624"/>
      <c r="AEG35" s="624"/>
      <c r="AEH35" s="624"/>
      <c r="AEI35" s="624"/>
      <c r="AEJ35" s="624"/>
      <c r="AEK35" s="624"/>
      <c r="AEL35" s="624"/>
      <c r="AEM35" s="624"/>
      <c r="AEN35" s="624"/>
      <c r="AEO35" s="624"/>
      <c r="AEP35" s="624"/>
      <c r="AEQ35" s="624"/>
      <c r="AER35" s="624"/>
      <c r="AES35" s="624"/>
      <c r="AET35" s="624"/>
      <c r="AEU35" s="624"/>
      <c r="AEV35" s="624"/>
      <c r="AEW35" s="624"/>
      <c r="AEX35" s="624"/>
      <c r="AEY35" s="624"/>
      <c r="AEZ35" s="624"/>
      <c r="AFA35" s="624"/>
      <c r="AFB35" s="624"/>
      <c r="AFC35" s="624"/>
      <c r="AFD35" s="624"/>
      <c r="AFE35" s="624"/>
      <c r="AFF35" s="624"/>
      <c r="AFG35" s="624"/>
      <c r="AFH35" s="624"/>
      <c r="AFI35" s="624"/>
      <c r="AFJ35" s="624"/>
      <c r="AFK35" s="624"/>
      <c r="AFL35" s="624"/>
      <c r="AFM35" s="624"/>
      <c r="AFN35" s="624"/>
      <c r="AFO35" s="624"/>
      <c r="AFP35" s="624"/>
      <c r="AFQ35" s="624"/>
      <c r="AFR35" s="624"/>
      <c r="AFS35" s="624"/>
      <c r="AFT35" s="624"/>
      <c r="AFU35" s="624"/>
      <c r="AFV35" s="624"/>
      <c r="AFW35" s="624"/>
      <c r="AFX35" s="624"/>
      <c r="AFY35" s="624"/>
      <c r="AFZ35" s="624"/>
      <c r="AGA35" s="624"/>
      <c r="AGB35" s="624"/>
      <c r="AGC35" s="624"/>
      <c r="AGD35" s="624"/>
      <c r="AGE35" s="624"/>
      <c r="AGF35" s="624"/>
      <c r="AGG35" s="624"/>
      <c r="AGH35" s="624"/>
      <c r="AGI35" s="624"/>
      <c r="AGJ35" s="624"/>
      <c r="AGK35" s="624"/>
      <c r="AGL35" s="624"/>
      <c r="AGM35" s="624"/>
      <c r="AGN35" s="624"/>
      <c r="AGO35" s="624"/>
      <c r="AGP35" s="624"/>
      <c r="AGQ35" s="624"/>
      <c r="AGR35" s="624"/>
      <c r="AGS35" s="624"/>
      <c r="AGT35" s="624"/>
      <c r="AGU35" s="624"/>
      <c r="AGV35" s="624"/>
      <c r="AGW35" s="624"/>
      <c r="AGX35" s="624"/>
      <c r="AGY35" s="624"/>
      <c r="AGZ35" s="624"/>
      <c r="AHA35" s="624"/>
      <c r="AHB35" s="624"/>
      <c r="AHC35" s="624"/>
      <c r="AHD35" s="624"/>
      <c r="AHE35" s="624"/>
      <c r="AHF35" s="624"/>
      <c r="AHG35" s="624"/>
      <c r="AHH35" s="624"/>
      <c r="AHI35" s="624"/>
      <c r="AHJ35" s="624"/>
      <c r="AHK35" s="624"/>
      <c r="AHL35" s="624"/>
      <c r="AHM35" s="624"/>
      <c r="AHN35" s="624"/>
      <c r="AHO35" s="624"/>
      <c r="AHP35" s="624"/>
      <c r="AHQ35" s="624"/>
      <c r="AHR35" s="624"/>
      <c r="AHS35" s="624"/>
      <c r="AHT35" s="624"/>
      <c r="AHU35" s="624"/>
      <c r="AHV35" s="624"/>
      <c r="AHW35" s="624"/>
      <c r="AHX35" s="624"/>
      <c r="AHY35" s="624"/>
      <c r="AHZ35" s="624"/>
      <c r="AIA35" s="624"/>
      <c r="AIB35" s="624"/>
      <c r="AIC35" s="624"/>
      <c r="AID35" s="624"/>
      <c r="AIE35" s="624"/>
      <c r="AIF35" s="624"/>
      <c r="AIG35" s="624"/>
      <c r="AIH35" s="624"/>
      <c r="AII35" s="624"/>
      <c r="AIJ35" s="624"/>
      <c r="AIK35" s="624"/>
      <c r="AIL35" s="624"/>
      <c r="AIM35" s="624"/>
      <c r="AIN35" s="624"/>
      <c r="AIO35" s="624"/>
      <c r="AIP35" s="624"/>
      <c r="AIQ35" s="624"/>
      <c r="AIR35" s="624"/>
      <c r="AIS35" s="624"/>
      <c r="AIT35" s="624"/>
      <c r="AIU35" s="624"/>
      <c r="AIV35" s="624"/>
      <c r="AIW35" s="624"/>
      <c r="AIX35" s="624"/>
      <c r="AIY35" s="624"/>
      <c r="AIZ35" s="624"/>
      <c r="AJA35" s="624"/>
      <c r="AJB35" s="624"/>
      <c r="AJC35" s="624"/>
      <c r="AJD35" s="624"/>
      <c r="AJE35" s="624"/>
      <c r="AJF35" s="624"/>
      <c r="AJG35" s="624"/>
      <c r="AJH35" s="624"/>
      <c r="AJI35" s="624"/>
      <c r="AJJ35" s="624"/>
      <c r="AJK35" s="624"/>
      <c r="AJL35" s="624"/>
      <c r="AJM35" s="624"/>
      <c r="AJN35" s="624"/>
      <c r="AJO35" s="624"/>
      <c r="AJP35" s="624"/>
      <c r="AJQ35" s="624"/>
      <c r="AJR35" s="624"/>
      <c r="AJS35" s="624"/>
      <c r="AJT35" s="624"/>
      <c r="AJU35" s="624"/>
      <c r="AJV35" s="624"/>
      <c r="AJW35" s="624"/>
      <c r="AJX35" s="624"/>
      <c r="AJY35" s="624"/>
      <c r="AJZ35" s="624"/>
      <c r="AKA35" s="624"/>
      <c r="AKB35" s="624"/>
      <c r="AKC35" s="624"/>
      <c r="AKD35" s="624"/>
      <c r="AKE35" s="624"/>
      <c r="AKF35" s="624"/>
      <c r="AKG35" s="624"/>
      <c r="AKH35" s="624"/>
      <c r="AKI35" s="624"/>
      <c r="AKJ35" s="624"/>
      <c r="AKK35" s="624"/>
      <c r="AKL35" s="624"/>
      <c r="AKM35" s="624"/>
      <c r="AKN35" s="624"/>
      <c r="AKO35" s="624"/>
      <c r="AKP35" s="624"/>
      <c r="AKQ35" s="624"/>
      <c r="AKR35" s="624"/>
      <c r="AKS35" s="624"/>
      <c r="AKT35" s="624"/>
      <c r="AKU35" s="624"/>
      <c r="AKV35" s="624"/>
      <c r="AKW35" s="624"/>
      <c r="AKX35" s="624"/>
      <c r="AKY35" s="624"/>
      <c r="AKZ35" s="624"/>
      <c r="ALA35" s="624"/>
      <c r="ALB35" s="624"/>
      <c r="ALC35" s="624"/>
      <c r="ALD35" s="624"/>
      <c r="ALE35" s="624"/>
      <c r="ALF35" s="624"/>
      <c r="ALG35" s="624"/>
      <c r="ALH35" s="624"/>
      <c r="ALI35" s="624"/>
      <c r="ALJ35" s="624"/>
      <c r="ALK35" s="624"/>
      <c r="ALL35" s="624"/>
      <c r="ALM35" s="624"/>
      <c r="ALN35" s="624"/>
      <c r="ALO35" s="624"/>
      <c r="ALP35" s="624"/>
      <c r="ALQ35" s="624"/>
      <c r="ALR35" s="624"/>
      <c r="ALS35" s="624"/>
      <c r="ALT35" s="624"/>
      <c r="ALU35" s="624"/>
      <c r="ALV35" s="624"/>
      <c r="ALW35" s="624"/>
      <c r="ALX35" s="624"/>
      <c r="ALY35" s="624"/>
      <c r="ALZ35" s="624"/>
      <c r="AMA35" s="624"/>
      <c r="AMB35" s="624"/>
      <c r="AMC35" s="624"/>
      <c r="AMD35" s="624"/>
      <c r="AME35" s="624"/>
      <c r="AMF35" s="624"/>
      <c r="AMG35" s="624"/>
      <c r="AMH35" s="624"/>
      <c r="AMI35" s="624"/>
      <c r="AMJ35" s="624"/>
      <c r="AMK35" s="624"/>
      <c r="AML35" s="624"/>
      <c r="AMM35" s="624"/>
      <c r="AMN35" s="624"/>
      <c r="AMO35" s="624"/>
      <c r="AMP35" s="624"/>
      <c r="AMQ35" s="624"/>
      <c r="AMR35" s="624"/>
      <c r="AMS35" s="624"/>
      <c r="AMT35" s="624"/>
      <c r="AMU35" s="624"/>
      <c r="AMV35" s="624"/>
      <c r="AMW35" s="624"/>
      <c r="AMX35" s="624"/>
      <c r="AMY35" s="624"/>
      <c r="AMZ35" s="624"/>
      <c r="ANA35" s="624"/>
      <c r="ANB35" s="624"/>
      <c r="ANC35" s="624"/>
      <c r="AND35" s="624"/>
      <c r="ANE35" s="624"/>
      <c r="ANF35" s="624"/>
      <c r="ANG35" s="624"/>
      <c r="ANH35" s="624"/>
      <c r="ANI35" s="624"/>
      <c r="ANJ35" s="624"/>
      <c r="ANK35" s="624"/>
      <c r="ANL35" s="624"/>
      <c r="ANM35" s="624"/>
      <c r="ANN35" s="624"/>
      <c r="ANO35" s="624"/>
      <c r="ANP35" s="624"/>
      <c r="ANQ35" s="624"/>
      <c r="ANR35" s="624"/>
      <c r="ANS35" s="624"/>
      <c r="ANT35" s="624"/>
      <c r="ANU35" s="624"/>
      <c r="ANV35" s="624"/>
      <c r="ANW35" s="624"/>
      <c r="ANX35" s="624"/>
      <c r="ANY35" s="624"/>
      <c r="ANZ35" s="624"/>
      <c r="AOA35" s="624"/>
      <c r="AOB35" s="624"/>
      <c r="AOC35" s="624"/>
      <c r="AOD35" s="624"/>
      <c r="AOE35" s="624"/>
      <c r="AOF35" s="624"/>
      <c r="AOG35" s="624"/>
      <c r="AOH35" s="624"/>
      <c r="AOI35" s="624"/>
      <c r="AOJ35" s="624"/>
      <c r="AOK35" s="624"/>
      <c r="AOL35" s="624"/>
      <c r="AOM35" s="624"/>
      <c r="AON35" s="624"/>
      <c r="AOO35" s="624"/>
      <c r="AOP35" s="624"/>
      <c r="AOQ35" s="624"/>
      <c r="AOR35" s="624"/>
      <c r="AOS35" s="624"/>
      <c r="AOT35" s="624"/>
      <c r="AOU35" s="624"/>
      <c r="AOV35" s="624"/>
      <c r="AOW35" s="624"/>
      <c r="AOX35" s="624"/>
      <c r="AOY35" s="624"/>
      <c r="AOZ35" s="624"/>
      <c r="APA35" s="624"/>
      <c r="APB35" s="624"/>
      <c r="APC35" s="624"/>
      <c r="APD35" s="624"/>
      <c r="APE35" s="624"/>
      <c r="APF35" s="624"/>
      <c r="APG35" s="624"/>
      <c r="APH35" s="624"/>
      <c r="API35" s="624"/>
      <c r="APJ35" s="624"/>
      <c r="APK35" s="624"/>
      <c r="APL35" s="624"/>
      <c r="APM35" s="624"/>
      <c r="APN35" s="624"/>
      <c r="APO35" s="624"/>
      <c r="APP35" s="624"/>
      <c r="APQ35" s="624"/>
      <c r="APR35" s="624"/>
      <c r="APS35" s="624"/>
      <c r="APT35" s="624"/>
      <c r="APU35" s="624"/>
      <c r="APV35" s="624"/>
      <c r="APW35" s="624"/>
      <c r="APX35" s="624"/>
      <c r="APY35" s="624"/>
      <c r="APZ35" s="624"/>
      <c r="AQA35" s="624"/>
      <c r="AQB35" s="624"/>
      <c r="AQC35" s="624"/>
      <c r="AQD35" s="624"/>
      <c r="AQE35" s="624"/>
      <c r="AQF35" s="624"/>
      <c r="AQG35" s="624"/>
      <c r="AQH35" s="624"/>
      <c r="AQI35" s="624"/>
      <c r="AQJ35" s="624"/>
      <c r="AQK35" s="624"/>
      <c r="AQL35" s="624"/>
      <c r="AQM35" s="624"/>
      <c r="AQN35" s="624"/>
      <c r="AQO35" s="624"/>
      <c r="AQP35" s="624"/>
      <c r="AQQ35" s="624"/>
      <c r="AQR35" s="624"/>
      <c r="AQS35" s="624"/>
      <c r="AQT35" s="624"/>
      <c r="AQU35" s="624"/>
      <c r="AQV35" s="624"/>
      <c r="AQW35" s="624"/>
      <c r="AQX35" s="624"/>
      <c r="AQY35" s="624"/>
      <c r="AQZ35" s="624"/>
      <c r="ARA35" s="624"/>
      <c r="ARB35" s="624"/>
      <c r="ARC35" s="624"/>
      <c r="ARD35" s="624"/>
      <c r="ARE35" s="624"/>
      <c r="ARF35" s="624"/>
      <c r="ARG35" s="624"/>
      <c r="ARH35" s="624"/>
      <c r="ARI35" s="624"/>
      <c r="ARJ35" s="624"/>
      <c r="ARK35" s="624"/>
      <c r="ARL35" s="624"/>
      <c r="ARM35" s="624"/>
      <c r="ARN35" s="624"/>
      <c r="ARO35" s="624"/>
      <c r="ARP35" s="624"/>
      <c r="ARQ35" s="624"/>
      <c r="ARR35" s="624"/>
      <c r="ARS35" s="624"/>
      <c r="ART35" s="624"/>
      <c r="ARU35" s="624"/>
      <c r="ARV35" s="624"/>
      <c r="ARW35" s="624"/>
      <c r="ARX35" s="624"/>
      <c r="ARY35" s="624"/>
      <c r="ARZ35" s="624"/>
      <c r="ASA35" s="624"/>
      <c r="ASB35" s="624"/>
      <c r="ASC35" s="624"/>
      <c r="ASD35" s="624"/>
      <c r="ASE35" s="624"/>
      <c r="ASF35" s="624"/>
      <c r="ASG35" s="624"/>
      <c r="ASH35" s="624"/>
      <c r="ASI35" s="624"/>
      <c r="ASJ35" s="624"/>
      <c r="ASK35" s="624"/>
      <c r="ASL35" s="624"/>
      <c r="ASM35" s="624"/>
      <c r="ASN35" s="624"/>
      <c r="ASO35" s="624"/>
      <c r="ASP35" s="624"/>
      <c r="ASQ35" s="624"/>
      <c r="ASR35" s="624"/>
      <c r="ASS35" s="624"/>
      <c r="AST35" s="624"/>
      <c r="ASU35" s="624"/>
      <c r="ASV35" s="624"/>
      <c r="ASW35" s="624"/>
      <c r="ASX35" s="624"/>
      <c r="ASY35" s="624"/>
      <c r="ASZ35" s="624"/>
      <c r="ATA35" s="624"/>
      <c r="ATB35" s="624"/>
      <c r="ATC35" s="624"/>
      <c r="ATD35" s="624"/>
      <c r="ATE35" s="624"/>
      <c r="ATF35" s="624"/>
      <c r="ATG35" s="624"/>
      <c r="ATH35" s="624"/>
      <c r="ATI35" s="624"/>
      <c r="ATJ35" s="624"/>
      <c r="ATK35" s="624"/>
      <c r="ATL35" s="624"/>
      <c r="ATM35" s="624"/>
      <c r="ATN35" s="624"/>
      <c r="ATO35" s="624"/>
      <c r="ATP35" s="624"/>
      <c r="ATQ35" s="624"/>
      <c r="ATR35" s="624"/>
      <c r="ATS35" s="624"/>
      <c r="ATT35" s="624"/>
      <c r="ATU35" s="624"/>
      <c r="ATV35" s="624"/>
      <c r="ATW35" s="624"/>
      <c r="ATX35" s="624"/>
      <c r="ATY35" s="624"/>
      <c r="ATZ35" s="624"/>
      <c r="AUA35" s="624"/>
      <c r="AUB35" s="624"/>
      <c r="AUC35" s="624"/>
      <c r="AUD35" s="624"/>
      <c r="AUE35" s="624"/>
      <c r="AUF35" s="624"/>
      <c r="AUG35" s="624"/>
      <c r="AUH35" s="624"/>
      <c r="AUI35" s="624"/>
      <c r="AUJ35" s="624"/>
      <c r="AUK35" s="624"/>
      <c r="AUL35" s="624"/>
      <c r="AUM35" s="624"/>
      <c r="AUN35" s="624"/>
      <c r="AUO35" s="624"/>
      <c r="AUP35" s="624"/>
      <c r="AUQ35" s="624"/>
      <c r="AUR35" s="624"/>
      <c r="AUS35" s="624"/>
      <c r="AUT35" s="624"/>
      <c r="AUU35" s="624"/>
      <c r="AUV35" s="624"/>
      <c r="AUW35" s="624"/>
      <c r="AUX35" s="624"/>
      <c r="AUY35" s="624"/>
      <c r="AUZ35" s="624"/>
      <c r="AVA35" s="624"/>
      <c r="AVB35" s="624"/>
      <c r="AVC35" s="624"/>
      <c r="AVD35" s="624"/>
      <c r="AVE35" s="624"/>
      <c r="AVF35" s="624"/>
      <c r="AVG35" s="624"/>
      <c r="AVH35" s="624"/>
      <c r="AVI35" s="624"/>
      <c r="AVJ35" s="624"/>
      <c r="AVK35" s="624"/>
      <c r="AVL35" s="624"/>
      <c r="AVM35" s="624"/>
      <c r="AVN35" s="624"/>
      <c r="AVO35" s="624"/>
      <c r="AVP35" s="624"/>
      <c r="AVQ35" s="624"/>
      <c r="AVR35" s="624"/>
      <c r="AVS35" s="624"/>
      <c r="AVT35" s="624"/>
      <c r="AVU35" s="624"/>
      <c r="AVV35" s="624"/>
      <c r="AVW35" s="624"/>
      <c r="AVX35" s="624"/>
      <c r="AVY35" s="624"/>
      <c r="AVZ35" s="624"/>
      <c r="AWA35" s="624"/>
      <c r="AWB35" s="624"/>
      <c r="AWC35" s="624"/>
      <c r="AWD35" s="624"/>
      <c r="AWE35" s="624"/>
      <c r="AWF35" s="624"/>
      <c r="AWG35" s="624"/>
      <c r="AWH35" s="624"/>
      <c r="AWI35" s="624"/>
      <c r="AWJ35" s="624"/>
      <c r="AWK35" s="624"/>
      <c r="AWL35" s="624"/>
      <c r="AWM35" s="624"/>
      <c r="AWN35" s="624"/>
      <c r="AWO35" s="624"/>
      <c r="AWP35" s="624"/>
      <c r="AWQ35" s="624"/>
      <c r="AWR35" s="624"/>
      <c r="AWS35" s="624"/>
      <c r="AWT35" s="624"/>
      <c r="AWU35" s="624"/>
      <c r="AWV35" s="624"/>
      <c r="AWW35" s="624"/>
      <c r="AWX35" s="624"/>
      <c r="AWY35" s="624"/>
      <c r="AWZ35" s="624"/>
      <c r="AXA35" s="624"/>
      <c r="AXB35" s="624"/>
      <c r="AXC35" s="624"/>
      <c r="AXD35" s="624"/>
      <c r="AXE35" s="624"/>
      <c r="AXF35" s="624"/>
      <c r="AXG35" s="624"/>
      <c r="AXH35" s="624"/>
      <c r="AXI35" s="624"/>
      <c r="AXJ35" s="624"/>
      <c r="AXK35" s="624"/>
      <c r="AXL35" s="624"/>
      <c r="AXM35" s="624"/>
      <c r="AXN35" s="624"/>
      <c r="AXO35" s="624"/>
      <c r="AXP35" s="624"/>
      <c r="AXQ35" s="624"/>
      <c r="AXR35" s="624"/>
      <c r="AXS35" s="624"/>
      <c r="AXT35" s="624"/>
      <c r="AXU35" s="624"/>
      <c r="AXV35" s="624"/>
      <c r="AXW35" s="624"/>
      <c r="AXX35" s="624"/>
      <c r="AXY35" s="624"/>
      <c r="AXZ35" s="624"/>
      <c r="AYA35" s="624"/>
      <c r="AYB35" s="624"/>
      <c r="AYC35" s="624"/>
      <c r="AYD35" s="624"/>
      <c r="AYE35" s="624"/>
      <c r="AYF35" s="624"/>
      <c r="AYG35" s="624"/>
      <c r="AYH35" s="624"/>
      <c r="AYI35" s="624"/>
      <c r="AYJ35" s="624"/>
      <c r="AYK35" s="624"/>
      <c r="AYL35" s="624"/>
      <c r="AYM35" s="624"/>
      <c r="AYN35" s="624"/>
      <c r="AYO35" s="624"/>
      <c r="AYP35" s="624"/>
      <c r="AYQ35" s="624"/>
      <c r="AYR35" s="624"/>
      <c r="AYS35" s="624"/>
      <c r="AYT35" s="624"/>
      <c r="AYU35" s="624"/>
      <c r="AYV35" s="624"/>
      <c r="AYW35" s="624"/>
      <c r="AYX35" s="624"/>
      <c r="AYY35" s="624"/>
      <c r="AYZ35" s="624"/>
      <c r="AZA35" s="624"/>
      <c r="AZB35" s="624"/>
      <c r="AZC35" s="624"/>
      <c r="AZD35" s="624"/>
      <c r="AZE35" s="624"/>
      <c r="AZF35" s="624"/>
      <c r="AZG35" s="624"/>
      <c r="AZH35" s="624"/>
      <c r="AZI35" s="624"/>
      <c r="AZJ35" s="624"/>
      <c r="AZK35" s="624"/>
      <c r="AZL35" s="624"/>
      <c r="AZM35" s="624"/>
      <c r="AZN35" s="624"/>
      <c r="AZO35" s="624"/>
      <c r="AZP35" s="624"/>
      <c r="AZQ35" s="624"/>
      <c r="AZR35" s="624"/>
      <c r="AZS35" s="624"/>
      <c r="AZT35" s="624"/>
      <c r="AZU35" s="624"/>
      <c r="AZV35" s="624"/>
      <c r="AZW35" s="624"/>
      <c r="AZX35" s="624"/>
      <c r="AZY35" s="624"/>
      <c r="AZZ35" s="624"/>
      <c r="BAA35" s="624"/>
      <c r="BAB35" s="624"/>
      <c r="BAC35" s="624"/>
      <c r="BAD35" s="624"/>
      <c r="BAE35" s="624"/>
      <c r="BAF35" s="624"/>
      <c r="BAG35" s="624"/>
      <c r="BAH35" s="624"/>
      <c r="BAI35" s="624"/>
      <c r="BAJ35" s="624"/>
      <c r="BAK35" s="624"/>
      <c r="BAL35" s="624"/>
      <c r="BAM35" s="624"/>
      <c r="BAN35" s="624"/>
      <c r="BAO35" s="624"/>
      <c r="BAP35" s="624"/>
      <c r="BAQ35" s="624"/>
      <c r="BAR35" s="624"/>
      <c r="BAS35" s="624"/>
      <c r="BAT35" s="624"/>
      <c r="BAU35" s="624"/>
      <c r="BAV35" s="624"/>
      <c r="BAW35" s="624"/>
      <c r="BAX35" s="624"/>
      <c r="BAY35" s="624"/>
      <c r="BAZ35" s="624"/>
      <c r="BBA35" s="624"/>
      <c r="BBB35" s="624"/>
      <c r="BBC35" s="624"/>
      <c r="BBD35" s="624"/>
      <c r="BBE35" s="624"/>
      <c r="BBF35" s="624"/>
      <c r="BBG35" s="624"/>
      <c r="BBH35" s="624"/>
      <c r="BBI35" s="624"/>
      <c r="BBJ35" s="624"/>
      <c r="BBK35" s="624"/>
      <c r="BBL35" s="624"/>
      <c r="BBM35" s="624"/>
      <c r="BBN35" s="624"/>
      <c r="BBO35" s="624"/>
      <c r="BBP35" s="624"/>
      <c r="BBQ35" s="624"/>
      <c r="BBR35" s="624"/>
      <c r="BBS35" s="624"/>
      <c r="BBT35" s="624"/>
      <c r="BBU35" s="624"/>
      <c r="BBV35" s="624"/>
      <c r="BBW35" s="624"/>
      <c r="BBX35" s="624"/>
      <c r="BBY35" s="624"/>
      <c r="BBZ35" s="624"/>
      <c r="BCA35" s="624"/>
      <c r="BCB35" s="624"/>
      <c r="BCC35" s="624"/>
      <c r="BCD35" s="624"/>
      <c r="BCE35" s="624"/>
      <c r="BCF35" s="624"/>
      <c r="BCG35" s="624"/>
      <c r="BCH35" s="624"/>
      <c r="BCI35" s="624"/>
      <c r="BCJ35" s="624"/>
      <c r="BCK35" s="624"/>
      <c r="BCL35" s="624"/>
      <c r="BCM35" s="624"/>
      <c r="BCN35" s="624"/>
      <c r="BCO35" s="624"/>
      <c r="BCP35" s="624"/>
      <c r="BCQ35" s="624"/>
      <c r="BCR35" s="624"/>
      <c r="BCS35" s="624"/>
      <c r="BCT35" s="624"/>
      <c r="BCU35" s="624"/>
      <c r="BCV35" s="624"/>
      <c r="BCW35" s="624"/>
      <c r="BCX35" s="624"/>
      <c r="BCY35" s="624"/>
      <c r="BCZ35" s="624"/>
      <c r="BDA35" s="624"/>
      <c r="BDB35" s="624"/>
      <c r="BDC35" s="624"/>
      <c r="BDD35" s="624"/>
      <c r="BDE35" s="624"/>
      <c r="BDF35" s="624"/>
      <c r="BDG35" s="624"/>
      <c r="BDH35" s="624"/>
      <c r="BDI35" s="624"/>
      <c r="BDJ35" s="624"/>
      <c r="BDK35" s="624"/>
      <c r="BDL35" s="624"/>
      <c r="BDM35" s="624"/>
      <c r="BDN35" s="624"/>
      <c r="BDO35" s="624"/>
      <c r="BDP35" s="624"/>
      <c r="BDQ35" s="624"/>
      <c r="BDR35" s="624"/>
      <c r="BDS35" s="624"/>
      <c r="BDT35" s="624"/>
      <c r="BDU35" s="624"/>
      <c r="BDV35" s="624"/>
      <c r="BDW35" s="624"/>
      <c r="BDX35" s="624"/>
      <c r="BDY35" s="624"/>
      <c r="BDZ35" s="624"/>
      <c r="BEA35" s="624"/>
      <c r="BEB35" s="624"/>
      <c r="BEC35" s="624"/>
      <c r="BED35" s="624"/>
      <c r="BEE35" s="624"/>
      <c r="BEF35" s="624"/>
      <c r="BEG35" s="624"/>
      <c r="BEH35" s="624"/>
      <c r="BEI35" s="624"/>
      <c r="BEJ35" s="624"/>
      <c r="BEK35" s="624"/>
      <c r="BEL35" s="624"/>
      <c r="BEM35" s="624"/>
      <c r="BEN35" s="624"/>
      <c r="BEO35" s="624"/>
      <c r="BEP35" s="624"/>
      <c r="BEQ35" s="624"/>
      <c r="BER35" s="624"/>
      <c r="BES35" s="624"/>
      <c r="BET35" s="624"/>
      <c r="BEU35" s="624"/>
      <c r="BEV35" s="624"/>
      <c r="BEW35" s="624"/>
      <c r="BEX35" s="624"/>
      <c r="BEY35" s="624"/>
      <c r="BEZ35" s="624"/>
      <c r="BFA35" s="624"/>
      <c r="BFB35" s="624"/>
      <c r="BFC35" s="624"/>
      <c r="BFD35" s="624"/>
      <c r="BFE35" s="624"/>
      <c r="BFF35" s="624"/>
      <c r="BFG35" s="624"/>
      <c r="BFH35" s="624"/>
      <c r="BFI35" s="624"/>
      <c r="BFJ35" s="624"/>
      <c r="BFK35" s="624"/>
      <c r="BFL35" s="624"/>
      <c r="BFM35" s="624"/>
      <c r="BFN35" s="624"/>
      <c r="BFO35" s="624"/>
      <c r="BFP35" s="624"/>
      <c r="BFQ35" s="624"/>
      <c r="BFR35" s="624"/>
      <c r="BFS35" s="624"/>
      <c r="BFT35" s="624"/>
      <c r="BFU35" s="624"/>
      <c r="BFV35" s="624"/>
      <c r="BFW35" s="624"/>
      <c r="BFX35" s="624"/>
      <c r="BFY35" s="624"/>
      <c r="BFZ35" s="624"/>
      <c r="BGA35" s="624"/>
      <c r="BGB35" s="624"/>
      <c r="BGC35" s="624"/>
      <c r="BGD35" s="624"/>
      <c r="BGE35" s="624"/>
      <c r="BGF35" s="624"/>
      <c r="BGG35" s="624"/>
      <c r="BGH35" s="624"/>
      <c r="BGI35" s="624"/>
      <c r="BGJ35" s="624"/>
      <c r="BGK35" s="624"/>
      <c r="BGL35" s="624"/>
      <c r="BGM35" s="624"/>
      <c r="BGN35" s="624"/>
      <c r="BGO35" s="624"/>
      <c r="BGP35" s="624"/>
      <c r="BGQ35" s="624"/>
      <c r="BGR35" s="624"/>
      <c r="BGS35" s="624"/>
      <c r="BGT35" s="624"/>
      <c r="BGU35" s="624"/>
      <c r="BGV35" s="624"/>
      <c r="BGW35" s="624"/>
      <c r="BGX35" s="624"/>
      <c r="BGY35" s="624"/>
      <c r="BGZ35" s="624"/>
      <c r="BHA35" s="624"/>
      <c r="BHB35" s="624"/>
      <c r="BHC35" s="624"/>
      <c r="BHD35" s="624"/>
      <c r="BHE35" s="624"/>
      <c r="BHF35" s="624"/>
      <c r="BHG35" s="624"/>
      <c r="BHH35" s="624"/>
      <c r="BHI35" s="624"/>
      <c r="BHJ35" s="624"/>
      <c r="BHK35" s="624"/>
      <c r="BHL35" s="624"/>
      <c r="BHM35" s="624"/>
      <c r="BHN35" s="624"/>
      <c r="BHO35" s="624"/>
      <c r="BHP35" s="624"/>
      <c r="BHQ35" s="624"/>
      <c r="BHR35" s="624"/>
      <c r="BHS35" s="624"/>
      <c r="BHT35" s="624"/>
      <c r="BHU35" s="624"/>
      <c r="BHV35" s="624"/>
      <c r="BHW35" s="624"/>
      <c r="BHX35" s="624"/>
      <c r="BHY35" s="624"/>
      <c r="BHZ35" s="624"/>
      <c r="BIA35" s="624"/>
      <c r="BIB35" s="624"/>
      <c r="BIC35" s="624"/>
      <c r="BID35" s="624"/>
      <c r="BIE35" s="624"/>
      <c r="BIF35" s="624"/>
      <c r="BIG35" s="624"/>
      <c r="BIH35" s="624"/>
      <c r="BII35" s="624"/>
      <c r="BIJ35" s="624"/>
      <c r="BIK35" s="624"/>
      <c r="BIL35" s="624"/>
      <c r="BIM35" s="624"/>
      <c r="BIN35" s="624"/>
      <c r="BIO35" s="624"/>
      <c r="BIP35" s="624"/>
      <c r="BIQ35" s="624"/>
      <c r="BIR35" s="624"/>
      <c r="BIS35" s="624"/>
      <c r="BIT35" s="624"/>
      <c r="BIU35" s="624"/>
      <c r="BIV35" s="624"/>
      <c r="BIW35" s="624"/>
      <c r="BIX35" s="624"/>
      <c r="BIY35" s="624"/>
      <c r="BIZ35" s="624"/>
      <c r="BJA35" s="624"/>
      <c r="BJB35" s="624"/>
      <c r="BJC35" s="624"/>
      <c r="BJD35" s="624"/>
      <c r="BJE35" s="624"/>
      <c r="BJF35" s="624"/>
      <c r="BJG35" s="624"/>
      <c r="BJH35" s="624"/>
      <c r="BJI35" s="624"/>
      <c r="BJJ35" s="624"/>
      <c r="BJK35" s="624"/>
      <c r="BJL35" s="624"/>
      <c r="BJM35" s="624"/>
      <c r="BJN35" s="624"/>
      <c r="BJO35" s="624"/>
      <c r="BJP35" s="624"/>
      <c r="BJQ35" s="624"/>
      <c r="BJR35" s="624"/>
      <c r="BJS35" s="624"/>
      <c r="BJT35" s="624"/>
      <c r="BJU35" s="624"/>
      <c r="BJV35" s="624"/>
      <c r="BJW35" s="624"/>
      <c r="BJX35" s="624"/>
      <c r="BJY35" s="624"/>
      <c r="BJZ35" s="624"/>
      <c r="BKA35" s="624"/>
      <c r="BKB35" s="624"/>
      <c r="BKC35" s="624"/>
      <c r="BKD35" s="624"/>
      <c r="BKE35" s="624"/>
      <c r="BKF35" s="624"/>
      <c r="BKG35" s="624"/>
      <c r="BKH35" s="624"/>
      <c r="BKI35" s="624"/>
      <c r="BKJ35" s="624"/>
      <c r="BKK35" s="624"/>
      <c r="BKL35" s="624"/>
      <c r="BKM35" s="624"/>
      <c r="BKN35" s="624"/>
      <c r="BKO35" s="624"/>
      <c r="BKP35" s="624"/>
      <c r="BKQ35" s="624"/>
      <c r="BKR35" s="624"/>
      <c r="BKS35" s="624"/>
      <c r="BKT35" s="624"/>
      <c r="BKU35" s="624"/>
      <c r="BKV35" s="624"/>
      <c r="BKW35" s="624"/>
      <c r="BKX35" s="624"/>
      <c r="BKY35" s="624"/>
      <c r="BKZ35" s="624"/>
      <c r="BLA35" s="624"/>
      <c r="BLB35" s="624"/>
      <c r="BLC35" s="624"/>
      <c r="BLD35" s="624"/>
      <c r="BLE35" s="624"/>
      <c r="BLF35" s="624"/>
      <c r="BLG35" s="624"/>
      <c r="BLH35" s="624"/>
      <c r="BLI35" s="624"/>
      <c r="BLJ35" s="624"/>
      <c r="BLK35" s="624"/>
      <c r="BLL35" s="624"/>
      <c r="BLM35" s="624"/>
      <c r="BLN35" s="624"/>
      <c r="BLO35" s="624"/>
      <c r="BLP35" s="624"/>
      <c r="BLQ35" s="624"/>
      <c r="BLR35" s="624"/>
      <c r="BLS35" s="624"/>
      <c r="BLT35" s="624"/>
      <c r="BLU35" s="624"/>
      <c r="BLV35" s="624"/>
      <c r="BLW35" s="624"/>
      <c r="BLX35" s="624"/>
      <c r="BLY35" s="624"/>
      <c r="BLZ35" s="624"/>
      <c r="BMA35" s="624"/>
      <c r="BMB35" s="624"/>
      <c r="BMC35" s="624"/>
      <c r="BMD35" s="624"/>
      <c r="BME35" s="624"/>
      <c r="BMF35" s="624"/>
      <c r="BMG35" s="624"/>
      <c r="BMH35" s="624"/>
      <c r="BMI35" s="624"/>
      <c r="BMJ35" s="624"/>
      <c r="BMK35" s="624"/>
      <c r="BML35" s="624"/>
      <c r="BMM35" s="624"/>
      <c r="BMN35" s="624"/>
      <c r="BMO35" s="624"/>
      <c r="BMP35" s="624"/>
      <c r="BMQ35" s="624"/>
      <c r="BMR35" s="624"/>
      <c r="BMS35" s="624"/>
      <c r="BMT35" s="624"/>
      <c r="BMU35" s="624"/>
      <c r="BMV35" s="624"/>
      <c r="BMW35" s="624"/>
      <c r="BMX35" s="624"/>
      <c r="BMY35" s="624"/>
      <c r="BMZ35" s="624"/>
      <c r="BNA35" s="624"/>
      <c r="BNB35" s="624"/>
      <c r="BNC35" s="624"/>
      <c r="BND35" s="624"/>
      <c r="BNE35" s="624"/>
      <c r="BNF35" s="624"/>
      <c r="BNG35" s="624"/>
      <c r="BNH35" s="624"/>
      <c r="BNI35" s="624"/>
      <c r="BNJ35" s="624"/>
      <c r="BNK35" s="624"/>
      <c r="BNL35" s="624"/>
      <c r="BNM35" s="624"/>
      <c r="BNN35" s="624"/>
      <c r="BNO35" s="624"/>
      <c r="BNP35" s="624"/>
      <c r="BNQ35" s="624"/>
      <c r="BNR35" s="624"/>
      <c r="BNS35" s="624"/>
      <c r="BNT35" s="624"/>
      <c r="BNU35" s="624"/>
      <c r="BNV35" s="624"/>
      <c r="BNW35" s="624"/>
      <c r="BNX35" s="624"/>
      <c r="BNY35" s="624"/>
      <c r="BNZ35" s="624"/>
      <c r="BOA35" s="624"/>
      <c r="BOB35" s="624"/>
      <c r="BOC35" s="624"/>
      <c r="BOD35" s="624"/>
      <c r="BOE35" s="624"/>
      <c r="BOF35" s="624"/>
      <c r="BOG35" s="624"/>
      <c r="BOH35" s="624"/>
      <c r="BOI35" s="624"/>
      <c r="BOJ35" s="624"/>
      <c r="BOK35" s="624"/>
      <c r="BOL35" s="624"/>
      <c r="BOM35" s="624"/>
      <c r="BON35" s="624"/>
      <c r="BOO35" s="624"/>
      <c r="BOP35" s="624"/>
      <c r="BOQ35" s="624"/>
      <c r="BOR35" s="624"/>
      <c r="BOS35" s="624"/>
      <c r="BOT35" s="624"/>
      <c r="BOU35" s="624"/>
      <c r="BOV35" s="624"/>
      <c r="BOW35" s="624"/>
      <c r="BOX35" s="624"/>
      <c r="BOY35" s="624"/>
      <c r="BOZ35" s="624"/>
      <c r="BPA35" s="624"/>
      <c r="BPB35" s="624"/>
      <c r="BPC35" s="624"/>
      <c r="BPD35" s="624"/>
      <c r="BPE35" s="624"/>
      <c r="BPF35" s="624"/>
      <c r="BPG35" s="624"/>
      <c r="BPH35" s="624"/>
      <c r="BPI35" s="624"/>
      <c r="BPJ35" s="624"/>
      <c r="BPK35" s="624"/>
      <c r="BPL35" s="624"/>
      <c r="BPM35" s="624"/>
      <c r="BPN35" s="624"/>
      <c r="BPO35" s="624"/>
      <c r="BPP35" s="624"/>
      <c r="BPQ35" s="624"/>
      <c r="BPR35" s="624"/>
      <c r="BPS35" s="624"/>
      <c r="BPT35" s="624"/>
      <c r="BPU35" s="624"/>
      <c r="BPV35" s="624"/>
      <c r="BPW35" s="624"/>
      <c r="BPX35" s="624"/>
      <c r="BPY35" s="624"/>
      <c r="BPZ35" s="624"/>
      <c r="BQA35" s="624"/>
      <c r="BQB35" s="624"/>
      <c r="BQC35" s="624"/>
      <c r="BQD35" s="624"/>
      <c r="BQE35" s="624"/>
      <c r="BQF35" s="624"/>
      <c r="BQG35" s="624"/>
      <c r="BQH35" s="624"/>
      <c r="BQI35" s="624"/>
      <c r="BQJ35" s="624"/>
      <c r="BQK35" s="624"/>
      <c r="BQL35" s="624"/>
      <c r="BQM35" s="624"/>
      <c r="BQN35" s="624"/>
      <c r="BQO35" s="624"/>
      <c r="BQP35" s="624"/>
      <c r="BQQ35" s="624"/>
      <c r="BQR35" s="624"/>
      <c r="BQS35" s="624"/>
      <c r="BQT35" s="624"/>
      <c r="BQU35" s="624"/>
      <c r="BQV35" s="624"/>
      <c r="BQW35" s="624"/>
      <c r="BQX35" s="624"/>
      <c r="BQY35" s="624"/>
      <c r="BQZ35" s="624"/>
      <c r="BRA35" s="624"/>
      <c r="BRB35" s="624"/>
      <c r="BRC35" s="624"/>
      <c r="BRD35" s="624"/>
      <c r="BRE35" s="624"/>
      <c r="BRF35" s="624"/>
      <c r="BRG35" s="624"/>
      <c r="BRH35" s="624"/>
      <c r="BRI35" s="624"/>
      <c r="BRJ35" s="624"/>
      <c r="BRK35" s="624"/>
      <c r="BRL35" s="624"/>
      <c r="BRM35" s="624"/>
      <c r="BRN35" s="624"/>
      <c r="BRO35" s="624"/>
      <c r="BRP35" s="624"/>
      <c r="BRQ35" s="624"/>
      <c r="BRR35" s="624"/>
      <c r="BRS35" s="624"/>
      <c r="BRT35" s="624"/>
      <c r="BRU35" s="624"/>
      <c r="BRV35" s="624"/>
      <c r="BRW35" s="624"/>
      <c r="BRX35" s="624"/>
      <c r="BRY35" s="624"/>
      <c r="BRZ35" s="624"/>
      <c r="BSA35" s="624"/>
      <c r="BSB35" s="624"/>
      <c r="BSC35" s="624"/>
      <c r="BSD35" s="624"/>
      <c r="BSE35" s="624"/>
      <c r="BSF35" s="624"/>
      <c r="BSG35" s="624"/>
      <c r="BSH35" s="624"/>
      <c r="BSI35" s="624"/>
      <c r="BSJ35" s="624"/>
      <c r="BSK35" s="624"/>
      <c r="BSL35" s="624"/>
      <c r="BSM35" s="624"/>
      <c r="BSN35" s="624"/>
      <c r="BSO35" s="624"/>
      <c r="BSP35" s="624"/>
      <c r="BSQ35" s="624"/>
      <c r="BSR35" s="624"/>
      <c r="BSS35" s="624"/>
      <c r="BST35" s="624"/>
      <c r="BSU35" s="624"/>
      <c r="BSV35" s="624"/>
      <c r="BSW35" s="624"/>
      <c r="BSX35" s="624"/>
      <c r="BSY35" s="624"/>
      <c r="BSZ35" s="624"/>
      <c r="BTA35" s="624"/>
      <c r="BTB35" s="624"/>
      <c r="BTC35" s="624"/>
      <c r="BTD35" s="624"/>
      <c r="BTE35" s="624"/>
      <c r="BTF35" s="624"/>
      <c r="BTG35" s="624"/>
      <c r="BTH35" s="624"/>
      <c r="BTI35" s="624"/>
      <c r="BTJ35" s="624"/>
      <c r="BTK35" s="624"/>
      <c r="BTL35" s="624"/>
      <c r="BTM35" s="624"/>
      <c r="BTN35" s="624"/>
      <c r="BTO35" s="624"/>
      <c r="BTP35" s="624"/>
      <c r="BTQ35" s="624"/>
      <c r="BTR35" s="624"/>
      <c r="BTS35" s="624"/>
      <c r="BTT35" s="624"/>
      <c r="BTU35" s="624"/>
      <c r="BTV35" s="624"/>
      <c r="BTW35" s="624"/>
      <c r="BTX35" s="624"/>
      <c r="BTY35" s="624"/>
      <c r="BTZ35" s="624"/>
      <c r="BUA35" s="624"/>
      <c r="BUB35" s="624"/>
      <c r="BUC35" s="624"/>
      <c r="BUD35" s="624"/>
      <c r="BUE35" s="624"/>
      <c r="BUF35" s="624"/>
      <c r="BUG35" s="624"/>
      <c r="BUH35" s="624"/>
      <c r="BUI35" s="624"/>
      <c r="BUJ35" s="624"/>
      <c r="BUK35" s="624"/>
      <c r="BUL35" s="624"/>
      <c r="BUM35" s="624"/>
      <c r="BUN35" s="624"/>
      <c r="BUO35" s="624"/>
      <c r="BUP35" s="624"/>
      <c r="BUQ35" s="624"/>
      <c r="BUR35" s="624"/>
      <c r="BUS35" s="624"/>
      <c r="BUT35" s="624"/>
      <c r="BUU35" s="624"/>
      <c r="BUV35" s="624"/>
      <c r="BUW35" s="624"/>
      <c r="BUX35" s="624"/>
      <c r="BUY35" s="624"/>
      <c r="BUZ35" s="624"/>
      <c r="BVA35" s="624"/>
      <c r="BVB35" s="624"/>
      <c r="BVC35" s="624"/>
      <c r="BVD35" s="624"/>
      <c r="BVE35" s="624"/>
      <c r="BVF35" s="624"/>
      <c r="BVG35" s="624"/>
      <c r="BVH35" s="624"/>
      <c r="BVI35" s="624"/>
      <c r="BVJ35" s="624"/>
      <c r="BVK35" s="624"/>
      <c r="BVL35" s="624"/>
      <c r="BVM35" s="624"/>
      <c r="BVN35" s="624"/>
      <c r="BVO35" s="624"/>
      <c r="BVP35" s="624"/>
      <c r="BVQ35" s="624"/>
      <c r="BVR35" s="624"/>
      <c r="BVS35" s="624"/>
      <c r="BVT35" s="624"/>
      <c r="BVU35" s="624"/>
      <c r="BVV35" s="624"/>
      <c r="BVW35" s="624"/>
      <c r="BVX35" s="624"/>
      <c r="BVY35" s="624"/>
      <c r="BVZ35" s="624"/>
      <c r="BWA35" s="624"/>
      <c r="BWB35" s="624"/>
      <c r="BWC35" s="624"/>
      <c r="BWD35" s="624"/>
      <c r="BWE35" s="624"/>
      <c r="BWF35" s="624"/>
      <c r="BWG35" s="624"/>
      <c r="BWH35" s="624"/>
      <c r="BWI35" s="624"/>
      <c r="BWJ35" s="624"/>
      <c r="BWK35" s="624"/>
      <c r="BWL35" s="624"/>
      <c r="BWM35" s="624"/>
      <c r="BWN35" s="624"/>
      <c r="BWO35" s="624"/>
      <c r="BWP35" s="624"/>
      <c r="BWQ35" s="624"/>
      <c r="BWR35" s="624"/>
      <c r="BWS35" s="624"/>
      <c r="BWT35" s="624"/>
      <c r="BWU35" s="624"/>
      <c r="BWV35" s="624"/>
      <c r="BWW35" s="624"/>
      <c r="BWX35" s="624"/>
      <c r="BWY35" s="624"/>
      <c r="BWZ35" s="624"/>
      <c r="BXA35" s="624"/>
      <c r="BXB35" s="624"/>
      <c r="BXC35" s="624"/>
      <c r="BXD35" s="624"/>
      <c r="BXE35" s="624"/>
      <c r="BXF35" s="624"/>
      <c r="BXG35" s="624"/>
      <c r="BXH35" s="624"/>
      <c r="BXI35" s="624"/>
      <c r="BXJ35" s="624"/>
      <c r="BXK35" s="624"/>
      <c r="BXL35" s="624"/>
      <c r="BXM35" s="624"/>
      <c r="BXN35" s="624"/>
      <c r="BXO35" s="624"/>
      <c r="BXP35" s="624"/>
      <c r="BXQ35" s="624"/>
      <c r="BXR35" s="624"/>
      <c r="BXS35" s="624"/>
      <c r="BXT35" s="624"/>
      <c r="BXU35" s="624"/>
      <c r="BXV35" s="624"/>
      <c r="BXW35" s="624"/>
      <c r="BXX35" s="624"/>
      <c r="BXY35" s="624"/>
      <c r="BXZ35" s="624"/>
      <c r="BYA35" s="624"/>
      <c r="BYB35" s="624"/>
      <c r="BYC35" s="624"/>
      <c r="BYD35" s="624"/>
      <c r="BYE35" s="624"/>
      <c r="BYF35" s="624"/>
      <c r="BYG35" s="624"/>
      <c r="BYH35" s="624"/>
      <c r="BYI35" s="624"/>
      <c r="BYJ35" s="624"/>
      <c r="BYK35" s="624"/>
      <c r="BYL35" s="624"/>
      <c r="BYM35" s="624"/>
      <c r="BYN35" s="624"/>
      <c r="BYO35" s="624"/>
      <c r="BYP35" s="624"/>
      <c r="BYQ35" s="624"/>
      <c r="BYR35" s="624"/>
      <c r="BYS35" s="624"/>
      <c r="BYT35" s="624"/>
      <c r="BYU35" s="624"/>
      <c r="BYV35" s="624"/>
      <c r="BYW35" s="624"/>
      <c r="BYX35" s="624"/>
      <c r="BYY35" s="624"/>
      <c r="BYZ35" s="624"/>
      <c r="BZA35" s="624"/>
      <c r="BZB35" s="624"/>
      <c r="BZC35" s="624"/>
      <c r="BZD35" s="624"/>
      <c r="BZE35" s="624"/>
      <c r="BZF35" s="624"/>
      <c r="BZG35" s="624"/>
      <c r="BZH35" s="624"/>
      <c r="BZI35" s="624"/>
      <c r="BZJ35" s="624"/>
      <c r="BZK35" s="624"/>
      <c r="BZL35" s="624"/>
      <c r="BZM35" s="624"/>
      <c r="BZN35" s="624"/>
      <c r="BZO35" s="624"/>
      <c r="BZP35" s="624"/>
      <c r="BZQ35" s="624"/>
      <c r="BZR35" s="624"/>
      <c r="BZS35" s="624"/>
      <c r="BZT35" s="624"/>
      <c r="BZU35" s="624"/>
      <c r="BZV35" s="624"/>
      <c r="BZW35" s="624"/>
      <c r="BZX35" s="624"/>
      <c r="BZY35" s="624"/>
      <c r="BZZ35" s="624"/>
      <c r="CAA35" s="624"/>
      <c r="CAB35" s="624"/>
      <c r="CAC35" s="624"/>
      <c r="CAD35" s="624"/>
      <c r="CAE35" s="624"/>
      <c r="CAF35" s="624"/>
      <c r="CAG35" s="624"/>
      <c r="CAH35" s="624"/>
      <c r="CAI35" s="624"/>
      <c r="CAJ35" s="624"/>
      <c r="CAK35" s="624"/>
      <c r="CAL35" s="624"/>
      <c r="CAM35" s="624"/>
      <c r="CAN35" s="624"/>
      <c r="CAO35" s="624"/>
      <c r="CAP35" s="624"/>
      <c r="CAQ35" s="624"/>
      <c r="CAR35" s="624"/>
      <c r="CAS35" s="624"/>
      <c r="CAT35" s="624"/>
      <c r="CAU35" s="624"/>
      <c r="CAV35" s="624"/>
      <c r="CAW35" s="624"/>
      <c r="CAX35" s="624"/>
      <c r="CAY35" s="624"/>
      <c r="CAZ35" s="624"/>
      <c r="CBA35" s="624"/>
      <c r="CBB35" s="624"/>
      <c r="CBC35" s="624"/>
      <c r="CBD35" s="624"/>
      <c r="CBE35" s="624"/>
      <c r="CBF35" s="624"/>
      <c r="CBG35" s="624"/>
      <c r="CBH35" s="624"/>
      <c r="CBI35" s="624"/>
      <c r="CBJ35" s="624"/>
      <c r="CBK35" s="624"/>
      <c r="CBL35" s="624"/>
      <c r="CBM35" s="624"/>
      <c r="CBN35" s="624"/>
      <c r="CBO35" s="624"/>
      <c r="CBP35" s="624"/>
      <c r="CBQ35" s="624"/>
      <c r="CBR35" s="624"/>
      <c r="CBS35" s="624"/>
      <c r="CBT35" s="624"/>
      <c r="CBU35" s="624"/>
      <c r="CBV35" s="624"/>
      <c r="CBW35" s="624"/>
      <c r="CBX35" s="624"/>
      <c r="CBY35" s="624"/>
      <c r="CBZ35" s="624"/>
      <c r="CCA35" s="624"/>
      <c r="CCB35" s="624"/>
      <c r="CCC35" s="624"/>
      <c r="CCD35" s="624"/>
      <c r="CCE35" s="624"/>
      <c r="CCF35" s="624"/>
      <c r="CCG35" s="624"/>
      <c r="CCH35" s="624"/>
      <c r="CCI35" s="624"/>
      <c r="CCJ35" s="624"/>
      <c r="CCK35" s="624"/>
      <c r="CCL35" s="624"/>
      <c r="CCM35" s="624"/>
      <c r="CCN35" s="624"/>
      <c r="CCO35" s="624"/>
      <c r="CCP35" s="624"/>
      <c r="CCQ35" s="624"/>
      <c r="CCR35" s="624"/>
      <c r="CCS35" s="624"/>
      <c r="CCT35" s="624"/>
      <c r="CCU35" s="624"/>
      <c r="CCV35" s="624"/>
      <c r="CCW35" s="624"/>
      <c r="CCX35" s="624"/>
      <c r="CCY35" s="624"/>
      <c r="CCZ35" s="624"/>
      <c r="CDA35" s="624"/>
      <c r="CDB35" s="624"/>
      <c r="CDC35" s="624"/>
      <c r="CDD35" s="624"/>
      <c r="CDE35" s="624"/>
      <c r="CDF35" s="624"/>
      <c r="CDG35" s="624"/>
      <c r="CDH35" s="624"/>
      <c r="CDI35" s="624"/>
      <c r="CDJ35" s="624"/>
      <c r="CDK35" s="624"/>
      <c r="CDL35" s="624"/>
      <c r="CDM35" s="624"/>
      <c r="CDN35" s="624"/>
      <c r="CDO35" s="624"/>
      <c r="CDP35" s="624"/>
      <c r="CDQ35" s="624"/>
      <c r="CDR35" s="624"/>
      <c r="CDS35" s="624"/>
      <c r="CDT35" s="624"/>
      <c r="CDU35" s="624"/>
      <c r="CDV35" s="624"/>
      <c r="CDW35" s="624"/>
      <c r="CDX35" s="624"/>
      <c r="CDY35" s="624"/>
      <c r="CDZ35" s="624"/>
      <c r="CEA35" s="624"/>
      <c r="CEB35" s="624"/>
      <c r="CEC35" s="624"/>
      <c r="CED35" s="624"/>
      <c r="CEE35" s="624"/>
      <c r="CEF35" s="624"/>
      <c r="CEG35" s="624"/>
      <c r="CEH35" s="624"/>
      <c r="CEI35" s="624"/>
      <c r="CEJ35" s="624"/>
      <c r="CEK35" s="624"/>
      <c r="CEL35" s="624"/>
      <c r="CEM35" s="624"/>
      <c r="CEN35" s="624"/>
      <c r="CEO35" s="624"/>
      <c r="CEP35" s="624"/>
      <c r="CEQ35" s="624"/>
      <c r="CER35" s="624"/>
      <c r="CES35" s="624"/>
      <c r="CET35" s="624"/>
      <c r="CEU35" s="624"/>
      <c r="CEV35" s="624"/>
      <c r="CEW35" s="624"/>
      <c r="CEX35" s="624"/>
      <c r="CEY35" s="624"/>
      <c r="CEZ35" s="624"/>
      <c r="CFA35" s="624"/>
      <c r="CFB35" s="624"/>
      <c r="CFC35" s="624"/>
      <c r="CFD35" s="624"/>
      <c r="CFE35" s="624"/>
      <c r="CFF35" s="624"/>
      <c r="CFG35" s="624"/>
      <c r="CFH35" s="624"/>
      <c r="CFI35" s="624"/>
      <c r="CFJ35" s="624"/>
      <c r="CFK35" s="624"/>
      <c r="CFL35" s="624"/>
      <c r="CFM35" s="624"/>
      <c r="CFN35" s="624"/>
      <c r="CFO35" s="624"/>
      <c r="CFP35" s="624"/>
      <c r="CFQ35" s="624"/>
      <c r="CFR35" s="624"/>
      <c r="CFS35" s="624"/>
      <c r="CFT35" s="624"/>
      <c r="CFU35" s="624"/>
      <c r="CFV35" s="624"/>
      <c r="CFW35" s="624"/>
      <c r="CFX35" s="624"/>
      <c r="CFY35" s="624"/>
      <c r="CFZ35" s="624"/>
      <c r="CGA35" s="624"/>
      <c r="CGB35" s="624"/>
      <c r="CGC35" s="624"/>
      <c r="CGD35" s="624"/>
      <c r="CGE35" s="624"/>
      <c r="CGF35" s="624"/>
      <c r="CGG35" s="624"/>
      <c r="CGH35" s="624"/>
      <c r="CGI35" s="624"/>
      <c r="CGJ35" s="624"/>
      <c r="CGK35" s="624"/>
      <c r="CGL35" s="624"/>
      <c r="CGM35" s="624"/>
      <c r="CGN35" s="624"/>
      <c r="CGO35" s="624"/>
      <c r="CGP35" s="624"/>
      <c r="CGQ35" s="624"/>
      <c r="CGR35" s="624"/>
      <c r="CGS35" s="624"/>
      <c r="CGT35" s="624"/>
      <c r="CGU35" s="624"/>
      <c r="CGV35" s="624"/>
      <c r="CGW35" s="624"/>
      <c r="CGX35" s="624"/>
      <c r="CGY35" s="624"/>
      <c r="CGZ35" s="624"/>
      <c r="CHA35" s="624"/>
      <c r="CHB35" s="624"/>
      <c r="CHC35" s="624"/>
      <c r="CHD35" s="624"/>
      <c r="CHE35" s="624"/>
      <c r="CHF35" s="624"/>
      <c r="CHG35" s="624"/>
      <c r="CHH35" s="624"/>
      <c r="CHI35" s="624"/>
      <c r="CHJ35" s="624"/>
      <c r="CHK35" s="624"/>
      <c r="CHL35" s="624"/>
      <c r="CHM35" s="624"/>
      <c r="CHN35" s="624"/>
      <c r="CHO35" s="624"/>
      <c r="CHP35" s="624"/>
      <c r="CHQ35" s="624"/>
      <c r="CHR35" s="624"/>
      <c r="CHS35" s="624"/>
      <c r="CHT35" s="624"/>
      <c r="CHU35" s="624"/>
      <c r="CHV35" s="624"/>
      <c r="CHW35" s="624"/>
      <c r="CHX35" s="624"/>
      <c r="CHY35" s="624"/>
      <c r="CHZ35" s="624"/>
      <c r="CIA35" s="624"/>
      <c r="CIB35" s="624"/>
      <c r="CIC35" s="624"/>
      <c r="CID35" s="624"/>
      <c r="CIE35" s="624"/>
      <c r="CIF35" s="624"/>
      <c r="CIG35" s="624"/>
      <c r="CIH35" s="624"/>
      <c r="CII35" s="624"/>
      <c r="CIJ35" s="624"/>
      <c r="CIK35" s="624"/>
      <c r="CIL35" s="624"/>
      <c r="CIM35" s="624"/>
      <c r="CIN35" s="624"/>
      <c r="CIO35" s="624"/>
      <c r="CIP35" s="624"/>
      <c r="CIQ35" s="624"/>
      <c r="CIR35" s="624"/>
      <c r="CIS35" s="624"/>
      <c r="CIT35" s="624"/>
      <c r="CIU35" s="624"/>
      <c r="CIV35" s="624"/>
      <c r="CIW35" s="624"/>
      <c r="CIX35" s="624"/>
      <c r="CIY35" s="624"/>
      <c r="CIZ35" s="624"/>
      <c r="CJA35" s="624"/>
      <c r="CJB35" s="624"/>
      <c r="CJC35" s="624"/>
      <c r="CJD35" s="624"/>
      <c r="CJE35" s="624"/>
      <c r="CJF35" s="624"/>
      <c r="CJG35" s="624"/>
      <c r="CJH35" s="624"/>
      <c r="CJI35" s="624"/>
      <c r="CJJ35" s="624"/>
      <c r="CJK35" s="624"/>
      <c r="CJL35" s="624"/>
      <c r="CJM35" s="624"/>
      <c r="CJN35" s="624"/>
      <c r="CJO35" s="624"/>
      <c r="CJP35" s="624"/>
      <c r="CJQ35" s="624"/>
      <c r="CJR35" s="624"/>
      <c r="CJS35" s="624"/>
      <c r="CJT35" s="624"/>
      <c r="CJU35" s="624"/>
      <c r="CJV35" s="624"/>
      <c r="CJW35" s="624"/>
      <c r="CJX35" s="624"/>
      <c r="CJY35" s="624"/>
      <c r="CJZ35" s="624"/>
      <c r="CKA35" s="624"/>
      <c r="CKB35" s="624"/>
      <c r="CKC35" s="624"/>
      <c r="CKD35" s="624"/>
      <c r="CKE35" s="624"/>
      <c r="CKF35" s="624"/>
      <c r="CKG35" s="624"/>
      <c r="CKH35" s="624"/>
      <c r="CKI35" s="624"/>
      <c r="CKJ35" s="624"/>
      <c r="CKK35" s="624"/>
      <c r="CKL35" s="624"/>
      <c r="CKM35" s="624"/>
      <c r="CKN35" s="624"/>
      <c r="CKO35" s="624"/>
      <c r="CKP35" s="624"/>
      <c r="CKQ35" s="624"/>
      <c r="CKR35" s="624"/>
      <c r="CKS35" s="624"/>
      <c r="CKT35" s="624"/>
      <c r="CKU35" s="624"/>
      <c r="CKV35" s="624"/>
      <c r="CKW35" s="624"/>
      <c r="CKX35" s="624"/>
      <c r="CKY35" s="624"/>
      <c r="CKZ35" s="624"/>
      <c r="CLA35" s="624"/>
      <c r="CLB35" s="624"/>
      <c r="CLC35" s="624"/>
      <c r="CLD35" s="624"/>
      <c r="CLE35" s="624"/>
      <c r="CLF35" s="624"/>
      <c r="CLG35" s="624"/>
      <c r="CLH35" s="624"/>
      <c r="CLI35" s="624"/>
      <c r="CLJ35" s="624"/>
      <c r="CLK35" s="624"/>
      <c r="CLL35" s="624"/>
      <c r="CLM35" s="624"/>
      <c r="CLN35" s="624"/>
      <c r="CLO35" s="624"/>
      <c r="CLP35" s="624"/>
      <c r="CLQ35" s="624"/>
      <c r="CLR35" s="624"/>
      <c r="CLS35" s="624"/>
      <c r="CLT35" s="624"/>
      <c r="CLU35" s="624"/>
      <c r="CLV35" s="624"/>
      <c r="CLW35" s="624"/>
      <c r="CLX35" s="624"/>
      <c r="CLY35" s="624"/>
      <c r="CLZ35" s="624"/>
      <c r="CMA35" s="624"/>
      <c r="CMB35" s="624"/>
      <c r="CMC35" s="624"/>
      <c r="CMD35" s="624"/>
      <c r="CME35" s="624"/>
      <c r="CMF35" s="624"/>
      <c r="CMG35" s="624"/>
      <c r="CMH35" s="624"/>
      <c r="CMI35" s="624"/>
      <c r="CMJ35" s="624"/>
      <c r="CMK35" s="624"/>
      <c r="CML35" s="624"/>
      <c r="CMM35" s="624"/>
      <c r="CMN35" s="624"/>
      <c r="CMO35" s="624"/>
      <c r="CMP35" s="624"/>
      <c r="CMQ35" s="624"/>
      <c r="CMR35" s="624"/>
      <c r="CMS35" s="624"/>
      <c r="CMT35" s="624"/>
      <c r="CMU35" s="624"/>
      <c r="CMV35" s="624"/>
      <c r="CMW35" s="624"/>
      <c r="CMX35" s="624"/>
      <c r="CMY35" s="624"/>
      <c r="CMZ35" s="624"/>
      <c r="CNA35" s="624"/>
      <c r="CNB35" s="624"/>
      <c r="CNC35" s="624"/>
      <c r="CND35" s="624"/>
      <c r="CNE35" s="624"/>
      <c r="CNF35" s="624"/>
      <c r="CNG35" s="624"/>
      <c r="CNH35" s="624"/>
      <c r="CNI35" s="624"/>
      <c r="CNJ35" s="624"/>
      <c r="CNK35" s="624"/>
      <c r="CNL35" s="624"/>
      <c r="CNM35" s="624"/>
      <c r="CNN35" s="624"/>
      <c r="CNO35" s="624"/>
      <c r="CNP35" s="624"/>
      <c r="CNQ35" s="624"/>
      <c r="CNR35" s="624"/>
      <c r="CNS35" s="624"/>
      <c r="CNT35" s="624"/>
      <c r="CNU35" s="624"/>
      <c r="CNV35" s="624"/>
      <c r="CNW35" s="624"/>
      <c r="CNX35" s="624"/>
      <c r="CNY35" s="624"/>
      <c r="CNZ35" s="624"/>
      <c r="COA35" s="624"/>
      <c r="COB35" s="624"/>
      <c r="COC35" s="624"/>
      <c r="COD35" s="624"/>
      <c r="COE35" s="624"/>
      <c r="COF35" s="624"/>
      <c r="COG35" s="624"/>
      <c r="COH35" s="624"/>
      <c r="COI35" s="624"/>
      <c r="COJ35" s="624"/>
      <c r="COK35" s="624"/>
      <c r="COL35" s="624"/>
      <c r="COM35" s="624"/>
      <c r="CON35" s="624"/>
      <c r="COO35" s="624"/>
      <c r="COP35" s="624"/>
      <c r="COQ35" s="624"/>
      <c r="COR35" s="624"/>
      <c r="COS35" s="624"/>
      <c r="COT35" s="624"/>
      <c r="COU35" s="624"/>
      <c r="COV35" s="624"/>
      <c r="COW35" s="624"/>
      <c r="COX35" s="624"/>
      <c r="COY35" s="624"/>
      <c r="COZ35" s="624"/>
      <c r="CPA35" s="624"/>
      <c r="CPB35" s="624"/>
      <c r="CPC35" s="624"/>
      <c r="CPD35" s="624"/>
      <c r="CPE35" s="624"/>
      <c r="CPF35" s="624"/>
      <c r="CPG35" s="624"/>
      <c r="CPH35" s="624"/>
      <c r="CPI35" s="624"/>
      <c r="CPJ35" s="624"/>
      <c r="CPK35" s="624"/>
      <c r="CPL35" s="624"/>
      <c r="CPM35" s="624"/>
      <c r="CPN35" s="624"/>
      <c r="CPO35" s="624"/>
      <c r="CPP35" s="624"/>
      <c r="CPQ35" s="624"/>
      <c r="CPR35" s="624"/>
      <c r="CPS35" s="624"/>
      <c r="CPT35" s="624"/>
      <c r="CPU35" s="624"/>
      <c r="CPV35" s="624"/>
      <c r="CPW35" s="624"/>
      <c r="CPX35" s="624"/>
      <c r="CPY35" s="624"/>
      <c r="CPZ35" s="624"/>
      <c r="CQA35" s="624"/>
      <c r="CQB35" s="624"/>
      <c r="CQC35" s="624"/>
      <c r="CQD35" s="624"/>
      <c r="CQE35" s="624"/>
      <c r="CQF35" s="624"/>
      <c r="CQG35" s="624"/>
      <c r="CQH35" s="624"/>
      <c r="CQI35" s="624"/>
      <c r="CQJ35" s="624"/>
      <c r="CQK35" s="624"/>
      <c r="CQL35" s="624"/>
      <c r="CQM35" s="624"/>
      <c r="CQN35" s="624"/>
      <c r="CQO35" s="624"/>
      <c r="CQP35" s="624"/>
      <c r="CQQ35" s="624"/>
      <c r="CQR35" s="624"/>
      <c r="CQS35" s="624"/>
      <c r="CQT35" s="624"/>
      <c r="CQU35" s="624"/>
      <c r="CQV35" s="624"/>
      <c r="CQW35" s="624"/>
      <c r="CQX35" s="624"/>
      <c r="CQY35" s="624"/>
      <c r="CQZ35" s="624"/>
      <c r="CRA35" s="624"/>
      <c r="CRB35" s="624"/>
      <c r="CRC35" s="624"/>
      <c r="CRD35" s="624"/>
      <c r="CRE35" s="624"/>
      <c r="CRF35" s="624"/>
      <c r="CRG35" s="624"/>
      <c r="CRH35" s="624"/>
      <c r="CRI35" s="624"/>
      <c r="CRJ35" s="624"/>
      <c r="CRK35" s="624"/>
      <c r="CRL35" s="624"/>
      <c r="CRM35" s="624"/>
      <c r="CRN35" s="624"/>
      <c r="CRO35" s="624"/>
      <c r="CRP35" s="624"/>
      <c r="CRQ35" s="624"/>
      <c r="CRR35" s="624"/>
      <c r="CRS35" s="624"/>
      <c r="CRT35" s="624"/>
      <c r="CRU35" s="624"/>
      <c r="CRV35" s="624"/>
      <c r="CRW35" s="624"/>
      <c r="CRX35" s="624"/>
      <c r="CRY35" s="624"/>
      <c r="CRZ35" s="624"/>
      <c r="CSA35" s="624"/>
      <c r="CSB35" s="624"/>
      <c r="CSC35" s="624"/>
      <c r="CSD35" s="624"/>
      <c r="CSE35" s="624"/>
      <c r="CSF35" s="624"/>
      <c r="CSG35" s="624"/>
      <c r="CSH35" s="624"/>
      <c r="CSI35" s="624"/>
      <c r="CSJ35" s="624"/>
      <c r="CSK35" s="624"/>
      <c r="CSL35" s="624"/>
      <c r="CSM35" s="624"/>
      <c r="CSN35" s="624"/>
      <c r="CSO35" s="624"/>
      <c r="CSP35" s="624"/>
      <c r="CSQ35" s="624"/>
      <c r="CSR35" s="624"/>
      <c r="CSS35" s="624"/>
      <c r="CST35" s="624"/>
      <c r="CSU35" s="624"/>
      <c r="CSV35" s="624"/>
      <c r="CSW35" s="624"/>
      <c r="CSX35" s="624"/>
      <c r="CSY35" s="624"/>
      <c r="CSZ35" s="624"/>
      <c r="CTA35" s="624"/>
      <c r="CTB35" s="624"/>
      <c r="CTC35" s="624"/>
      <c r="CTD35" s="624"/>
      <c r="CTE35" s="624"/>
      <c r="CTF35" s="624"/>
      <c r="CTG35" s="624"/>
      <c r="CTH35" s="624"/>
      <c r="CTI35" s="624"/>
      <c r="CTJ35" s="624"/>
      <c r="CTK35" s="624"/>
      <c r="CTL35" s="624"/>
      <c r="CTM35" s="624"/>
      <c r="CTN35" s="624"/>
      <c r="CTO35" s="624"/>
      <c r="CTP35" s="624"/>
      <c r="CTQ35" s="624"/>
      <c r="CTR35" s="624"/>
      <c r="CTS35" s="624"/>
      <c r="CTT35" s="624"/>
      <c r="CTU35" s="624"/>
      <c r="CTV35" s="624"/>
      <c r="CTW35" s="624"/>
      <c r="CTX35" s="624"/>
      <c r="CTY35" s="624"/>
      <c r="CTZ35" s="624"/>
      <c r="CUA35" s="624"/>
      <c r="CUB35" s="624"/>
      <c r="CUC35" s="624"/>
      <c r="CUD35" s="624"/>
      <c r="CUE35" s="624"/>
      <c r="CUF35" s="624"/>
      <c r="CUG35" s="624"/>
      <c r="CUH35" s="624"/>
      <c r="CUI35" s="624"/>
      <c r="CUJ35" s="624"/>
      <c r="CUK35" s="624"/>
      <c r="CUL35" s="624"/>
      <c r="CUM35" s="624"/>
      <c r="CUN35" s="624"/>
      <c r="CUO35" s="624"/>
      <c r="CUP35" s="624"/>
      <c r="CUQ35" s="624"/>
      <c r="CUR35" s="624"/>
      <c r="CUS35" s="624"/>
      <c r="CUT35" s="624"/>
      <c r="CUU35" s="624"/>
      <c r="CUV35" s="624"/>
      <c r="CUW35" s="624"/>
      <c r="CUX35" s="624"/>
      <c r="CUY35" s="624"/>
      <c r="CUZ35" s="624"/>
      <c r="CVA35" s="624"/>
      <c r="CVB35" s="624"/>
      <c r="CVC35" s="624"/>
      <c r="CVD35" s="624"/>
      <c r="CVE35" s="624"/>
      <c r="CVF35" s="624"/>
      <c r="CVG35" s="624"/>
      <c r="CVH35" s="624"/>
      <c r="CVI35" s="624"/>
      <c r="CVJ35" s="624"/>
      <c r="CVK35" s="624"/>
      <c r="CVL35" s="624"/>
      <c r="CVM35" s="624"/>
      <c r="CVN35" s="624"/>
      <c r="CVO35" s="624"/>
      <c r="CVP35" s="624"/>
      <c r="CVQ35" s="624"/>
      <c r="CVR35" s="624"/>
      <c r="CVS35" s="624"/>
      <c r="CVT35" s="624"/>
      <c r="CVU35" s="624"/>
      <c r="CVV35" s="624"/>
      <c r="CVW35" s="624"/>
      <c r="CVX35" s="624"/>
      <c r="CVY35" s="624"/>
      <c r="CVZ35" s="624"/>
      <c r="CWA35" s="624"/>
      <c r="CWB35" s="624"/>
      <c r="CWC35" s="624"/>
      <c r="CWD35" s="624"/>
      <c r="CWE35" s="624"/>
      <c r="CWF35" s="624"/>
      <c r="CWG35" s="624"/>
      <c r="CWH35" s="624"/>
      <c r="CWI35" s="624"/>
      <c r="CWJ35" s="624"/>
      <c r="CWK35" s="624"/>
      <c r="CWL35" s="624"/>
      <c r="CWM35" s="624"/>
      <c r="CWN35" s="624"/>
      <c r="CWO35" s="624"/>
      <c r="CWP35" s="624"/>
      <c r="CWQ35" s="624"/>
      <c r="CWR35" s="624"/>
      <c r="CWS35" s="624"/>
      <c r="CWT35" s="624"/>
      <c r="CWU35" s="624"/>
      <c r="CWV35" s="624"/>
      <c r="CWW35" s="624"/>
      <c r="CWX35" s="624"/>
      <c r="CWY35" s="624"/>
      <c r="CWZ35" s="624"/>
      <c r="CXA35" s="624"/>
      <c r="CXB35" s="624"/>
      <c r="CXC35" s="624"/>
      <c r="CXD35" s="624"/>
      <c r="CXE35" s="624"/>
      <c r="CXF35" s="624"/>
      <c r="CXG35" s="624"/>
      <c r="CXH35" s="624"/>
      <c r="CXI35" s="624"/>
      <c r="CXJ35" s="624"/>
      <c r="CXK35" s="624"/>
      <c r="CXL35" s="624"/>
      <c r="CXM35" s="624"/>
      <c r="CXN35" s="624"/>
      <c r="CXO35" s="624"/>
      <c r="CXP35" s="624"/>
      <c r="CXQ35" s="624"/>
      <c r="CXR35" s="624"/>
      <c r="CXS35" s="624"/>
      <c r="CXT35" s="624"/>
      <c r="CXU35" s="624"/>
      <c r="CXV35" s="624"/>
      <c r="CXW35" s="624"/>
      <c r="CXX35" s="624"/>
      <c r="CXY35" s="624"/>
      <c r="CXZ35" s="624"/>
      <c r="CYA35" s="624"/>
      <c r="CYB35" s="624"/>
      <c r="CYC35" s="624"/>
      <c r="CYD35" s="624"/>
      <c r="CYE35" s="624"/>
      <c r="CYF35" s="624"/>
      <c r="CYG35" s="624"/>
      <c r="CYH35" s="624"/>
      <c r="CYI35" s="624"/>
      <c r="CYJ35" s="624"/>
      <c r="CYK35" s="624"/>
      <c r="CYL35" s="624"/>
      <c r="CYM35" s="624"/>
      <c r="CYN35" s="624"/>
      <c r="CYO35" s="624"/>
      <c r="CYP35" s="624"/>
      <c r="CYQ35" s="624"/>
      <c r="CYR35" s="624"/>
      <c r="CYS35" s="624"/>
      <c r="CYT35" s="624"/>
      <c r="CYU35" s="624"/>
      <c r="CYV35" s="624"/>
      <c r="CYW35" s="624"/>
      <c r="CYX35" s="624"/>
      <c r="CYY35" s="624"/>
      <c r="CYZ35" s="624"/>
      <c r="CZA35" s="624"/>
      <c r="CZB35" s="624"/>
      <c r="CZC35" s="624"/>
      <c r="CZD35" s="624"/>
      <c r="CZE35" s="624"/>
      <c r="CZF35" s="624"/>
      <c r="CZG35" s="624"/>
      <c r="CZH35" s="624"/>
      <c r="CZI35" s="624"/>
      <c r="CZJ35" s="624"/>
      <c r="CZK35" s="624"/>
      <c r="CZL35" s="624"/>
      <c r="CZM35" s="624"/>
      <c r="CZN35" s="624"/>
      <c r="CZO35" s="624"/>
      <c r="CZP35" s="624"/>
      <c r="CZQ35" s="624"/>
      <c r="CZR35" s="624"/>
      <c r="CZS35" s="624"/>
      <c r="CZT35" s="624"/>
      <c r="CZU35" s="624"/>
      <c r="CZV35" s="624"/>
      <c r="CZW35" s="624"/>
      <c r="CZX35" s="624"/>
      <c r="CZY35" s="624"/>
      <c r="CZZ35" s="624"/>
      <c r="DAA35" s="624"/>
      <c r="DAB35" s="624"/>
      <c r="DAC35" s="624"/>
      <c r="DAD35" s="624"/>
      <c r="DAE35" s="624"/>
      <c r="DAF35" s="624"/>
      <c r="DAG35" s="624"/>
      <c r="DAH35" s="624"/>
      <c r="DAI35" s="624"/>
      <c r="DAJ35" s="624"/>
      <c r="DAK35" s="624"/>
      <c r="DAL35" s="624"/>
      <c r="DAM35" s="624"/>
      <c r="DAN35" s="624"/>
      <c r="DAO35" s="624"/>
      <c r="DAP35" s="624"/>
      <c r="DAQ35" s="624"/>
      <c r="DAR35" s="624"/>
      <c r="DAS35" s="624"/>
      <c r="DAT35" s="624"/>
      <c r="DAU35" s="624"/>
      <c r="DAV35" s="624"/>
      <c r="DAW35" s="624"/>
      <c r="DAX35" s="624"/>
      <c r="DAY35" s="624"/>
      <c r="DAZ35" s="624"/>
      <c r="DBA35" s="624"/>
      <c r="DBB35" s="624"/>
      <c r="DBC35" s="624"/>
      <c r="DBD35" s="624"/>
      <c r="DBE35" s="624"/>
      <c r="DBF35" s="624"/>
      <c r="DBG35" s="624"/>
      <c r="DBH35" s="624"/>
      <c r="DBI35" s="624"/>
      <c r="DBJ35" s="624"/>
      <c r="DBK35" s="624"/>
      <c r="DBL35" s="624"/>
      <c r="DBM35" s="624"/>
      <c r="DBN35" s="624"/>
      <c r="DBO35" s="624"/>
      <c r="DBP35" s="624"/>
      <c r="DBQ35" s="624"/>
      <c r="DBR35" s="624"/>
      <c r="DBS35" s="624"/>
      <c r="DBT35" s="624"/>
      <c r="DBU35" s="624"/>
      <c r="DBV35" s="624"/>
      <c r="DBW35" s="624"/>
      <c r="DBX35" s="624"/>
      <c r="DBY35" s="624"/>
      <c r="DBZ35" s="624"/>
      <c r="DCA35" s="624"/>
      <c r="DCB35" s="624"/>
      <c r="DCC35" s="624"/>
      <c r="DCD35" s="624"/>
      <c r="DCE35" s="624"/>
      <c r="DCF35" s="624"/>
      <c r="DCG35" s="624"/>
      <c r="DCH35" s="624"/>
      <c r="DCI35" s="624"/>
      <c r="DCJ35" s="624"/>
      <c r="DCK35" s="624"/>
      <c r="DCL35" s="624"/>
      <c r="DCM35" s="624"/>
      <c r="DCN35" s="624"/>
      <c r="DCO35" s="624"/>
      <c r="DCP35" s="624"/>
      <c r="DCQ35" s="624"/>
      <c r="DCR35" s="624"/>
      <c r="DCS35" s="624"/>
      <c r="DCT35" s="624"/>
      <c r="DCU35" s="624"/>
      <c r="DCV35" s="624"/>
      <c r="DCW35" s="624"/>
      <c r="DCX35" s="624"/>
      <c r="DCY35" s="624"/>
      <c r="DCZ35" s="624"/>
      <c r="DDA35" s="624"/>
      <c r="DDB35" s="624"/>
      <c r="DDC35" s="624"/>
      <c r="DDD35" s="624"/>
      <c r="DDE35" s="624"/>
      <c r="DDF35" s="624"/>
      <c r="DDG35" s="624"/>
      <c r="DDH35" s="624"/>
      <c r="DDI35" s="624"/>
      <c r="DDJ35" s="624"/>
      <c r="DDK35" s="624"/>
      <c r="DDL35" s="624"/>
      <c r="DDM35" s="624"/>
      <c r="DDN35" s="624"/>
      <c r="DDO35" s="624"/>
      <c r="DDP35" s="624"/>
      <c r="DDQ35" s="624"/>
      <c r="DDR35" s="624"/>
      <c r="DDS35" s="624"/>
      <c r="DDT35" s="624"/>
      <c r="DDU35" s="624"/>
      <c r="DDV35" s="624"/>
      <c r="DDW35" s="624"/>
      <c r="DDX35" s="624"/>
      <c r="DDY35" s="624"/>
      <c r="DDZ35" s="624"/>
      <c r="DEA35" s="624"/>
      <c r="DEB35" s="624"/>
      <c r="DEC35" s="624"/>
      <c r="DED35" s="624"/>
      <c r="DEE35" s="624"/>
      <c r="DEF35" s="624"/>
      <c r="DEG35" s="624"/>
      <c r="DEH35" s="624"/>
      <c r="DEI35" s="624"/>
      <c r="DEJ35" s="624"/>
      <c r="DEK35" s="624"/>
      <c r="DEL35" s="624"/>
      <c r="DEM35" s="624"/>
      <c r="DEN35" s="624"/>
      <c r="DEO35" s="624"/>
      <c r="DEP35" s="624"/>
      <c r="DEQ35" s="624"/>
      <c r="DER35" s="624"/>
      <c r="DES35" s="624"/>
      <c r="DET35" s="624"/>
      <c r="DEU35" s="624"/>
      <c r="DEV35" s="624"/>
      <c r="DEW35" s="624"/>
      <c r="DEX35" s="624"/>
      <c r="DEY35" s="624"/>
      <c r="DEZ35" s="624"/>
      <c r="DFA35" s="624"/>
      <c r="DFB35" s="624"/>
      <c r="DFC35" s="624"/>
      <c r="DFD35" s="624"/>
      <c r="DFE35" s="624"/>
      <c r="DFF35" s="624"/>
      <c r="DFG35" s="624"/>
      <c r="DFH35" s="624"/>
      <c r="DFI35" s="624"/>
      <c r="DFJ35" s="624"/>
      <c r="DFK35" s="624"/>
      <c r="DFL35" s="624"/>
      <c r="DFM35" s="624"/>
      <c r="DFN35" s="624"/>
      <c r="DFO35" s="624"/>
      <c r="DFP35" s="624"/>
      <c r="DFQ35" s="624"/>
      <c r="DFR35" s="624"/>
      <c r="DFS35" s="624"/>
      <c r="DFT35" s="624"/>
      <c r="DFU35" s="624"/>
      <c r="DFV35" s="624"/>
      <c r="DFW35" s="624"/>
      <c r="DFX35" s="624"/>
      <c r="DFY35" s="624"/>
      <c r="DFZ35" s="624"/>
      <c r="DGA35" s="624"/>
      <c r="DGB35" s="624"/>
      <c r="DGC35" s="624"/>
      <c r="DGD35" s="624"/>
      <c r="DGE35" s="624"/>
      <c r="DGF35" s="624"/>
      <c r="DGG35" s="624"/>
      <c r="DGH35" s="624"/>
      <c r="DGI35" s="624"/>
      <c r="DGJ35" s="624"/>
      <c r="DGK35" s="624"/>
      <c r="DGL35" s="624"/>
      <c r="DGM35" s="624"/>
      <c r="DGN35" s="624"/>
      <c r="DGO35" s="624"/>
      <c r="DGP35" s="624"/>
      <c r="DGQ35" s="624"/>
      <c r="DGR35" s="624"/>
      <c r="DGS35" s="624"/>
      <c r="DGT35" s="624"/>
      <c r="DGU35" s="624"/>
      <c r="DGV35" s="624"/>
      <c r="DGW35" s="624"/>
      <c r="DGX35" s="624"/>
      <c r="DGY35" s="624"/>
      <c r="DGZ35" s="624"/>
      <c r="DHA35" s="624"/>
      <c r="DHB35" s="624"/>
      <c r="DHC35" s="624"/>
      <c r="DHD35" s="624"/>
      <c r="DHE35" s="624"/>
      <c r="DHF35" s="624"/>
      <c r="DHG35" s="624"/>
      <c r="DHH35" s="624"/>
      <c r="DHI35" s="624"/>
      <c r="DHJ35" s="624"/>
      <c r="DHK35" s="624"/>
      <c r="DHL35" s="624"/>
      <c r="DHM35" s="624"/>
      <c r="DHN35" s="624"/>
      <c r="DHO35" s="624"/>
      <c r="DHP35" s="624"/>
      <c r="DHQ35" s="624"/>
      <c r="DHR35" s="624"/>
      <c r="DHS35" s="624"/>
      <c r="DHT35" s="624"/>
      <c r="DHU35" s="624"/>
      <c r="DHV35" s="624"/>
      <c r="DHW35" s="624"/>
      <c r="DHX35" s="624"/>
      <c r="DHY35" s="624"/>
      <c r="DHZ35" s="624"/>
      <c r="DIA35" s="624"/>
      <c r="DIB35" s="624"/>
      <c r="DIC35" s="624"/>
      <c r="DID35" s="624"/>
      <c r="DIE35" s="624"/>
      <c r="DIF35" s="624"/>
      <c r="DIG35" s="624"/>
      <c r="DIH35" s="624"/>
      <c r="DII35" s="624"/>
      <c r="DIJ35" s="624"/>
      <c r="DIK35" s="624"/>
      <c r="DIL35" s="624"/>
      <c r="DIM35" s="624"/>
      <c r="DIN35" s="624"/>
      <c r="DIO35" s="624"/>
      <c r="DIP35" s="624"/>
      <c r="DIQ35" s="624"/>
      <c r="DIR35" s="624"/>
      <c r="DIS35" s="624"/>
      <c r="DIT35" s="624"/>
      <c r="DIU35" s="624"/>
      <c r="DIV35" s="624"/>
      <c r="DIW35" s="624"/>
      <c r="DIX35" s="624"/>
      <c r="DIY35" s="624"/>
      <c r="DIZ35" s="624"/>
      <c r="DJA35" s="624"/>
      <c r="DJB35" s="624"/>
      <c r="DJC35" s="624"/>
      <c r="DJD35" s="624"/>
      <c r="DJE35" s="624"/>
      <c r="DJF35" s="624"/>
      <c r="DJG35" s="624"/>
      <c r="DJH35" s="624"/>
      <c r="DJI35" s="624"/>
      <c r="DJJ35" s="624"/>
      <c r="DJK35" s="624"/>
      <c r="DJL35" s="624"/>
      <c r="DJM35" s="624"/>
      <c r="DJN35" s="624"/>
      <c r="DJO35" s="624"/>
      <c r="DJP35" s="624"/>
      <c r="DJQ35" s="624"/>
      <c r="DJR35" s="624"/>
      <c r="DJS35" s="624"/>
      <c r="DJT35" s="624"/>
      <c r="DJU35" s="624"/>
      <c r="DJV35" s="624"/>
      <c r="DJW35" s="624"/>
      <c r="DJX35" s="624"/>
      <c r="DJY35" s="624"/>
      <c r="DJZ35" s="624"/>
      <c r="DKA35" s="624"/>
      <c r="DKB35" s="624"/>
      <c r="DKC35" s="624"/>
      <c r="DKD35" s="624"/>
      <c r="DKE35" s="624"/>
      <c r="DKF35" s="624"/>
      <c r="DKG35" s="624"/>
      <c r="DKH35" s="624"/>
      <c r="DKI35" s="624"/>
      <c r="DKJ35" s="624"/>
      <c r="DKK35" s="624"/>
      <c r="DKL35" s="624"/>
      <c r="DKM35" s="624"/>
      <c r="DKN35" s="624"/>
      <c r="DKO35" s="624"/>
      <c r="DKP35" s="624"/>
      <c r="DKQ35" s="624"/>
      <c r="DKR35" s="624"/>
      <c r="DKS35" s="624"/>
      <c r="DKT35" s="624"/>
      <c r="DKU35" s="624"/>
      <c r="DKV35" s="624"/>
      <c r="DKW35" s="624"/>
      <c r="DKX35" s="624"/>
      <c r="DKY35" s="624"/>
      <c r="DKZ35" s="624"/>
      <c r="DLA35" s="624"/>
      <c r="DLB35" s="624"/>
      <c r="DLC35" s="624"/>
      <c r="DLD35" s="624"/>
      <c r="DLE35" s="624"/>
      <c r="DLF35" s="624"/>
      <c r="DLG35" s="624"/>
      <c r="DLH35" s="624"/>
      <c r="DLI35" s="624"/>
      <c r="DLJ35" s="624"/>
      <c r="DLK35" s="624"/>
      <c r="DLL35" s="624"/>
      <c r="DLM35" s="624"/>
      <c r="DLN35" s="624"/>
      <c r="DLO35" s="624"/>
      <c r="DLP35" s="624"/>
      <c r="DLQ35" s="624"/>
      <c r="DLR35" s="624"/>
      <c r="DLS35" s="624"/>
      <c r="DLT35" s="624"/>
      <c r="DLU35" s="624"/>
      <c r="DLV35" s="624"/>
      <c r="DLW35" s="624"/>
      <c r="DLX35" s="624"/>
      <c r="DLY35" s="624"/>
      <c r="DLZ35" s="624"/>
      <c r="DMA35" s="624"/>
      <c r="DMB35" s="624"/>
      <c r="DMC35" s="624"/>
      <c r="DMD35" s="624"/>
      <c r="DME35" s="624"/>
      <c r="DMF35" s="624"/>
      <c r="DMG35" s="624"/>
      <c r="DMH35" s="624"/>
      <c r="DMI35" s="624"/>
      <c r="DMJ35" s="624"/>
      <c r="DMK35" s="624"/>
      <c r="DML35" s="624"/>
      <c r="DMM35" s="624"/>
      <c r="DMN35" s="624"/>
      <c r="DMO35" s="624"/>
      <c r="DMP35" s="624"/>
      <c r="DMQ35" s="624"/>
      <c r="DMR35" s="624"/>
      <c r="DMS35" s="624"/>
      <c r="DMT35" s="624"/>
      <c r="DMU35" s="624"/>
      <c r="DMV35" s="624"/>
      <c r="DMW35" s="624"/>
      <c r="DMX35" s="624"/>
      <c r="DMY35" s="624"/>
      <c r="DMZ35" s="624"/>
      <c r="DNA35" s="624"/>
      <c r="DNB35" s="624"/>
      <c r="DNC35" s="624"/>
      <c r="DND35" s="624"/>
      <c r="DNE35" s="624"/>
      <c r="DNF35" s="624"/>
      <c r="DNG35" s="624"/>
      <c r="DNH35" s="624"/>
      <c r="DNI35" s="624"/>
      <c r="DNJ35" s="624"/>
      <c r="DNK35" s="624"/>
      <c r="DNL35" s="624"/>
      <c r="DNM35" s="624"/>
      <c r="DNN35" s="624"/>
      <c r="DNO35" s="624"/>
      <c r="DNP35" s="624"/>
      <c r="DNQ35" s="624"/>
      <c r="DNR35" s="624"/>
      <c r="DNS35" s="624"/>
      <c r="DNT35" s="624"/>
      <c r="DNU35" s="624"/>
      <c r="DNV35" s="624"/>
      <c r="DNW35" s="624"/>
      <c r="DNX35" s="624"/>
      <c r="DNY35" s="624"/>
      <c r="DNZ35" s="624"/>
      <c r="DOA35" s="624"/>
      <c r="DOB35" s="624"/>
      <c r="DOC35" s="624"/>
      <c r="DOD35" s="624"/>
      <c r="DOE35" s="624"/>
      <c r="DOF35" s="624"/>
      <c r="DOG35" s="624"/>
      <c r="DOH35" s="624"/>
      <c r="DOI35" s="624"/>
      <c r="DOJ35" s="624"/>
      <c r="DOK35" s="624"/>
      <c r="DOL35" s="624"/>
      <c r="DOM35" s="624"/>
      <c r="DON35" s="624"/>
      <c r="DOO35" s="624"/>
      <c r="DOP35" s="624"/>
      <c r="DOQ35" s="624"/>
      <c r="DOR35" s="624"/>
      <c r="DOS35" s="624"/>
      <c r="DOT35" s="624"/>
      <c r="DOU35" s="624"/>
      <c r="DOV35" s="624"/>
      <c r="DOW35" s="624"/>
      <c r="DOX35" s="624"/>
      <c r="DOY35" s="624"/>
      <c r="DOZ35" s="624"/>
      <c r="DPA35" s="624"/>
      <c r="DPB35" s="624"/>
      <c r="DPC35" s="624"/>
      <c r="DPD35" s="624"/>
      <c r="DPE35" s="624"/>
      <c r="DPF35" s="624"/>
      <c r="DPG35" s="624"/>
      <c r="DPH35" s="624"/>
      <c r="DPI35" s="624"/>
      <c r="DPJ35" s="624"/>
      <c r="DPK35" s="624"/>
      <c r="DPL35" s="624"/>
      <c r="DPM35" s="624"/>
      <c r="DPN35" s="624"/>
      <c r="DPO35" s="624"/>
      <c r="DPP35" s="624"/>
      <c r="DPQ35" s="624"/>
      <c r="DPR35" s="624"/>
      <c r="DPS35" s="624"/>
      <c r="DPT35" s="624"/>
      <c r="DPU35" s="624"/>
      <c r="DPV35" s="624"/>
      <c r="DPW35" s="624"/>
      <c r="DPX35" s="624"/>
      <c r="DPY35" s="624"/>
      <c r="DPZ35" s="624"/>
      <c r="DQA35" s="624"/>
      <c r="DQB35" s="624"/>
      <c r="DQC35" s="624"/>
      <c r="DQD35" s="624"/>
      <c r="DQE35" s="624"/>
      <c r="DQF35" s="624"/>
      <c r="DQG35" s="624"/>
      <c r="DQH35" s="624"/>
      <c r="DQI35" s="624"/>
      <c r="DQJ35" s="624"/>
      <c r="DQK35" s="624"/>
      <c r="DQL35" s="624"/>
      <c r="DQM35" s="624"/>
      <c r="DQN35" s="624"/>
      <c r="DQO35" s="624"/>
      <c r="DQP35" s="624"/>
      <c r="DQQ35" s="624"/>
      <c r="DQR35" s="624"/>
      <c r="DQS35" s="624"/>
      <c r="DQT35" s="624"/>
      <c r="DQU35" s="624"/>
      <c r="DQV35" s="624"/>
      <c r="DQW35" s="624"/>
      <c r="DQX35" s="624"/>
      <c r="DQY35" s="624"/>
      <c r="DQZ35" s="624"/>
      <c r="DRA35" s="624"/>
      <c r="DRB35" s="624"/>
      <c r="DRC35" s="624"/>
      <c r="DRD35" s="624"/>
      <c r="DRE35" s="624"/>
      <c r="DRF35" s="624"/>
      <c r="DRG35" s="624"/>
      <c r="DRH35" s="624"/>
      <c r="DRI35" s="624"/>
      <c r="DRJ35" s="624"/>
      <c r="DRK35" s="624"/>
      <c r="DRL35" s="624"/>
      <c r="DRM35" s="624"/>
      <c r="DRN35" s="624"/>
      <c r="DRO35" s="624"/>
      <c r="DRP35" s="624"/>
      <c r="DRQ35" s="624"/>
      <c r="DRR35" s="624"/>
      <c r="DRS35" s="624"/>
      <c r="DRT35" s="624"/>
      <c r="DRU35" s="624"/>
      <c r="DRV35" s="624"/>
      <c r="DRW35" s="624"/>
      <c r="DRX35" s="624"/>
      <c r="DRY35" s="624"/>
      <c r="DRZ35" s="624"/>
      <c r="DSA35" s="624"/>
      <c r="DSB35" s="624"/>
      <c r="DSC35" s="624"/>
      <c r="DSD35" s="624"/>
      <c r="DSE35" s="624"/>
      <c r="DSF35" s="624"/>
      <c r="DSG35" s="624"/>
      <c r="DSH35" s="624"/>
      <c r="DSI35" s="624"/>
      <c r="DSJ35" s="624"/>
      <c r="DSK35" s="624"/>
      <c r="DSL35" s="624"/>
      <c r="DSM35" s="624"/>
      <c r="DSN35" s="624"/>
      <c r="DSO35" s="624"/>
      <c r="DSP35" s="624"/>
      <c r="DSQ35" s="624"/>
      <c r="DSR35" s="624"/>
      <c r="DSS35" s="624"/>
      <c r="DST35" s="624"/>
      <c r="DSU35" s="624"/>
      <c r="DSV35" s="624"/>
      <c r="DSW35" s="624"/>
      <c r="DSX35" s="624"/>
      <c r="DSY35" s="624"/>
      <c r="DSZ35" s="624"/>
      <c r="DTA35" s="624"/>
      <c r="DTB35" s="624"/>
      <c r="DTC35" s="624"/>
      <c r="DTD35" s="624"/>
      <c r="DTE35" s="624"/>
      <c r="DTF35" s="624"/>
      <c r="DTG35" s="624"/>
      <c r="DTH35" s="624"/>
      <c r="DTI35" s="624"/>
      <c r="DTJ35" s="624"/>
      <c r="DTK35" s="624"/>
      <c r="DTL35" s="624"/>
      <c r="DTM35" s="624"/>
      <c r="DTN35" s="624"/>
      <c r="DTO35" s="624"/>
      <c r="DTP35" s="624"/>
      <c r="DTQ35" s="624"/>
      <c r="DTR35" s="624"/>
      <c r="DTS35" s="624"/>
      <c r="DTT35" s="624"/>
      <c r="DTU35" s="624"/>
      <c r="DTV35" s="624"/>
      <c r="DTW35" s="624"/>
      <c r="DTX35" s="624"/>
      <c r="DTY35" s="624"/>
      <c r="DTZ35" s="624"/>
      <c r="DUA35" s="624"/>
      <c r="DUB35" s="624"/>
      <c r="DUC35" s="624"/>
      <c r="DUD35" s="624"/>
      <c r="DUE35" s="624"/>
      <c r="DUF35" s="624"/>
      <c r="DUG35" s="624"/>
      <c r="DUH35" s="624"/>
      <c r="DUI35" s="624"/>
      <c r="DUJ35" s="624"/>
      <c r="DUK35" s="624"/>
      <c r="DUL35" s="624"/>
      <c r="DUM35" s="624"/>
      <c r="DUN35" s="624"/>
      <c r="DUO35" s="624"/>
      <c r="DUP35" s="624"/>
      <c r="DUQ35" s="624"/>
      <c r="DUR35" s="624"/>
      <c r="DUS35" s="624"/>
      <c r="DUT35" s="624"/>
      <c r="DUU35" s="624"/>
      <c r="DUV35" s="624"/>
      <c r="DUW35" s="624"/>
      <c r="DUX35" s="624"/>
      <c r="DUY35" s="624"/>
      <c r="DUZ35" s="624"/>
      <c r="DVA35" s="624"/>
      <c r="DVB35" s="624"/>
      <c r="DVC35" s="624"/>
      <c r="DVD35" s="624"/>
      <c r="DVE35" s="624"/>
      <c r="DVF35" s="624"/>
      <c r="DVG35" s="624"/>
      <c r="DVH35" s="624"/>
      <c r="DVI35" s="624"/>
      <c r="DVJ35" s="624"/>
      <c r="DVK35" s="624"/>
      <c r="DVL35" s="624"/>
      <c r="DVM35" s="624"/>
      <c r="DVN35" s="624"/>
      <c r="DVO35" s="624"/>
      <c r="DVP35" s="624"/>
      <c r="DVQ35" s="624"/>
      <c r="DVR35" s="624"/>
      <c r="DVS35" s="624"/>
      <c r="DVT35" s="624"/>
      <c r="DVU35" s="624"/>
      <c r="DVV35" s="624"/>
      <c r="DVW35" s="624"/>
      <c r="DVX35" s="624"/>
      <c r="DVY35" s="624"/>
      <c r="DVZ35" s="624"/>
      <c r="DWA35" s="624"/>
      <c r="DWB35" s="624"/>
      <c r="DWC35" s="624"/>
      <c r="DWD35" s="624"/>
      <c r="DWE35" s="624"/>
      <c r="DWF35" s="624"/>
      <c r="DWG35" s="624"/>
      <c r="DWH35" s="624"/>
      <c r="DWI35" s="624"/>
      <c r="DWJ35" s="624"/>
      <c r="DWK35" s="624"/>
      <c r="DWL35" s="624"/>
      <c r="DWM35" s="624"/>
      <c r="DWN35" s="624"/>
      <c r="DWO35" s="624"/>
      <c r="DWP35" s="624"/>
      <c r="DWQ35" s="624"/>
      <c r="DWR35" s="624"/>
      <c r="DWS35" s="624"/>
      <c r="DWT35" s="624"/>
      <c r="DWU35" s="624"/>
      <c r="DWV35" s="624"/>
      <c r="DWW35" s="624"/>
      <c r="DWX35" s="624"/>
      <c r="DWY35" s="624"/>
      <c r="DWZ35" s="624"/>
      <c r="DXA35" s="624"/>
      <c r="DXB35" s="624"/>
      <c r="DXC35" s="624"/>
      <c r="DXD35" s="624"/>
      <c r="DXE35" s="624"/>
      <c r="DXF35" s="624"/>
      <c r="DXG35" s="624"/>
      <c r="DXH35" s="624"/>
      <c r="DXI35" s="624"/>
      <c r="DXJ35" s="624"/>
      <c r="DXK35" s="624"/>
      <c r="DXL35" s="624"/>
      <c r="DXM35" s="624"/>
      <c r="DXN35" s="624"/>
      <c r="DXO35" s="624"/>
      <c r="DXP35" s="624"/>
      <c r="DXQ35" s="624"/>
      <c r="DXR35" s="624"/>
      <c r="DXS35" s="624"/>
      <c r="DXT35" s="624"/>
      <c r="DXU35" s="624"/>
      <c r="DXV35" s="624"/>
      <c r="DXW35" s="624"/>
      <c r="DXX35" s="624"/>
      <c r="DXY35" s="624"/>
      <c r="DXZ35" s="624"/>
      <c r="DYA35" s="624"/>
      <c r="DYB35" s="624"/>
      <c r="DYC35" s="624"/>
      <c r="DYD35" s="624"/>
      <c r="DYE35" s="624"/>
      <c r="DYF35" s="624"/>
      <c r="DYG35" s="624"/>
      <c r="DYH35" s="624"/>
      <c r="DYI35" s="624"/>
      <c r="DYJ35" s="624"/>
      <c r="DYK35" s="624"/>
      <c r="DYL35" s="624"/>
      <c r="DYM35" s="624"/>
      <c r="DYN35" s="624"/>
      <c r="DYO35" s="624"/>
      <c r="DYP35" s="624"/>
      <c r="DYQ35" s="624"/>
      <c r="DYR35" s="624"/>
      <c r="DYS35" s="624"/>
      <c r="DYT35" s="624"/>
      <c r="DYU35" s="624"/>
      <c r="DYV35" s="624"/>
      <c r="DYW35" s="624"/>
      <c r="DYX35" s="624"/>
      <c r="DYY35" s="624"/>
      <c r="DYZ35" s="624"/>
      <c r="DZA35" s="624"/>
      <c r="DZB35" s="624"/>
      <c r="DZC35" s="624"/>
      <c r="DZD35" s="624"/>
      <c r="DZE35" s="624"/>
      <c r="DZF35" s="624"/>
      <c r="DZG35" s="624"/>
      <c r="DZH35" s="624"/>
      <c r="DZI35" s="624"/>
      <c r="DZJ35" s="624"/>
      <c r="DZK35" s="624"/>
      <c r="DZL35" s="624"/>
      <c r="DZM35" s="624"/>
      <c r="DZN35" s="624"/>
      <c r="DZO35" s="624"/>
      <c r="DZP35" s="624"/>
      <c r="DZQ35" s="624"/>
      <c r="DZR35" s="624"/>
      <c r="DZS35" s="624"/>
      <c r="DZT35" s="624"/>
      <c r="DZU35" s="624"/>
      <c r="DZV35" s="624"/>
      <c r="DZW35" s="624"/>
      <c r="DZX35" s="624"/>
      <c r="DZY35" s="624"/>
      <c r="DZZ35" s="624"/>
      <c r="EAA35" s="624"/>
      <c r="EAB35" s="624"/>
      <c r="EAC35" s="624"/>
      <c r="EAD35" s="624"/>
      <c r="EAE35" s="624"/>
      <c r="EAF35" s="624"/>
      <c r="EAG35" s="624"/>
      <c r="EAH35" s="624"/>
      <c r="EAI35" s="624"/>
      <c r="EAJ35" s="624"/>
      <c r="EAK35" s="624"/>
      <c r="EAL35" s="624"/>
      <c r="EAM35" s="624"/>
      <c r="EAN35" s="624"/>
      <c r="EAO35" s="624"/>
      <c r="EAP35" s="624"/>
      <c r="EAQ35" s="624"/>
      <c r="EAR35" s="624"/>
      <c r="EAS35" s="624"/>
      <c r="EAT35" s="624"/>
      <c r="EAU35" s="624"/>
      <c r="EAV35" s="624"/>
      <c r="EAW35" s="624"/>
      <c r="EAX35" s="624"/>
      <c r="EAY35" s="624"/>
      <c r="EAZ35" s="624"/>
      <c r="EBA35" s="624"/>
      <c r="EBB35" s="624"/>
      <c r="EBC35" s="624"/>
      <c r="EBD35" s="624"/>
      <c r="EBE35" s="624"/>
      <c r="EBF35" s="624"/>
      <c r="EBG35" s="624"/>
      <c r="EBH35" s="624"/>
      <c r="EBI35" s="624"/>
      <c r="EBJ35" s="624"/>
      <c r="EBK35" s="624"/>
      <c r="EBL35" s="624"/>
      <c r="EBM35" s="624"/>
      <c r="EBN35" s="624"/>
      <c r="EBO35" s="624"/>
      <c r="EBP35" s="624"/>
      <c r="EBQ35" s="624"/>
      <c r="EBR35" s="624"/>
      <c r="EBS35" s="624"/>
      <c r="EBT35" s="624"/>
      <c r="EBU35" s="624"/>
      <c r="EBV35" s="624"/>
      <c r="EBW35" s="624"/>
      <c r="EBX35" s="624"/>
      <c r="EBY35" s="624"/>
      <c r="EBZ35" s="624"/>
      <c r="ECA35" s="624"/>
      <c r="ECB35" s="624"/>
      <c r="ECC35" s="624"/>
      <c r="ECD35" s="624"/>
      <c r="ECE35" s="624"/>
      <c r="ECF35" s="624"/>
      <c r="ECG35" s="624"/>
      <c r="ECH35" s="624"/>
      <c r="ECI35" s="624"/>
      <c r="ECJ35" s="624"/>
      <c r="ECK35" s="624"/>
      <c r="ECL35" s="624"/>
      <c r="ECM35" s="624"/>
      <c r="ECN35" s="624"/>
      <c r="ECO35" s="624"/>
      <c r="ECP35" s="624"/>
      <c r="ECQ35" s="624"/>
      <c r="ECR35" s="624"/>
      <c r="ECS35" s="624"/>
      <c r="ECT35" s="624"/>
      <c r="ECU35" s="624"/>
      <c r="ECV35" s="624"/>
      <c r="ECW35" s="624"/>
      <c r="ECX35" s="624"/>
      <c r="ECY35" s="624"/>
      <c r="ECZ35" s="624"/>
      <c r="EDA35" s="624"/>
      <c r="EDB35" s="624"/>
      <c r="EDC35" s="624"/>
      <c r="EDD35" s="624"/>
      <c r="EDE35" s="624"/>
      <c r="EDF35" s="624"/>
      <c r="EDG35" s="624"/>
      <c r="EDH35" s="624"/>
      <c r="EDI35" s="624"/>
      <c r="EDJ35" s="624"/>
      <c r="EDK35" s="624"/>
      <c r="EDL35" s="624"/>
      <c r="EDM35" s="624"/>
      <c r="EDN35" s="624"/>
      <c r="EDO35" s="624"/>
      <c r="EDP35" s="624"/>
      <c r="EDQ35" s="624"/>
      <c r="EDR35" s="624"/>
      <c r="EDS35" s="624"/>
      <c r="EDT35" s="624"/>
      <c r="EDU35" s="624"/>
      <c r="EDV35" s="624"/>
      <c r="EDW35" s="624"/>
      <c r="EDX35" s="624"/>
      <c r="EDY35" s="624"/>
      <c r="EDZ35" s="624"/>
      <c r="EEA35" s="624"/>
      <c r="EEB35" s="624"/>
      <c r="EEC35" s="624"/>
      <c r="EED35" s="624"/>
      <c r="EEE35" s="624"/>
      <c r="EEF35" s="624"/>
      <c r="EEG35" s="624"/>
      <c r="EEH35" s="624"/>
      <c r="EEI35" s="624"/>
      <c r="EEJ35" s="624"/>
      <c r="EEK35" s="624"/>
      <c r="EEL35" s="624"/>
      <c r="EEM35" s="624"/>
      <c r="EEN35" s="624"/>
      <c r="EEO35" s="624"/>
      <c r="EEP35" s="624"/>
      <c r="EEQ35" s="624"/>
      <c r="EER35" s="624"/>
      <c r="EES35" s="624"/>
      <c r="EET35" s="624"/>
      <c r="EEU35" s="624"/>
      <c r="EEV35" s="624"/>
      <c r="EEW35" s="624"/>
      <c r="EEX35" s="624"/>
      <c r="EEY35" s="624"/>
      <c r="EEZ35" s="624"/>
      <c r="EFA35" s="624"/>
      <c r="EFB35" s="624"/>
      <c r="EFC35" s="624"/>
      <c r="EFD35" s="624"/>
      <c r="EFE35" s="624"/>
      <c r="EFF35" s="624"/>
      <c r="EFG35" s="624"/>
      <c r="EFH35" s="624"/>
      <c r="EFI35" s="624"/>
      <c r="EFJ35" s="624"/>
      <c r="EFK35" s="624"/>
      <c r="EFL35" s="624"/>
      <c r="EFM35" s="624"/>
      <c r="EFN35" s="624"/>
      <c r="EFO35" s="624"/>
      <c r="EFP35" s="624"/>
      <c r="EFQ35" s="624"/>
      <c r="EFR35" s="624"/>
      <c r="EFS35" s="624"/>
      <c r="EFT35" s="624"/>
      <c r="EFU35" s="624"/>
      <c r="EFV35" s="624"/>
      <c r="EFW35" s="624"/>
      <c r="EFX35" s="624"/>
      <c r="EFY35" s="624"/>
      <c r="EFZ35" s="624"/>
      <c r="EGA35" s="624"/>
      <c r="EGB35" s="624"/>
      <c r="EGC35" s="624"/>
      <c r="EGD35" s="624"/>
      <c r="EGE35" s="624"/>
      <c r="EGF35" s="624"/>
      <c r="EGG35" s="624"/>
      <c r="EGH35" s="624"/>
      <c r="EGI35" s="624"/>
      <c r="EGJ35" s="624"/>
      <c r="EGK35" s="624"/>
      <c r="EGL35" s="624"/>
      <c r="EGM35" s="624"/>
      <c r="EGN35" s="624"/>
      <c r="EGO35" s="624"/>
      <c r="EGP35" s="624"/>
      <c r="EGQ35" s="624"/>
      <c r="EGR35" s="624"/>
      <c r="EGS35" s="624"/>
      <c r="EGT35" s="624"/>
      <c r="EGU35" s="624"/>
      <c r="EGV35" s="624"/>
      <c r="EGW35" s="624"/>
      <c r="EGX35" s="624"/>
      <c r="EGY35" s="624"/>
      <c r="EGZ35" s="624"/>
      <c r="EHA35" s="624"/>
      <c r="EHB35" s="624"/>
      <c r="EHC35" s="624"/>
      <c r="EHD35" s="624"/>
      <c r="EHE35" s="624"/>
      <c r="EHF35" s="624"/>
      <c r="EHG35" s="624"/>
      <c r="EHH35" s="624"/>
      <c r="EHI35" s="624"/>
      <c r="EHJ35" s="624"/>
      <c r="EHK35" s="624"/>
      <c r="EHL35" s="624"/>
      <c r="EHM35" s="624"/>
      <c r="EHN35" s="624"/>
      <c r="EHO35" s="624"/>
      <c r="EHP35" s="624"/>
      <c r="EHQ35" s="624"/>
      <c r="EHR35" s="624"/>
      <c r="EHS35" s="624"/>
      <c r="EHT35" s="624"/>
      <c r="EHU35" s="624"/>
      <c r="EHV35" s="624"/>
      <c r="EHW35" s="624"/>
      <c r="EHX35" s="624"/>
      <c r="EHY35" s="624"/>
      <c r="EHZ35" s="624"/>
      <c r="EIA35" s="624"/>
      <c r="EIB35" s="624"/>
      <c r="EIC35" s="624"/>
      <c r="EID35" s="624"/>
      <c r="EIE35" s="624"/>
      <c r="EIF35" s="624"/>
      <c r="EIG35" s="624"/>
      <c r="EIH35" s="624"/>
      <c r="EII35" s="624"/>
      <c r="EIJ35" s="624"/>
      <c r="EIK35" s="624"/>
      <c r="EIL35" s="624"/>
      <c r="EIM35" s="624"/>
      <c r="EIN35" s="624"/>
      <c r="EIO35" s="624"/>
      <c r="EIP35" s="624"/>
      <c r="EIQ35" s="624"/>
      <c r="EIR35" s="624"/>
      <c r="EIS35" s="624"/>
      <c r="EIT35" s="624"/>
      <c r="EIU35" s="624"/>
      <c r="EIV35" s="624"/>
      <c r="EIW35" s="624"/>
      <c r="EIX35" s="624"/>
      <c r="EIY35" s="624"/>
      <c r="EIZ35" s="624"/>
      <c r="EJA35" s="624"/>
      <c r="EJB35" s="624"/>
      <c r="EJC35" s="624"/>
      <c r="EJD35" s="624"/>
      <c r="EJE35" s="624"/>
      <c r="EJF35" s="624"/>
      <c r="EJG35" s="624"/>
      <c r="EJH35" s="624"/>
      <c r="EJI35" s="624"/>
      <c r="EJJ35" s="624"/>
      <c r="EJK35" s="624"/>
      <c r="EJL35" s="624"/>
      <c r="EJM35" s="624"/>
      <c r="EJN35" s="624"/>
      <c r="EJO35" s="624"/>
      <c r="EJP35" s="624"/>
      <c r="EJQ35" s="624"/>
      <c r="EJR35" s="624"/>
      <c r="EJS35" s="624"/>
      <c r="EJT35" s="624"/>
      <c r="EJU35" s="624"/>
      <c r="EJV35" s="624"/>
      <c r="EJW35" s="624"/>
      <c r="EJX35" s="624"/>
      <c r="EJY35" s="624"/>
      <c r="EJZ35" s="624"/>
      <c r="EKA35" s="624"/>
      <c r="EKB35" s="624"/>
      <c r="EKC35" s="624"/>
      <c r="EKD35" s="624"/>
      <c r="EKE35" s="624"/>
      <c r="EKF35" s="624"/>
      <c r="EKG35" s="624"/>
      <c r="EKH35" s="624"/>
      <c r="EKI35" s="624"/>
      <c r="EKJ35" s="624"/>
      <c r="EKK35" s="624"/>
      <c r="EKL35" s="624"/>
      <c r="EKM35" s="624"/>
      <c r="EKN35" s="624"/>
      <c r="EKO35" s="624"/>
      <c r="EKP35" s="624"/>
      <c r="EKQ35" s="624"/>
      <c r="EKR35" s="624"/>
      <c r="EKS35" s="624"/>
      <c r="EKT35" s="624"/>
      <c r="EKU35" s="624"/>
      <c r="EKV35" s="624"/>
      <c r="EKW35" s="624"/>
      <c r="EKX35" s="624"/>
      <c r="EKY35" s="624"/>
      <c r="EKZ35" s="624"/>
      <c r="ELA35" s="624"/>
      <c r="ELB35" s="624"/>
      <c r="ELC35" s="624"/>
      <c r="ELD35" s="624"/>
      <c r="ELE35" s="624"/>
      <c r="ELF35" s="624"/>
      <c r="ELG35" s="624"/>
      <c r="ELH35" s="624"/>
      <c r="ELI35" s="624"/>
      <c r="ELJ35" s="624"/>
      <c r="ELK35" s="624"/>
      <c r="ELL35" s="624"/>
      <c r="ELM35" s="624"/>
      <c r="ELN35" s="624"/>
      <c r="ELO35" s="624"/>
      <c r="ELP35" s="624"/>
      <c r="ELQ35" s="624"/>
      <c r="ELR35" s="624"/>
      <c r="ELS35" s="624"/>
      <c r="ELT35" s="624"/>
      <c r="ELU35" s="624"/>
      <c r="ELV35" s="624"/>
      <c r="ELW35" s="624"/>
      <c r="ELX35" s="624"/>
      <c r="ELY35" s="624"/>
      <c r="ELZ35" s="624"/>
      <c r="EMA35" s="624"/>
      <c r="EMB35" s="624"/>
      <c r="EMC35" s="624"/>
      <c r="EMD35" s="624"/>
      <c r="EME35" s="624"/>
      <c r="EMF35" s="624"/>
      <c r="EMG35" s="624"/>
      <c r="EMH35" s="624"/>
      <c r="EMI35" s="624"/>
      <c r="EMJ35" s="624"/>
      <c r="EMK35" s="624"/>
      <c r="EML35" s="624"/>
      <c r="EMM35" s="624"/>
      <c r="EMN35" s="624"/>
      <c r="EMO35" s="624"/>
      <c r="EMP35" s="624"/>
      <c r="EMQ35" s="624"/>
      <c r="EMR35" s="624"/>
      <c r="EMS35" s="624"/>
      <c r="EMT35" s="624"/>
      <c r="EMU35" s="624"/>
      <c r="EMV35" s="624"/>
      <c r="EMW35" s="624"/>
      <c r="EMX35" s="624"/>
      <c r="EMY35" s="624"/>
      <c r="EMZ35" s="624"/>
      <c r="ENA35" s="624"/>
      <c r="ENB35" s="624"/>
      <c r="ENC35" s="624"/>
      <c r="END35" s="624"/>
      <c r="ENE35" s="624"/>
      <c r="ENF35" s="624"/>
      <c r="ENG35" s="624"/>
      <c r="ENH35" s="624"/>
      <c r="ENI35" s="624"/>
      <c r="ENJ35" s="624"/>
      <c r="ENK35" s="624"/>
      <c r="ENL35" s="624"/>
      <c r="ENM35" s="624"/>
      <c r="ENN35" s="624"/>
      <c r="ENO35" s="624"/>
      <c r="ENP35" s="624"/>
      <c r="ENQ35" s="624"/>
      <c r="ENR35" s="624"/>
      <c r="ENS35" s="624"/>
      <c r="ENT35" s="624"/>
      <c r="ENU35" s="624"/>
      <c r="ENV35" s="624"/>
      <c r="ENW35" s="624"/>
      <c r="ENX35" s="624"/>
      <c r="ENY35" s="624"/>
      <c r="ENZ35" s="624"/>
      <c r="EOA35" s="624"/>
      <c r="EOB35" s="624"/>
      <c r="EOC35" s="624"/>
      <c r="EOD35" s="624"/>
      <c r="EOE35" s="624"/>
      <c r="EOF35" s="624"/>
      <c r="EOG35" s="624"/>
      <c r="EOH35" s="624"/>
      <c r="EOI35" s="624"/>
      <c r="EOJ35" s="624"/>
      <c r="EOK35" s="624"/>
      <c r="EOL35" s="624"/>
      <c r="EOM35" s="624"/>
      <c r="EON35" s="624"/>
      <c r="EOO35" s="624"/>
      <c r="EOP35" s="624"/>
      <c r="EOQ35" s="624"/>
      <c r="EOR35" s="624"/>
      <c r="EOS35" s="624"/>
      <c r="EOT35" s="624"/>
      <c r="EOU35" s="624"/>
      <c r="EOV35" s="624"/>
      <c r="EOW35" s="624"/>
      <c r="EOX35" s="624"/>
      <c r="EOY35" s="624"/>
      <c r="EOZ35" s="624"/>
      <c r="EPA35" s="624"/>
      <c r="EPB35" s="624"/>
      <c r="EPC35" s="624"/>
      <c r="EPD35" s="624"/>
      <c r="EPE35" s="624"/>
      <c r="EPF35" s="624"/>
      <c r="EPG35" s="624"/>
      <c r="EPH35" s="624"/>
      <c r="EPI35" s="624"/>
      <c r="EPJ35" s="624"/>
      <c r="EPK35" s="624"/>
      <c r="EPL35" s="624"/>
      <c r="EPM35" s="624"/>
      <c r="EPN35" s="624"/>
      <c r="EPO35" s="624"/>
      <c r="EPP35" s="624"/>
      <c r="EPQ35" s="624"/>
      <c r="EPR35" s="624"/>
      <c r="EPS35" s="624"/>
      <c r="EPT35" s="624"/>
      <c r="EPU35" s="624"/>
      <c r="EPV35" s="624"/>
      <c r="EPW35" s="624"/>
      <c r="EPX35" s="624"/>
      <c r="EPY35" s="624"/>
      <c r="EPZ35" s="624"/>
      <c r="EQA35" s="624"/>
      <c r="EQB35" s="624"/>
      <c r="EQC35" s="624"/>
      <c r="EQD35" s="624"/>
      <c r="EQE35" s="624"/>
      <c r="EQF35" s="624"/>
      <c r="EQG35" s="624"/>
      <c r="EQH35" s="624"/>
      <c r="EQI35" s="624"/>
      <c r="EQJ35" s="624"/>
      <c r="EQK35" s="624"/>
      <c r="EQL35" s="624"/>
      <c r="EQM35" s="624"/>
      <c r="EQN35" s="624"/>
      <c r="EQO35" s="624"/>
      <c r="EQP35" s="624"/>
      <c r="EQQ35" s="624"/>
      <c r="EQR35" s="624"/>
      <c r="EQS35" s="624"/>
      <c r="EQT35" s="624"/>
      <c r="EQU35" s="624"/>
      <c r="EQV35" s="624"/>
      <c r="EQW35" s="624"/>
      <c r="EQX35" s="624"/>
      <c r="EQY35" s="624"/>
      <c r="EQZ35" s="624"/>
      <c r="ERA35" s="624"/>
      <c r="ERB35" s="624"/>
      <c r="ERC35" s="624"/>
      <c r="ERD35" s="624"/>
      <c r="ERE35" s="624"/>
      <c r="ERF35" s="624"/>
      <c r="ERG35" s="624"/>
      <c r="ERH35" s="624"/>
      <c r="ERI35" s="624"/>
      <c r="ERJ35" s="624"/>
      <c r="ERK35" s="624"/>
      <c r="ERL35" s="624"/>
      <c r="ERM35" s="624"/>
      <c r="ERN35" s="624"/>
      <c r="ERO35" s="624"/>
      <c r="ERP35" s="624"/>
      <c r="ERQ35" s="624"/>
      <c r="ERR35" s="624"/>
      <c r="ERS35" s="624"/>
      <c r="ERT35" s="624"/>
      <c r="ERU35" s="624"/>
      <c r="ERV35" s="624"/>
      <c r="ERW35" s="624"/>
      <c r="ERX35" s="624"/>
      <c r="ERY35" s="624"/>
      <c r="ERZ35" s="624"/>
      <c r="ESA35" s="624"/>
      <c r="ESB35" s="624"/>
      <c r="ESC35" s="624"/>
      <c r="ESD35" s="624"/>
      <c r="ESE35" s="624"/>
      <c r="ESF35" s="624"/>
      <c r="ESG35" s="624"/>
      <c r="ESH35" s="624"/>
      <c r="ESI35" s="624"/>
      <c r="ESJ35" s="624"/>
      <c r="ESK35" s="624"/>
      <c r="ESL35" s="624"/>
      <c r="ESM35" s="624"/>
      <c r="ESN35" s="624"/>
      <c r="ESO35" s="624"/>
      <c r="ESP35" s="624"/>
      <c r="ESQ35" s="624"/>
      <c r="ESR35" s="624"/>
      <c r="ESS35" s="624"/>
      <c r="EST35" s="624"/>
      <c r="ESU35" s="624"/>
      <c r="ESV35" s="624"/>
      <c r="ESW35" s="624"/>
      <c r="ESX35" s="624"/>
      <c r="ESY35" s="624"/>
      <c r="ESZ35" s="624"/>
      <c r="ETA35" s="624"/>
      <c r="ETB35" s="624"/>
      <c r="ETC35" s="624"/>
      <c r="ETD35" s="624"/>
      <c r="ETE35" s="624"/>
      <c r="ETF35" s="624"/>
      <c r="ETG35" s="624"/>
      <c r="ETH35" s="624"/>
      <c r="ETI35" s="624"/>
      <c r="ETJ35" s="624"/>
      <c r="ETK35" s="624"/>
      <c r="ETL35" s="624"/>
      <c r="ETM35" s="624"/>
      <c r="ETN35" s="624"/>
      <c r="ETO35" s="624"/>
      <c r="ETP35" s="624"/>
      <c r="ETQ35" s="624"/>
      <c r="ETR35" s="624"/>
      <c r="ETS35" s="624"/>
      <c r="ETT35" s="624"/>
      <c r="ETU35" s="624"/>
      <c r="ETV35" s="624"/>
      <c r="ETW35" s="624"/>
      <c r="ETX35" s="624"/>
      <c r="ETY35" s="624"/>
      <c r="ETZ35" s="624"/>
      <c r="EUA35" s="624"/>
      <c r="EUB35" s="624"/>
      <c r="EUC35" s="624"/>
      <c r="EUD35" s="624"/>
      <c r="EUE35" s="624"/>
      <c r="EUF35" s="624"/>
      <c r="EUG35" s="624"/>
      <c r="EUH35" s="624"/>
      <c r="EUI35" s="624"/>
      <c r="EUJ35" s="624"/>
      <c r="EUK35" s="624"/>
      <c r="EUL35" s="624"/>
      <c r="EUM35" s="624"/>
      <c r="EUN35" s="624"/>
      <c r="EUO35" s="624"/>
      <c r="EUP35" s="624"/>
      <c r="EUQ35" s="624"/>
      <c r="EUR35" s="624"/>
      <c r="EUS35" s="624"/>
      <c r="EUT35" s="624"/>
      <c r="EUU35" s="624"/>
      <c r="EUV35" s="624"/>
      <c r="EUW35" s="624"/>
      <c r="EUX35" s="624"/>
      <c r="EUY35" s="624"/>
      <c r="EUZ35" s="624"/>
      <c r="EVA35" s="624"/>
      <c r="EVB35" s="624"/>
      <c r="EVC35" s="624"/>
      <c r="EVD35" s="624"/>
      <c r="EVE35" s="624"/>
      <c r="EVF35" s="624"/>
      <c r="EVG35" s="624"/>
      <c r="EVH35" s="624"/>
      <c r="EVI35" s="624"/>
      <c r="EVJ35" s="624"/>
      <c r="EVK35" s="624"/>
      <c r="EVL35" s="624"/>
      <c r="EVM35" s="624"/>
      <c r="EVN35" s="624"/>
      <c r="EVO35" s="624"/>
      <c r="EVP35" s="624"/>
      <c r="EVQ35" s="624"/>
      <c r="EVR35" s="624"/>
      <c r="EVS35" s="624"/>
      <c r="EVT35" s="624"/>
      <c r="EVU35" s="624"/>
      <c r="EVV35" s="624"/>
      <c r="EVW35" s="624"/>
      <c r="EVX35" s="624"/>
      <c r="EVY35" s="624"/>
      <c r="EVZ35" s="624"/>
      <c r="EWA35" s="624"/>
      <c r="EWB35" s="624"/>
      <c r="EWC35" s="624"/>
      <c r="EWD35" s="624"/>
      <c r="EWE35" s="624"/>
      <c r="EWF35" s="624"/>
      <c r="EWG35" s="624"/>
      <c r="EWH35" s="624"/>
      <c r="EWI35" s="624"/>
      <c r="EWJ35" s="624"/>
      <c r="EWK35" s="624"/>
      <c r="EWL35" s="624"/>
      <c r="EWM35" s="624"/>
      <c r="EWN35" s="624"/>
      <c r="EWO35" s="624"/>
      <c r="EWP35" s="624"/>
      <c r="EWQ35" s="624"/>
      <c r="EWR35" s="624"/>
      <c r="EWS35" s="624"/>
      <c r="EWT35" s="624"/>
      <c r="EWU35" s="624"/>
      <c r="EWV35" s="624"/>
      <c r="EWW35" s="624"/>
      <c r="EWX35" s="624"/>
      <c r="EWY35" s="624"/>
      <c r="EWZ35" s="624"/>
      <c r="EXA35" s="624"/>
      <c r="EXB35" s="624"/>
      <c r="EXC35" s="624"/>
      <c r="EXD35" s="624"/>
      <c r="EXE35" s="624"/>
      <c r="EXF35" s="624"/>
      <c r="EXG35" s="624"/>
      <c r="EXH35" s="624"/>
      <c r="EXI35" s="624"/>
      <c r="EXJ35" s="624"/>
      <c r="EXK35" s="624"/>
      <c r="EXL35" s="624"/>
      <c r="EXM35" s="624"/>
      <c r="EXN35" s="624"/>
      <c r="EXO35" s="624"/>
      <c r="EXP35" s="624"/>
      <c r="EXQ35" s="624"/>
      <c r="EXR35" s="624"/>
      <c r="EXS35" s="624"/>
      <c r="EXT35" s="624"/>
      <c r="EXU35" s="624"/>
      <c r="EXV35" s="624"/>
      <c r="EXW35" s="624"/>
      <c r="EXX35" s="624"/>
      <c r="EXY35" s="624"/>
      <c r="EXZ35" s="624"/>
      <c r="EYA35" s="624"/>
      <c r="EYB35" s="624"/>
      <c r="EYC35" s="624"/>
      <c r="EYD35" s="624"/>
      <c r="EYE35" s="624"/>
      <c r="EYF35" s="624"/>
      <c r="EYG35" s="624"/>
      <c r="EYH35" s="624"/>
      <c r="EYI35" s="624"/>
      <c r="EYJ35" s="624"/>
      <c r="EYK35" s="624"/>
      <c r="EYL35" s="624"/>
      <c r="EYM35" s="624"/>
      <c r="EYN35" s="624"/>
      <c r="EYO35" s="624"/>
      <c r="EYP35" s="624"/>
      <c r="EYQ35" s="624"/>
      <c r="EYR35" s="624"/>
      <c r="EYS35" s="624"/>
      <c r="EYT35" s="624"/>
      <c r="EYU35" s="624"/>
      <c r="EYV35" s="624"/>
      <c r="EYW35" s="624"/>
      <c r="EYX35" s="624"/>
      <c r="EYY35" s="624"/>
      <c r="EYZ35" s="624"/>
      <c r="EZA35" s="624"/>
      <c r="EZB35" s="624"/>
      <c r="EZC35" s="624"/>
      <c r="EZD35" s="624"/>
      <c r="EZE35" s="624"/>
      <c r="EZF35" s="624"/>
      <c r="EZG35" s="624"/>
      <c r="EZH35" s="624"/>
      <c r="EZI35" s="624"/>
      <c r="EZJ35" s="624"/>
      <c r="EZK35" s="624"/>
      <c r="EZL35" s="624"/>
      <c r="EZM35" s="624"/>
      <c r="EZN35" s="624"/>
      <c r="EZO35" s="624"/>
      <c r="EZP35" s="624"/>
      <c r="EZQ35" s="624"/>
      <c r="EZR35" s="624"/>
      <c r="EZS35" s="624"/>
      <c r="EZT35" s="624"/>
      <c r="EZU35" s="624"/>
      <c r="EZV35" s="624"/>
      <c r="EZW35" s="624"/>
      <c r="EZX35" s="624"/>
      <c r="EZY35" s="624"/>
      <c r="EZZ35" s="624"/>
      <c r="FAA35" s="624"/>
      <c r="FAB35" s="624"/>
      <c r="FAC35" s="624"/>
      <c r="FAD35" s="624"/>
      <c r="FAE35" s="624"/>
      <c r="FAF35" s="624"/>
      <c r="FAG35" s="624"/>
      <c r="FAH35" s="624"/>
      <c r="FAI35" s="624"/>
      <c r="FAJ35" s="624"/>
      <c r="FAK35" s="624"/>
      <c r="FAL35" s="624"/>
      <c r="FAM35" s="624"/>
      <c r="FAN35" s="624"/>
      <c r="FAO35" s="624"/>
      <c r="FAP35" s="624"/>
      <c r="FAQ35" s="624"/>
      <c r="FAR35" s="624"/>
      <c r="FAS35" s="624"/>
      <c r="FAT35" s="624"/>
      <c r="FAU35" s="624"/>
      <c r="FAV35" s="624"/>
      <c r="FAW35" s="624"/>
      <c r="FAX35" s="624"/>
      <c r="FAY35" s="624"/>
      <c r="FAZ35" s="624"/>
      <c r="FBA35" s="624"/>
      <c r="FBB35" s="624"/>
      <c r="FBC35" s="624"/>
      <c r="FBD35" s="624"/>
      <c r="FBE35" s="624"/>
      <c r="FBF35" s="624"/>
      <c r="FBG35" s="624"/>
      <c r="FBH35" s="624"/>
      <c r="FBI35" s="624"/>
      <c r="FBJ35" s="624"/>
      <c r="FBK35" s="624"/>
      <c r="FBL35" s="624"/>
      <c r="FBM35" s="624"/>
      <c r="FBN35" s="624"/>
      <c r="FBO35" s="624"/>
      <c r="FBP35" s="624"/>
      <c r="FBQ35" s="624"/>
      <c r="FBR35" s="624"/>
      <c r="FBS35" s="624"/>
      <c r="FBT35" s="624"/>
      <c r="FBU35" s="624"/>
      <c r="FBV35" s="624"/>
      <c r="FBW35" s="624"/>
      <c r="FBX35" s="624"/>
      <c r="FBY35" s="624"/>
      <c r="FBZ35" s="624"/>
      <c r="FCA35" s="624"/>
      <c r="FCB35" s="624"/>
      <c r="FCC35" s="624"/>
      <c r="FCD35" s="624"/>
      <c r="FCE35" s="624"/>
      <c r="FCF35" s="624"/>
      <c r="FCG35" s="624"/>
      <c r="FCH35" s="624"/>
      <c r="FCI35" s="624"/>
      <c r="FCJ35" s="624"/>
      <c r="FCK35" s="624"/>
      <c r="FCL35" s="624"/>
      <c r="FCM35" s="624"/>
      <c r="FCN35" s="624"/>
      <c r="FCO35" s="624"/>
      <c r="FCP35" s="624"/>
      <c r="FCQ35" s="624"/>
      <c r="FCR35" s="624"/>
      <c r="FCS35" s="624"/>
      <c r="FCT35" s="624"/>
      <c r="FCU35" s="624"/>
      <c r="FCV35" s="624"/>
      <c r="FCW35" s="624"/>
      <c r="FCX35" s="624"/>
      <c r="FCY35" s="624"/>
      <c r="FCZ35" s="624"/>
      <c r="FDA35" s="624"/>
      <c r="FDB35" s="624"/>
      <c r="FDC35" s="624"/>
      <c r="FDD35" s="624"/>
      <c r="FDE35" s="624"/>
      <c r="FDF35" s="624"/>
      <c r="FDG35" s="624"/>
      <c r="FDH35" s="624"/>
      <c r="FDI35" s="624"/>
      <c r="FDJ35" s="624"/>
      <c r="FDK35" s="624"/>
      <c r="FDL35" s="624"/>
      <c r="FDM35" s="624"/>
      <c r="FDN35" s="624"/>
      <c r="FDO35" s="624"/>
      <c r="FDP35" s="624"/>
      <c r="FDQ35" s="624"/>
      <c r="FDR35" s="624"/>
      <c r="FDS35" s="624"/>
      <c r="FDT35" s="624"/>
      <c r="FDU35" s="624"/>
      <c r="FDV35" s="624"/>
      <c r="FDW35" s="624"/>
      <c r="FDX35" s="624"/>
      <c r="FDY35" s="624"/>
      <c r="FDZ35" s="624"/>
      <c r="FEA35" s="624"/>
      <c r="FEB35" s="624"/>
      <c r="FEC35" s="624"/>
      <c r="FED35" s="624"/>
      <c r="FEE35" s="624"/>
      <c r="FEF35" s="624"/>
      <c r="FEG35" s="624"/>
      <c r="FEH35" s="624"/>
      <c r="FEI35" s="624"/>
      <c r="FEJ35" s="624"/>
      <c r="FEK35" s="624"/>
      <c r="FEL35" s="624"/>
      <c r="FEM35" s="624"/>
      <c r="FEN35" s="624"/>
      <c r="FEO35" s="624"/>
      <c r="FEP35" s="624"/>
      <c r="FEQ35" s="624"/>
      <c r="FER35" s="624"/>
      <c r="FES35" s="624"/>
      <c r="FET35" s="624"/>
      <c r="FEU35" s="624"/>
      <c r="FEV35" s="624"/>
      <c r="FEW35" s="624"/>
      <c r="FEX35" s="624"/>
      <c r="FEY35" s="624"/>
      <c r="FEZ35" s="624"/>
      <c r="FFA35" s="624"/>
      <c r="FFB35" s="624"/>
      <c r="FFC35" s="624"/>
      <c r="FFD35" s="624"/>
      <c r="FFE35" s="624"/>
      <c r="FFF35" s="624"/>
      <c r="FFG35" s="624"/>
      <c r="FFH35" s="624"/>
      <c r="FFI35" s="624"/>
      <c r="FFJ35" s="624"/>
      <c r="FFK35" s="624"/>
      <c r="FFL35" s="624"/>
      <c r="FFM35" s="624"/>
      <c r="FFN35" s="624"/>
      <c r="FFO35" s="624"/>
      <c r="FFP35" s="624"/>
      <c r="FFQ35" s="624"/>
      <c r="FFR35" s="624"/>
      <c r="FFS35" s="624"/>
      <c r="FFT35" s="624"/>
      <c r="FFU35" s="624"/>
      <c r="FFV35" s="624"/>
      <c r="FFW35" s="624"/>
      <c r="FFX35" s="624"/>
      <c r="FFY35" s="624"/>
      <c r="FFZ35" s="624"/>
      <c r="FGA35" s="624"/>
      <c r="FGB35" s="624"/>
      <c r="FGC35" s="624"/>
      <c r="FGD35" s="624"/>
      <c r="FGE35" s="624"/>
      <c r="FGF35" s="624"/>
      <c r="FGG35" s="624"/>
      <c r="FGH35" s="624"/>
      <c r="FGI35" s="624"/>
      <c r="FGJ35" s="624"/>
      <c r="FGK35" s="624"/>
      <c r="FGL35" s="624"/>
      <c r="FGM35" s="624"/>
      <c r="FGN35" s="624"/>
      <c r="FGO35" s="624"/>
      <c r="FGP35" s="624"/>
      <c r="FGQ35" s="624"/>
      <c r="FGR35" s="624"/>
      <c r="FGS35" s="624"/>
      <c r="FGT35" s="624"/>
      <c r="FGU35" s="624"/>
      <c r="FGV35" s="624"/>
      <c r="FGW35" s="624"/>
      <c r="FGX35" s="624"/>
      <c r="FGY35" s="624"/>
      <c r="FGZ35" s="624"/>
      <c r="FHA35" s="624"/>
      <c r="FHB35" s="624"/>
      <c r="FHC35" s="624"/>
      <c r="FHD35" s="624"/>
      <c r="FHE35" s="624"/>
      <c r="FHF35" s="624"/>
      <c r="FHG35" s="624"/>
      <c r="FHH35" s="624"/>
      <c r="FHI35" s="624"/>
      <c r="FHJ35" s="624"/>
      <c r="FHK35" s="624"/>
      <c r="FHL35" s="624"/>
      <c r="FHM35" s="624"/>
      <c r="FHN35" s="624"/>
      <c r="FHO35" s="624"/>
      <c r="FHP35" s="624"/>
      <c r="FHQ35" s="624"/>
      <c r="FHR35" s="624"/>
      <c r="FHS35" s="624"/>
      <c r="FHT35" s="624"/>
      <c r="FHU35" s="624"/>
      <c r="FHV35" s="624"/>
      <c r="FHW35" s="624"/>
      <c r="FHX35" s="624"/>
      <c r="FHY35" s="624"/>
      <c r="FHZ35" s="624"/>
      <c r="FIA35" s="624"/>
      <c r="FIB35" s="624"/>
      <c r="FIC35" s="624"/>
      <c r="FID35" s="624"/>
      <c r="FIE35" s="624"/>
      <c r="FIF35" s="624"/>
      <c r="FIG35" s="624"/>
      <c r="FIH35" s="624"/>
      <c r="FII35" s="624"/>
      <c r="FIJ35" s="624"/>
      <c r="FIK35" s="624"/>
      <c r="FIL35" s="624"/>
      <c r="FIM35" s="624"/>
      <c r="FIN35" s="624"/>
      <c r="FIO35" s="624"/>
      <c r="FIP35" s="624"/>
      <c r="FIQ35" s="624"/>
      <c r="FIR35" s="624"/>
      <c r="FIS35" s="624"/>
      <c r="FIT35" s="624"/>
      <c r="FIU35" s="624"/>
      <c r="FIV35" s="624"/>
      <c r="FIW35" s="624"/>
      <c r="FIX35" s="624"/>
      <c r="FIY35" s="624"/>
      <c r="FIZ35" s="624"/>
      <c r="FJA35" s="624"/>
      <c r="FJB35" s="624"/>
      <c r="FJC35" s="624"/>
      <c r="FJD35" s="624"/>
      <c r="FJE35" s="624"/>
      <c r="FJF35" s="624"/>
      <c r="FJG35" s="624"/>
      <c r="FJH35" s="624"/>
      <c r="FJI35" s="624"/>
      <c r="FJJ35" s="624"/>
      <c r="FJK35" s="624"/>
      <c r="FJL35" s="624"/>
      <c r="FJM35" s="624"/>
      <c r="FJN35" s="624"/>
      <c r="FJO35" s="624"/>
      <c r="FJP35" s="624"/>
      <c r="FJQ35" s="624"/>
      <c r="FJR35" s="624"/>
      <c r="FJS35" s="624"/>
      <c r="FJT35" s="624"/>
      <c r="FJU35" s="624"/>
      <c r="FJV35" s="624"/>
      <c r="FJW35" s="624"/>
      <c r="FJX35" s="624"/>
      <c r="FJY35" s="624"/>
      <c r="FJZ35" s="624"/>
      <c r="FKA35" s="624"/>
      <c r="FKB35" s="624"/>
      <c r="FKC35" s="624"/>
      <c r="FKD35" s="624"/>
      <c r="FKE35" s="624"/>
      <c r="FKF35" s="624"/>
      <c r="FKG35" s="624"/>
      <c r="FKH35" s="624"/>
      <c r="FKI35" s="624"/>
      <c r="FKJ35" s="624"/>
      <c r="FKK35" s="624"/>
      <c r="FKL35" s="624"/>
      <c r="FKM35" s="624"/>
      <c r="FKN35" s="624"/>
      <c r="FKO35" s="624"/>
      <c r="FKP35" s="624"/>
      <c r="FKQ35" s="624"/>
      <c r="FKR35" s="624"/>
      <c r="FKS35" s="624"/>
      <c r="FKT35" s="624"/>
      <c r="FKU35" s="624"/>
      <c r="FKV35" s="624"/>
      <c r="FKW35" s="624"/>
      <c r="FKX35" s="624"/>
      <c r="FKY35" s="624"/>
      <c r="FKZ35" s="624"/>
      <c r="FLA35" s="624"/>
      <c r="FLB35" s="624"/>
      <c r="FLC35" s="624"/>
      <c r="FLD35" s="624"/>
      <c r="FLE35" s="624"/>
      <c r="FLF35" s="624"/>
      <c r="FLG35" s="624"/>
      <c r="FLH35" s="624"/>
      <c r="FLI35" s="624"/>
      <c r="FLJ35" s="624"/>
      <c r="FLK35" s="624"/>
      <c r="FLL35" s="624"/>
      <c r="FLM35" s="624"/>
      <c r="FLN35" s="624"/>
      <c r="FLO35" s="624"/>
      <c r="FLP35" s="624"/>
      <c r="FLQ35" s="624"/>
      <c r="FLR35" s="624"/>
      <c r="FLS35" s="624"/>
      <c r="FLT35" s="624"/>
      <c r="FLU35" s="624"/>
      <c r="FLV35" s="624"/>
      <c r="FLW35" s="624"/>
      <c r="FLX35" s="624"/>
      <c r="FLY35" s="624"/>
      <c r="FLZ35" s="624"/>
      <c r="FMA35" s="624"/>
      <c r="FMB35" s="624"/>
      <c r="FMC35" s="624"/>
      <c r="FMD35" s="624"/>
      <c r="FME35" s="624"/>
      <c r="FMF35" s="624"/>
      <c r="FMG35" s="624"/>
      <c r="FMH35" s="624"/>
      <c r="FMI35" s="624"/>
      <c r="FMJ35" s="624"/>
      <c r="FMK35" s="624"/>
      <c r="FML35" s="624"/>
      <c r="FMM35" s="624"/>
      <c r="FMN35" s="624"/>
      <c r="FMO35" s="624"/>
      <c r="FMP35" s="624"/>
      <c r="FMQ35" s="624"/>
      <c r="FMR35" s="624"/>
      <c r="FMS35" s="624"/>
      <c r="FMT35" s="624"/>
      <c r="FMU35" s="624"/>
      <c r="FMV35" s="624"/>
      <c r="FMW35" s="624"/>
      <c r="FMX35" s="624"/>
      <c r="FMY35" s="624"/>
      <c r="FMZ35" s="624"/>
      <c r="FNA35" s="624"/>
      <c r="FNB35" s="624"/>
      <c r="FNC35" s="624"/>
      <c r="FND35" s="624"/>
      <c r="FNE35" s="624"/>
      <c r="FNF35" s="624"/>
      <c r="FNG35" s="624"/>
      <c r="FNH35" s="624"/>
      <c r="FNI35" s="624"/>
      <c r="FNJ35" s="624"/>
      <c r="FNK35" s="624"/>
      <c r="FNL35" s="624"/>
      <c r="FNM35" s="624"/>
      <c r="FNN35" s="624"/>
      <c r="FNO35" s="624"/>
      <c r="FNP35" s="624"/>
      <c r="FNQ35" s="624"/>
      <c r="FNR35" s="624"/>
      <c r="FNS35" s="624"/>
      <c r="FNT35" s="624"/>
      <c r="FNU35" s="624"/>
      <c r="FNV35" s="624"/>
      <c r="FNW35" s="624"/>
      <c r="FNX35" s="624"/>
      <c r="FNY35" s="624"/>
      <c r="FNZ35" s="624"/>
      <c r="FOA35" s="624"/>
      <c r="FOB35" s="624"/>
      <c r="FOC35" s="624"/>
      <c r="FOD35" s="624"/>
      <c r="FOE35" s="624"/>
      <c r="FOF35" s="624"/>
      <c r="FOG35" s="624"/>
      <c r="FOH35" s="624"/>
      <c r="FOI35" s="624"/>
      <c r="FOJ35" s="624"/>
      <c r="FOK35" s="624"/>
      <c r="FOL35" s="624"/>
      <c r="FOM35" s="624"/>
      <c r="FON35" s="624"/>
      <c r="FOO35" s="624"/>
      <c r="FOP35" s="624"/>
      <c r="FOQ35" s="624"/>
      <c r="FOR35" s="624"/>
      <c r="FOS35" s="624"/>
      <c r="FOT35" s="624"/>
      <c r="FOU35" s="624"/>
      <c r="FOV35" s="624"/>
      <c r="FOW35" s="624"/>
      <c r="FOX35" s="624"/>
      <c r="FOY35" s="624"/>
      <c r="FOZ35" s="624"/>
      <c r="FPA35" s="624"/>
      <c r="FPB35" s="624"/>
      <c r="FPC35" s="624"/>
      <c r="FPD35" s="624"/>
      <c r="FPE35" s="624"/>
      <c r="FPF35" s="624"/>
      <c r="FPG35" s="624"/>
      <c r="FPH35" s="624"/>
      <c r="FPI35" s="624"/>
      <c r="FPJ35" s="624"/>
      <c r="FPK35" s="624"/>
      <c r="FPL35" s="624"/>
      <c r="FPM35" s="624"/>
      <c r="FPN35" s="624"/>
      <c r="FPO35" s="624"/>
      <c r="FPP35" s="624"/>
      <c r="FPQ35" s="624"/>
      <c r="FPR35" s="624"/>
      <c r="FPS35" s="624"/>
      <c r="FPT35" s="624"/>
      <c r="FPU35" s="624"/>
      <c r="FPV35" s="624"/>
      <c r="FPW35" s="624"/>
      <c r="FPX35" s="624"/>
      <c r="FPY35" s="624"/>
      <c r="FPZ35" s="624"/>
      <c r="FQA35" s="624"/>
      <c r="FQB35" s="624"/>
      <c r="FQC35" s="624"/>
      <c r="FQD35" s="624"/>
      <c r="FQE35" s="624"/>
      <c r="FQF35" s="624"/>
      <c r="FQG35" s="624"/>
      <c r="FQH35" s="624"/>
      <c r="FQI35" s="624"/>
      <c r="FQJ35" s="624"/>
      <c r="FQK35" s="624"/>
      <c r="FQL35" s="624"/>
      <c r="FQM35" s="624"/>
      <c r="FQN35" s="624"/>
      <c r="FQO35" s="624"/>
      <c r="FQP35" s="624"/>
      <c r="FQQ35" s="624"/>
      <c r="FQR35" s="624"/>
      <c r="FQS35" s="624"/>
      <c r="FQT35" s="624"/>
      <c r="FQU35" s="624"/>
      <c r="FQV35" s="624"/>
      <c r="FQW35" s="624"/>
      <c r="FQX35" s="624"/>
      <c r="FQY35" s="624"/>
      <c r="FQZ35" s="624"/>
      <c r="FRA35" s="624"/>
      <c r="FRB35" s="624"/>
      <c r="FRC35" s="624"/>
      <c r="FRD35" s="624"/>
      <c r="FRE35" s="624"/>
      <c r="FRF35" s="624"/>
      <c r="FRG35" s="624"/>
      <c r="FRH35" s="624"/>
      <c r="FRI35" s="624"/>
      <c r="FRJ35" s="624"/>
      <c r="FRK35" s="624"/>
      <c r="FRL35" s="624"/>
      <c r="FRM35" s="624"/>
      <c r="FRN35" s="624"/>
      <c r="FRO35" s="624"/>
      <c r="FRP35" s="624"/>
      <c r="FRQ35" s="624"/>
      <c r="FRR35" s="624"/>
      <c r="FRS35" s="624"/>
      <c r="FRT35" s="624"/>
      <c r="FRU35" s="624"/>
      <c r="FRV35" s="624"/>
      <c r="FRW35" s="624"/>
      <c r="FRX35" s="624"/>
      <c r="FRY35" s="624"/>
      <c r="FRZ35" s="624"/>
      <c r="FSA35" s="624"/>
      <c r="FSB35" s="624"/>
      <c r="FSC35" s="624"/>
      <c r="FSD35" s="624"/>
      <c r="FSE35" s="624"/>
      <c r="FSF35" s="624"/>
      <c r="FSG35" s="624"/>
      <c r="FSH35" s="624"/>
      <c r="FSI35" s="624"/>
      <c r="FSJ35" s="624"/>
      <c r="FSK35" s="624"/>
      <c r="FSL35" s="624"/>
      <c r="FSM35" s="624"/>
      <c r="FSN35" s="624"/>
      <c r="FSO35" s="624"/>
      <c r="FSP35" s="624"/>
      <c r="FSQ35" s="624"/>
      <c r="FSR35" s="624"/>
      <c r="FSS35" s="624"/>
      <c r="FST35" s="624"/>
      <c r="FSU35" s="624"/>
      <c r="FSV35" s="624"/>
      <c r="FSW35" s="624"/>
      <c r="FSX35" s="624"/>
      <c r="FSY35" s="624"/>
      <c r="FSZ35" s="624"/>
      <c r="FTA35" s="624"/>
      <c r="FTB35" s="624"/>
      <c r="FTC35" s="624"/>
      <c r="FTD35" s="624"/>
      <c r="FTE35" s="624"/>
      <c r="FTF35" s="624"/>
      <c r="FTG35" s="624"/>
      <c r="FTH35" s="624"/>
      <c r="FTI35" s="624"/>
      <c r="FTJ35" s="624"/>
      <c r="FTK35" s="624"/>
      <c r="FTL35" s="624"/>
      <c r="FTM35" s="624"/>
      <c r="FTN35" s="624"/>
      <c r="FTO35" s="624"/>
      <c r="FTP35" s="624"/>
      <c r="FTQ35" s="624"/>
      <c r="FTR35" s="624"/>
      <c r="FTS35" s="624"/>
      <c r="FTT35" s="624"/>
      <c r="FTU35" s="624"/>
      <c r="FTV35" s="624"/>
      <c r="FTW35" s="624"/>
      <c r="FTX35" s="624"/>
      <c r="FTY35" s="624"/>
      <c r="FTZ35" s="624"/>
      <c r="FUA35" s="624"/>
      <c r="FUB35" s="624"/>
      <c r="FUC35" s="624"/>
      <c r="FUD35" s="624"/>
      <c r="FUE35" s="624"/>
      <c r="FUF35" s="624"/>
      <c r="FUG35" s="624"/>
      <c r="FUH35" s="624"/>
      <c r="FUI35" s="624"/>
      <c r="FUJ35" s="624"/>
      <c r="FUK35" s="624"/>
      <c r="FUL35" s="624"/>
      <c r="FUM35" s="624"/>
      <c r="FUN35" s="624"/>
      <c r="FUO35" s="624"/>
      <c r="FUP35" s="624"/>
      <c r="FUQ35" s="624"/>
      <c r="FUR35" s="624"/>
      <c r="FUS35" s="624"/>
      <c r="FUT35" s="624"/>
      <c r="FUU35" s="624"/>
      <c r="FUV35" s="624"/>
      <c r="FUW35" s="624"/>
      <c r="FUX35" s="624"/>
      <c r="FUY35" s="624"/>
      <c r="FUZ35" s="624"/>
      <c r="FVA35" s="624"/>
      <c r="FVB35" s="624"/>
      <c r="FVC35" s="624"/>
      <c r="FVD35" s="624"/>
      <c r="FVE35" s="624"/>
      <c r="FVF35" s="624"/>
      <c r="FVG35" s="624"/>
      <c r="FVH35" s="624"/>
      <c r="FVI35" s="624"/>
      <c r="FVJ35" s="624"/>
      <c r="FVK35" s="624"/>
      <c r="FVL35" s="624"/>
      <c r="FVM35" s="624"/>
      <c r="FVN35" s="624"/>
      <c r="FVO35" s="624"/>
      <c r="FVP35" s="624"/>
      <c r="FVQ35" s="624"/>
      <c r="FVR35" s="624"/>
      <c r="FVS35" s="624"/>
      <c r="FVT35" s="624"/>
      <c r="FVU35" s="624"/>
      <c r="FVV35" s="624"/>
      <c r="FVW35" s="624"/>
      <c r="FVX35" s="624"/>
      <c r="FVY35" s="624"/>
      <c r="FVZ35" s="624"/>
      <c r="FWA35" s="624"/>
      <c r="FWB35" s="624"/>
      <c r="FWC35" s="624"/>
      <c r="FWD35" s="624"/>
      <c r="FWE35" s="624"/>
      <c r="FWF35" s="624"/>
      <c r="FWG35" s="624"/>
      <c r="FWH35" s="624"/>
      <c r="FWI35" s="624"/>
      <c r="FWJ35" s="624"/>
      <c r="FWK35" s="624"/>
      <c r="FWL35" s="624"/>
      <c r="FWM35" s="624"/>
      <c r="FWN35" s="624"/>
      <c r="FWO35" s="624"/>
      <c r="FWP35" s="624"/>
      <c r="FWQ35" s="624"/>
      <c r="FWR35" s="624"/>
      <c r="FWS35" s="624"/>
      <c r="FWT35" s="624"/>
      <c r="FWU35" s="624"/>
      <c r="FWV35" s="624"/>
      <c r="FWW35" s="624"/>
      <c r="FWX35" s="624"/>
      <c r="FWY35" s="624"/>
      <c r="FWZ35" s="624"/>
      <c r="FXA35" s="624"/>
      <c r="FXB35" s="624"/>
      <c r="FXC35" s="624"/>
      <c r="FXD35" s="624"/>
      <c r="FXE35" s="624"/>
      <c r="FXF35" s="624"/>
      <c r="FXG35" s="624"/>
      <c r="FXH35" s="624"/>
      <c r="FXI35" s="624"/>
      <c r="FXJ35" s="624"/>
      <c r="FXK35" s="624"/>
      <c r="FXL35" s="624"/>
      <c r="FXM35" s="624"/>
      <c r="FXN35" s="624"/>
      <c r="FXO35" s="624"/>
      <c r="FXP35" s="624"/>
      <c r="FXQ35" s="624"/>
      <c r="FXR35" s="624"/>
      <c r="FXS35" s="624"/>
      <c r="FXT35" s="624"/>
      <c r="FXU35" s="624"/>
      <c r="FXV35" s="624"/>
      <c r="FXW35" s="624"/>
      <c r="FXX35" s="624"/>
      <c r="FXY35" s="624"/>
      <c r="FXZ35" s="624"/>
      <c r="FYA35" s="624"/>
      <c r="FYB35" s="624"/>
      <c r="FYC35" s="624"/>
      <c r="FYD35" s="624"/>
      <c r="FYE35" s="624"/>
      <c r="FYF35" s="624"/>
      <c r="FYG35" s="624"/>
      <c r="FYH35" s="624"/>
      <c r="FYI35" s="624"/>
      <c r="FYJ35" s="624"/>
      <c r="FYK35" s="624"/>
      <c r="FYL35" s="624"/>
      <c r="FYM35" s="624"/>
      <c r="FYN35" s="624"/>
      <c r="FYO35" s="624"/>
      <c r="FYP35" s="624"/>
      <c r="FYQ35" s="624"/>
      <c r="FYR35" s="624"/>
      <c r="FYS35" s="624"/>
      <c r="FYT35" s="624"/>
      <c r="FYU35" s="624"/>
      <c r="FYV35" s="624"/>
      <c r="FYW35" s="624"/>
      <c r="FYX35" s="624"/>
      <c r="FYY35" s="624"/>
      <c r="FYZ35" s="624"/>
      <c r="FZA35" s="624"/>
      <c r="FZB35" s="624"/>
      <c r="FZC35" s="624"/>
      <c r="FZD35" s="624"/>
      <c r="FZE35" s="624"/>
      <c r="FZF35" s="624"/>
      <c r="FZG35" s="624"/>
      <c r="FZH35" s="624"/>
      <c r="FZI35" s="624"/>
      <c r="FZJ35" s="624"/>
      <c r="FZK35" s="624"/>
      <c r="FZL35" s="624"/>
      <c r="FZM35" s="624"/>
      <c r="FZN35" s="624"/>
      <c r="FZO35" s="624"/>
      <c r="FZP35" s="624"/>
      <c r="FZQ35" s="624"/>
      <c r="FZR35" s="624"/>
      <c r="FZS35" s="624"/>
      <c r="FZT35" s="624"/>
      <c r="FZU35" s="624"/>
      <c r="FZV35" s="624"/>
      <c r="FZW35" s="624"/>
      <c r="FZX35" s="624"/>
      <c r="FZY35" s="624"/>
      <c r="FZZ35" s="624"/>
      <c r="GAA35" s="624"/>
      <c r="GAB35" s="624"/>
      <c r="GAC35" s="624"/>
      <c r="GAD35" s="624"/>
      <c r="GAE35" s="624"/>
      <c r="GAF35" s="624"/>
      <c r="GAG35" s="624"/>
      <c r="GAH35" s="624"/>
      <c r="GAI35" s="624"/>
      <c r="GAJ35" s="624"/>
      <c r="GAK35" s="624"/>
      <c r="GAL35" s="624"/>
      <c r="GAM35" s="624"/>
      <c r="GAN35" s="624"/>
      <c r="GAO35" s="624"/>
      <c r="GAP35" s="624"/>
      <c r="GAQ35" s="624"/>
      <c r="GAR35" s="624"/>
      <c r="GAS35" s="624"/>
      <c r="GAT35" s="624"/>
      <c r="GAU35" s="624"/>
      <c r="GAV35" s="624"/>
      <c r="GAW35" s="624"/>
      <c r="GAX35" s="624"/>
      <c r="GAY35" s="624"/>
      <c r="GAZ35" s="624"/>
      <c r="GBA35" s="624"/>
      <c r="GBB35" s="624"/>
      <c r="GBC35" s="624"/>
      <c r="GBD35" s="624"/>
      <c r="GBE35" s="624"/>
      <c r="GBF35" s="624"/>
      <c r="GBG35" s="624"/>
      <c r="GBH35" s="624"/>
      <c r="GBI35" s="624"/>
      <c r="GBJ35" s="624"/>
      <c r="GBK35" s="624"/>
      <c r="GBL35" s="624"/>
      <c r="GBM35" s="624"/>
      <c r="GBN35" s="624"/>
      <c r="GBO35" s="624"/>
      <c r="GBP35" s="624"/>
      <c r="GBQ35" s="624"/>
      <c r="GBR35" s="624"/>
      <c r="GBS35" s="624"/>
      <c r="GBT35" s="624"/>
      <c r="GBU35" s="624"/>
      <c r="GBV35" s="624"/>
      <c r="GBW35" s="624"/>
      <c r="GBX35" s="624"/>
      <c r="GBY35" s="624"/>
      <c r="GBZ35" s="624"/>
      <c r="GCA35" s="624"/>
      <c r="GCB35" s="624"/>
      <c r="GCC35" s="624"/>
      <c r="GCD35" s="624"/>
      <c r="GCE35" s="624"/>
      <c r="GCF35" s="624"/>
      <c r="GCG35" s="624"/>
      <c r="GCH35" s="624"/>
      <c r="GCI35" s="624"/>
      <c r="GCJ35" s="624"/>
      <c r="GCK35" s="624"/>
      <c r="GCL35" s="624"/>
      <c r="GCM35" s="624"/>
      <c r="GCN35" s="624"/>
      <c r="GCO35" s="624"/>
      <c r="GCP35" s="624"/>
      <c r="GCQ35" s="624"/>
      <c r="GCR35" s="624"/>
      <c r="GCS35" s="624"/>
      <c r="GCT35" s="624"/>
      <c r="GCU35" s="624"/>
      <c r="GCV35" s="624"/>
      <c r="GCW35" s="624"/>
      <c r="GCX35" s="624"/>
      <c r="GCY35" s="624"/>
      <c r="GCZ35" s="624"/>
      <c r="GDA35" s="624"/>
      <c r="GDB35" s="624"/>
      <c r="GDC35" s="624"/>
      <c r="GDD35" s="624"/>
      <c r="GDE35" s="624"/>
      <c r="GDF35" s="624"/>
      <c r="GDG35" s="624"/>
      <c r="GDH35" s="624"/>
      <c r="GDI35" s="624"/>
      <c r="GDJ35" s="624"/>
      <c r="GDK35" s="624"/>
      <c r="GDL35" s="624"/>
      <c r="GDM35" s="624"/>
      <c r="GDN35" s="624"/>
      <c r="GDO35" s="624"/>
      <c r="GDP35" s="624"/>
      <c r="GDQ35" s="624"/>
      <c r="GDR35" s="624"/>
      <c r="GDS35" s="624"/>
      <c r="GDT35" s="624"/>
      <c r="GDU35" s="624"/>
      <c r="GDV35" s="624"/>
      <c r="GDW35" s="624"/>
      <c r="GDX35" s="624"/>
      <c r="GDY35" s="624"/>
      <c r="GDZ35" s="624"/>
      <c r="GEA35" s="624"/>
      <c r="GEB35" s="624"/>
      <c r="GEC35" s="624"/>
      <c r="GED35" s="624"/>
      <c r="GEE35" s="624"/>
      <c r="GEF35" s="624"/>
      <c r="GEG35" s="624"/>
      <c r="GEH35" s="624"/>
      <c r="GEI35" s="624"/>
      <c r="GEJ35" s="624"/>
      <c r="GEK35" s="624"/>
      <c r="GEL35" s="624"/>
      <c r="GEM35" s="624"/>
      <c r="GEN35" s="624"/>
      <c r="GEO35" s="624"/>
      <c r="GEP35" s="624"/>
      <c r="GEQ35" s="624"/>
      <c r="GER35" s="624"/>
      <c r="GES35" s="624"/>
      <c r="GET35" s="624"/>
      <c r="GEU35" s="624"/>
      <c r="GEV35" s="624"/>
      <c r="GEW35" s="624"/>
      <c r="GEX35" s="624"/>
      <c r="GEY35" s="624"/>
      <c r="GEZ35" s="624"/>
      <c r="GFA35" s="624"/>
      <c r="GFB35" s="624"/>
      <c r="GFC35" s="624"/>
      <c r="GFD35" s="624"/>
      <c r="GFE35" s="624"/>
      <c r="GFF35" s="624"/>
      <c r="GFG35" s="624"/>
      <c r="GFH35" s="624"/>
      <c r="GFI35" s="624"/>
      <c r="GFJ35" s="624"/>
      <c r="GFK35" s="624"/>
      <c r="GFL35" s="624"/>
      <c r="GFM35" s="624"/>
      <c r="GFN35" s="624"/>
      <c r="GFO35" s="624"/>
      <c r="GFP35" s="624"/>
      <c r="GFQ35" s="624"/>
      <c r="GFR35" s="624"/>
      <c r="GFS35" s="624"/>
      <c r="GFT35" s="624"/>
      <c r="GFU35" s="624"/>
      <c r="GFV35" s="624"/>
      <c r="GFW35" s="624"/>
      <c r="GFX35" s="624"/>
      <c r="GFY35" s="624"/>
      <c r="GFZ35" s="624"/>
      <c r="GGA35" s="624"/>
      <c r="GGB35" s="624"/>
      <c r="GGC35" s="624"/>
      <c r="GGD35" s="624"/>
      <c r="GGE35" s="624"/>
      <c r="GGF35" s="624"/>
      <c r="GGG35" s="624"/>
      <c r="GGH35" s="624"/>
      <c r="GGI35" s="624"/>
      <c r="GGJ35" s="624"/>
      <c r="GGK35" s="624"/>
      <c r="GGL35" s="624"/>
      <c r="GGM35" s="624"/>
      <c r="GGN35" s="624"/>
      <c r="GGO35" s="624"/>
      <c r="GGP35" s="624"/>
      <c r="GGQ35" s="624"/>
      <c r="GGR35" s="624"/>
      <c r="GGS35" s="624"/>
      <c r="GGT35" s="624"/>
      <c r="GGU35" s="624"/>
      <c r="GGV35" s="624"/>
      <c r="GGW35" s="624"/>
      <c r="GGX35" s="624"/>
      <c r="GGY35" s="624"/>
      <c r="GGZ35" s="624"/>
      <c r="GHA35" s="624"/>
      <c r="GHB35" s="624"/>
      <c r="GHC35" s="624"/>
      <c r="GHD35" s="624"/>
      <c r="GHE35" s="624"/>
      <c r="GHF35" s="624"/>
      <c r="GHG35" s="624"/>
      <c r="GHH35" s="624"/>
      <c r="GHI35" s="624"/>
      <c r="GHJ35" s="624"/>
      <c r="GHK35" s="624"/>
      <c r="GHL35" s="624"/>
      <c r="GHM35" s="624"/>
      <c r="GHN35" s="624"/>
      <c r="GHO35" s="624"/>
      <c r="GHP35" s="624"/>
      <c r="GHQ35" s="624"/>
      <c r="GHR35" s="624"/>
      <c r="GHS35" s="624"/>
      <c r="GHT35" s="624"/>
      <c r="GHU35" s="624"/>
      <c r="GHV35" s="624"/>
      <c r="GHW35" s="624"/>
      <c r="GHX35" s="624"/>
      <c r="GHY35" s="624"/>
      <c r="GHZ35" s="624"/>
      <c r="GIA35" s="624"/>
      <c r="GIB35" s="624"/>
      <c r="GIC35" s="624"/>
      <c r="GID35" s="624"/>
      <c r="GIE35" s="624"/>
      <c r="GIF35" s="624"/>
      <c r="GIG35" s="624"/>
      <c r="GIH35" s="624"/>
      <c r="GII35" s="624"/>
      <c r="GIJ35" s="624"/>
      <c r="GIK35" s="624"/>
      <c r="GIL35" s="624"/>
      <c r="GIM35" s="624"/>
      <c r="GIN35" s="624"/>
      <c r="GIO35" s="624"/>
      <c r="GIP35" s="624"/>
      <c r="GIQ35" s="624"/>
      <c r="GIR35" s="624"/>
      <c r="GIS35" s="624"/>
      <c r="GIT35" s="624"/>
      <c r="GIU35" s="624"/>
      <c r="GIV35" s="624"/>
      <c r="GIW35" s="624"/>
      <c r="GIX35" s="624"/>
      <c r="GIY35" s="624"/>
      <c r="GIZ35" s="624"/>
      <c r="GJA35" s="624"/>
      <c r="GJB35" s="624"/>
      <c r="GJC35" s="624"/>
      <c r="GJD35" s="624"/>
      <c r="GJE35" s="624"/>
      <c r="GJF35" s="624"/>
      <c r="GJG35" s="624"/>
      <c r="GJH35" s="624"/>
      <c r="GJI35" s="624"/>
      <c r="GJJ35" s="624"/>
      <c r="GJK35" s="624"/>
      <c r="GJL35" s="624"/>
      <c r="GJM35" s="624"/>
      <c r="GJN35" s="624"/>
      <c r="GJO35" s="624"/>
      <c r="GJP35" s="624"/>
      <c r="GJQ35" s="624"/>
      <c r="GJR35" s="624"/>
      <c r="GJS35" s="624"/>
      <c r="GJT35" s="624"/>
      <c r="GJU35" s="624"/>
      <c r="GJV35" s="624"/>
      <c r="GJW35" s="624"/>
      <c r="GJX35" s="624"/>
      <c r="GJY35" s="624"/>
      <c r="GJZ35" s="624"/>
      <c r="GKA35" s="624"/>
      <c r="GKB35" s="624"/>
      <c r="GKC35" s="624"/>
      <c r="GKD35" s="624"/>
      <c r="GKE35" s="624"/>
      <c r="GKF35" s="624"/>
      <c r="GKG35" s="624"/>
      <c r="GKH35" s="624"/>
      <c r="GKI35" s="624"/>
      <c r="GKJ35" s="624"/>
      <c r="GKK35" s="624"/>
      <c r="GKL35" s="624"/>
      <c r="GKM35" s="624"/>
      <c r="GKN35" s="624"/>
      <c r="GKO35" s="624"/>
      <c r="GKP35" s="624"/>
      <c r="GKQ35" s="624"/>
      <c r="GKR35" s="624"/>
      <c r="GKS35" s="624"/>
      <c r="GKT35" s="624"/>
      <c r="GKU35" s="624"/>
      <c r="GKV35" s="624"/>
      <c r="GKW35" s="624"/>
      <c r="GKX35" s="624"/>
      <c r="GKY35" s="624"/>
      <c r="GKZ35" s="624"/>
      <c r="GLA35" s="624"/>
      <c r="GLB35" s="624"/>
      <c r="GLC35" s="624"/>
      <c r="GLD35" s="624"/>
      <c r="GLE35" s="624"/>
      <c r="GLF35" s="624"/>
      <c r="GLG35" s="624"/>
      <c r="GLH35" s="624"/>
      <c r="GLI35" s="624"/>
      <c r="GLJ35" s="624"/>
      <c r="GLK35" s="624"/>
      <c r="GLL35" s="624"/>
      <c r="GLM35" s="624"/>
      <c r="GLN35" s="624"/>
      <c r="GLO35" s="624"/>
      <c r="GLP35" s="624"/>
      <c r="GLQ35" s="624"/>
      <c r="GLR35" s="624"/>
      <c r="GLS35" s="624"/>
      <c r="GLT35" s="624"/>
      <c r="GLU35" s="624"/>
      <c r="GLV35" s="624"/>
      <c r="GLW35" s="624"/>
      <c r="GLX35" s="624"/>
      <c r="GLY35" s="624"/>
      <c r="GLZ35" s="624"/>
      <c r="GMA35" s="624"/>
      <c r="GMB35" s="624"/>
      <c r="GMC35" s="624"/>
      <c r="GMD35" s="624"/>
      <c r="GME35" s="624"/>
      <c r="GMF35" s="624"/>
      <c r="GMG35" s="624"/>
      <c r="GMH35" s="624"/>
      <c r="GMI35" s="624"/>
      <c r="GMJ35" s="624"/>
      <c r="GMK35" s="624"/>
      <c r="GML35" s="624"/>
      <c r="GMM35" s="624"/>
      <c r="GMN35" s="624"/>
      <c r="GMO35" s="624"/>
      <c r="GMP35" s="624"/>
      <c r="GMQ35" s="624"/>
      <c r="GMR35" s="624"/>
      <c r="GMS35" s="624"/>
      <c r="GMT35" s="624"/>
      <c r="GMU35" s="624"/>
      <c r="GMV35" s="624"/>
      <c r="GMW35" s="624"/>
      <c r="GMX35" s="624"/>
      <c r="GMY35" s="624"/>
      <c r="GMZ35" s="624"/>
      <c r="GNA35" s="624"/>
      <c r="GNB35" s="624"/>
      <c r="GNC35" s="624"/>
      <c r="GND35" s="624"/>
      <c r="GNE35" s="624"/>
      <c r="GNF35" s="624"/>
      <c r="GNG35" s="624"/>
      <c r="GNH35" s="624"/>
      <c r="GNI35" s="624"/>
      <c r="GNJ35" s="624"/>
      <c r="GNK35" s="624"/>
      <c r="GNL35" s="624"/>
      <c r="GNM35" s="624"/>
      <c r="GNN35" s="624"/>
      <c r="GNO35" s="624"/>
      <c r="GNP35" s="624"/>
      <c r="GNQ35" s="624"/>
      <c r="GNR35" s="624"/>
      <c r="GNS35" s="624"/>
      <c r="GNT35" s="624"/>
      <c r="GNU35" s="624"/>
      <c r="GNV35" s="624"/>
      <c r="GNW35" s="624"/>
      <c r="GNX35" s="624"/>
      <c r="GNY35" s="624"/>
      <c r="GNZ35" s="624"/>
      <c r="GOA35" s="624"/>
      <c r="GOB35" s="624"/>
      <c r="GOC35" s="624"/>
      <c r="GOD35" s="624"/>
      <c r="GOE35" s="624"/>
      <c r="GOF35" s="624"/>
      <c r="GOG35" s="624"/>
      <c r="GOH35" s="624"/>
      <c r="GOI35" s="624"/>
      <c r="GOJ35" s="624"/>
      <c r="GOK35" s="624"/>
      <c r="GOL35" s="624"/>
      <c r="GOM35" s="624"/>
      <c r="GON35" s="624"/>
      <c r="GOO35" s="624"/>
      <c r="GOP35" s="624"/>
      <c r="GOQ35" s="624"/>
      <c r="GOR35" s="624"/>
      <c r="GOS35" s="624"/>
      <c r="GOT35" s="624"/>
      <c r="GOU35" s="624"/>
      <c r="GOV35" s="624"/>
      <c r="GOW35" s="624"/>
      <c r="GOX35" s="624"/>
      <c r="GOY35" s="624"/>
      <c r="GOZ35" s="624"/>
      <c r="GPA35" s="624"/>
      <c r="GPB35" s="624"/>
      <c r="GPC35" s="624"/>
      <c r="GPD35" s="624"/>
      <c r="GPE35" s="624"/>
      <c r="GPF35" s="624"/>
      <c r="GPG35" s="624"/>
      <c r="GPH35" s="624"/>
      <c r="GPI35" s="624"/>
      <c r="GPJ35" s="624"/>
      <c r="GPK35" s="624"/>
      <c r="GPL35" s="624"/>
      <c r="GPM35" s="624"/>
      <c r="GPN35" s="624"/>
      <c r="GPO35" s="624"/>
      <c r="GPP35" s="624"/>
      <c r="GPQ35" s="624"/>
      <c r="GPR35" s="624"/>
      <c r="GPS35" s="624"/>
      <c r="GPT35" s="624"/>
      <c r="GPU35" s="624"/>
      <c r="GPV35" s="624"/>
      <c r="GPW35" s="624"/>
      <c r="GPX35" s="624"/>
      <c r="GPY35" s="624"/>
      <c r="GPZ35" s="624"/>
      <c r="GQA35" s="624"/>
      <c r="GQB35" s="624"/>
      <c r="GQC35" s="624"/>
      <c r="GQD35" s="624"/>
      <c r="GQE35" s="624"/>
      <c r="GQF35" s="624"/>
      <c r="GQG35" s="624"/>
      <c r="GQH35" s="624"/>
      <c r="GQI35" s="624"/>
      <c r="GQJ35" s="624"/>
      <c r="GQK35" s="624"/>
      <c r="GQL35" s="624"/>
      <c r="GQM35" s="624"/>
      <c r="GQN35" s="624"/>
      <c r="GQO35" s="624"/>
      <c r="GQP35" s="624"/>
      <c r="GQQ35" s="624"/>
      <c r="GQR35" s="624"/>
      <c r="GQS35" s="624"/>
      <c r="GQT35" s="624"/>
      <c r="GQU35" s="624"/>
      <c r="GQV35" s="624"/>
      <c r="GQW35" s="624"/>
      <c r="GQX35" s="624"/>
      <c r="GQY35" s="624"/>
      <c r="GQZ35" s="624"/>
      <c r="GRA35" s="624"/>
      <c r="GRB35" s="624"/>
      <c r="GRC35" s="624"/>
      <c r="GRD35" s="624"/>
      <c r="GRE35" s="624"/>
      <c r="GRF35" s="624"/>
      <c r="GRG35" s="624"/>
      <c r="GRH35" s="624"/>
      <c r="GRI35" s="624"/>
      <c r="GRJ35" s="624"/>
      <c r="GRK35" s="624"/>
      <c r="GRL35" s="624"/>
      <c r="GRM35" s="624"/>
      <c r="GRN35" s="624"/>
      <c r="GRO35" s="624"/>
      <c r="GRP35" s="624"/>
      <c r="GRQ35" s="624"/>
      <c r="GRR35" s="624"/>
      <c r="GRS35" s="624"/>
      <c r="GRT35" s="624"/>
      <c r="GRU35" s="624"/>
      <c r="GRV35" s="624"/>
      <c r="GRW35" s="624"/>
      <c r="GRX35" s="624"/>
      <c r="GRY35" s="624"/>
      <c r="GRZ35" s="624"/>
      <c r="GSA35" s="624"/>
      <c r="GSB35" s="624"/>
      <c r="GSC35" s="624"/>
      <c r="GSD35" s="624"/>
      <c r="GSE35" s="624"/>
      <c r="GSF35" s="624"/>
      <c r="GSG35" s="624"/>
      <c r="GSH35" s="624"/>
      <c r="GSI35" s="624"/>
      <c r="GSJ35" s="624"/>
      <c r="GSK35" s="624"/>
      <c r="GSL35" s="624"/>
      <c r="GSM35" s="624"/>
      <c r="GSN35" s="624"/>
      <c r="GSO35" s="624"/>
      <c r="GSP35" s="624"/>
      <c r="GSQ35" s="624"/>
      <c r="GSR35" s="624"/>
      <c r="GSS35" s="624"/>
      <c r="GST35" s="624"/>
      <c r="GSU35" s="624"/>
      <c r="GSV35" s="624"/>
      <c r="GSW35" s="624"/>
      <c r="GSX35" s="624"/>
      <c r="GSY35" s="624"/>
      <c r="GSZ35" s="624"/>
      <c r="GTA35" s="624"/>
      <c r="GTB35" s="624"/>
      <c r="GTC35" s="624"/>
      <c r="GTD35" s="624"/>
      <c r="GTE35" s="624"/>
      <c r="GTF35" s="624"/>
      <c r="GTG35" s="624"/>
      <c r="GTH35" s="624"/>
      <c r="GTI35" s="624"/>
      <c r="GTJ35" s="624"/>
      <c r="GTK35" s="624"/>
      <c r="GTL35" s="624"/>
      <c r="GTM35" s="624"/>
      <c r="GTN35" s="624"/>
      <c r="GTO35" s="624"/>
      <c r="GTP35" s="624"/>
      <c r="GTQ35" s="624"/>
      <c r="GTR35" s="624"/>
      <c r="GTS35" s="624"/>
      <c r="GTT35" s="624"/>
      <c r="GTU35" s="624"/>
      <c r="GTV35" s="624"/>
      <c r="GTW35" s="624"/>
      <c r="GTX35" s="624"/>
      <c r="GTY35" s="624"/>
      <c r="GTZ35" s="624"/>
      <c r="GUA35" s="624"/>
      <c r="GUB35" s="624"/>
      <c r="GUC35" s="624"/>
      <c r="GUD35" s="624"/>
      <c r="GUE35" s="624"/>
      <c r="GUF35" s="624"/>
      <c r="GUG35" s="624"/>
      <c r="GUH35" s="624"/>
      <c r="GUI35" s="624"/>
      <c r="GUJ35" s="624"/>
      <c r="GUK35" s="624"/>
      <c r="GUL35" s="624"/>
      <c r="GUM35" s="624"/>
      <c r="GUN35" s="624"/>
      <c r="GUO35" s="624"/>
      <c r="GUP35" s="624"/>
      <c r="GUQ35" s="624"/>
      <c r="GUR35" s="624"/>
      <c r="GUS35" s="624"/>
      <c r="GUT35" s="624"/>
      <c r="GUU35" s="624"/>
      <c r="GUV35" s="624"/>
      <c r="GUW35" s="624"/>
      <c r="GUX35" s="624"/>
      <c r="GUY35" s="624"/>
      <c r="GUZ35" s="624"/>
      <c r="GVA35" s="624"/>
      <c r="GVB35" s="624"/>
      <c r="GVC35" s="624"/>
      <c r="GVD35" s="624"/>
      <c r="GVE35" s="624"/>
      <c r="GVF35" s="624"/>
      <c r="GVG35" s="624"/>
      <c r="GVH35" s="624"/>
      <c r="GVI35" s="624"/>
      <c r="GVJ35" s="624"/>
      <c r="GVK35" s="624"/>
      <c r="GVL35" s="624"/>
      <c r="GVM35" s="624"/>
      <c r="GVN35" s="624"/>
      <c r="GVO35" s="624"/>
      <c r="GVP35" s="624"/>
      <c r="GVQ35" s="624"/>
      <c r="GVR35" s="624"/>
      <c r="GVS35" s="624"/>
      <c r="GVT35" s="624"/>
      <c r="GVU35" s="624"/>
      <c r="GVV35" s="624"/>
      <c r="GVW35" s="624"/>
      <c r="GVX35" s="624"/>
      <c r="GVY35" s="624"/>
      <c r="GVZ35" s="624"/>
      <c r="GWA35" s="624"/>
      <c r="GWB35" s="624"/>
      <c r="GWC35" s="624"/>
      <c r="GWD35" s="624"/>
      <c r="GWE35" s="624"/>
      <c r="GWF35" s="624"/>
      <c r="GWG35" s="624"/>
      <c r="GWH35" s="624"/>
      <c r="GWI35" s="624"/>
      <c r="GWJ35" s="624"/>
      <c r="GWK35" s="624"/>
      <c r="GWL35" s="624"/>
      <c r="GWM35" s="624"/>
      <c r="GWN35" s="624"/>
      <c r="GWO35" s="624"/>
      <c r="GWP35" s="624"/>
      <c r="GWQ35" s="624"/>
      <c r="GWR35" s="624"/>
      <c r="GWS35" s="624"/>
      <c r="GWT35" s="624"/>
      <c r="GWU35" s="624"/>
      <c r="GWV35" s="624"/>
      <c r="GWW35" s="624"/>
      <c r="GWX35" s="624"/>
      <c r="GWY35" s="624"/>
      <c r="GWZ35" s="624"/>
      <c r="GXA35" s="624"/>
      <c r="GXB35" s="624"/>
      <c r="GXC35" s="624"/>
      <c r="GXD35" s="624"/>
      <c r="GXE35" s="624"/>
      <c r="GXF35" s="624"/>
      <c r="GXG35" s="624"/>
      <c r="GXH35" s="624"/>
      <c r="GXI35" s="624"/>
      <c r="GXJ35" s="624"/>
      <c r="GXK35" s="624"/>
      <c r="GXL35" s="624"/>
      <c r="GXM35" s="624"/>
      <c r="GXN35" s="624"/>
      <c r="GXO35" s="624"/>
      <c r="GXP35" s="624"/>
      <c r="GXQ35" s="624"/>
      <c r="GXR35" s="624"/>
      <c r="GXS35" s="624"/>
      <c r="GXT35" s="624"/>
      <c r="GXU35" s="624"/>
      <c r="GXV35" s="624"/>
      <c r="GXW35" s="624"/>
      <c r="GXX35" s="624"/>
      <c r="GXY35" s="624"/>
      <c r="GXZ35" s="624"/>
      <c r="GYA35" s="624"/>
      <c r="GYB35" s="624"/>
      <c r="GYC35" s="624"/>
      <c r="GYD35" s="624"/>
      <c r="GYE35" s="624"/>
      <c r="GYF35" s="624"/>
      <c r="GYG35" s="624"/>
      <c r="GYH35" s="624"/>
      <c r="GYI35" s="624"/>
      <c r="GYJ35" s="624"/>
      <c r="GYK35" s="624"/>
      <c r="GYL35" s="624"/>
      <c r="GYM35" s="624"/>
      <c r="GYN35" s="624"/>
      <c r="GYO35" s="624"/>
      <c r="GYP35" s="624"/>
      <c r="GYQ35" s="624"/>
      <c r="GYR35" s="624"/>
      <c r="GYS35" s="624"/>
      <c r="GYT35" s="624"/>
      <c r="GYU35" s="624"/>
      <c r="GYV35" s="624"/>
      <c r="GYW35" s="624"/>
      <c r="GYX35" s="624"/>
      <c r="GYY35" s="624"/>
      <c r="GYZ35" s="624"/>
      <c r="GZA35" s="624"/>
      <c r="GZB35" s="624"/>
      <c r="GZC35" s="624"/>
      <c r="GZD35" s="624"/>
      <c r="GZE35" s="624"/>
      <c r="GZF35" s="624"/>
      <c r="GZG35" s="624"/>
      <c r="GZH35" s="624"/>
      <c r="GZI35" s="624"/>
      <c r="GZJ35" s="624"/>
      <c r="GZK35" s="624"/>
      <c r="GZL35" s="624"/>
      <c r="GZM35" s="624"/>
      <c r="GZN35" s="624"/>
      <c r="GZO35" s="624"/>
      <c r="GZP35" s="624"/>
      <c r="GZQ35" s="624"/>
      <c r="GZR35" s="624"/>
      <c r="GZS35" s="624"/>
      <c r="GZT35" s="624"/>
      <c r="GZU35" s="624"/>
      <c r="GZV35" s="624"/>
      <c r="GZW35" s="624"/>
      <c r="GZX35" s="624"/>
      <c r="GZY35" s="624"/>
      <c r="GZZ35" s="624"/>
      <c r="HAA35" s="624"/>
      <c r="HAB35" s="624"/>
      <c r="HAC35" s="624"/>
      <c r="HAD35" s="624"/>
      <c r="HAE35" s="624"/>
      <c r="HAF35" s="624"/>
      <c r="HAG35" s="624"/>
      <c r="HAH35" s="624"/>
      <c r="HAI35" s="624"/>
      <c r="HAJ35" s="624"/>
      <c r="HAK35" s="624"/>
      <c r="HAL35" s="624"/>
      <c r="HAM35" s="624"/>
      <c r="HAN35" s="624"/>
      <c r="HAO35" s="624"/>
      <c r="HAP35" s="624"/>
      <c r="HAQ35" s="624"/>
      <c r="HAR35" s="624"/>
      <c r="HAS35" s="624"/>
      <c r="HAT35" s="624"/>
      <c r="HAU35" s="624"/>
      <c r="HAV35" s="624"/>
      <c r="HAW35" s="624"/>
      <c r="HAX35" s="624"/>
      <c r="HAY35" s="624"/>
      <c r="HAZ35" s="624"/>
      <c r="HBA35" s="624"/>
      <c r="HBB35" s="624"/>
      <c r="HBC35" s="624"/>
      <c r="HBD35" s="624"/>
      <c r="HBE35" s="624"/>
      <c r="HBF35" s="624"/>
      <c r="HBG35" s="624"/>
      <c r="HBH35" s="624"/>
      <c r="HBI35" s="624"/>
      <c r="HBJ35" s="624"/>
      <c r="HBK35" s="624"/>
      <c r="HBL35" s="624"/>
      <c r="HBM35" s="624"/>
      <c r="HBN35" s="624"/>
      <c r="HBO35" s="624"/>
      <c r="HBP35" s="624"/>
      <c r="HBQ35" s="624"/>
      <c r="HBR35" s="624"/>
      <c r="HBS35" s="624"/>
      <c r="HBT35" s="624"/>
      <c r="HBU35" s="624"/>
      <c r="HBV35" s="624"/>
      <c r="HBW35" s="624"/>
      <c r="HBX35" s="624"/>
      <c r="HBY35" s="624"/>
      <c r="HBZ35" s="624"/>
      <c r="HCA35" s="624"/>
      <c r="HCB35" s="624"/>
      <c r="HCC35" s="624"/>
      <c r="HCD35" s="624"/>
      <c r="HCE35" s="624"/>
      <c r="HCF35" s="624"/>
      <c r="HCG35" s="624"/>
      <c r="HCH35" s="624"/>
      <c r="HCI35" s="624"/>
      <c r="HCJ35" s="624"/>
      <c r="HCK35" s="624"/>
      <c r="HCL35" s="624"/>
      <c r="HCM35" s="624"/>
      <c r="HCN35" s="624"/>
      <c r="HCO35" s="624"/>
      <c r="HCP35" s="624"/>
      <c r="HCQ35" s="624"/>
      <c r="HCR35" s="624"/>
      <c r="HCS35" s="624"/>
      <c r="HCT35" s="624"/>
      <c r="HCU35" s="624"/>
      <c r="HCV35" s="624"/>
      <c r="HCW35" s="624"/>
      <c r="HCX35" s="624"/>
      <c r="HCY35" s="624"/>
      <c r="HCZ35" s="624"/>
      <c r="HDA35" s="624"/>
      <c r="HDB35" s="624"/>
      <c r="HDC35" s="624"/>
      <c r="HDD35" s="624"/>
      <c r="HDE35" s="624"/>
      <c r="HDF35" s="624"/>
      <c r="HDG35" s="624"/>
      <c r="HDH35" s="624"/>
      <c r="HDI35" s="624"/>
      <c r="HDJ35" s="624"/>
      <c r="HDK35" s="624"/>
      <c r="HDL35" s="624"/>
      <c r="HDM35" s="624"/>
      <c r="HDN35" s="624"/>
      <c r="HDO35" s="624"/>
      <c r="HDP35" s="624"/>
      <c r="HDQ35" s="624"/>
      <c r="HDR35" s="624"/>
      <c r="HDS35" s="624"/>
      <c r="HDT35" s="624"/>
      <c r="HDU35" s="624"/>
      <c r="HDV35" s="624"/>
      <c r="HDW35" s="624"/>
      <c r="HDX35" s="624"/>
      <c r="HDY35" s="624"/>
      <c r="HDZ35" s="624"/>
      <c r="HEA35" s="624"/>
      <c r="HEB35" s="624"/>
      <c r="HEC35" s="624"/>
      <c r="HED35" s="624"/>
      <c r="HEE35" s="624"/>
      <c r="HEF35" s="624"/>
      <c r="HEG35" s="624"/>
      <c r="HEH35" s="624"/>
      <c r="HEI35" s="624"/>
      <c r="HEJ35" s="624"/>
      <c r="HEK35" s="624"/>
      <c r="HEL35" s="624"/>
      <c r="HEM35" s="624"/>
      <c r="HEN35" s="624"/>
      <c r="HEO35" s="624"/>
      <c r="HEP35" s="624"/>
      <c r="HEQ35" s="624"/>
      <c r="HER35" s="624"/>
      <c r="HES35" s="624"/>
      <c r="HET35" s="624"/>
      <c r="HEU35" s="624"/>
      <c r="HEV35" s="624"/>
      <c r="HEW35" s="624"/>
      <c r="HEX35" s="624"/>
      <c r="HEY35" s="624"/>
      <c r="HEZ35" s="624"/>
      <c r="HFA35" s="624"/>
      <c r="HFB35" s="624"/>
      <c r="HFC35" s="624"/>
      <c r="HFD35" s="624"/>
      <c r="HFE35" s="624"/>
      <c r="HFF35" s="624"/>
      <c r="HFG35" s="624"/>
      <c r="HFH35" s="624"/>
      <c r="HFI35" s="624"/>
      <c r="HFJ35" s="624"/>
      <c r="HFK35" s="624"/>
      <c r="HFL35" s="624"/>
      <c r="HFM35" s="624"/>
      <c r="HFN35" s="624"/>
      <c r="HFO35" s="624"/>
      <c r="HFP35" s="624"/>
      <c r="HFQ35" s="624"/>
      <c r="HFR35" s="624"/>
      <c r="HFS35" s="624"/>
      <c r="HFT35" s="624"/>
      <c r="HFU35" s="624"/>
      <c r="HFV35" s="624"/>
      <c r="HFW35" s="624"/>
      <c r="HFX35" s="624"/>
      <c r="HFY35" s="624"/>
      <c r="HFZ35" s="624"/>
      <c r="HGA35" s="624"/>
      <c r="HGB35" s="624"/>
      <c r="HGC35" s="624"/>
      <c r="HGD35" s="624"/>
      <c r="HGE35" s="624"/>
      <c r="HGF35" s="624"/>
      <c r="HGG35" s="624"/>
      <c r="HGH35" s="624"/>
      <c r="HGI35" s="624"/>
      <c r="HGJ35" s="624"/>
      <c r="HGK35" s="624"/>
      <c r="HGL35" s="624"/>
      <c r="HGM35" s="624"/>
      <c r="HGN35" s="624"/>
      <c r="HGO35" s="624"/>
      <c r="HGP35" s="624"/>
      <c r="HGQ35" s="624"/>
      <c r="HGR35" s="624"/>
      <c r="HGS35" s="624"/>
      <c r="HGT35" s="624"/>
      <c r="HGU35" s="624"/>
      <c r="HGV35" s="624"/>
      <c r="HGW35" s="624"/>
      <c r="HGX35" s="624"/>
      <c r="HGY35" s="624"/>
      <c r="HGZ35" s="624"/>
      <c r="HHA35" s="624"/>
      <c r="HHB35" s="624"/>
      <c r="HHC35" s="624"/>
      <c r="HHD35" s="624"/>
      <c r="HHE35" s="624"/>
      <c r="HHF35" s="624"/>
      <c r="HHG35" s="624"/>
      <c r="HHH35" s="624"/>
      <c r="HHI35" s="624"/>
      <c r="HHJ35" s="624"/>
      <c r="HHK35" s="624"/>
      <c r="HHL35" s="624"/>
      <c r="HHM35" s="624"/>
      <c r="HHN35" s="624"/>
      <c r="HHO35" s="624"/>
      <c r="HHP35" s="624"/>
      <c r="HHQ35" s="624"/>
      <c r="HHR35" s="624"/>
      <c r="HHS35" s="624"/>
      <c r="HHT35" s="624"/>
      <c r="HHU35" s="624"/>
      <c r="HHV35" s="624"/>
      <c r="HHW35" s="624"/>
      <c r="HHX35" s="624"/>
      <c r="HHY35" s="624"/>
      <c r="HHZ35" s="624"/>
      <c r="HIA35" s="624"/>
      <c r="HIB35" s="624"/>
      <c r="HIC35" s="624"/>
      <c r="HID35" s="624"/>
      <c r="HIE35" s="624"/>
      <c r="HIF35" s="624"/>
      <c r="HIG35" s="624"/>
      <c r="HIH35" s="624"/>
      <c r="HII35" s="624"/>
      <c r="HIJ35" s="624"/>
      <c r="HIK35" s="624"/>
      <c r="HIL35" s="624"/>
      <c r="HIM35" s="624"/>
      <c r="HIN35" s="624"/>
      <c r="HIO35" s="624"/>
      <c r="HIP35" s="624"/>
      <c r="HIQ35" s="624"/>
      <c r="HIR35" s="624"/>
      <c r="HIS35" s="624"/>
      <c r="HIT35" s="624"/>
      <c r="HIU35" s="624"/>
      <c r="HIV35" s="624"/>
      <c r="HIW35" s="624"/>
      <c r="HIX35" s="624"/>
      <c r="HIY35" s="624"/>
      <c r="HIZ35" s="624"/>
      <c r="HJA35" s="624"/>
      <c r="HJB35" s="624"/>
      <c r="HJC35" s="624"/>
      <c r="HJD35" s="624"/>
      <c r="HJE35" s="624"/>
      <c r="HJF35" s="624"/>
      <c r="HJG35" s="624"/>
      <c r="HJH35" s="624"/>
      <c r="HJI35" s="624"/>
      <c r="HJJ35" s="624"/>
      <c r="HJK35" s="624"/>
      <c r="HJL35" s="624"/>
      <c r="HJM35" s="624"/>
      <c r="HJN35" s="624"/>
      <c r="HJO35" s="624"/>
      <c r="HJP35" s="624"/>
      <c r="HJQ35" s="624"/>
      <c r="HJR35" s="624"/>
      <c r="HJS35" s="624"/>
      <c r="HJT35" s="624"/>
      <c r="HJU35" s="624"/>
      <c r="HJV35" s="624"/>
      <c r="HJW35" s="624"/>
      <c r="HJX35" s="624"/>
      <c r="HJY35" s="624"/>
      <c r="HJZ35" s="624"/>
      <c r="HKA35" s="624"/>
      <c r="HKB35" s="624"/>
      <c r="HKC35" s="624"/>
      <c r="HKD35" s="624"/>
      <c r="HKE35" s="624"/>
      <c r="HKF35" s="624"/>
      <c r="HKG35" s="624"/>
      <c r="HKH35" s="624"/>
      <c r="HKI35" s="624"/>
      <c r="HKJ35" s="624"/>
      <c r="HKK35" s="624"/>
      <c r="HKL35" s="624"/>
      <c r="HKM35" s="624"/>
      <c r="HKN35" s="624"/>
      <c r="HKO35" s="624"/>
      <c r="HKP35" s="624"/>
      <c r="HKQ35" s="624"/>
      <c r="HKR35" s="624"/>
      <c r="HKS35" s="624"/>
      <c r="HKT35" s="624"/>
      <c r="HKU35" s="624"/>
      <c r="HKV35" s="624"/>
      <c r="HKW35" s="624"/>
      <c r="HKX35" s="624"/>
      <c r="HKY35" s="624"/>
      <c r="HKZ35" s="624"/>
      <c r="HLA35" s="624"/>
      <c r="HLB35" s="624"/>
      <c r="HLC35" s="624"/>
      <c r="HLD35" s="624"/>
      <c r="HLE35" s="624"/>
      <c r="HLF35" s="624"/>
      <c r="HLG35" s="624"/>
      <c r="HLH35" s="624"/>
      <c r="HLI35" s="624"/>
      <c r="HLJ35" s="624"/>
      <c r="HLK35" s="624"/>
      <c r="HLL35" s="624"/>
      <c r="HLM35" s="624"/>
      <c r="HLN35" s="624"/>
      <c r="HLO35" s="624"/>
      <c r="HLP35" s="624"/>
      <c r="HLQ35" s="624"/>
      <c r="HLR35" s="624"/>
      <c r="HLS35" s="624"/>
      <c r="HLT35" s="624"/>
      <c r="HLU35" s="624"/>
      <c r="HLV35" s="624"/>
      <c r="HLW35" s="624"/>
      <c r="HLX35" s="624"/>
      <c r="HLY35" s="624"/>
      <c r="HLZ35" s="624"/>
      <c r="HMA35" s="624"/>
      <c r="HMB35" s="624"/>
      <c r="HMC35" s="624"/>
      <c r="HMD35" s="624"/>
      <c r="HME35" s="624"/>
      <c r="HMF35" s="624"/>
      <c r="HMG35" s="624"/>
      <c r="HMH35" s="624"/>
      <c r="HMI35" s="624"/>
      <c r="HMJ35" s="624"/>
      <c r="HMK35" s="624"/>
      <c r="HML35" s="624"/>
      <c r="HMM35" s="624"/>
      <c r="HMN35" s="624"/>
      <c r="HMO35" s="624"/>
      <c r="HMP35" s="624"/>
      <c r="HMQ35" s="624"/>
      <c r="HMR35" s="624"/>
      <c r="HMS35" s="624"/>
      <c r="HMT35" s="624"/>
      <c r="HMU35" s="624"/>
      <c r="HMV35" s="624"/>
      <c r="HMW35" s="624"/>
      <c r="HMX35" s="624"/>
      <c r="HMY35" s="624"/>
      <c r="HMZ35" s="624"/>
      <c r="HNA35" s="624"/>
      <c r="HNB35" s="624"/>
      <c r="HNC35" s="624"/>
      <c r="HND35" s="624"/>
      <c r="HNE35" s="624"/>
      <c r="HNF35" s="624"/>
      <c r="HNG35" s="624"/>
      <c r="HNH35" s="624"/>
      <c r="HNI35" s="624"/>
      <c r="HNJ35" s="624"/>
      <c r="HNK35" s="624"/>
      <c r="HNL35" s="624"/>
      <c r="HNM35" s="624"/>
      <c r="HNN35" s="624"/>
      <c r="HNO35" s="624"/>
      <c r="HNP35" s="624"/>
      <c r="HNQ35" s="624"/>
      <c r="HNR35" s="624"/>
      <c r="HNS35" s="624"/>
      <c r="HNT35" s="624"/>
      <c r="HNU35" s="624"/>
      <c r="HNV35" s="624"/>
      <c r="HNW35" s="624"/>
      <c r="HNX35" s="624"/>
      <c r="HNY35" s="624"/>
      <c r="HNZ35" s="624"/>
      <c r="HOA35" s="624"/>
      <c r="HOB35" s="624"/>
      <c r="HOC35" s="624"/>
      <c r="HOD35" s="624"/>
      <c r="HOE35" s="624"/>
      <c r="HOF35" s="624"/>
      <c r="HOG35" s="624"/>
      <c r="HOH35" s="624"/>
      <c r="HOI35" s="624"/>
      <c r="HOJ35" s="624"/>
      <c r="HOK35" s="624"/>
      <c r="HOL35" s="624"/>
      <c r="HOM35" s="624"/>
      <c r="HON35" s="624"/>
      <c r="HOO35" s="624"/>
      <c r="HOP35" s="624"/>
      <c r="HOQ35" s="624"/>
      <c r="HOR35" s="624"/>
      <c r="HOS35" s="624"/>
      <c r="HOT35" s="624"/>
      <c r="HOU35" s="624"/>
      <c r="HOV35" s="624"/>
      <c r="HOW35" s="624"/>
      <c r="HOX35" s="624"/>
      <c r="HOY35" s="624"/>
      <c r="HOZ35" s="624"/>
      <c r="HPA35" s="624"/>
      <c r="HPB35" s="624"/>
      <c r="HPC35" s="624"/>
      <c r="HPD35" s="624"/>
      <c r="HPE35" s="624"/>
      <c r="HPF35" s="624"/>
      <c r="HPG35" s="624"/>
      <c r="HPH35" s="624"/>
      <c r="HPI35" s="624"/>
      <c r="HPJ35" s="624"/>
      <c r="HPK35" s="624"/>
      <c r="HPL35" s="624"/>
      <c r="HPM35" s="624"/>
      <c r="HPN35" s="624"/>
      <c r="HPO35" s="624"/>
      <c r="HPP35" s="624"/>
      <c r="HPQ35" s="624"/>
      <c r="HPR35" s="624"/>
      <c r="HPS35" s="624"/>
      <c r="HPT35" s="624"/>
      <c r="HPU35" s="624"/>
      <c r="HPV35" s="624"/>
      <c r="HPW35" s="624"/>
      <c r="HPX35" s="624"/>
      <c r="HPY35" s="624"/>
      <c r="HPZ35" s="624"/>
      <c r="HQA35" s="624"/>
      <c r="HQB35" s="624"/>
      <c r="HQC35" s="624"/>
      <c r="HQD35" s="624"/>
      <c r="HQE35" s="624"/>
      <c r="HQF35" s="624"/>
      <c r="HQG35" s="624"/>
      <c r="HQH35" s="624"/>
      <c r="HQI35" s="624"/>
      <c r="HQJ35" s="624"/>
      <c r="HQK35" s="624"/>
      <c r="HQL35" s="624"/>
      <c r="HQM35" s="624"/>
      <c r="HQN35" s="624"/>
      <c r="HQO35" s="624"/>
      <c r="HQP35" s="624"/>
      <c r="HQQ35" s="624"/>
      <c r="HQR35" s="624"/>
      <c r="HQS35" s="624"/>
      <c r="HQT35" s="624"/>
      <c r="HQU35" s="624"/>
      <c r="HQV35" s="624"/>
      <c r="HQW35" s="624"/>
      <c r="HQX35" s="624"/>
      <c r="HQY35" s="624"/>
      <c r="HQZ35" s="624"/>
      <c r="HRA35" s="624"/>
      <c r="HRB35" s="624"/>
      <c r="HRC35" s="624"/>
      <c r="HRD35" s="624"/>
      <c r="HRE35" s="624"/>
      <c r="HRF35" s="624"/>
      <c r="HRG35" s="624"/>
      <c r="HRH35" s="624"/>
      <c r="HRI35" s="624"/>
      <c r="HRJ35" s="624"/>
      <c r="HRK35" s="624"/>
      <c r="HRL35" s="624"/>
      <c r="HRM35" s="624"/>
      <c r="HRN35" s="624"/>
      <c r="HRO35" s="624"/>
      <c r="HRP35" s="624"/>
      <c r="HRQ35" s="624"/>
      <c r="HRR35" s="624"/>
      <c r="HRS35" s="624"/>
      <c r="HRT35" s="624"/>
      <c r="HRU35" s="624"/>
      <c r="HRV35" s="624"/>
      <c r="HRW35" s="624"/>
      <c r="HRX35" s="624"/>
      <c r="HRY35" s="624"/>
      <c r="HRZ35" s="624"/>
      <c r="HSA35" s="624"/>
      <c r="HSB35" s="624"/>
      <c r="HSC35" s="624"/>
      <c r="HSD35" s="624"/>
      <c r="HSE35" s="624"/>
      <c r="HSF35" s="624"/>
      <c r="HSG35" s="624"/>
      <c r="HSH35" s="624"/>
      <c r="HSI35" s="624"/>
      <c r="HSJ35" s="624"/>
      <c r="HSK35" s="624"/>
      <c r="HSL35" s="624"/>
      <c r="HSM35" s="624"/>
      <c r="HSN35" s="624"/>
      <c r="HSO35" s="624"/>
      <c r="HSP35" s="624"/>
      <c r="HSQ35" s="624"/>
      <c r="HSR35" s="624"/>
      <c r="HSS35" s="624"/>
      <c r="HST35" s="624"/>
      <c r="HSU35" s="624"/>
      <c r="HSV35" s="624"/>
      <c r="HSW35" s="624"/>
      <c r="HSX35" s="624"/>
      <c r="HSY35" s="624"/>
      <c r="HSZ35" s="624"/>
      <c r="HTA35" s="624"/>
      <c r="HTB35" s="624"/>
      <c r="HTC35" s="624"/>
      <c r="HTD35" s="624"/>
      <c r="HTE35" s="624"/>
      <c r="HTF35" s="624"/>
      <c r="HTG35" s="624"/>
      <c r="HTH35" s="624"/>
      <c r="HTI35" s="624"/>
      <c r="HTJ35" s="624"/>
      <c r="HTK35" s="624"/>
      <c r="HTL35" s="624"/>
      <c r="HTM35" s="624"/>
      <c r="HTN35" s="624"/>
      <c r="HTO35" s="624"/>
      <c r="HTP35" s="624"/>
      <c r="HTQ35" s="624"/>
      <c r="HTR35" s="624"/>
      <c r="HTS35" s="624"/>
      <c r="HTT35" s="624"/>
      <c r="HTU35" s="624"/>
      <c r="HTV35" s="624"/>
      <c r="HTW35" s="624"/>
      <c r="HTX35" s="624"/>
      <c r="HTY35" s="624"/>
      <c r="HTZ35" s="624"/>
      <c r="HUA35" s="624"/>
      <c r="HUB35" s="624"/>
      <c r="HUC35" s="624"/>
      <c r="HUD35" s="624"/>
      <c r="HUE35" s="624"/>
      <c r="HUF35" s="624"/>
      <c r="HUG35" s="624"/>
      <c r="HUH35" s="624"/>
      <c r="HUI35" s="624"/>
      <c r="HUJ35" s="624"/>
      <c r="HUK35" s="624"/>
      <c r="HUL35" s="624"/>
      <c r="HUM35" s="624"/>
      <c r="HUN35" s="624"/>
      <c r="HUO35" s="624"/>
      <c r="HUP35" s="624"/>
      <c r="HUQ35" s="624"/>
      <c r="HUR35" s="624"/>
      <c r="HUS35" s="624"/>
      <c r="HUT35" s="624"/>
      <c r="HUU35" s="624"/>
      <c r="HUV35" s="624"/>
      <c r="HUW35" s="624"/>
      <c r="HUX35" s="624"/>
      <c r="HUY35" s="624"/>
      <c r="HUZ35" s="624"/>
      <c r="HVA35" s="624"/>
      <c r="HVB35" s="624"/>
      <c r="HVC35" s="624"/>
      <c r="HVD35" s="624"/>
      <c r="HVE35" s="624"/>
      <c r="HVF35" s="624"/>
      <c r="HVG35" s="624"/>
      <c r="HVH35" s="624"/>
      <c r="HVI35" s="624"/>
      <c r="HVJ35" s="624"/>
      <c r="HVK35" s="624"/>
      <c r="HVL35" s="624"/>
      <c r="HVM35" s="624"/>
      <c r="HVN35" s="624"/>
      <c r="HVO35" s="624"/>
      <c r="HVP35" s="624"/>
      <c r="HVQ35" s="624"/>
      <c r="HVR35" s="624"/>
      <c r="HVS35" s="624"/>
      <c r="HVT35" s="624"/>
      <c r="HVU35" s="624"/>
      <c r="HVV35" s="624"/>
      <c r="HVW35" s="624"/>
      <c r="HVX35" s="624"/>
      <c r="HVY35" s="624"/>
      <c r="HVZ35" s="624"/>
      <c r="HWA35" s="624"/>
      <c r="HWB35" s="624"/>
      <c r="HWC35" s="624"/>
      <c r="HWD35" s="624"/>
      <c r="HWE35" s="624"/>
      <c r="HWF35" s="624"/>
      <c r="HWG35" s="624"/>
      <c r="HWH35" s="624"/>
      <c r="HWI35" s="624"/>
      <c r="HWJ35" s="624"/>
      <c r="HWK35" s="624"/>
      <c r="HWL35" s="624"/>
      <c r="HWM35" s="624"/>
      <c r="HWN35" s="624"/>
      <c r="HWO35" s="624"/>
      <c r="HWP35" s="624"/>
      <c r="HWQ35" s="624"/>
      <c r="HWR35" s="624"/>
      <c r="HWS35" s="624"/>
      <c r="HWT35" s="624"/>
      <c r="HWU35" s="624"/>
      <c r="HWV35" s="624"/>
      <c r="HWW35" s="624"/>
      <c r="HWX35" s="624"/>
      <c r="HWY35" s="624"/>
      <c r="HWZ35" s="624"/>
      <c r="HXA35" s="624"/>
      <c r="HXB35" s="624"/>
      <c r="HXC35" s="624"/>
      <c r="HXD35" s="624"/>
      <c r="HXE35" s="624"/>
      <c r="HXF35" s="624"/>
      <c r="HXG35" s="624"/>
      <c r="HXH35" s="624"/>
      <c r="HXI35" s="624"/>
      <c r="HXJ35" s="624"/>
      <c r="HXK35" s="624"/>
      <c r="HXL35" s="624"/>
      <c r="HXM35" s="624"/>
      <c r="HXN35" s="624"/>
      <c r="HXO35" s="624"/>
      <c r="HXP35" s="624"/>
      <c r="HXQ35" s="624"/>
      <c r="HXR35" s="624"/>
      <c r="HXS35" s="624"/>
      <c r="HXT35" s="624"/>
      <c r="HXU35" s="624"/>
      <c r="HXV35" s="624"/>
      <c r="HXW35" s="624"/>
      <c r="HXX35" s="624"/>
      <c r="HXY35" s="624"/>
      <c r="HXZ35" s="624"/>
      <c r="HYA35" s="624"/>
      <c r="HYB35" s="624"/>
      <c r="HYC35" s="624"/>
      <c r="HYD35" s="624"/>
      <c r="HYE35" s="624"/>
      <c r="HYF35" s="624"/>
      <c r="HYG35" s="624"/>
      <c r="HYH35" s="624"/>
      <c r="HYI35" s="624"/>
      <c r="HYJ35" s="624"/>
      <c r="HYK35" s="624"/>
      <c r="HYL35" s="624"/>
      <c r="HYM35" s="624"/>
      <c r="HYN35" s="624"/>
      <c r="HYO35" s="624"/>
      <c r="HYP35" s="624"/>
      <c r="HYQ35" s="624"/>
      <c r="HYR35" s="624"/>
      <c r="HYS35" s="624"/>
      <c r="HYT35" s="624"/>
      <c r="HYU35" s="624"/>
      <c r="HYV35" s="624"/>
      <c r="HYW35" s="624"/>
      <c r="HYX35" s="624"/>
      <c r="HYY35" s="624"/>
      <c r="HYZ35" s="624"/>
      <c r="HZA35" s="624"/>
      <c r="HZB35" s="624"/>
      <c r="HZC35" s="624"/>
      <c r="HZD35" s="624"/>
      <c r="HZE35" s="624"/>
      <c r="HZF35" s="624"/>
      <c r="HZG35" s="624"/>
      <c r="HZH35" s="624"/>
      <c r="HZI35" s="624"/>
      <c r="HZJ35" s="624"/>
      <c r="HZK35" s="624"/>
      <c r="HZL35" s="624"/>
      <c r="HZM35" s="624"/>
      <c r="HZN35" s="624"/>
      <c r="HZO35" s="624"/>
      <c r="HZP35" s="624"/>
      <c r="HZQ35" s="624"/>
      <c r="HZR35" s="624"/>
      <c r="HZS35" s="624"/>
      <c r="HZT35" s="624"/>
      <c r="HZU35" s="624"/>
      <c r="HZV35" s="624"/>
      <c r="HZW35" s="624"/>
      <c r="HZX35" s="624"/>
      <c r="HZY35" s="624"/>
      <c r="HZZ35" s="624"/>
      <c r="IAA35" s="624"/>
      <c r="IAB35" s="624"/>
      <c r="IAC35" s="624"/>
      <c r="IAD35" s="624"/>
      <c r="IAE35" s="624"/>
      <c r="IAF35" s="624"/>
      <c r="IAG35" s="624"/>
      <c r="IAH35" s="624"/>
      <c r="IAI35" s="624"/>
      <c r="IAJ35" s="624"/>
      <c r="IAK35" s="624"/>
      <c r="IAL35" s="624"/>
      <c r="IAM35" s="624"/>
      <c r="IAN35" s="624"/>
      <c r="IAO35" s="624"/>
      <c r="IAP35" s="624"/>
      <c r="IAQ35" s="624"/>
      <c r="IAR35" s="624"/>
      <c r="IAS35" s="624"/>
      <c r="IAT35" s="624"/>
      <c r="IAU35" s="624"/>
      <c r="IAV35" s="624"/>
      <c r="IAW35" s="624"/>
      <c r="IAX35" s="624"/>
      <c r="IAY35" s="624"/>
      <c r="IAZ35" s="624"/>
      <c r="IBA35" s="624"/>
      <c r="IBB35" s="624"/>
      <c r="IBC35" s="624"/>
      <c r="IBD35" s="624"/>
      <c r="IBE35" s="624"/>
      <c r="IBF35" s="624"/>
      <c r="IBG35" s="624"/>
      <c r="IBH35" s="624"/>
      <c r="IBI35" s="624"/>
      <c r="IBJ35" s="624"/>
      <c r="IBK35" s="624"/>
      <c r="IBL35" s="624"/>
      <c r="IBM35" s="624"/>
      <c r="IBN35" s="624"/>
      <c r="IBO35" s="624"/>
      <c r="IBP35" s="624"/>
      <c r="IBQ35" s="624"/>
      <c r="IBR35" s="624"/>
      <c r="IBS35" s="624"/>
      <c r="IBT35" s="624"/>
      <c r="IBU35" s="624"/>
      <c r="IBV35" s="624"/>
      <c r="IBW35" s="624"/>
      <c r="IBX35" s="624"/>
      <c r="IBY35" s="624"/>
      <c r="IBZ35" s="624"/>
      <c r="ICA35" s="624"/>
      <c r="ICB35" s="624"/>
      <c r="ICC35" s="624"/>
      <c r="ICD35" s="624"/>
      <c r="ICE35" s="624"/>
      <c r="ICF35" s="624"/>
      <c r="ICG35" s="624"/>
      <c r="ICH35" s="624"/>
      <c r="ICI35" s="624"/>
      <c r="ICJ35" s="624"/>
      <c r="ICK35" s="624"/>
      <c r="ICL35" s="624"/>
      <c r="ICM35" s="624"/>
      <c r="ICN35" s="624"/>
      <c r="ICO35" s="624"/>
      <c r="ICP35" s="624"/>
      <c r="ICQ35" s="624"/>
      <c r="ICR35" s="624"/>
      <c r="ICS35" s="624"/>
      <c r="ICT35" s="624"/>
      <c r="ICU35" s="624"/>
      <c r="ICV35" s="624"/>
      <c r="ICW35" s="624"/>
      <c r="ICX35" s="624"/>
      <c r="ICY35" s="624"/>
      <c r="ICZ35" s="624"/>
      <c r="IDA35" s="624"/>
      <c r="IDB35" s="624"/>
      <c r="IDC35" s="624"/>
      <c r="IDD35" s="624"/>
      <c r="IDE35" s="624"/>
      <c r="IDF35" s="624"/>
      <c r="IDG35" s="624"/>
      <c r="IDH35" s="624"/>
      <c r="IDI35" s="624"/>
      <c r="IDJ35" s="624"/>
      <c r="IDK35" s="624"/>
      <c r="IDL35" s="624"/>
      <c r="IDM35" s="624"/>
      <c r="IDN35" s="624"/>
      <c r="IDO35" s="624"/>
      <c r="IDP35" s="624"/>
      <c r="IDQ35" s="624"/>
      <c r="IDR35" s="624"/>
      <c r="IDS35" s="624"/>
      <c r="IDT35" s="624"/>
      <c r="IDU35" s="624"/>
      <c r="IDV35" s="624"/>
      <c r="IDW35" s="624"/>
      <c r="IDX35" s="624"/>
      <c r="IDY35" s="624"/>
      <c r="IDZ35" s="624"/>
      <c r="IEA35" s="624"/>
      <c r="IEB35" s="624"/>
      <c r="IEC35" s="624"/>
      <c r="IED35" s="624"/>
      <c r="IEE35" s="624"/>
      <c r="IEF35" s="624"/>
      <c r="IEG35" s="624"/>
      <c r="IEH35" s="624"/>
      <c r="IEI35" s="624"/>
      <c r="IEJ35" s="624"/>
      <c r="IEK35" s="624"/>
      <c r="IEL35" s="624"/>
      <c r="IEM35" s="624"/>
      <c r="IEN35" s="624"/>
      <c r="IEO35" s="624"/>
      <c r="IEP35" s="624"/>
      <c r="IEQ35" s="624"/>
      <c r="IER35" s="624"/>
      <c r="IES35" s="624"/>
      <c r="IET35" s="624"/>
      <c r="IEU35" s="624"/>
      <c r="IEV35" s="624"/>
      <c r="IEW35" s="624"/>
      <c r="IEX35" s="624"/>
      <c r="IEY35" s="624"/>
      <c r="IEZ35" s="624"/>
      <c r="IFA35" s="624"/>
      <c r="IFB35" s="624"/>
      <c r="IFC35" s="624"/>
      <c r="IFD35" s="624"/>
      <c r="IFE35" s="624"/>
      <c r="IFF35" s="624"/>
      <c r="IFG35" s="624"/>
      <c r="IFH35" s="624"/>
      <c r="IFI35" s="624"/>
      <c r="IFJ35" s="624"/>
      <c r="IFK35" s="624"/>
      <c r="IFL35" s="624"/>
      <c r="IFM35" s="624"/>
      <c r="IFN35" s="624"/>
      <c r="IFO35" s="624"/>
      <c r="IFP35" s="624"/>
      <c r="IFQ35" s="624"/>
      <c r="IFR35" s="624"/>
      <c r="IFS35" s="624"/>
      <c r="IFT35" s="624"/>
      <c r="IFU35" s="624"/>
      <c r="IFV35" s="624"/>
      <c r="IFW35" s="624"/>
      <c r="IFX35" s="624"/>
      <c r="IFY35" s="624"/>
      <c r="IFZ35" s="624"/>
      <c r="IGA35" s="624"/>
      <c r="IGB35" s="624"/>
      <c r="IGC35" s="624"/>
      <c r="IGD35" s="624"/>
      <c r="IGE35" s="624"/>
      <c r="IGF35" s="624"/>
      <c r="IGG35" s="624"/>
      <c r="IGH35" s="624"/>
      <c r="IGI35" s="624"/>
      <c r="IGJ35" s="624"/>
      <c r="IGK35" s="624"/>
      <c r="IGL35" s="624"/>
      <c r="IGM35" s="624"/>
      <c r="IGN35" s="624"/>
      <c r="IGO35" s="624"/>
      <c r="IGP35" s="624"/>
      <c r="IGQ35" s="624"/>
      <c r="IGR35" s="624"/>
      <c r="IGS35" s="624"/>
      <c r="IGT35" s="624"/>
      <c r="IGU35" s="624"/>
      <c r="IGV35" s="624"/>
      <c r="IGW35" s="624"/>
      <c r="IGX35" s="624"/>
      <c r="IGY35" s="624"/>
      <c r="IGZ35" s="624"/>
      <c r="IHA35" s="624"/>
      <c r="IHB35" s="624"/>
      <c r="IHC35" s="624"/>
      <c r="IHD35" s="624"/>
      <c r="IHE35" s="624"/>
      <c r="IHF35" s="624"/>
      <c r="IHG35" s="624"/>
      <c r="IHH35" s="624"/>
      <c r="IHI35" s="624"/>
      <c r="IHJ35" s="624"/>
      <c r="IHK35" s="624"/>
      <c r="IHL35" s="624"/>
      <c r="IHM35" s="624"/>
      <c r="IHN35" s="624"/>
      <c r="IHO35" s="624"/>
      <c r="IHP35" s="624"/>
      <c r="IHQ35" s="624"/>
      <c r="IHR35" s="624"/>
      <c r="IHS35" s="624"/>
      <c r="IHT35" s="624"/>
      <c r="IHU35" s="624"/>
      <c r="IHV35" s="624"/>
      <c r="IHW35" s="624"/>
      <c r="IHX35" s="624"/>
      <c r="IHY35" s="624"/>
      <c r="IHZ35" s="624"/>
      <c r="IIA35" s="624"/>
      <c r="IIB35" s="624"/>
      <c r="IIC35" s="624"/>
      <c r="IID35" s="624"/>
      <c r="IIE35" s="624"/>
      <c r="IIF35" s="624"/>
      <c r="IIG35" s="624"/>
      <c r="IIH35" s="624"/>
      <c r="III35" s="624"/>
      <c r="IIJ35" s="624"/>
      <c r="IIK35" s="624"/>
      <c r="IIL35" s="624"/>
      <c r="IIM35" s="624"/>
      <c r="IIN35" s="624"/>
      <c r="IIO35" s="624"/>
      <c r="IIP35" s="624"/>
      <c r="IIQ35" s="624"/>
      <c r="IIR35" s="624"/>
      <c r="IIS35" s="624"/>
      <c r="IIT35" s="624"/>
      <c r="IIU35" s="624"/>
      <c r="IIV35" s="624"/>
      <c r="IIW35" s="624"/>
      <c r="IIX35" s="624"/>
      <c r="IIY35" s="624"/>
      <c r="IIZ35" s="624"/>
      <c r="IJA35" s="624"/>
      <c r="IJB35" s="624"/>
      <c r="IJC35" s="624"/>
      <c r="IJD35" s="624"/>
      <c r="IJE35" s="624"/>
      <c r="IJF35" s="624"/>
      <c r="IJG35" s="624"/>
      <c r="IJH35" s="624"/>
      <c r="IJI35" s="624"/>
      <c r="IJJ35" s="624"/>
      <c r="IJK35" s="624"/>
      <c r="IJL35" s="624"/>
      <c r="IJM35" s="624"/>
      <c r="IJN35" s="624"/>
      <c r="IJO35" s="624"/>
      <c r="IJP35" s="624"/>
      <c r="IJQ35" s="624"/>
      <c r="IJR35" s="624"/>
      <c r="IJS35" s="624"/>
      <c r="IJT35" s="624"/>
      <c r="IJU35" s="624"/>
      <c r="IJV35" s="624"/>
      <c r="IJW35" s="624"/>
      <c r="IJX35" s="624"/>
      <c r="IJY35" s="624"/>
      <c r="IJZ35" s="624"/>
      <c r="IKA35" s="624"/>
      <c r="IKB35" s="624"/>
      <c r="IKC35" s="624"/>
      <c r="IKD35" s="624"/>
      <c r="IKE35" s="624"/>
      <c r="IKF35" s="624"/>
      <c r="IKG35" s="624"/>
      <c r="IKH35" s="624"/>
      <c r="IKI35" s="624"/>
      <c r="IKJ35" s="624"/>
      <c r="IKK35" s="624"/>
      <c r="IKL35" s="624"/>
      <c r="IKM35" s="624"/>
      <c r="IKN35" s="624"/>
      <c r="IKO35" s="624"/>
      <c r="IKP35" s="624"/>
      <c r="IKQ35" s="624"/>
      <c r="IKR35" s="624"/>
      <c r="IKS35" s="624"/>
      <c r="IKT35" s="624"/>
      <c r="IKU35" s="624"/>
      <c r="IKV35" s="624"/>
      <c r="IKW35" s="624"/>
      <c r="IKX35" s="624"/>
      <c r="IKY35" s="624"/>
      <c r="IKZ35" s="624"/>
      <c r="ILA35" s="624"/>
      <c r="ILB35" s="624"/>
      <c r="ILC35" s="624"/>
      <c r="ILD35" s="624"/>
      <c r="ILE35" s="624"/>
      <c r="ILF35" s="624"/>
      <c r="ILG35" s="624"/>
      <c r="ILH35" s="624"/>
      <c r="ILI35" s="624"/>
      <c r="ILJ35" s="624"/>
      <c r="ILK35" s="624"/>
      <c r="ILL35" s="624"/>
      <c r="ILM35" s="624"/>
      <c r="ILN35" s="624"/>
      <c r="ILO35" s="624"/>
      <c r="ILP35" s="624"/>
      <c r="ILQ35" s="624"/>
      <c r="ILR35" s="624"/>
      <c r="ILS35" s="624"/>
      <c r="ILT35" s="624"/>
      <c r="ILU35" s="624"/>
      <c r="ILV35" s="624"/>
      <c r="ILW35" s="624"/>
      <c r="ILX35" s="624"/>
      <c r="ILY35" s="624"/>
      <c r="ILZ35" s="624"/>
      <c r="IMA35" s="624"/>
      <c r="IMB35" s="624"/>
      <c r="IMC35" s="624"/>
      <c r="IMD35" s="624"/>
      <c r="IME35" s="624"/>
      <c r="IMF35" s="624"/>
      <c r="IMG35" s="624"/>
      <c r="IMH35" s="624"/>
      <c r="IMI35" s="624"/>
      <c r="IMJ35" s="624"/>
      <c r="IMK35" s="624"/>
      <c r="IML35" s="624"/>
      <c r="IMM35" s="624"/>
      <c r="IMN35" s="624"/>
      <c r="IMO35" s="624"/>
      <c r="IMP35" s="624"/>
      <c r="IMQ35" s="624"/>
      <c r="IMR35" s="624"/>
      <c r="IMS35" s="624"/>
      <c r="IMT35" s="624"/>
      <c r="IMU35" s="624"/>
      <c r="IMV35" s="624"/>
      <c r="IMW35" s="624"/>
      <c r="IMX35" s="624"/>
      <c r="IMY35" s="624"/>
      <c r="IMZ35" s="624"/>
      <c r="INA35" s="624"/>
      <c r="INB35" s="624"/>
      <c r="INC35" s="624"/>
      <c r="IND35" s="624"/>
      <c r="INE35" s="624"/>
      <c r="INF35" s="624"/>
      <c r="ING35" s="624"/>
      <c r="INH35" s="624"/>
      <c r="INI35" s="624"/>
      <c r="INJ35" s="624"/>
      <c r="INK35" s="624"/>
      <c r="INL35" s="624"/>
      <c r="INM35" s="624"/>
      <c r="INN35" s="624"/>
      <c r="INO35" s="624"/>
      <c r="INP35" s="624"/>
      <c r="INQ35" s="624"/>
      <c r="INR35" s="624"/>
      <c r="INS35" s="624"/>
      <c r="INT35" s="624"/>
      <c r="INU35" s="624"/>
      <c r="INV35" s="624"/>
      <c r="INW35" s="624"/>
      <c r="INX35" s="624"/>
      <c r="INY35" s="624"/>
      <c r="INZ35" s="624"/>
      <c r="IOA35" s="624"/>
      <c r="IOB35" s="624"/>
      <c r="IOC35" s="624"/>
      <c r="IOD35" s="624"/>
      <c r="IOE35" s="624"/>
      <c r="IOF35" s="624"/>
      <c r="IOG35" s="624"/>
      <c r="IOH35" s="624"/>
      <c r="IOI35" s="624"/>
      <c r="IOJ35" s="624"/>
      <c r="IOK35" s="624"/>
      <c r="IOL35" s="624"/>
      <c r="IOM35" s="624"/>
      <c r="ION35" s="624"/>
      <c r="IOO35" s="624"/>
      <c r="IOP35" s="624"/>
      <c r="IOQ35" s="624"/>
      <c r="IOR35" s="624"/>
      <c r="IOS35" s="624"/>
      <c r="IOT35" s="624"/>
      <c r="IOU35" s="624"/>
      <c r="IOV35" s="624"/>
      <c r="IOW35" s="624"/>
      <c r="IOX35" s="624"/>
      <c r="IOY35" s="624"/>
      <c r="IOZ35" s="624"/>
      <c r="IPA35" s="624"/>
      <c r="IPB35" s="624"/>
      <c r="IPC35" s="624"/>
      <c r="IPD35" s="624"/>
      <c r="IPE35" s="624"/>
      <c r="IPF35" s="624"/>
      <c r="IPG35" s="624"/>
      <c r="IPH35" s="624"/>
      <c r="IPI35" s="624"/>
      <c r="IPJ35" s="624"/>
      <c r="IPK35" s="624"/>
      <c r="IPL35" s="624"/>
      <c r="IPM35" s="624"/>
      <c r="IPN35" s="624"/>
      <c r="IPO35" s="624"/>
      <c r="IPP35" s="624"/>
      <c r="IPQ35" s="624"/>
      <c r="IPR35" s="624"/>
      <c r="IPS35" s="624"/>
      <c r="IPT35" s="624"/>
      <c r="IPU35" s="624"/>
      <c r="IPV35" s="624"/>
      <c r="IPW35" s="624"/>
      <c r="IPX35" s="624"/>
      <c r="IPY35" s="624"/>
      <c r="IPZ35" s="624"/>
      <c r="IQA35" s="624"/>
      <c r="IQB35" s="624"/>
      <c r="IQC35" s="624"/>
      <c r="IQD35" s="624"/>
      <c r="IQE35" s="624"/>
      <c r="IQF35" s="624"/>
      <c r="IQG35" s="624"/>
      <c r="IQH35" s="624"/>
      <c r="IQI35" s="624"/>
      <c r="IQJ35" s="624"/>
      <c r="IQK35" s="624"/>
      <c r="IQL35" s="624"/>
      <c r="IQM35" s="624"/>
      <c r="IQN35" s="624"/>
      <c r="IQO35" s="624"/>
      <c r="IQP35" s="624"/>
      <c r="IQQ35" s="624"/>
      <c r="IQR35" s="624"/>
      <c r="IQS35" s="624"/>
      <c r="IQT35" s="624"/>
      <c r="IQU35" s="624"/>
      <c r="IQV35" s="624"/>
      <c r="IQW35" s="624"/>
      <c r="IQX35" s="624"/>
      <c r="IQY35" s="624"/>
      <c r="IQZ35" s="624"/>
      <c r="IRA35" s="624"/>
      <c r="IRB35" s="624"/>
      <c r="IRC35" s="624"/>
      <c r="IRD35" s="624"/>
      <c r="IRE35" s="624"/>
      <c r="IRF35" s="624"/>
      <c r="IRG35" s="624"/>
      <c r="IRH35" s="624"/>
      <c r="IRI35" s="624"/>
      <c r="IRJ35" s="624"/>
      <c r="IRK35" s="624"/>
      <c r="IRL35" s="624"/>
      <c r="IRM35" s="624"/>
      <c r="IRN35" s="624"/>
      <c r="IRO35" s="624"/>
      <c r="IRP35" s="624"/>
      <c r="IRQ35" s="624"/>
      <c r="IRR35" s="624"/>
      <c r="IRS35" s="624"/>
      <c r="IRT35" s="624"/>
      <c r="IRU35" s="624"/>
      <c r="IRV35" s="624"/>
      <c r="IRW35" s="624"/>
      <c r="IRX35" s="624"/>
      <c r="IRY35" s="624"/>
      <c r="IRZ35" s="624"/>
      <c r="ISA35" s="624"/>
      <c r="ISB35" s="624"/>
      <c r="ISC35" s="624"/>
      <c r="ISD35" s="624"/>
      <c r="ISE35" s="624"/>
      <c r="ISF35" s="624"/>
      <c r="ISG35" s="624"/>
      <c r="ISH35" s="624"/>
      <c r="ISI35" s="624"/>
      <c r="ISJ35" s="624"/>
      <c r="ISK35" s="624"/>
      <c r="ISL35" s="624"/>
      <c r="ISM35" s="624"/>
      <c r="ISN35" s="624"/>
      <c r="ISO35" s="624"/>
      <c r="ISP35" s="624"/>
      <c r="ISQ35" s="624"/>
      <c r="ISR35" s="624"/>
      <c r="ISS35" s="624"/>
      <c r="IST35" s="624"/>
      <c r="ISU35" s="624"/>
      <c r="ISV35" s="624"/>
      <c r="ISW35" s="624"/>
      <c r="ISX35" s="624"/>
      <c r="ISY35" s="624"/>
      <c r="ISZ35" s="624"/>
      <c r="ITA35" s="624"/>
      <c r="ITB35" s="624"/>
      <c r="ITC35" s="624"/>
      <c r="ITD35" s="624"/>
      <c r="ITE35" s="624"/>
      <c r="ITF35" s="624"/>
      <c r="ITG35" s="624"/>
      <c r="ITH35" s="624"/>
      <c r="ITI35" s="624"/>
      <c r="ITJ35" s="624"/>
      <c r="ITK35" s="624"/>
      <c r="ITL35" s="624"/>
      <c r="ITM35" s="624"/>
      <c r="ITN35" s="624"/>
      <c r="ITO35" s="624"/>
      <c r="ITP35" s="624"/>
      <c r="ITQ35" s="624"/>
      <c r="ITR35" s="624"/>
      <c r="ITS35" s="624"/>
      <c r="ITT35" s="624"/>
      <c r="ITU35" s="624"/>
      <c r="ITV35" s="624"/>
      <c r="ITW35" s="624"/>
      <c r="ITX35" s="624"/>
      <c r="ITY35" s="624"/>
      <c r="ITZ35" s="624"/>
      <c r="IUA35" s="624"/>
      <c r="IUB35" s="624"/>
      <c r="IUC35" s="624"/>
      <c r="IUD35" s="624"/>
      <c r="IUE35" s="624"/>
      <c r="IUF35" s="624"/>
      <c r="IUG35" s="624"/>
      <c r="IUH35" s="624"/>
      <c r="IUI35" s="624"/>
      <c r="IUJ35" s="624"/>
      <c r="IUK35" s="624"/>
      <c r="IUL35" s="624"/>
      <c r="IUM35" s="624"/>
      <c r="IUN35" s="624"/>
      <c r="IUO35" s="624"/>
      <c r="IUP35" s="624"/>
      <c r="IUQ35" s="624"/>
      <c r="IUR35" s="624"/>
      <c r="IUS35" s="624"/>
      <c r="IUT35" s="624"/>
      <c r="IUU35" s="624"/>
      <c r="IUV35" s="624"/>
      <c r="IUW35" s="624"/>
      <c r="IUX35" s="624"/>
      <c r="IUY35" s="624"/>
      <c r="IUZ35" s="624"/>
      <c r="IVA35" s="624"/>
      <c r="IVB35" s="624"/>
      <c r="IVC35" s="624"/>
      <c r="IVD35" s="624"/>
      <c r="IVE35" s="624"/>
      <c r="IVF35" s="624"/>
      <c r="IVG35" s="624"/>
      <c r="IVH35" s="624"/>
      <c r="IVI35" s="624"/>
      <c r="IVJ35" s="624"/>
      <c r="IVK35" s="624"/>
      <c r="IVL35" s="624"/>
      <c r="IVM35" s="624"/>
      <c r="IVN35" s="624"/>
      <c r="IVO35" s="624"/>
      <c r="IVP35" s="624"/>
      <c r="IVQ35" s="624"/>
      <c r="IVR35" s="624"/>
      <c r="IVS35" s="624"/>
      <c r="IVT35" s="624"/>
      <c r="IVU35" s="624"/>
      <c r="IVV35" s="624"/>
      <c r="IVW35" s="624"/>
      <c r="IVX35" s="624"/>
      <c r="IVY35" s="624"/>
      <c r="IVZ35" s="624"/>
      <c r="IWA35" s="624"/>
      <c r="IWB35" s="624"/>
      <c r="IWC35" s="624"/>
      <c r="IWD35" s="624"/>
      <c r="IWE35" s="624"/>
      <c r="IWF35" s="624"/>
      <c r="IWG35" s="624"/>
      <c r="IWH35" s="624"/>
      <c r="IWI35" s="624"/>
      <c r="IWJ35" s="624"/>
      <c r="IWK35" s="624"/>
      <c r="IWL35" s="624"/>
      <c r="IWM35" s="624"/>
      <c r="IWN35" s="624"/>
      <c r="IWO35" s="624"/>
      <c r="IWP35" s="624"/>
      <c r="IWQ35" s="624"/>
      <c r="IWR35" s="624"/>
      <c r="IWS35" s="624"/>
      <c r="IWT35" s="624"/>
      <c r="IWU35" s="624"/>
      <c r="IWV35" s="624"/>
      <c r="IWW35" s="624"/>
      <c r="IWX35" s="624"/>
      <c r="IWY35" s="624"/>
      <c r="IWZ35" s="624"/>
      <c r="IXA35" s="624"/>
      <c r="IXB35" s="624"/>
      <c r="IXC35" s="624"/>
      <c r="IXD35" s="624"/>
      <c r="IXE35" s="624"/>
      <c r="IXF35" s="624"/>
      <c r="IXG35" s="624"/>
      <c r="IXH35" s="624"/>
      <c r="IXI35" s="624"/>
      <c r="IXJ35" s="624"/>
      <c r="IXK35" s="624"/>
      <c r="IXL35" s="624"/>
      <c r="IXM35" s="624"/>
      <c r="IXN35" s="624"/>
      <c r="IXO35" s="624"/>
      <c r="IXP35" s="624"/>
      <c r="IXQ35" s="624"/>
      <c r="IXR35" s="624"/>
      <c r="IXS35" s="624"/>
      <c r="IXT35" s="624"/>
      <c r="IXU35" s="624"/>
      <c r="IXV35" s="624"/>
      <c r="IXW35" s="624"/>
      <c r="IXX35" s="624"/>
      <c r="IXY35" s="624"/>
      <c r="IXZ35" s="624"/>
      <c r="IYA35" s="624"/>
      <c r="IYB35" s="624"/>
      <c r="IYC35" s="624"/>
      <c r="IYD35" s="624"/>
      <c r="IYE35" s="624"/>
      <c r="IYF35" s="624"/>
      <c r="IYG35" s="624"/>
      <c r="IYH35" s="624"/>
      <c r="IYI35" s="624"/>
      <c r="IYJ35" s="624"/>
      <c r="IYK35" s="624"/>
      <c r="IYL35" s="624"/>
      <c r="IYM35" s="624"/>
      <c r="IYN35" s="624"/>
      <c r="IYO35" s="624"/>
      <c r="IYP35" s="624"/>
      <c r="IYQ35" s="624"/>
      <c r="IYR35" s="624"/>
      <c r="IYS35" s="624"/>
      <c r="IYT35" s="624"/>
      <c r="IYU35" s="624"/>
      <c r="IYV35" s="624"/>
      <c r="IYW35" s="624"/>
      <c r="IYX35" s="624"/>
      <c r="IYY35" s="624"/>
      <c r="IYZ35" s="624"/>
      <c r="IZA35" s="624"/>
      <c r="IZB35" s="624"/>
      <c r="IZC35" s="624"/>
      <c r="IZD35" s="624"/>
      <c r="IZE35" s="624"/>
      <c r="IZF35" s="624"/>
      <c r="IZG35" s="624"/>
      <c r="IZH35" s="624"/>
      <c r="IZI35" s="624"/>
      <c r="IZJ35" s="624"/>
      <c r="IZK35" s="624"/>
      <c r="IZL35" s="624"/>
      <c r="IZM35" s="624"/>
      <c r="IZN35" s="624"/>
      <c r="IZO35" s="624"/>
      <c r="IZP35" s="624"/>
      <c r="IZQ35" s="624"/>
      <c r="IZR35" s="624"/>
      <c r="IZS35" s="624"/>
      <c r="IZT35" s="624"/>
      <c r="IZU35" s="624"/>
      <c r="IZV35" s="624"/>
      <c r="IZW35" s="624"/>
      <c r="IZX35" s="624"/>
      <c r="IZY35" s="624"/>
      <c r="IZZ35" s="624"/>
      <c r="JAA35" s="624"/>
      <c r="JAB35" s="624"/>
      <c r="JAC35" s="624"/>
      <c r="JAD35" s="624"/>
      <c r="JAE35" s="624"/>
      <c r="JAF35" s="624"/>
      <c r="JAG35" s="624"/>
      <c r="JAH35" s="624"/>
      <c r="JAI35" s="624"/>
      <c r="JAJ35" s="624"/>
      <c r="JAK35" s="624"/>
      <c r="JAL35" s="624"/>
      <c r="JAM35" s="624"/>
      <c r="JAN35" s="624"/>
      <c r="JAO35" s="624"/>
      <c r="JAP35" s="624"/>
      <c r="JAQ35" s="624"/>
      <c r="JAR35" s="624"/>
      <c r="JAS35" s="624"/>
      <c r="JAT35" s="624"/>
      <c r="JAU35" s="624"/>
      <c r="JAV35" s="624"/>
      <c r="JAW35" s="624"/>
      <c r="JAX35" s="624"/>
      <c r="JAY35" s="624"/>
      <c r="JAZ35" s="624"/>
      <c r="JBA35" s="624"/>
      <c r="JBB35" s="624"/>
      <c r="JBC35" s="624"/>
      <c r="JBD35" s="624"/>
      <c r="JBE35" s="624"/>
      <c r="JBF35" s="624"/>
      <c r="JBG35" s="624"/>
      <c r="JBH35" s="624"/>
      <c r="JBI35" s="624"/>
      <c r="JBJ35" s="624"/>
      <c r="JBK35" s="624"/>
      <c r="JBL35" s="624"/>
      <c r="JBM35" s="624"/>
      <c r="JBN35" s="624"/>
      <c r="JBO35" s="624"/>
      <c r="JBP35" s="624"/>
      <c r="JBQ35" s="624"/>
      <c r="JBR35" s="624"/>
      <c r="JBS35" s="624"/>
      <c r="JBT35" s="624"/>
      <c r="JBU35" s="624"/>
      <c r="JBV35" s="624"/>
      <c r="JBW35" s="624"/>
      <c r="JBX35" s="624"/>
      <c r="JBY35" s="624"/>
      <c r="JBZ35" s="624"/>
      <c r="JCA35" s="624"/>
      <c r="JCB35" s="624"/>
      <c r="JCC35" s="624"/>
      <c r="JCD35" s="624"/>
      <c r="JCE35" s="624"/>
      <c r="JCF35" s="624"/>
      <c r="JCG35" s="624"/>
      <c r="JCH35" s="624"/>
      <c r="JCI35" s="624"/>
      <c r="JCJ35" s="624"/>
      <c r="JCK35" s="624"/>
      <c r="JCL35" s="624"/>
      <c r="JCM35" s="624"/>
      <c r="JCN35" s="624"/>
      <c r="JCO35" s="624"/>
      <c r="JCP35" s="624"/>
      <c r="JCQ35" s="624"/>
      <c r="JCR35" s="624"/>
      <c r="JCS35" s="624"/>
      <c r="JCT35" s="624"/>
      <c r="JCU35" s="624"/>
      <c r="JCV35" s="624"/>
      <c r="JCW35" s="624"/>
      <c r="JCX35" s="624"/>
      <c r="JCY35" s="624"/>
      <c r="JCZ35" s="624"/>
      <c r="JDA35" s="624"/>
      <c r="JDB35" s="624"/>
      <c r="JDC35" s="624"/>
      <c r="JDD35" s="624"/>
      <c r="JDE35" s="624"/>
      <c r="JDF35" s="624"/>
      <c r="JDG35" s="624"/>
      <c r="JDH35" s="624"/>
      <c r="JDI35" s="624"/>
      <c r="JDJ35" s="624"/>
      <c r="JDK35" s="624"/>
      <c r="JDL35" s="624"/>
      <c r="JDM35" s="624"/>
      <c r="JDN35" s="624"/>
      <c r="JDO35" s="624"/>
      <c r="JDP35" s="624"/>
      <c r="JDQ35" s="624"/>
      <c r="JDR35" s="624"/>
      <c r="JDS35" s="624"/>
      <c r="JDT35" s="624"/>
      <c r="JDU35" s="624"/>
      <c r="JDV35" s="624"/>
      <c r="JDW35" s="624"/>
      <c r="JDX35" s="624"/>
      <c r="JDY35" s="624"/>
      <c r="JDZ35" s="624"/>
      <c r="JEA35" s="624"/>
      <c r="JEB35" s="624"/>
      <c r="JEC35" s="624"/>
      <c r="JED35" s="624"/>
      <c r="JEE35" s="624"/>
      <c r="JEF35" s="624"/>
      <c r="JEG35" s="624"/>
      <c r="JEH35" s="624"/>
      <c r="JEI35" s="624"/>
      <c r="JEJ35" s="624"/>
      <c r="JEK35" s="624"/>
      <c r="JEL35" s="624"/>
      <c r="JEM35" s="624"/>
      <c r="JEN35" s="624"/>
      <c r="JEO35" s="624"/>
      <c r="JEP35" s="624"/>
      <c r="JEQ35" s="624"/>
      <c r="JER35" s="624"/>
      <c r="JES35" s="624"/>
      <c r="JET35" s="624"/>
      <c r="JEU35" s="624"/>
      <c r="JEV35" s="624"/>
      <c r="JEW35" s="624"/>
      <c r="JEX35" s="624"/>
      <c r="JEY35" s="624"/>
      <c r="JEZ35" s="624"/>
      <c r="JFA35" s="624"/>
      <c r="JFB35" s="624"/>
      <c r="JFC35" s="624"/>
      <c r="JFD35" s="624"/>
      <c r="JFE35" s="624"/>
      <c r="JFF35" s="624"/>
      <c r="JFG35" s="624"/>
      <c r="JFH35" s="624"/>
      <c r="JFI35" s="624"/>
      <c r="JFJ35" s="624"/>
      <c r="JFK35" s="624"/>
      <c r="JFL35" s="624"/>
      <c r="JFM35" s="624"/>
      <c r="JFN35" s="624"/>
      <c r="JFO35" s="624"/>
      <c r="JFP35" s="624"/>
      <c r="JFQ35" s="624"/>
      <c r="JFR35" s="624"/>
      <c r="JFS35" s="624"/>
      <c r="JFT35" s="624"/>
      <c r="JFU35" s="624"/>
      <c r="JFV35" s="624"/>
      <c r="JFW35" s="624"/>
      <c r="JFX35" s="624"/>
      <c r="JFY35" s="624"/>
      <c r="JFZ35" s="624"/>
      <c r="JGA35" s="624"/>
      <c r="JGB35" s="624"/>
      <c r="JGC35" s="624"/>
      <c r="JGD35" s="624"/>
      <c r="JGE35" s="624"/>
      <c r="JGF35" s="624"/>
      <c r="JGG35" s="624"/>
      <c r="JGH35" s="624"/>
      <c r="JGI35" s="624"/>
      <c r="JGJ35" s="624"/>
      <c r="JGK35" s="624"/>
      <c r="JGL35" s="624"/>
      <c r="JGM35" s="624"/>
      <c r="JGN35" s="624"/>
      <c r="JGO35" s="624"/>
      <c r="JGP35" s="624"/>
      <c r="JGQ35" s="624"/>
      <c r="JGR35" s="624"/>
      <c r="JGS35" s="624"/>
      <c r="JGT35" s="624"/>
      <c r="JGU35" s="624"/>
      <c r="JGV35" s="624"/>
      <c r="JGW35" s="624"/>
      <c r="JGX35" s="624"/>
      <c r="JGY35" s="624"/>
      <c r="JGZ35" s="624"/>
      <c r="JHA35" s="624"/>
      <c r="JHB35" s="624"/>
      <c r="JHC35" s="624"/>
      <c r="JHD35" s="624"/>
      <c r="JHE35" s="624"/>
      <c r="JHF35" s="624"/>
      <c r="JHG35" s="624"/>
      <c r="JHH35" s="624"/>
      <c r="JHI35" s="624"/>
      <c r="JHJ35" s="624"/>
      <c r="JHK35" s="624"/>
      <c r="JHL35" s="624"/>
      <c r="JHM35" s="624"/>
      <c r="JHN35" s="624"/>
      <c r="JHO35" s="624"/>
      <c r="JHP35" s="624"/>
      <c r="JHQ35" s="624"/>
      <c r="JHR35" s="624"/>
      <c r="JHS35" s="624"/>
      <c r="JHT35" s="624"/>
      <c r="JHU35" s="624"/>
      <c r="JHV35" s="624"/>
      <c r="JHW35" s="624"/>
      <c r="JHX35" s="624"/>
      <c r="JHY35" s="624"/>
      <c r="JHZ35" s="624"/>
      <c r="JIA35" s="624"/>
      <c r="JIB35" s="624"/>
      <c r="JIC35" s="624"/>
      <c r="JID35" s="624"/>
      <c r="JIE35" s="624"/>
      <c r="JIF35" s="624"/>
      <c r="JIG35" s="624"/>
      <c r="JIH35" s="624"/>
      <c r="JII35" s="624"/>
      <c r="JIJ35" s="624"/>
      <c r="JIK35" s="624"/>
      <c r="JIL35" s="624"/>
      <c r="JIM35" s="624"/>
      <c r="JIN35" s="624"/>
      <c r="JIO35" s="624"/>
      <c r="JIP35" s="624"/>
      <c r="JIQ35" s="624"/>
      <c r="JIR35" s="624"/>
      <c r="JIS35" s="624"/>
      <c r="JIT35" s="624"/>
      <c r="JIU35" s="624"/>
      <c r="JIV35" s="624"/>
      <c r="JIW35" s="624"/>
      <c r="JIX35" s="624"/>
      <c r="JIY35" s="624"/>
      <c r="JIZ35" s="624"/>
      <c r="JJA35" s="624"/>
      <c r="JJB35" s="624"/>
      <c r="JJC35" s="624"/>
      <c r="JJD35" s="624"/>
      <c r="JJE35" s="624"/>
      <c r="JJF35" s="624"/>
      <c r="JJG35" s="624"/>
      <c r="JJH35" s="624"/>
      <c r="JJI35" s="624"/>
      <c r="JJJ35" s="624"/>
      <c r="JJK35" s="624"/>
      <c r="JJL35" s="624"/>
      <c r="JJM35" s="624"/>
      <c r="JJN35" s="624"/>
      <c r="JJO35" s="624"/>
      <c r="JJP35" s="624"/>
      <c r="JJQ35" s="624"/>
      <c r="JJR35" s="624"/>
      <c r="JJS35" s="624"/>
      <c r="JJT35" s="624"/>
      <c r="JJU35" s="624"/>
      <c r="JJV35" s="624"/>
      <c r="JJW35" s="624"/>
      <c r="JJX35" s="624"/>
      <c r="JJY35" s="624"/>
      <c r="JJZ35" s="624"/>
      <c r="JKA35" s="624"/>
      <c r="JKB35" s="624"/>
      <c r="JKC35" s="624"/>
      <c r="JKD35" s="624"/>
      <c r="JKE35" s="624"/>
      <c r="JKF35" s="624"/>
      <c r="JKG35" s="624"/>
      <c r="JKH35" s="624"/>
      <c r="JKI35" s="624"/>
      <c r="JKJ35" s="624"/>
      <c r="JKK35" s="624"/>
      <c r="JKL35" s="624"/>
      <c r="JKM35" s="624"/>
      <c r="JKN35" s="624"/>
      <c r="JKO35" s="624"/>
      <c r="JKP35" s="624"/>
      <c r="JKQ35" s="624"/>
      <c r="JKR35" s="624"/>
      <c r="JKS35" s="624"/>
      <c r="JKT35" s="624"/>
      <c r="JKU35" s="624"/>
      <c r="JKV35" s="624"/>
      <c r="JKW35" s="624"/>
      <c r="JKX35" s="624"/>
      <c r="JKY35" s="624"/>
      <c r="JKZ35" s="624"/>
      <c r="JLA35" s="624"/>
      <c r="JLB35" s="624"/>
      <c r="JLC35" s="624"/>
      <c r="JLD35" s="624"/>
      <c r="JLE35" s="624"/>
      <c r="JLF35" s="624"/>
      <c r="JLG35" s="624"/>
      <c r="JLH35" s="624"/>
      <c r="JLI35" s="624"/>
      <c r="JLJ35" s="624"/>
      <c r="JLK35" s="624"/>
      <c r="JLL35" s="624"/>
      <c r="JLM35" s="624"/>
      <c r="JLN35" s="624"/>
      <c r="JLO35" s="624"/>
      <c r="JLP35" s="624"/>
      <c r="JLQ35" s="624"/>
      <c r="JLR35" s="624"/>
      <c r="JLS35" s="624"/>
      <c r="JLT35" s="624"/>
      <c r="JLU35" s="624"/>
      <c r="JLV35" s="624"/>
      <c r="JLW35" s="624"/>
      <c r="JLX35" s="624"/>
      <c r="JLY35" s="624"/>
      <c r="JLZ35" s="624"/>
      <c r="JMA35" s="624"/>
      <c r="JMB35" s="624"/>
      <c r="JMC35" s="624"/>
      <c r="JMD35" s="624"/>
      <c r="JME35" s="624"/>
      <c r="JMF35" s="624"/>
      <c r="JMG35" s="624"/>
      <c r="JMH35" s="624"/>
      <c r="JMI35" s="624"/>
      <c r="JMJ35" s="624"/>
      <c r="JMK35" s="624"/>
      <c r="JML35" s="624"/>
      <c r="JMM35" s="624"/>
      <c r="JMN35" s="624"/>
      <c r="JMO35" s="624"/>
      <c r="JMP35" s="624"/>
      <c r="JMQ35" s="624"/>
      <c r="JMR35" s="624"/>
      <c r="JMS35" s="624"/>
      <c r="JMT35" s="624"/>
      <c r="JMU35" s="624"/>
      <c r="JMV35" s="624"/>
      <c r="JMW35" s="624"/>
      <c r="JMX35" s="624"/>
      <c r="JMY35" s="624"/>
      <c r="JMZ35" s="624"/>
      <c r="JNA35" s="624"/>
      <c r="JNB35" s="624"/>
      <c r="JNC35" s="624"/>
      <c r="JND35" s="624"/>
      <c r="JNE35" s="624"/>
      <c r="JNF35" s="624"/>
      <c r="JNG35" s="624"/>
      <c r="JNH35" s="624"/>
      <c r="JNI35" s="624"/>
      <c r="JNJ35" s="624"/>
      <c r="JNK35" s="624"/>
      <c r="JNL35" s="624"/>
      <c r="JNM35" s="624"/>
      <c r="JNN35" s="624"/>
      <c r="JNO35" s="624"/>
      <c r="JNP35" s="624"/>
      <c r="JNQ35" s="624"/>
      <c r="JNR35" s="624"/>
      <c r="JNS35" s="624"/>
      <c r="JNT35" s="624"/>
      <c r="JNU35" s="624"/>
      <c r="JNV35" s="624"/>
      <c r="JNW35" s="624"/>
      <c r="JNX35" s="624"/>
      <c r="JNY35" s="624"/>
      <c r="JNZ35" s="624"/>
      <c r="JOA35" s="624"/>
      <c r="JOB35" s="624"/>
      <c r="JOC35" s="624"/>
      <c r="JOD35" s="624"/>
      <c r="JOE35" s="624"/>
      <c r="JOF35" s="624"/>
      <c r="JOG35" s="624"/>
      <c r="JOH35" s="624"/>
      <c r="JOI35" s="624"/>
      <c r="JOJ35" s="624"/>
      <c r="JOK35" s="624"/>
      <c r="JOL35" s="624"/>
      <c r="JOM35" s="624"/>
      <c r="JON35" s="624"/>
      <c r="JOO35" s="624"/>
      <c r="JOP35" s="624"/>
      <c r="JOQ35" s="624"/>
      <c r="JOR35" s="624"/>
      <c r="JOS35" s="624"/>
      <c r="JOT35" s="624"/>
      <c r="JOU35" s="624"/>
      <c r="JOV35" s="624"/>
      <c r="JOW35" s="624"/>
      <c r="JOX35" s="624"/>
      <c r="JOY35" s="624"/>
      <c r="JOZ35" s="624"/>
      <c r="JPA35" s="624"/>
      <c r="JPB35" s="624"/>
      <c r="JPC35" s="624"/>
      <c r="JPD35" s="624"/>
      <c r="JPE35" s="624"/>
      <c r="JPF35" s="624"/>
      <c r="JPG35" s="624"/>
      <c r="JPH35" s="624"/>
      <c r="JPI35" s="624"/>
      <c r="JPJ35" s="624"/>
      <c r="JPK35" s="624"/>
      <c r="JPL35" s="624"/>
      <c r="JPM35" s="624"/>
      <c r="JPN35" s="624"/>
      <c r="JPO35" s="624"/>
      <c r="JPP35" s="624"/>
      <c r="JPQ35" s="624"/>
      <c r="JPR35" s="624"/>
      <c r="JPS35" s="624"/>
      <c r="JPT35" s="624"/>
      <c r="JPU35" s="624"/>
      <c r="JPV35" s="624"/>
      <c r="JPW35" s="624"/>
      <c r="JPX35" s="624"/>
      <c r="JPY35" s="624"/>
      <c r="JPZ35" s="624"/>
      <c r="JQA35" s="624"/>
      <c r="JQB35" s="624"/>
      <c r="JQC35" s="624"/>
      <c r="JQD35" s="624"/>
      <c r="JQE35" s="624"/>
      <c r="JQF35" s="624"/>
      <c r="JQG35" s="624"/>
      <c r="JQH35" s="624"/>
      <c r="JQI35" s="624"/>
      <c r="JQJ35" s="624"/>
      <c r="JQK35" s="624"/>
      <c r="JQL35" s="624"/>
      <c r="JQM35" s="624"/>
      <c r="JQN35" s="624"/>
      <c r="JQO35" s="624"/>
      <c r="JQP35" s="624"/>
      <c r="JQQ35" s="624"/>
      <c r="JQR35" s="624"/>
      <c r="JQS35" s="624"/>
      <c r="JQT35" s="624"/>
      <c r="JQU35" s="624"/>
      <c r="JQV35" s="624"/>
      <c r="JQW35" s="624"/>
      <c r="JQX35" s="624"/>
      <c r="JQY35" s="624"/>
      <c r="JQZ35" s="624"/>
      <c r="JRA35" s="624"/>
      <c r="JRB35" s="624"/>
      <c r="JRC35" s="624"/>
      <c r="JRD35" s="624"/>
      <c r="JRE35" s="624"/>
      <c r="JRF35" s="624"/>
      <c r="JRG35" s="624"/>
      <c r="JRH35" s="624"/>
      <c r="JRI35" s="624"/>
      <c r="JRJ35" s="624"/>
      <c r="JRK35" s="624"/>
      <c r="JRL35" s="624"/>
      <c r="JRM35" s="624"/>
      <c r="JRN35" s="624"/>
      <c r="JRO35" s="624"/>
      <c r="JRP35" s="624"/>
      <c r="JRQ35" s="624"/>
      <c r="JRR35" s="624"/>
      <c r="JRS35" s="624"/>
      <c r="JRT35" s="624"/>
      <c r="JRU35" s="624"/>
      <c r="JRV35" s="624"/>
      <c r="JRW35" s="624"/>
      <c r="JRX35" s="624"/>
      <c r="JRY35" s="624"/>
      <c r="JRZ35" s="624"/>
      <c r="JSA35" s="624"/>
      <c r="JSB35" s="624"/>
      <c r="JSC35" s="624"/>
      <c r="JSD35" s="624"/>
      <c r="JSE35" s="624"/>
      <c r="JSF35" s="624"/>
      <c r="JSG35" s="624"/>
      <c r="JSH35" s="624"/>
      <c r="JSI35" s="624"/>
      <c r="JSJ35" s="624"/>
      <c r="JSK35" s="624"/>
      <c r="JSL35" s="624"/>
      <c r="JSM35" s="624"/>
      <c r="JSN35" s="624"/>
      <c r="JSO35" s="624"/>
      <c r="JSP35" s="624"/>
      <c r="JSQ35" s="624"/>
      <c r="JSR35" s="624"/>
      <c r="JSS35" s="624"/>
      <c r="JST35" s="624"/>
      <c r="JSU35" s="624"/>
      <c r="JSV35" s="624"/>
      <c r="JSW35" s="624"/>
      <c r="JSX35" s="624"/>
      <c r="JSY35" s="624"/>
      <c r="JSZ35" s="624"/>
      <c r="JTA35" s="624"/>
      <c r="JTB35" s="624"/>
      <c r="JTC35" s="624"/>
      <c r="JTD35" s="624"/>
      <c r="JTE35" s="624"/>
      <c r="JTF35" s="624"/>
      <c r="JTG35" s="624"/>
      <c r="JTH35" s="624"/>
      <c r="JTI35" s="624"/>
      <c r="JTJ35" s="624"/>
      <c r="JTK35" s="624"/>
      <c r="JTL35" s="624"/>
      <c r="JTM35" s="624"/>
      <c r="JTN35" s="624"/>
      <c r="JTO35" s="624"/>
      <c r="JTP35" s="624"/>
      <c r="JTQ35" s="624"/>
      <c r="JTR35" s="624"/>
      <c r="JTS35" s="624"/>
      <c r="JTT35" s="624"/>
      <c r="JTU35" s="624"/>
      <c r="JTV35" s="624"/>
      <c r="JTW35" s="624"/>
      <c r="JTX35" s="624"/>
      <c r="JTY35" s="624"/>
      <c r="JTZ35" s="624"/>
      <c r="JUA35" s="624"/>
      <c r="JUB35" s="624"/>
      <c r="JUC35" s="624"/>
      <c r="JUD35" s="624"/>
      <c r="JUE35" s="624"/>
      <c r="JUF35" s="624"/>
      <c r="JUG35" s="624"/>
      <c r="JUH35" s="624"/>
      <c r="JUI35" s="624"/>
      <c r="JUJ35" s="624"/>
      <c r="JUK35" s="624"/>
      <c r="JUL35" s="624"/>
      <c r="JUM35" s="624"/>
      <c r="JUN35" s="624"/>
      <c r="JUO35" s="624"/>
      <c r="JUP35" s="624"/>
      <c r="JUQ35" s="624"/>
      <c r="JUR35" s="624"/>
      <c r="JUS35" s="624"/>
      <c r="JUT35" s="624"/>
      <c r="JUU35" s="624"/>
      <c r="JUV35" s="624"/>
      <c r="JUW35" s="624"/>
      <c r="JUX35" s="624"/>
      <c r="JUY35" s="624"/>
      <c r="JUZ35" s="624"/>
      <c r="JVA35" s="624"/>
      <c r="JVB35" s="624"/>
      <c r="JVC35" s="624"/>
      <c r="JVD35" s="624"/>
      <c r="JVE35" s="624"/>
      <c r="JVF35" s="624"/>
      <c r="JVG35" s="624"/>
      <c r="JVH35" s="624"/>
      <c r="JVI35" s="624"/>
      <c r="JVJ35" s="624"/>
      <c r="JVK35" s="624"/>
      <c r="JVL35" s="624"/>
      <c r="JVM35" s="624"/>
      <c r="JVN35" s="624"/>
      <c r="JVO35" s="624"/>
      <c r="JVP35" s="624"/>
      <c r="JVQ35" s="624"/>
      <c r="JVR35" s="624"/>
      <c r="JVS35" s="624"/>
      <c r="JVT35" s="624"/>
      <c r="JVU35" s="624"/>
      <c r="JVV35" s="624"/>
      <c r="JVW35" s="624"/>
      <c r="JVX35" s="624"/>
      <c r="JVY35" s="624"/>
      <c r="JVZ35" s="624"/>
      <c r="JWA35" s="624"/>
      <c r="JWB35" s="624"/>
      <c r="JWC35" s="624"/>
      <c r="JWD35" s="624"/>
      <c r="JWE35" s="624"/>
      <c r="JWF35" s="624"/>
      <c r="JWG35" s="624"/>
      <c r="JWH35" s="624"/>
      <c r="JWI35" s="624"/>
      <c r="JWJ35" s="624"/>
      <c r="JWK35" s="624"/>
      <c r="JWL35" s="624"/>
      <c r="JWM35" s="624"/>
      <c r="JWN35" s="624"/>
      <c r="JWO35" s="624"/>
      <c r="JWP35" s="624"/>
      <c r="JWQ35" s="624"/>
      <c r="JWR35" s="624"/>
      <c r="JWS35" s="624"/>
      <c r="JWT35" s="624"/>
      <c r="JWU35" s="624"/>
      <c r="JWV35" s="624"/>
      <c r="JWW35" s="624"/>
      <c r="JWX35" s="624"/>
      <c r="JWY35" s="624"/>
      <c r="JWZ35" s="624"/>
      <c r="JXA35" s="624"/>
      <c r="JXB35" s="624"/>
      <c r="JXC35" s="624"/>
      <c r="JXD35" s="624"/>
      <c r="JXE35" s="624"/>
      <c r="JXF35" s="624"/>
      <c r="JXG35" s="624"/>
      <c r="JXH35" s="624"/>
      <c r="JXI35" s="624"/>
      <c r="JXJ35" s="624"/>
      <c r="JXK35" s="624"/>
      <c r="JXL35" s="624"/>
      <c r="JXM35" s="624"/>
      <c r="JXN35" s="624"/>
      <c r="JXO35" s="624"/>
      <c r="JXP35" s="624"/>
      <c r="JXQ35" s="624"/>
      <c r="JXR35" s="624"/>
      <c r="JXS35" s="624"/>
      <c r="JXT35" s="624"/>
      <c r="JXU35" s="624"/>
      <c r="JXV35" s="624"/>
      <c r="JXW35" s="624"/>
      <c r="JXX35" s="624"/>
      <c r="JXY35" s="624"/>
      <c r="JXZ35" s="624"/>
      <c r="JYA35" s="624"/>
      <c r="JYB35" s="624"/>
      <c r="JYC35" s="624"/>
      <c r="JYD35" s="624"/>
      <c r="JYE35" s="624"/>
      <c r="JYF35" s="624"/>
      <c r="JYG35" s="624"/>
      <c r="JYH35" s="624"/>
      <c r="JYI35" s="624"/>
      <c r="JYJ35" s="624"/>
      <c r="JYK35" s="624"/>
      <c r="JYL35" s="624"/>
      <c r="JYM35" s="624"/>
      <c r="JYN35" s="624"/>
      <c r="JYO35" s="624"/>
      <c r="JYP35" s="624"/>
      <c r="JYQ35" s="624"/>
      <c r="JYR35" s="624"/>
      <c r="JYS35" s="624"/>
      <c r="JYT35" s="624"/>
      <c r="JYU35" s="624"/>
      <c r="JYV35" s="624"/>
      <c r="JYW35" s="624"/>
      <c r="JYX35" s="624"/>
      <c r="JYY35" s="624"/>
      <c r="JYZ35" s="624"/>
      <c r="JZA35" s="624"/>
      <c r="JZB35" s="624"/>
      <c r="JZC35" s="624"/>
      <c r="JZD35" s="624"/>
      <c r="JZE35" s="624"/>
      <c r="JZF35" s="624"/>
      <c r="JZG35" s="624"/>
      <c r="JZH35" s="624"/>
      <c r="JZI35" s="624"/>
      <c r="JZJ35" s="624"/>
      <c r="JZK35" s="624"/>
      <c r="JZL35" s="624"/>
      <c r="JZM35" s="624"/>
      <c r="JZN35" s="624"/>
      <c r="JZO35" s="624"/>
      <c r="JZP35" s="624"/>
      <c r="JZQ35" s="624"/>
      <c r="JZR35" s="624"/>
      <c r="JZS35" s="624"/>
      <c r="JZT35" s="624"/>
      <c r="JZU35" s="624"/>
      <c r="JZV35" s="624"/>
      <c r="JZW35" s="624"/>
      <c r="JZX35" s="624"/>
      <c r="JZY35" s="624"/>
      <c r="JZZ35" s="624"/>
      <c r="KAA35" s="624"/>
      <c r="KAB35" s="624"/>
      <c r="KAC35" s="624"/>
      <c r="KAD35" s="624"/>
      <c r="KAE35" s="624"/>
      <c r="KAF35" s="624"/>
      <c r="KAG35" s="624"/>
      <c r="KAH35" s="624"/>
      <c r="KAI35" s="624"/>
      <c r="KAJ35" s="624"/>
      <c r="KAK35" s="624"/>
      <c r="KAL35" s="624"/>
      <c r="KAM35" s="624"/>
      <c r="KAN35" s="624"/>
      <c r="KAO35" s="624"/>
      <c r="KAP35" s="624"/>
      <c r="KAQ35" s="624"/>
      <c r="KAR35" s="624"/>
      <c r="KAS35" s="624"/>
      <c r="KAT35" s="624"/>
      <c r="KAU35" s="624"/>
      <c r="KAV35" s="624"/>
      <c r="KAW35" s="624"/>
      <c r="KAX35" s="624"/>
      <c r="KAY35" s="624"/>
      <c r="KAZ35" s="624"/>
      <c r="KBA35" s="624"/>
      <c r="KBB35" s="624"/>
      <c r="KBC35" s="624"/>
      <c r="KBD35" s="624"/>
      <c r="KBE35" s="624"/>
      <c r="KBF35" s="624"/>
      <c r="KBG35" s="624"/>
      <c r="KBH35" s="624"/>
      <c r="KBI35" s="624"/>
      <c r="KBJ35" s="624"/>
      <c r="KBK35" s="624"/>
      <c r="KBL35" s="624"/>
      <c r="KBM35" s="624"/>
      <c r="KBN35" s="624"/>
      <c r="KBO35" s="624"/>
      <c r="KBP35" s="624"/>
      <c r="KBQ35" s="624"/>
      <c r="KBR35" s="624"/>
      <c r="KBS35" s="624"/>
      <c r="KBT35" s="624"/>
      <c r="KBU35" s="624"/>
      <c r="KBV35" s="624"/>
      <c r="KBW35" s="624"/>
      <c r="KBX35" s="624"/>
      <c r="KBY35" s="624"/>
      <c r="KBZ35" s="624"/>
      <c r="KCA35" s="624"/>
      <c r="KCB35" s="624"/>
      <c r="KCC35" s="624"/>
      <c r="KCD35" s="624"/>
      <c r="KCE35" s="624"/>
      <c r="KCF35" s="624"/>
      <c r="KCG35" s="624"/>
      <c r="KCH35" s="624"/>
      <c r="KCI35" s="624"/>
      <c r="KCJ35" s="624"/>
      <c r="KCK35" s="624"/>
      <c r="KCL35" s="624"/>
      <c r="KCM35" s="624"/>
      <c r="KCN35" s="624"/>
      <c r="KCO35" s="624"/>
      <c r="KCP35" s="624"/>
      <c r="KCQ35" s="624"/>
      <c r="KCR35" s="624"/>
      <c r="KCS35" s="624"/>
      <c r="KCT35" s="624"/>
      <c r="KCU35" s="624"/>
      <c r="KCV35" s="624"/>
      <c r="KCW35" s="624"/>
      <c r="KCX35" s="624"/>
      <c r="KCY35" s="624"/>
      <c r="KCZ35" s="624"/>
      <c r="KDA35" s="624"/>
      <c r="KDB35" s="624"/>
      <c r="KDC35" s="624"/>
      <c r="KDD35" s="624"/>
      <c r="KDE35" s="624"/>
      <c r="KDF35" s="624"/>
      <c r="KDG35" s="624"/>
      <c r="KDH35" s="624"/>
      <c r="KDI35" s="624"/>
      <c r="KDJ35" s="624"/>
      <c r="KDK35" s="624"/>
      <c r="KDL35" s="624"/>
      <c r="KDM35" s="624"/>
      <c r="KDN35" s="624"/>
      <c r="KDO35" s="624"/>
      <c r="KDP35" s="624"/>
      <c r="KDQ35" s="624"/>
      <c r="KDR35" s="624"/>
      <c r="KDS35" s="624"/>
      <c r="KDT35" s="624"/>
      <c r="KDU35" s="624"/>
      <c r="KDV35" s="624"/>
      <c r="KDW35" s="624"/>
      <c r="KDX35" s="624"/>
      <c r="KDY35" s="624"/>
      <c r="KDZ35" s="624"/>
      <c r="KEA35" s="624"/>
      <c r="KEB35" s="624"/>
      <c r="KEC35" s="624"/>
      <c r="KED35" s="624"/>
      <c r="KEE35" s="624"/>
      <c r="KEF35" s="624"/>
      <c r="KEG35" s="624"/>
      <c r="KEH35" s="624"/>
      <c r="KEI35" s="624"/>
      <c r="KEJ35" s="624"/>
      <c r="KEK35" s="624"/>
      <c r="KEL35" s="624"/>
      <c r="KEM35" s="624"/>
      <c r="KEN35" s="624"/>
      <c r="KEO35" s="624"/>
      <c r="KEP35" s="624"/>
      <c r="KEQ35" s="624"/>
      <c r="KER35" s="624"/>
      <c r="KES35" s="624"/>
      <c r="KET35" s="624"/>
      <c r="KEU35" s="624"/>
      <c r="KEV35" s="624"/>
      <c r="KEW35" s="624"/>
      <c r="KEX35" s="624"/>
      <c r="KEY35" s="624"/>
      <c r="KEZ35" s="624"/>
      <c r="KFA35" s="624"/>
      <c r="KFB35" s="624"/>
      <c r="KFC35" s="624"/>
      <c r="KFD35" s="624"/>
      <c r="KFE35" s="624"/>
      <c r="KFF35" s="624"/>
      <c r="KFG35" s="624"/>
      <c r="KFH35" s="624"/>
      <c r="KFI35" s="624"/>
      <c r="KFJ35" s="624"/>
      <c r="KFK35" s="624"/>
      <c r="KFL35" s="624"/>
      <c r="KFM35" s="624"/>
      <c r="KFN35" s="624"/>
      <c r="KFO35" s="624"/>
      <c r="KFP35" s="624"/>
      <c r="KFQ35" s="624"/>
      <c r="KFR35" s="624"/>
      <c r="KFS35" s="624"/>
      <c r="KFT35" s="624"/>
      <c r="KFU35" s="624"/>
      <c r="KFV35" s="624"/>
      <c r="KFW35" s="624"/>
      <c r="KFX35" s="624"/>
      <c r="KFY35" s="624"/>
      <c r="KFZ35" s="624"/>
      <c r="KGA35" s="624"/>
      <c r="KGB35" s="624"/>
      <c r="KGC35" s="624"/>
      <c r="KGD35" s="624"/>
      <c r="KGE35" s="624"/>
      <c r="KGF35" s="624"/>
      <c r="KGG35" s="624"/>
      <c r="KGH35" s="624"/>
      <c r="KGI35" s="624"/>
      <c r="KGJ35" s="624"/>
      <c r="KGK35" s="624"/>
      <c r="KGL35" s="624"/>
      <c r="KGM35" s="624"/>
      <c r="KGN35" s="624"/>
      <c r="KGO35" s="624"/>
      <c r="KGP35" s="624"/>
      <c r="KGQ35" s="624"/>
      <c r="KGR35" s="624"/>
      <c r="KGS35" s="624"/>
      <c r="KGT35" s="624"/>
      <c r="KGU35" s="624"/>
      <c r="KGV35" s="624"/>
      <c r="KGW35" s="624"/>
      <c r="KGX35" s="624"/>
      <c r="KGY35" s="624"/>
      <c r="KGZ35" s="624"/>
      <c r="KHA35" s="624"/>
      <c r="KHB35" s="624"/>
      <c r="KHC35" s="624"/>
      <c r="KHD35" s="624"/>
      <c r="KHE35" s="624"/>
      <c r="KHF35" s="624"/>
      <c r="KHG35" s="624"/>
      <c r="KHH35" s="624"/>
      <c r="KHI35" s="624"/>
      <c r="KHJ35" s="624"/>
      <c r="KHK35" s="624"/>
      <c r="KHL35" s="624"/>
      <c r="KHM35" s="624"/>
      <c r="KHN35" s="624"/>
      <c r="KHO35" s="624"/>
      <c r="KHP35" s="624"/>
      <c r="KHQ35" s="624"/>
      <c r="KHR35" s="624"/>
      <c r="KHS35" s="624"/>
      <c r="KHT35" s="624"/>
      <c r="KHU35" s="624"/>
      <c r="KHV35" s="624"/>
      <c r="KHW35" s="624"/>
      <c r="KHX35" s="624"/>
      <c r="KHY35" s="624"/>
      <c r="KHZ35" s="624"/>
      <c r="KIA35" s="624"/>
      <c r="KIB35" s="624"/>
      <c r="KIC35" s="624"/>
      <c r="KID35" s="624"/>
      <c r="KIE35" s="624"/>
      <c r="KIF35" s="624"/>
      <c r="KIG35" s="624"/>
      <c r="KIH35" s="624"/>
      <c r="KII35" s="624"/>
      <c r="KIJ35" s="624"/>
      <c r="KIK35" s="624"/>
      <c r="KIL35" s="624"/>
      <c r="KIM35" s="624"/>
      <c r="KIN35" s="624"/>
      <c r="KIO35" s="624"/>
      <c r="KIP35" s="624"/>
      <c r="KIQ35" s="624"/>
      <c r="KIR35" s="624"/>
      <c r="KIS35" s="624"/>
      <c r="KIT35" s="624"/>
      <c r="KIU35" s="624"/>
      <c r="KIV35" s="624"/>
      <c r="KIW35" s="624"/>
      <c r="KIX35" s="624"/>
      <c r="KIY35" s="624"/>
      <c r="KIZ35" s="624"/>
      <c r="KJA35" s="624"/>
      <c r="KJB35" s="624"/>
      <c r="KJC35" s="624"/>
      <c r="KJD35" s="624"/>
      <c r="KJE35" s="624"/>
      <c r="KJF35" s="624"/>
      <c r="KJG35" s="624"/>
      <c r="KJH35" s="624"/>
      <c r="KJI35" s="624"/>
      <c r="KJJ35" s="624"/>
      <c r="KJK35" s="624"/>
      <c r="KJL35" s="624"/>
      <c r="KJM35" s="624"/>
      <c r="KJN35" s="624"/>
      <c r="KJO35" s="624"/>
      <c r="KJP35" s="624"/>
      <c r="KJQ35" s="624"/>
      <c r="KJR35" s="624"/>
      <c r="KJS35" s="624"/>
      <c r="KJT35" s="624"/>
      <c r="KJU35" s="624"/>
      <c r="KJV35" s="624"/>
      <c r="KJW35" s="624"/>
      <c r="KJX35" s="624"/>
      <c r="KJY35" s="624"/>
      <c r="KJZ35" s="624"/>
      <c r="KKA35" s="624"/>
      <c r="KKB35" s="624"/>
      <c r="KKC35" s="624"/>
      <c r="KKD35" s="624"/>
      <c r="KKE35" s="624"/>
      <c r="KKF35" s="624"/>
      <c r="KKG35" s="624"/>
      <c r="KKH35" s="624"/>
      <c r="KKI35" s="624"/>
      <c r="KKJ35" s="624"/>
      <c r="KKK35" s="624"/>
      <c r="KKL35" s="624"/>
      <c r="KKM35" s="624"/>
      <c r="KKN35" s="624"/>
      <c r="KKO35" s="624"/>
      <c r="KKP35" s="624"/>
      <c r="KKQ35" s="624"/>
      <c r="KKR35" s="624"/>
      <c r="KKS35" s="624"/>
      <c r="KKT35" s="624"/>
      <c r="KKU35" s="624"/>
      <c r="KKV35" s="624"/>
      <c r="KKW35" s="624"/>
      <c r="KKX35" s="624"/>
      <c r="KKY35" s="624"/>
      <c r="KKZ35" s="624"/>
      <c r="KLA35" s="624"/>
      <c r="KLB35" s="624"/>
      <c r="KLC35" s="624"/>
      <c r="KLD35" s="624"/>
      <c r="KLE35" s="624"/>
      <c r="KLF35" s="624"/>
      <c r="KLG35" s="624"/>
      <c r="KLH35" s="624"/>
      <c r="KLI35" s="624"/>
      <c r="KLJ35" s="624"/>
      <c r="KLK35" s="624"/>
      <c r="KLL35" s="624"/>
      <c r="KLM35" s="624"/>
      <c r="KLN35" s="624"/>
      <c r="KLO35" s="624"/>
      <c r="KLP35" s="624"/>
      <c r="KLQ35" s="624"/>
      <c r="KLR35" s="624"/>
      <c r="KLS35" s="624"/>
      <c r="KLT35" s="624"/>
      <c r="KLU35" s="624"/>
      <c r="KLV35" s="624"/>
      <c r="KLW35" s="624"/>
      <c r="KLX35" s="624"/>
      <c r="KLY35" s="624"/>
      <c r="KLZ35" s="624"/>
      <c r="KMA35" s="624"/>
      <c r="KMB35" s="624"/>
      <c r="KMC35" s="624"/>
      <c r="KMD35" s="624"/>
      <c r="KME35" s="624"/>
      <c r="KMF35" s="624"/>
      <c r="KMG35" s="624"/>
      <c r="KMH35" s="624"/>
      <c r="KMI35" s="624"/>
      <c r="KMJ35" s="624"/>
      <c r="KMK35" s="624"/>
      <c r="KML35" s="624"/>
      <c r="KMM35" s="624"/>
      <c r="KMN35" s="624"/>
      <c r="KMO35" s="624"/>
      <c r="KMP35" s="624"/>
      <c r="KMQ35" s="624"/>
      <c r="KMR35" s="624"/>
      <c r="KMS35" s="624"/>
      <c r="KMT35" s="624"/>
      <c r="KMU35" s="624"/>
      <c r="KMV35" s="624"/>
      <c r="KMW35" s="624"/>
      <c r="KMX35" s="624"/>
      <c r="KMY35" s="624"/>
      <c r="KMZ35" s="624"/>
      <c r="KNA35" s="624"/>
      <c r="KNB35" s="624"/>
      <c r="KNC35" s="624"/>
      <c r="KND35" s="624"/>
      <c r="KNE35" s="624"/>
      <c r="KNF35" s="624"/>
      <c r="KNG35" s="624"/>
      <c r="KNH35" s="624"/>
      <c r="KNI35" s="624"/>
      <c r="KNJ35" s="624"/>
      <c r="KNK35" s="624"/>
      <c r="KNL35" s="624"/>
      <c r="KNM35" s="624"/>
      <c r="KNN35" s="624"/>
      <c r="KNO35" s="624"/>
      <c r="KNP35" s="624"/>
      <c r="KNQ35" s="624"/>
      <c r="KNR35" s="624"/>
      <c r="KNS35" s="624"/>
      <c r="KNT35" s="624"/>
      <c r="KNU35" s="624"/>
      <c r="KNV35" s="624"/>
      <c r="KNW35" s="624"/>
      <c r="KNX35" s="624"/>
      <c r="KNY35" s="624"/>
      <c r="KNZ35" s="624"/>
      <c r="KOA35" s="624"/>
      <c r="KOB35" s="624"/>
      <c r="KOC35" s="624"/>
      <c r="KOD35" s="624"/>
      <c r="KOE35" s="624"/>
      <c r="KOF35" s="624"/>
      <c r="KOG35" s="624"/>
      <c r="KOH35" s="624"/>
      <c r="KOI35" s="624"/>
      <c r="KOJ35" s="624"/>
      <c r="KOK35" s="624"/>
      <c r="KOL35" s="624"/>
      <c r="KOM35" s="624"/>
      <c r="KON35" s="624"/>
      <c r="KOO35" s="624"/>
      <c r="KOP35" s="624"/>
      <c r="KOQ35" s="624"/>
      <c r="KOR35" s="624"/>
      <c r="KOS35" s="624"/>
      <c r="KOT35" s="624"/>
      <c r="KOU35" s="624"/>
      <c r="KOV35" s="624"/>
      <c r="KOW35" s="624"/>
      <c r="KOX35" s="624"/>
      <c r="KOY35" s="624"/>
      <c r="KOZ35" s="624"/>
      <c r="KPA35" s="624"/>
      <c r="KPB35" s="624"/>
      <c r="KPC35" s="624"/>
      <c r="KPD35" s="624"/>
      <c r="KPE35" s="624"/>
      <c r="KPF35" s="624"/>
      <c r="KPG35" s="624"/>
      <c r="KPH35" s="624"/>
      <c r="KPI35" s="624"/>
      <c r="KPJ35" s="624"/>
      <c r="KPK35" s="624"/>
      <c r="KPL35" s="624"/>
      <c r="KPM35" s="624"/>
      <c r="KPN35" s="624"/>
      <c r="KPO35" s="624"/>
      <c r="KPP35" s="624"/>
      <c r="KPQ35" s="624"/>
      <c r="KPR35" s="624"/>
      <c r="KPS35" s="624"/>
      <c r="KPT35" s="624"/>
      <c r="KPU35" s="624"/>
      <c r="KPV35" s="624"/>
      <c r="KPW35" s="624"/>
      <c r="KPX35" s="624"/>
      <c r="KPY35" s="624"/>
      <c r="KPZ35" s="624"/>
      <c r="KQA35" s="624"/>
      <c r="KQB35" s="624"/>
      <c r="KQC35" s="624"/>
      <c r="KQD35" s="624"/>
      <c r="KQE35" s="624"/>
      <c r="KQF35" s="624"/>
      <c r="KQG35" s="624"/>
      <c r="KQH35" s="624"/>
      <c r="KQI35" s="624"/>
      <c r="KQJ35" s="624"/>
      <c r="KQK35" s="624"/>
      <c r="KQL35" s="624"/>
      <c r="KQM35" s="624"/>
      <c r="KQN35" s="624"/>
      <c r="KQO35" s="624"/>
      <c r="KQP35" s="624"/>
      <c r="KQQ35" s="624"/>
      <c r="KQR35" s="624"/>
      <c r="KQS35" s="624"/>
      <c r="KQT35" s="624"/>
      <c r="KQU35" s="624"/>
      <c r="KQV35" s="624"/>
      <c r="KQW35" s="624"/>
      <c r="KQX35" s="624"/>
      <c r="KQY35" s="624"/>
      <c r="KQZ35" s="624"/>
      <c r="KRA35" s="624"/>
      <c r="KRB35" s="624"/>
      <c r="KRC35" s="624"/>
      <c r="KRD35" s="624"/>
      <c r="KRE35" s="624"/>
      <c r="KRF35" s="624"/>
      <c r="KRG35" s="624"/>
      <c r="KRH35" s="624"/>
      <c r="KRI35" s="624"/>
      <c r="KRJ35" s="624"/>
      <c r="KRK35" s="624"/>
      <c r="KRL35" s="624"/>
      <c r="KRM35" s="624"/>
      <c r="KRN35" s="624"/>
      <c r="KRO35" s="624"/>
      <c r="KRP35" s="624"/>
      <c r="KRQ35" s="624"/>
      <c r="KRR35" s="624"/>
      <c r="KRS35" s="624"/>
      <c r="KRT35" s="624"/>
      <c r="KRU35" s="624"/>
      <c r="KRV35" s="624"/>
      <c r="KRW35" s="624"/>
      <c r="KRX35" s="624"/>
      <c r="KRY35" s="624"/>
      <c r="KRZ35" s="624"/>
      <c r="KSA35" s="624"/>
      <c r="KSB35" s="624"/>
      <c r="KSC35" s="624"/>
      <c r="KSD35" s="624"/>
      <c r="KSE35" s="624"/>
      <c r="KSF35" s="624"/>
      <c r="KSG35" s="624"/>
      <c r="KSH35" s="624"/>
      <c r="KSI35" s="624"/>
      <c r="KSJ35" s="624"/>
      <c r="KSK35" s="624"/>
      <c r="KSL35" s="624"/>
      <c r="KSM35" s="624"/>
      <c r="KSN35" s="624"/>
      <c r="KSO35" s="624"/>
      <c r="KSP35" s="624"/>
      <c r="KSQ35" s="624"/>
      <c r="KSR35" s="624"/>
      <c r="KSS35" s="624"/>
      <c r="KST35" s="624"/>
      <c r="KSU35" s="624"/>
      <c r="KSV35" s="624"/>
      <c r="KSW35" s="624"/>
      <c r="KSX35" s="624"/>
      <c r="KSY35" s="624"/>
      <c r="KSZ35" s="624"/>
      <c r="KTA35" s="624"/>
      <c r="KTB35" s="624"/>
      <c r="KTC35" s="624"/>
      <c r="KTD35" s="624"/>
      <c r="KTE35" s="624"/>
      <c r="KTF35" s="624"/>
      <c r="KTG35" s="624"/>
      <c r="KTH35" s="624"/>
      <c r="KTI35" s="624"/>
      <c r="KTJ35" s="624"/>
      <c r="KTK35" s="624"/>
      <c r="KTL35" s="624"/>
      <c r="KTM35" s="624"/>
      <c r="KTN35" s="624"/>
      <c r="KTO35" s="624"/>
      <c r="KTP35" s="624"/>
      <c r="KTQ35" s="624"/>
      <c r="KTR35" s="624"/>
      <c r="KTS35" s="624"/>
      <c r="KTT35" s="624"/>
      <c r="KTU35" s="624"/>
      <c r="KTV35" s="624"/>
      <c r="KTW35" s="624"/>
      <c r="KTX35" s="624"/>
      <c r="KTY35" s="624"/>
      <c r="KTZ35" s="624"/>
      <c r="KUA35" s="624"/>
      <c r="KUB35" s="624"/>
      <c r="KUC35" s="624"/>
      <c r="KUD35" s="624"/>
      <c r="KUE35" s="624"/>
      <c r="KUF35" s="624"/>
      <c r="KUG35" s="624"/>
      <c r="KUH35" s="624"/>
      <c r="KUI35" s="624"/>
      <c r="KUJ35" s="624"/>
      <c r="KUK35" s="624"/>
      <c r="KUL35" s="624"/>
      <c r="KUM35" s="624"/>
      <c r="KUN35" s="624"/>
      <c r="KUO35" s="624"/>
      <c r="KUP35" s="624"/>
      <c r="KUQ35" s="624"/>
      <c r="KUR35" s="624"/>
      <c r="KUS35" s="624"/>
      <c r="KUT35" s="624"/>
      <c r="KUU35" s="624"/>
      <c r="KUV35" s="624"/>
      <c r="KUW35" s="624"/>
      <c r="KUX35" s="624"/>
      <c r="KUY35" s="624"/>
      <c r="KUZ35" s="624"/>
      <c r="KVA35" s="624"/>
      <c r="KVB35" s="624"/>
      <c r="KVC35" s="624"/>
      <c r="KVD35" s="624"/>
      <c r="KVE35" s="624"/>
      <c r="KVF35" s="624"/>
      <c r="KVG35" s="624"/>
      <c r="KVH35" s="624"/>
      <c r="KVI35" s="624"/>
      <c r="KVJ35" s="624"/>
      <c r="KVK35" s="624"/>
      <c r="KVL35" s="624"/>
      <c r="KVM35" s="624"/>
      <c r="KVN35" s="624"/>
      <c r="KVO35" s="624"/>
      <c r="KVP35" s="624"/>
      <c r="KVQ35" s="624"/>
      <c r="KVR35" s="624"/>
      <c r="KVS35" s="624"/>
      <c r="KVT35" s="624"/>
      <c r="KVU35" s="624"/>
      <c r="KVV35" s="624"/>
      <c r="KVW35" s="624"/>
      <c r="KVX35" s="624"/>
      <c r="KVY35" s="624"/>
      <c r="KVZ35" s="624"/>
      <c r="KWA35" s="624"/>
      <c r="KWB35" s="624"/>
      <c r="KWC35" s="624"/>
      <c r="KWD35" s="624"/>
      <c r="KWE35" s="624"/>
      <c r="KWF35" s="624"/>
      <c r="KWG35" s="624"/>
      <c r="KWH35" s="624"/>
      <c r="KWI35" s="624"/>
      <c r="KWJ35" s="624"/>
      <c r="KWK35" s="624"/>
      <c r="KWL35" s="624"/>
      <c r="KWM35" s="624"/>
      <c r="KWN35" s="624"/>
      <c r="KWO35" s="624"/>
      <c r="KWP35" s="624"/>
      <c r="KWQ35" s="624"/>
      <c r="KWR35" s="624"/>
      <c r="KWS35" s="624"/>
      <c r="KWT35" s="624"/>
      <c r="KWU35" s="624"/>
      <c r="KWV35" s="624"/>
      <c r="KWW35" s="624"/>
      <c r="KWX35" s="624"/>
      <c r="KWY35" s="624"/>
      <c r="KWZ35" s="624"/>
      <c r="KXA35" s="624"/>
      <c r="KXB35" s="624"/>
      <c r="KXC35" s="624"/>
      <c r="KXD35" s="624"/>
      <c r="KXE35" s="624"/>
      <c r="KXF35" s="624"/>
      <c r="KXG35" s="624"/>
      <c r="KXH35" s="624"/>
      <c r="KXI35" s="624"/>
      <c r="KXJ35" s="624"/>
      <c r="KXK35" s="624"/>
      <c r="KXL35" s="624"/>
      <c r="KXM35" s="624"/>
      <c r="KXN35" s="624"/>
      <c r="KXO35" s="624"/>
      <c r="KXP35" s="624"/>
      <c r="KXQ35" s="624"/>
      <c r="KXR35" s="624"/>
      <c r="KXS35" s="624"/>
      <c r="KXT35" s="624"/>
      <c r="KXU35" s="624"/>
      <c r="KXV35" s="624"/>
      <c r="KXW35" s="624"/>
      <c r="KXX35" s="624"/>
      <c r="KXY35" s="624"/>
      <c r="KXZ35" s="624"/>
      <c r="KYA35" s="624"/>
      <c r="KYB35" s="624"/>
      <c r="KYC35" s="624"/>
      <c r="KYD35" s="624"/>
      <c r="KYE35" s="624"/>
      <c r="KYF35" s="624"/>
      <c r="KYG35" s="624"/>
      <c r="KYH35" s="624"/>
      <c r="KYI35" s="624"/>
      <c r="KYJ35" s="624"/>
      <c r="KYK35" s="624"/>
      <c r="KYL35" s="624"/>
      <c r="KYM35" s="624"/>
      <c r="KYN35" s="624"/>
      <c r="KYO35" s="624"/>
      <c r="KYP35" s="624"/>
      <c r="KYQ35" s="624"/>
      <c r="KYR35" s="624"/>
      <c r="KYS35" s="624"/>
      <c r="KYT35" s="624"/>
      <c r="KYU35" s="624"/>
      <c r="KYV35" s="624"/>
      <c r="KYW35" s="624"/>
      <c r="KYX35" s="624"/>
      <c r="KYY35" s="624"/>
      <c r="KYZ35" s="624"/>
      <c r="KZA35" s="624"/>
      <c r="KZB35" s="624"/>
      <c r="KZC35" s="624"/>
      <c r="KZD35" s="624"/>
      <c r="KZE35" s="624"/>
      <c r="KZF35" s="624"/>
      <c r="KZG35" s="624"/>
      <c r="KZH35" s="624"/>
      <c r="KZI35" s="624"/>
      <c r="KZJ35" s="624"/>
      <c r="KZK35" s="624"/>
      <c r="KZL35" s="624"/>
      <c r="KZM35" s="624"/>
      <c r="KZN35" s="624"/>
      <c r="KZO35" s="624"/>
      <c r="KZP35" s="624"/>
      <c r="KZQ35" s="624"/>
      <c r="KZR35" s="624"/>
      <c r="KZS35" s="624"/>
      <c r="KZT35" s="624"/>
      <c r="KZU35" s="624"/>
      <c r="KZV35" s="624"/>
      <c r="KZW35" s="624"/>
      <c r="KZX35" s="624"/>
      <c r="KZY35" s="624"/>
      <c r="KZZ35" s="624"/>
      <c r="LAA35" s="624"/>
      <c r="LAB35" s="624"/>
      <c r="LAC35" s="624"/>
      <c r="LAD35" s="624"/>
      <c r="LAE35" s="624"/>
      <c r="LAF35" s="624"/>
      <c r="LAG35" s="624"/>
      <c r="LAH35" s="624"/>
      <c r="LAI35" s="624"/>
      <c r="LAJ35" s="624"/>
      <c r="LAK35" s="624"/>
      <c r="LAL35" s="624"/>
      <c r="LAM35" s="624"/>
      <c r="LAN35" s="624"/>
      <c r="LAO35" s="624"/>
      <c r="LAP35" s="624"/>
      <c r="LAQ35" s="624"/>
      <c r="LAR35" s="624"/>
      <c r="LAS35" s="624"/>
      <c r="LAT35" s="624"/>
      <c r="LAU35" s="624"/>
      <c r="LAV35" s="624"/>
      <c r="LAW35" s="624"/>
      <c r="LAX35" s="624"/>
      <c r="LAY35" s="624"/>
      <c r="LAZ35" s="624"/>
      <c r="LBA35" s="624"/>
      <c r="LBB35" s="624"/>
      <c r="LBC35" s="624"/>
      <c r="LBD35" s="624"/>
      <c r="LBE35" s="624"/>
      <c r="LBF35" s="624"/>
      <c r="LBG35" s="624"/>
      <c r="LBH35" s="624"/>
      <c r="LBI35" s="624"/>
      <c r="LBJ35" s="624"/>
      <c r="LBK35" s="624"/>
      <c r="LBL35" s="624"/>
      <c r="LBM35" s="624"/>
      <c r="LBN35" s="624"/>
      <c r="LBO35" s="624"/>
      <c r="LBP35" s="624"/>
      <c r="LBQ35" s="624"/>
      <c r="LBR35" s="624"/>
      <c r="LBS35" s="624"/>
      <c r="LBT35" s="624"/>
      <c r="LBU35" s="624"/>
      <c r="LBV35" s="624"/>
      <c r="LBW35" s="624"/>
      <c r="LBX35" s="624"/>
      <c r="LBY35" s="624"/>
      <c r="LBZ35" s="624"/>
      <c r="LCA35" s="624"/>
      <c r="LCB35" s="624"/>
      <c r="LCC35" s="624"/>
      <c r="LCD35" s="624"/>
      <c r="LCE35" s="624"/>
      <c r="LCF35" s="624"/>
      <c r="LCG35" s="624"/>
      <c r="LCH35" s="624"/>
      <c r="LCI35" s="624"/>
      <c r="LCJ35" s="624"/>
      <c r="LCK35" s="624"/>
      <c r="LCL35" s="624"/>
      <c r="LCM35" s="624"/>
      <c r="LCN35" s="624"/>
      <c r="LCO35" s="624"/>
      <c r="LCP35" s="624"/>
      <c r="LCQ35" s="624"/>
      <c r="LCR35" s="624"/>
      <c r="LCS35" s="624"/>
      <c r="LCT35" s="624"/>
      <c r="LCU35" s="624"/>
      <c r="LCV35" s="624"/>
      <c r="LCW35" s="624"/>
      <c r="LCX35" s="624"/>
      <c r="LCY35" s="624"/>
      <c r="LCZ35" s="624"/>
      <c r="LDA35" s="624"/>
      <c r="LDB35" s="624"/>
      <c r="LDC35" s="624"/>
      <c r="LDD35" s="624"/>
      <c r="LDE35" s="624"/>
      <c r="LDF35" s="624"/>
      <c r="LDG35" s="624"/>
      <c r="LDH35" s="624"/>
      <c r="LDI35" s="624"/>
      <c r="LDJ35" s="624"/>
      <c r="LDK35" s="624"/>
      <c r="LDL35" s="624"/>
      <c r="LDM35" s="624"/>
      <c r="LDN35" s="624"/>
      <c r="LDO35" s="624"/>
      <c r="LDP35" s="624"/>
      <c r="LDQ35" s="624"/>
      <c r="LDR35" s="624"/>
      <c r="LDS35" s="624"/>
      <c r="LDT35" s="624"/>
      <c r="LDU35" s="624"/>
      <c r="LDV35" s="624"/>
      <c r="LDW35" s="624"/>
      <c r="LDX35" s="624"/>
      <c r="LDY35" s="624"/>
      <c r="LDZ35" s="624"/>
      <c r="LEA35" s="624"/>
      <c r="LEB35" s="624"/>
      <c r="LEC35" s="624"/>
      <c r="LED35" s="624"/>
      <c r="LEE35" s="624"/>
      <c r="LEF35" s="624"/>
      <c r="LEG35" s="624"/>
      <c r="LEH35" s="624"/>
      <c r="LEI35" s="624"/>
      <c r="LEJ35" s="624"/>
      <c r="LEK35" s="624"/>
      <c r="LEL35" s="624"/>
      <c r="LEM35" s="624"/>
      <c r="LEN35" s="624"/>
      <c r="LEO35" s="624"/>
      <c r="LEP35" s="624"/>
      <c r="LEQ35" s="624"/>
      <c r="LER35" s="624"/>
      <c r="LES35" s="624"/>
      <c r="LET35" s="624"/>
      <c r="LEU35" s="624"/>
      <c r="LEV35" s="624"/>
      <c r="LEW35" s="624"/>
      <c r="LEX35" s="624"/>
      <c r="LEY35" s="624"/>
      <c r="LEZ35" s="624"/>
      <c r="LFA35" s="624"/>
      <c r="LFB35" s="624"/>
      <c r="LFC35" s="624"/>
      <c r="LFD35" s="624"/>
      <c r="LFE35" s="624"/>
      <c r="LFF35" s="624"/>
      <c r="LFG35" s="624"/>
      <c r="LFH35" s="624"/>
      <c r="LFI35" s="624"/>
      <c r="LFJ35" s="624"/>
      <c r="LFK35" s="624"/>
      <c r="LFL35" s="624"/>
      <c r="LFM35" s="624"/>
      <c r="LFN35" s="624"/>
      <c r="LFO35" s="624"/>
      <c r="LFP35" s="624"/>
      <c r="LFQ35" s="624"/>
      <c r="LFR35" s="624"/>
      <c r="LFS35" s="624"/>
      <c r="LFT35" s="624"/>
      <c r="LFU35" s="624"/>
      <c r="LFV35" s="624"/>
      <c r="LFW35" s="624"/>
      <c r="LFX35" s="624"/>
      <c r="LFY35" s="624"/>
      <c r="LFZ35" s="624"/>
      <c r="LGA35" s="624"/>
      <c r="LGB35" s="624"/>
      <c r="LGC35" s="624"/>
      <c r="LGD35" s="624"/>
      <c r="LGE35" s="624"/>
      <c r="LGF35" s="624"/>
      <c r="LGG35" s="624"/>
      <c r="LGH35" s="624"/>
      <c r="LGI35" s="624"/>
      <c r="LGJ35" s="624"/>
      <c r="LGK35" s="624"/>
      <c r="LGL35" s="624"/>
      <c r="LGM35" s="624"/>
      <c r="LGN35" s="624"/>
      <c r="LGO35" s="624"/>
      <c r="LGP35" s="624"/>
      <c r="LGQ35" s="624"/>
      <c r="LGR35" s="624"/>
      <c r="LGS35" s="624"/>
      <c r="LGT35" s="624"/>
      <c r="LGU35" s="624"/>
      <c r="LGV35" s="624"/>
      <c r="LGW35" s="624"/>
      <c r="LGX35" s="624"/>
      <c r="LGY35" s="624"/>
      <c r="LGZ35" s="624"/>
      <c r="LHA35" s="624"/>
      <c r="LHB35" s="624"/>
      <c r="LHC35" s="624"/>
      <c r="LHD35" s="624"/>
      <c r="LHE35" s="624"/>
      <c r="LHF35" s="624"/>
      <c r="LHG35" s="624"/>
      <c r="LHH35" s="624"/>
      <c r="LHI35" s="624"/>
      <c r="LHJ35" s="624"/>
      <c r="LHK35" s="624"/>
      <c r="LHL35" s="624"/>
      <c r="LHM35" s="624"/>
      <c r="LHN35" s="624"/>
      <c r="LHO35" s="624"/>
      <c r="LHP35" s="624"/>
      <c r="LHQ35" s="624"/>
      <c r="LHR35" s="624"/>
      <c r="LHS35" s="624"/>
      <c r="LHT35" s="624"/>
      <c r="LHU35" s="624"/>
      <c r="LHV35" s="624"/>
      <c r="LHW35" s="624"/>
      <c r="LHX35" s="624"/>
      <c r="LHY35" s="624"/>
      <c r="LHZ35" s="624"/>
      <c r="LIA35" s="624"/>
      <c r="LIB35" s="624"/>
      <c r="LIC35" s="624"/>
      <c r="LID35" s="624"/>
      <c r="LIE35" s="624"/>
      <c r="LIF35" s="624"/>
      <c r="LIG35" s="624"/>
      <c r="LIH35" s="624"/>
      <c r="LII35" s="624"/>
      <c r="LIJ35" s="624"/>
      <c r="LIK35" s="624"/>
      <c r="LIL35" s="624"/>
      <c r="LIM35" s="624"/>
      <c r="LIN35" s="624"/>
      <c r="LIO35" s="624"/>
      <c r="LIP35" s="624"/>
      <c r="LIQ35" s="624"/>
      <c r="LIR35" s="624"/>
      <c r="LIS35" s="624"/>
      <c r="LIT35" s="624"/>
      <c r="LIU35" s="624"/>
      <c r="LIV35" s="624"/>
      <c r="LIW35" s="624"/>
      <c r="LIX35" s="624"/>
      <c r="LIY35" s="624"/>
      <c r="LIZ35" s="624"/>
      <c r="LJA35" s="624"/>
      <c r="LJB35" s="624"/>
      <c r="LJC35" s="624"/>
      <c r="LJD35" s="624"/>
      <c r="LJE35" s="624"/>
      <c r="LJF35" s="624"/>
      <c r="LJG35" s="624"/>
      <c r="LJH35" s="624"/>
      <c r="LJI35" s="624"/>
      <c r="LJJ35" s="624"/>
      <c r="LJK35" s="624"/>
      <c r="LJL35" s="624"/>
      <c r="LJM35" s="624"/>
      <c r="LJN35" s="624"/>
      <c r="LJO35" s="624"/>
      <c r="LJP35" s="624"/>
      <c r="LJQ35" s="624"/>
      <c r="LJR35" s="624"/>
      <c r="LJS35" s="624"/>
      <c r="LJT35" s="624"/>
      <c r="LJU35" s="624"/>
      <c r="LJV35" s="624"/>
      <c r="LJW35" s="624"/>
      <c r="LJX35" s="624"/>
      <c r="LJY35" s="624"/>
      <c r="LJZ35" s="624"/>
      <c r="LKA35" s="624"/>
      <c r="LKB35" s="624"/>
      <c r="LKC35" s="624"/>
      <c r="LKD35" s="624"/>
      <c r="LKE35" s="624"/>
      <c r="LKF35" s="624"/>
      <c r="LKG35" s="624"/>
      <c r="LKH35" s="624"/>
      <c r="LKI35" s="624"/>
      <c r="LKJ35" s="624"/>
      <c r="LKK35" s="624"/>
      <c r="LKL35" s="624"/>
      <c r="LKM35" s="624"/>
      <c r="LKN35" s="624"/>
      <c r="LKO35" s="624"/>
      <c r="LKP35" s="624"/>
      <c r="LKQ35" s="624"/>
      <c r="LKR35" s="624"/>
      <c r="LKS35" s="624"/>
      <c r="LKT35" s="624"/>
      <c r="LKU35" s="624"/>
      <c r="LKV35" s="624"/>
      <c r="LKW35" s="624"/>
      <c r="LKX35" s="624"/>
      <c r="LKY35" s="624"/>
      <c r="LKZ35" s="624"/>
      <c r="LLA35" s="624"/>
      <c r="LLB35" s="624"/>
      <c r="LLC35" s="624"/>
      <c r="LLD35" s="624"/>
      <c r="LLE35" s="624"/>
      <c r="LLF35" s="624"/>
      <c r="LLG35" s="624"/>
      <c r="LLH35" s="624"/>
      <c r="LLI35" s="624"/>
      <c r="LLJ35" s="624"/>
      <c r="LLK35" s="624"/>
      <c r="LLL35" s="624"/>
      <c r="LLM35" s="624"/>
      <c r="LLN35" s="624"/>
      <c r="LLO35" s="624"/>
      <c r="LLP35" s="624"/>
      <c r="LLQ35" s="624"/>
      <c r="LLR35" s="624"/>
      <c r="LLS35" s="624"/>
      <c r="LLT35" s="624"/>
      <c r="LLU35" s="624"/>
      <c r="LLV35" s="624"/>
      <c r="LLW35" s="624"/>
      <c r="LLX35" s="624"/>
      <c r="LLY35" s="624"/>
      <c r="LLZ35" s="624"/>
      <c r="LMA35" s="624"/>
      <c r="LMB35" s="624"/>
      <c r="LMC35" s="624"/>
      <c r="LMD35" s="624"/>
      <c r="LME35" s="624"/>
      <c r="LMF35" s="624"/>
      <c r="LMG35" s="624"/>
      <c r="LMH35" s="624"/>
      <c r="LMI35" s="624"/>
      <c r="LMJ35" s="624"/>
      <c r="LMK35" s="624"/>
      <c r="LML35" s="624"/>
      <c r="LMM35" s="624"/>
      <c r="LMN35" s="624"/>
      <c r="LMO35" s="624"/>
      <c r="LMP35" s="624"/>
      <c r="LMQ35" s="624"/>
      <c r="LMR35" s="624"/>
      <c r="LMS35" s="624"/>
      <c r="LMT35" s="624"/>
      <c r="LMU35" s="624"/>
      <c r="LMV35" s="624"/>
      <c r="LMW35" s="624"/>
      <c r="LMX35" s="624"/>
      <c r="LMY35" s="624"/>
      <c r="LMZ35" s="624"/>
      <c r="LNA35" s="624"/>
      <c r="LNB35" s="624"/>
      <c r="LNC35" s="624"/>
      <c r="LND35" s="624"/>
      <c r="LNE35" s="624"/>
      <c r="LNF35" s="624"/>
      <c r="LNG35" s="624"/>
      <c r="LNH35" s="624"/>
      <c r="LNI35" s="624"/>
      <c r="LNJ35" s="624"/>
      <c r="LNK35" s="624"/>
      <c r="LNL35" s="624"/>
      <c r="LNM35" s="624"/>
      <c r="LNN35" s="624"/>
      <c r="LNO35" s="624"/>
      <c r="LNP35" s="624"/>
      <c r="LNQ35" s="624"/>
      <c r="LNR35" s="624"/>
      <c r="LNS35" s="624"/>
      <c r="LNT35" s="624"/>
      <c r="LNU35" s="624"/>
      <c r="LNV35" s="624"/>
      <c r="LNW35" s="624"/>
      <c r="LNX35" s="624"/>
      <c r="LNY35" s="624"/>
      <c r="LNZ35" s="624"/>
      <c r="LOA35" s="624"/>
      <c r="LOB35" s="624"/>
      <c r="LOC35" s="624"/>
      <c r="LOD35" s="624"/>
      <c r="LOE35" s="624"/>
      <c r="LOF35" s="624"/>
      <c r="LOG35" s="624"/>
      <c r="LOH35" s="624"/>
      <c r="LOI35" s="624"/>
      <c r="LOJ35" s="624"/>
      <c r="LOK35" s="624"/>
      <c r="LOL35" s="624"/>
      <c r="LOM35" s="624"/>
      <c r="LON35" s="624"/>
      <c r="LOO35" s="624"/>
      <c r="LOP35" s="624"/>
      <c r="LOQ35" s="624"/>
      <c r="LOR35" s="624"/>
      <c r="LOS35" s="624"/>
      <c r="LOT35" s="624"/>
      <c r="LOU35" s="624"/>
      <c r="LOV35" s="624"/>
      <c r="LOW35" s="624"/>
      <c r="LOX35" s="624"/>
      <c r="LOY35" s="624"/>
      <c r="LOZ35" s="624"/>
      <c r="LPA35" s="624"/>
      <c r="LPB35" s="624"/>
      <c r="LPC35" s="624"/>
      <c r="LPD35" s="624"/>
      <c r="LPE35" s="624"/>
      <c r="LPF35" s="624"/>
      <c r="LPG35" s="624"/>
      <c r="LPH35" s="624"/>
      <c r="LPI35" s="624"/>
      <c r="LPJ35" s="624"/>
      <c r="LPK35" s="624"/>
      <c r="LPL35" s="624"/>
      <c r="LPM35" s="624"/>
      <c r="LPN35" s="624"/>
      <c r="LPO35" s="624"/>
      <c r="LPP35" s="624"/>
      <c r="LPQ35" s="624"/>
      <c r="LPR35" s="624"/>
      <c r="LPS35" s="624"/>
      <c r="LPT35" s="624"/>
      <c r="LPU35" s="624"/>
      <c r="LPV35" s="624"/>
      <c r="LPW35" s="624"/>
      <c r="LPX35" s="624"/>
      <c r="LPY35" s="624"/>
      <c r="LPZ35" s="624"/>
      <c r="LQA35" s="624"/>
      <c r="LQB35" s="624"/>
      <c r="LQC35" s="624"/>
      <c r="LQD35" s="624"/>
      <c r="LQE35" s="624"/>
      <c r="LQF35" s="624"/>
      <c r="LQG35" s="624"/>
      <c r="LQH35" s="624"/>
      <c r="LQI35" s="624"/>
      <c r="LQJ35" s="624"/>
      <c r="LQK35" s="624"/>
      <c r="LQL35" s="624"/>
      <c r="LQM35" s="624"/>
      <c r="LQN35" s="624"/>
      <c r="LQO35" s="624"/>
      <c r="LQP35" s="624"/>
      <c r="LQQ35" s="624"/>
      <c r="LQR35" s="624"/>
      <c r="LQS35" s="624"/>
      <c r="LQT35" s="624"/>
      <c r="LQU35" s="624"/>
      <c r="LQV35" s="624"/>
      <c r="LQW35" s="624"/>
      <c r="LQX35" s="624"/>
      <c r="LQY35" s="624"/>
      <c r="LQZ35" s="624"/>
      <c r="LRA35" s="624"/>
      <c r="LRB35" s="624"/>
      <c r="LRC35" s="624"/>
      <c r="LRD35" s="624"/>
      <c r="LRE35" s="624"/>
      <c r="LRF35" s="624"/>
      <c r="LRG35" s="624"/>
      <c r="LRH35" s="624"/>
      <c r="LRI35" s="624"/>
      <c r="LRJ35" s="624"/>
      <c r="LRK35" s="624"/>
      <c r="LRL35" s="624"/>
      <c r="LRM35" s="624"/>
      <c r="LRN35" s="624"/>
      <c r="LRO35" s="624"/>
      <c r="LRP35" s="624"/>
      <c r="LRQ35" s="624"/>
      <c r="LRR35" s="624"/>
      <c r="LRS35" s="624"/>
      <c r="LRT35" s="624"/>
      <c r="LRU35" s="624"/>
      <c r="LRV35" s="624"/>
      <c r="LRW35" s="624"/>
      <c r="LRX35" s="624"/>
      <c r="LRY35" s="624"/>
      <c r="LRZ35" s="624"/>
      <c r="LSA35" s="624"/>
      <c r="LSB35" s="624"/>
      <c r="LSC35" s="624"/>
      <c r="LSD35" s="624"/>
      <c r="LSE35" s="624"/>
      <c r="LSF35" s="624"/>
      <c r="LSG35" s="624"/>
      <c r="LSH35" s="624"/>
      <c r="LSI35" s="624"/>
      <c r="LSJ35" s="624"/>
      <c r="LSK35" s="624"/>
      <c r="LSL35" s="624"/>
      <c r="LSM35" s="624"/>
      <c r="LSN35" s="624"/>
      <c r="LSO35" s="624"/>
      <c r="LSP35" s="624"/>
      <c r="LSQ35" s="624"/>
      <c r="LSR35" s="624"/>
      <c r="LSS35" s="624"/>
      <c r="LST35" s="624"/>
      <c r="LSU35" s="624"/>
      <c r="LSV35" s="624"/>
      <c r="LSW35" s="624"/>
      <c r="LSX35" s="624"/>
      <c r="LSY35" s="624"/>
      <c r="LSZ35" s="624"/>
      <c r="LTA35" s="624"/>
      <c r="LTB35" s="624"/>
      <c r="LTC35" s="624"/>
      <c r="LTD35" s="624"/>
      <c r="LTE35" s="624"/>
      <c r="LTF35" s="624"/>
      <c r="LTG35" s="624"/>
      <c r="LTH35" s="624"/>
      <c r="LTI35" s="624"/>
      <c r="LTJ35" s="624"/>
      <c r="LTK35" s="624"/>
      <c r="LTL35" s="624"/>
      <c r="LTM35" s="624"/>
      <c r="LTN35" s="624"/>
      <c r="LTO35" s="624"/>
      <c r="LTP35" s="624"/>
      <c r="LTQ35" s="624"/>
      <c r="LTR35" s="624"/>
      <c r="LTS35" s="624"/>
      <c r="LTT35" s="624"/>
      <c r="LTU35" s="624"/>
      <c r="LTV35" s="624"/>
      <c r="LTW35" s="624"/>
      <c r="LTX35" s="624"/>
      <c r="LTY35" s="624"/>
      <c r="LTZ35" s="624"/>
      <c r="LUA35" s="624"/>
      <c r="LUB35" s="624"/>
      <c r="LUC35" s="624"/>
      <c r="LUD35" s="624"/>
      <c r="LUE35" s="624"/>
      <c r="LUF35" s="624"/>
      <c r="LUG35" s="624"/>
      <c r="LUH35" s="624"/>
      <c r="LUI35" s="624"/>
      <c r="LUJ35" s="624"/>
      <c r="LUK35" s="624"/>
      <c r="LUL35" s="624"/>
      <c r="LUM35" s="624"/>
      <c r="LUN35" s="624"/>
      <c r="LUO35" s="624"/>
      <c r="LUP35" s="624"/>
      <c r="LUQ35" s="624"/>
      <c r="LUR35" s="624"/>
      <c r="LUS35" s="624"/>
      <c r="LUT35" s="624"/>
      <c r="LUU35" s="624"/>
      <c r="LUV35" s="624"/>
      <c r="LUW35" s="624"/>
      <c r="LUX35" s="624"/>
      <c r="LUY35" s="624"/>
      <c r="LUZ35" s="624"/>
      <c r="LVA35" s="624"/>
      <c r="LVB35" s="624"/>
      <c r="LVC35" s="624"/>
      <c r="LVD35" s="624"/>
      <c r="LVE35" s="624"/>
      <c r="LVF35" s="624"/>
      <c r="LVG35" s="624"/>
      <c r="LVH35" s="624"/>
      <c r="LVI35" s="624"/>
      <c r="LVJ35" s="624"/>
      <c r="LVK35" s="624"/>
      <c r="LVL35" s="624"/>
      <c r="LVM35" s="624"/>
      <c r="LVN35" s="624"/>
      <c r="LVO35" s="624"/>
      <c r="LVP35" s="624"/>
      <c r="LVQ35" s="624"/>
      <c r="LVR35" s="624"/>
      <c r="LVS35" s="624"/>
      <c r="LVT35" s="624"/>
      <c r="LVU35" s="624"/>
      <c r="LVV35" s="624"/>
      <c r="LVW35" s="624"/>
      <c r="LVX35" s="624"/>
      <c r="LVY35" s="624"/>
      <c r="LVZ35" s="624"/>
      <c r="LWA35" s="624"/>
      <c r="LWB35" s="624"/>
      <c r="LWC35" s="624"/>
      <c r="LWD35" s="624"/>
      <c r="LWE35" s="624"/>
      <c r="LWF35" s="624"/>
      <c r="LWG35" s="624"/>
      <c r="LWH35" s="624"/>
      <c r="LWI35" s="624"/>
      <c r="LWJ35" s="624"/>
      <c r="LWK35" s="624"/>
      <c r="LWL35" s="624"/>
      <c r="LWM35" s="624"/>
      <c r="LWN35" s="624"/>
      <c r="LWO35" s="624"/>
      <c r="LWP35" s="624"/>
      <c r="LWQ35" s="624"/>
      <c r="LWR35" s="624"/>
      <c r="LWS35" s="624"/>
      <c r="LWT35" s="624"/>
      <c r="LWU35" s="624"/>
      <c r="LWV35" s="624"/>
      <c r="LWW35" s="624"/>
      <c r="LWX35" s="624"/>
      <c r="LWY35" s="624"/>
      <c r="LWZ35" s="624"/>
      <c r="LXA35" s="624"/>
      <c r="LXB35" s="624"/>
      <c r="LXC35" s="624"/>
      <c r="LXD35" s="624"/>
      <c r="LXE35" s="624"/>
      <c r="LXF35" s="624"/>
      <c r="LXG35" s="624"/>
      <c r="LXH35" s="624"/>
      <c r="LXI35" s="624"/>
      <c r="LXJ35" s="624"/>
      <c r="LXK35" s="624"/>
      <c r="LXL35" s="624"/>
      <c r="LXM35" s="624"/>
      <c r="LXN35" s="624"/>
      <c r="LXO35" s="624"/>
      <c r="LXP35" s="624"/>
      <c r="LXQ35" s="624"/>
      <c r="LXR35" s="624"/>
      <c r="LXS35" s="624"/>
      <c r="LXT35" s="624"/>
      <c r="LXU35" s="624"/>
      <c r="LXV35" s="624"/>
      <c r="LXW35" s="624"/>
      <c r="LXX35" s="624"/>
      <c r="LXY35" s="624"/>
      <c r="LXZ35" s="624"/>
      <c r="LYA35" s="624"/>
      <c r="LYB35" s="624"/>
      <c r="LYC35" s="624"/>
      <c r="LYD35" s="624"/>
      <c r="LYE35" s="624"/>
      <c r="LYF35" s="624"/>
      <c r="LYG35" s="624"/>
      <c r="LYH35" s="624"/>
      <c r="LYI35" s="624"/>
      <c r="LYJ35" s="624"/>
      <c r="LYK35" s="624"/>
      <c r="LYL35" s="624"/>
      <c r="LYM35" s="624"/>
      <c r="LYN35" s="624"/>
      <c r="LYO35" s="624"/>
      <c r="LYP35" s="624"/>
      <c r="LYQ35" s="624"/>
      <c r="LYR35" s="624"/>
      <c r="LYS35" s="624"/>
      <c r="LYT35" s="624"/>
      <c r="LYU35" s="624"/>
      <c r="LYV35" s="624"/>
      <c r="LYW35" s="624"/>
      <c r="LYX35" s="624"/>
      <c r="LYY35" s="624"/>
      <c r="LYZ35" s="624"/>
      <c r="LZA35" s="624"/>
      <c r="LZB35" s="624"/>
      <c r="LZC35" s="624"/>
      <c r="LZD35" s="624"/>
      <c r="LZE35" s="624"/>
      <c r="LZF35" s="624"/>
      <c r="LZG35" s="624"/>
      <c r="LZH35" s="624"/>
      <c r="LZI35" s="624"/>
      <c r="LZJ35" s="624"/>
      <c r="LZK35" s="624"/>
      <c r="LZL35" s="624"/>
      <c r="LZM35" s="624"/>
      <c r="LZN35" s="624"/>
      <c r="LZO35" s="624"/>
      <c r="LZP35" s="624"/>
      <c r="LZQ35" s="624"/>
      <c r="LZR35" s="624"/>
      <c r="LZS35" s="624"/>
      <c r="LZT35" s="624"/>
      <c r="LZU35" s="624"/>
      <c r="LZV35" s="624"/>
      <c r="LZW35" s="624"/>
      <c r="LZX35" s="624"/>
      <c r="LZY35" s="624"/>
      <c r="LZZ35" s="624"/>
      <c r="MAA35" s="624"/>
      <c r="MAB35" s="624"/>
      <c r="MAC35" s="624"/>
      <c r="MAD35" s="624"/>
      <c r="MAE35" s="624"/>
      <c r="MAF35" s="624"/>
      <c r="MAG35" s="624"/>
      <c r="MAH35" s="624"/>
      <c r="MAI35" s="624"/>
      <c r="MAJ35" s="624"/>
      <c r="MAK35" s="624"/>
      <c r="MAL35" s="624"/>
      <c r="MAM35" s="624"/>
      <c r="MAN35" s="624"/>
      <c r="MAO35" s="624"/>
      <c r="MAP35" s="624"/>
      <c r="MAQ35" s="624"/>
      <c r="MAR35" s="624"/>
      <c r="MAS35" s="624"/>
      <c r="MAT35" s="624"/>
      <c r="MAU35" s="624"/>
      <c r="MAV35" s="624"/>
      <c r="MAW35" s="624"/>
      <c r="MAX35" s="624"/>
      <c r="MAY35" s="624"/>
      <c r="MAZ35" s="624"/>
      <c r="MBA35" s="624"/>
      <c r="MBB35" s="624"/>
      <c r="MBC35" s="624"/>
      <c r="MBD35" s="624"/>
      <c r="MBE35" s="624"/>
      <c r="MBF35" s="624"/>
      <c r="MBG35" s="624"/>
      <c r="MBH35" s="624"/>
      <c r="MBI35" s="624"/>
      <c r="MBJ35" s="624"/>
      <c r="MBK35" s="624"/>
      <c r="MBL35" s="624"/>
      <c r="MBM35" s="624"/>
      <c r="MBN35" s="624"/>
      <c r="MBO35" s="624"/>
      <c r="MBP35" s="624"/>
      <c r="MBQ35" s="624"/>
      <c r="MBR35" s="624"/>
      <c r="MBS35" s="624"/>
      <c r="MBT35" s="624"/>
      <c r="MBU35" s="624"/>
      <c r="MBV35" s="624"/>
      <c r="MBW35" s="624"/>
      <c r="MBX35" s="624"/>
      <c r="MBY35" s="624"/>
      <c r="MBZ35" s="624"/>
      <c r="MCA35" s="624"/>
      <c r="MCB35" s="624"/>
      <c r="MCC35" s="624"/>
      <c r="MCD35" s="624"/>
      <c r="MCE35" s="624"/>
      <c r="MCF35" s="624"/>
      <c r="MCG35" s="624"/>
      <c r="MCH35" s="624"/>
      <c r="MCI35" s="624"/>
      <c r="MCJ35" s="624"/>
      <c r="MCK35" s="624"/>
      <c r="MCL35" s="624"/>
      <c r="MCM35" s="624"/>
      <c r="MCN35" s="624"/>
      <c r="MCO35" s="624"/>
      <c r="MCP35" s="624"/>
      <c r="MCQ35" s="624"/>
      <c r="MCR35" s="624"/>
      <c r="MCS35" s="624"/>
      <c r="MCT35" s="624"/>
      <c r="MCU35" s="624"/>
      <c r="MCV35" s="624"/>
      <c r="MCW35" s="624"/>
      <c r="MCX35" s="624"/>
      <c r="MCY35" s="624"/>
      <c r="MCZ35" s="624"/>
      <c r="MDA35" s="624"/>
      <c r="MDB35" s="624"/>
      <c r="MDC35" s="624"/>
      <c r="MDD35" s="624"/>
      <c r="MDE35" s="624"/>
      <c r="MDF35" s="624"/>
      <c r="MDG35" s="624"/>
      <c r="MDH35" s="624"/>
      <c r="MDI35" s="624"/>
      <c r="MDJ35" s="624"/>
      <c r="MDK35" s="624"/>
      <c r="MDL35" s="624"/>
      <c r="MDM35" s="624"/>
      <c r="MDN35" s="624"/>
      <c r="MDO35" s="624"/>
      <c r="MDP35" s="624"/>
      <c r="MDQ35" s="624"/>
      <c r="MDR35" s="624"/>
      <c r="MDS35" s="624"/>
      <c r="MDT35" s="624"/>
      <c r="MDU35" s="624"/>
      <c r="MDV35" s="624"/>
      <c r="MDW35" s="624"/>
      <c r="MDX35" s="624"/>
      <c r="MDY35" s="624"/>
      <c r="MDZ35" s="624"/>
      <c r="MEA35" s="624"/>
      <c r="MEB35" s="624"/>
      <c r="MEC35" s="624"/>
      <c r="MED35" s="624"/>
      <c r="MEE35" s="624"/>
      <c r="MEF35" s="624"/>
      <c r="MEG35" s="624"/>
      <c r="MEH35" s="624"/>
      <c r="MEI35" s="624"/>
      <c r="MEJ35" s="624"/>
      <c r="MEK35" s="624"/>
      <c r="MEL35" s="624"/>
      <c r="MEM35" s="624"/>
      <c r="MEN35" s="624"/>
      <c r="MEO35" s="624"/>
      <c r="MEP35" s="624"/>
      <c r="MEQ35" s="624"/>
      <c r="MER35" s="624"/>
      <c r="MES35" s="624"/>
      <c r="MET35" s="624"/>
      <c r="MEU35" s="624"/>
      <c r="MEV35" s="624"/>
      <c r="MEW35" s="624"/>
      <c r="MEX35" s="624"/>
      <c r="MEY35" s="624"/>
      <c r="MEZ35" s="624"/>
      <c r="MFA35" s="624"/>
      <c r="MFB35" s="624"/>
      <c r="MFC35" s="624"/>
      <c r="MFD35" s="624"/>
      <c r="MFE35" s="624"/>
      <c r="MFF35" s="624"/>
      <c r="MFG35" s="624"/>
      <c r="MFH35" s="624"/>
      <c r="MFI35" s="624"/>
      <c r="MFJ35" s="624"/>
      <c r="MFK35" s="624"/>
      <c r="MFL35" s="624"/>
      <c r="MFM35" s="624"/>
      <c r="MFN35" s="624"/>
      <c r="MFO35" s="624"/>
      <c r="MFP35" s="624"/>
      <c r="MFQ35" s="624"/>
      <c r="MFR35" s="624"/>
      <c r="MFS35" s="624"/>
      <c r="MFT35" s="624"/>
      <c r="MFU35" s="624"/>
      <c r="MFV35" s="624"/>
      <c r="MFW35" s="624"/>
      <c r="MFX35" s="624"/>
      <c r="MFY35" s="624"/>
      <c r="MFZ35" s="624"/>
      <c r="MGA35" s="624"/>
      <c r="MGB35" s="624"/>
      <c r="MGC35" s="624"/>
      <c r="MGD35" s="624"/>
      <c r="MGE35" s="624"/>
      <c r="MGF35" s="624"/>
      <c r="MGG35" s="624"/>
      <c r="MGH35" s="624"/>
      <c r="MGI35" s="624"/>
      <c r="MGJ35" s="624"/>
      <c r="MGK35" s="624"/>
      <c r="MGL35" s="624"/>
      <c r="MGM35" s="624"/>
      <c r="MGN35" s="624"/>
      <c r="MGO35" s="624"/>
      <c r="MGP35" s="624"/>
      <c r="MGQ35" s="624"/>
      <c r="MGR35" s="624"/>
      <c r="MGS35" s="624"/>
      <c r="MGT35" s="624"/>
      <c r="MGU35" s="624"/>
      <c r="MGV35" s="624"/>
      <c r="MGW35" s="624"/>
      <c r="MGX35" s="624"/>
      <c r="MGY35" s="624"/>
      <c r="MGZ35" s="624"/>
      <c r="MHA35" s="624"/>
      <c r="MHB35" s="624"/>
      <c r="MHC35" s="624"/>
      <c r="MHD35" s="624"/>
      <c r="MHE35" s="624"/>
      <c r="MHF35" s="624"/>
      <c r="MHG35" s="624"/>
      <c r="MHH35" s="624"/>
      <c r="MHI35" s="624"/>
      <c r="MHJ35" s="624"/>
      <c r="MHK35" s="624"/>
      <c r="MHL35" s="624"/>
      <c r="MHM35" s="624"/>
      <c r="MHN35" s="624"/>
      <c r="MHO35" s="624"/>
      <c r="MHP35" s="624"/>
      <c r="MHQ35" s="624"/>
      <c r="MHR35" s="624"/>
      <c r="MHS35" s="624"/>
      <c r="MHT35" s="624"/>
      <c r="MHU35" s="624"/>
      <c r="MHV35" s="624"/>
      <c r="MHW35" s="624"/>
      <c r="MHX35" s="624"/>
      <c r="MHY35" s="624"/>
      <c r="MHZ35" s="624"/>
      <c r="MIA35" s="624"/>
      <c r="MIB35" s="624"/>
      <c r="MIC35" s="624"/>
      <c r="MID35" s="624"/>
      <c r="MIE35" s="624"/>
      <c r="MIF35" s="624"/>
      <c r="MIG35" s="624"/>
      <c r="MIH35" s="624"/>
      <c r="MII35" s="624"/>
      <c r="MIJ35" s="624"/>
      <c r="MIK35" s="624"/>
      <c r="MIL35" s="624"/>
      <c r="MIM35" s="624"/>
      <c r="MIN35" s="624"/>
      <c r="MIO35" s="624"/>
      <c r="MIP35" s="624"/>
      <c r="MIQ35" s="624"/>
      <c r="MIR35" s="624"/>
      <c r="MIS35" s="624"/>
      <c r="MIT35" s="624"/>
      <c r="MIU35" s="624"/>
      <c r="MIV35" s="624"/>
      <c r="MIW35" s="624"/>
      <c r="MIX35" s="624"/>
      <c r="MIY35" s="624"/>
      <c r="MIZ35" s="624"/>
      <c r="MJA35" s="624"/>
      <c r="MJB35" s="624"/>
      <c r="MJC35" s="624"/>
      <c r="MJD35" s="624"/>
      <c r="MJE35" s="624"/>
      <c r="MJF35" s="624"/>
      <c r="MJG35" s="624"/>
      <c r="MJH35" s="624"/>
      <c r="MJI35" s="624"/>
      <c r="MJJ35" s="624"/>
      <c r="MJK35" s="624"/>
      <c r="MJL35" s="624"/>
      <c r="MJM35" s="624"/>
      <c r="MJN35" s="624"/>
      <c r="MJO35" s="624"/>
      <c r="MJP35" s="624"/>
      <c r="MJQ35" s="624"/>
      <c r="MJR35" s="624"/>
      <c r="MJS35" s="624"/>
      <c r="MJT35" s="624"/>
      <c r="MJU35" s="624"/>
      <c r="MJV35" s="624"/>
      <c r="MJW35" s="624"/>
      <c r="MJX35" s="624"/>
      <c r="MJY35" s="624"/>
      <c r="MJZ35" s="624"/>
      <c r="MKA35" s="624"/>
      <c r="MKB35" s="624"/>
      <c r="MKC35" s="624"/>
      <c r="MKD35" s="624"/>
      <c r="MKE35" s="624"/>
      <c r="MKF35" s="624"/>
      <c r="MKG35" s="624"/>
      <c r="MKH35" s="624"/>
      <c r="MKI35" s="624"/>
      <c r="MKJ35" s="624"/>
      <c r="MKK35" s="624"/>
      <c r="MKL35" s="624"/>
      <c r="MKM35" s="624"/>
      <c r="MKN35" s="624"/>
      <c r="MKO35" s="624"/>
      <c r="MKP35" s="624"/>
      <c r="MKQ35" s="624"/>
      <c r="MKR35" s="624"/>
      <c r="MKS35" s="624"/>
      <c r="MKT35" s="624"/>
      <c r="MKU35" s="624"/>
      <c r="MKV35" s="624"/>
      <c r="MKW35" s="624"/>
      <c r="MKX35" s="624"/>
      <c r="MKY35" s="624"/>
      <c r="MKZ35" s="624"/>
      <c r="MLA35" s="624"/>
      <c r="MLB35" s="624"/>
      <c r="MLC35" s="624"/>
      <c r="MLD35" s="624"/>
      <c r="MLE35" s="624"/>
      <c r="MLF35" s="624"/>
      <c r="MLG35" s="624"/>
      <c r="MLH35" s="624"/>
      <c r="MLI35" s="624"/>
      <c r="MLJ35" s="624"/>
      <c r="MLK35" s="624"/>
      <c r="MLL35" s="624"/>
      <c r="MLM35" s="624"/>
      <c r="MLN35" s="624"/>
      <c r="MLO35" s="624"/>
      <c r="MLP35" s="624"/>
      <c r="MLQ35" s="624"/>
      <c r="MLR35" s="624"/>
      <c r="MLS35" s="624"/>
      <c r="MLT35" s="624"/>
      <c r="MLU35" s="624"/>
      <c r="MLV35" s="624"/>
      <c r="MLW35" s="624"/>
      <c r="MLX35" s="624"/>
      <c r="MLY35" s="624"/>
      <c r="MLZ35" s="624"/>
      <c r="MMA35" s="624"/>
      <c r="MMB35" s="624"/>
      <c r="MMC35" s="624"/>
      <c r="MMD35" s="624"/>
      <c r="MME35" s="624"/>
      <c r="MMF35" s="624"/>
      <c r="MMG35" s="624"/>
      <c r="MMH35" s="624"/>
      <c r="MMI35" s="624"/>
      <c r="MMJ35" s="624"/>
      <c r="MMK35" s="624"/>
      <c r="MML35" s="624"/>
      <c r="MMM35" s="624"/>
      <c r="MMN35" s="624"/>
      <c r="MMO35" s="624"/>
      <c r="MMP35" s="624"/>
      <c r="MMQ35" s="624"/>
      <c r="MMR35" s="624"/>
      <c r="MMS35" s="624"/>
      <c r="MMT35" s="624"/>
      <c r="MMU35" s="624"/>
      <c r="MMV35" s="624"/>
      <c r="MMW35" s="624"/>
      <c r="MMX35" s="624"/>
      <c r="MMY35" s="624"/>
      <c r="MMZ35" s="624"/>
      <c r="MNA35" s="624"/>
      <c r="MNB35" s="624"/>
      <c r="MNC35" s="624"/>
      <c r="MND35" s="624"/>
      <c r="MNE35" s="624"/>
      <c r="MNF35" s="624"/>
      <c r="MNG35" s="624"/>
      <c r="MNH35" s="624"/>
      <c r="MNI35" s="624"/>
      <c r="MNJ35" s="624"/>
      <c r="MNK35" s="624"/>
      <c r="MNL35" s="624"/>
      <c r="MNM35" s="624"/>
      <c r="MNN35" s="624"/>
      <c r="MNO35" s="624"/>
      <c r="MNP35" s="624"/>
      <c r="MNQ35" s="624"/>
      <c r="MNR35" s="624"/>
      <c r="MNS35" s="624"/>
      <c r="MNT35" s="624"/>
      <c r="MNU35" s="624"/>
      <c r="MNV35" s="624"/>
      <c r="MNW35" s="624"/>
      <c r="MNX35" s="624"/>
      <c r="MNY35" s="624"/>
      <c r="MNZ35" s="624"/>
      <c r="MOA35" s="624"/>
      <c r="MOB35" s="624"/>
      <c r="MOC35" s="624"/>
      <c r="MOD35" s="624"/>
      <c r="MOE35" s="624"/>
      <c r="MOF35" s="624"/>
      <c r="MOG35" s="624"/>
      <c r="MOH35" s="624"/>
      <c r="MOI35" s="624"/>
      <c r="MOJ35" s="624"/>
      <c r="MOK35" s="624"/>
      <c r="MOL35" s="624"/>
      <c r="MOM35" s="624"/>
      <c r="MON35" s="624"/>
      <c r="MOO35" s="624"/>
      <c r="MOP35" s="624"/>
      <c r="MOQ35" s="624"/>
      <c r="MOR35" s="624"/>
      <c r="MOS35" s="624"/>
      <c r="MOT35" s="624"/>
      <c r="MOU35" s="624"/>
      <c r="MOV35" s="624"/>
      <c r="MOW35" s="624"/>
      <c r="MOX35" s="624"/>
      <c r="MOY35" s="624"/>
      <c r="MOZ35" s="624"/>
      <c r="MPA35" s="624"/>
      <c r="MPB35" s="624"/>
      <c r="MPC35" s="624"/>
      <c r="MPD35" s="624"/>
      <c r="MPE35" s="624"/>
      <c r="MPF35" s="624"/>
      <c r="MPG35" s="624"/>
      <c r="MPH35" s="624"/>
      <c r="MPI35" s="624"/>
      <c r="MPJ35" s="624"/>
      <c r="MPK35" s="624"/>
      <c r="MPL35" s="624"/>
      <c r="MPM35" s="624"/>
      <c r="MPN35" s="624"/>
      <c r="MPO35" s="624"/>
      <c r="MPP35" s="624"/>
      <c r="MPQ35" s="624"/>
      <c r="MPR35" s="624"/>
      <c r="MPS35" s="624"/>
      <c r="MPT35" s="624"/>
      <c r="MPU35" s="624"/>
      <c r="MPV35" s="624"/>
      <c r="MPW35" s="624"/>
      <c r="MPX35" s="624"/>
      <c r="MPY35" s="624"/>
      <c r="MPZ35" s="624"/>
      <c r="MQA35" s="624"/>
      <c r="MQB35" s="624"/>
      <c r="MQC35" s="624"/>
      <c r="MQD35" s="624"/>
      <c r="MQE35" s="624"/>
      <c r="MQF35" s="624"/>
      <c r="MQG35" s="624"/>
      <c r="MQH35" s="624"/>
      <c r="MQI35" s="624"/>
      <c r="MQJ35" s="624"/>
      <c r="MQK35" s="624"/>
      <c r="MQL35" s="624"/>
      <c r="MQM35" s="624"/>
      <c r="MQN35" s="624"/>
      <c r="MQO35" s="624"/>
      <c r="MQP35" s="624"/>
      <c r="MQQ35" s="624"/>
      <c r="MQR35" s="624"/>
      <c r="MQS35" s="624"/>
      <c r="MQT35" s="624"/>
      <c r="MQU35" s="624"/>
      <c r="MQV35" s="624"/>
      <c r="MQW35" s="624"/>
      <c r="MQX35" s="624"/>
      <c r="MQY35" s="624"/>
      <c r="MQZ35" s="624"/>
      <c r="MRA35" s="624"/>
      <c r="MRB35" s="624"/>
      <c r="MRC35" s="624"/>
      <c r="MRD35" s="624"/>
      <c r="MRE35" s="624"/>
      <c r="MRF35" s="624"/>
      <c r="MRG35" s="624"/>
      <c r="MRH35" s="624"/>
      <c r="MRI35" s="624"/>
      <c r="MRJ35" s="624"/>
      <c r="MRK35" s="624"/>
      <c r="MRL35" s="624"/>
      <c r="MRM35" s="624"/>
      <c r="MRN35" s="624"/>
      <c r="MRO35" s="624"/>
      <c r="MRP35" s="624"/>
      <c r="MRQ35" s="624"/>
      <c r="MRR35" s="624"/>
      <c r="MRS35" s="624"/>
      <c r="MRT35" s="624"/>
      <c r="MRU35" s="624"/>
      <c r="MRV35" s="624"/>
      <c r="MRW35" s="624"/>
      <c r="MRX35" s="624"/>
      <c r="MRY35" s="624"/>
      <c r="MRZ35" s="624"/>
      <c r="MSA35" s="624"/>
      <c r="MSB35" s="624"/>
      <c r="MSC35" s="624"/>
      <c r="MSD35" s="624"/>
      <c r="MSE35" s="624"/>
      <c r="MSF35" s="624"/>
      <c r="MSG35" s="624"/>
      <c r="MSH35" s="624"/>
      <c r="MSI35" s="624"/>
      <c r="MSJ35" s="624"/>
      <c r="MSK35" s="624"/>
      <c r="MSL35" s="624"/>
      <c r="MSM35" s="624"/>
      <c r="MSN35" s="624"/>
      <c r="MSO35" s="624"/>
      <c r="MSP35" s="624"/>
      <c r="MSQ35" s="624"/>
      <c r="MSR35" s="624"/>
      <c r="MSS35" s="624"/>
      <c r="MST35" s="624"/>
      <c r="MSU35" s="624"/>
      <c r="MSV35" s="624"/>
      <c r="MSW35" s="624"/>
      <c r="MSX35" s="624"/>
      <c r="MSY35" s="624"/>
      <c r="MSZ35" s="624"/>
      <c r="MTA35" s="624"/>
      <c r="MTB35" s="624"/>
      <c r="MTC35" s="624"/>
      <c r="MTD35" s="624"/>
      <c r="MTE35" s="624"/>
      <c r="MTF35" s="624"/>
      <c r="MTG35" s="624"/>
      <c r="MTH35" s="624"/>
      <c r="MTI35" s="624"/>
      <c r="MTJ35" s="624"/>
      <c r="MTK35" s="624"/>
      <c r="MTL35" s="624"/>
      <c r="MTM35" s="624"/>
      <c r="MTN35" s="624"/>
      <c r="MTO35" s="624"/>
      <c r="MTP35" s="624"/>
      <c r="MTQ35" s="624"/>
      <c r="MTR35" s="624"/>
      <c r="MTS35" s="624"/>
      <c r="MTT35" s="624"/>
      <c r="MTU35" s="624"/>
      <c r="MTV35" s="624"/>
      <c r="MTW35" s="624"/>
      <c r="MTX35" s="624"/>
      <c r="MTY35" s="624"/>
      <c r="MTZ35" s="624"/>
      <c r="MUA35" s="624"/>
      <c r="MUB35" s="624"/>
      <c r="MUC35" s="624"/>
      <c r="MUD35" s="624"/>
      <c r="MUE35" s="624"/>
      <c r="MUF35" s="624"/>
      <c r="MUG35" s="624"/>
      <c r="MUH35" s="624"/>
      <c r="MUI35" s="624"/>
      <c r="MUJ35" s="624"/>
      <c r="MUK35" s="624"/>
      <c r="MUL35" s="624"/>
      <c r="MUM35" s="624"/>
      <c r="MUN35" s="624"/>
      <c r="MUO35" s="624"/>
      <c r="MUP35" s="624"/>
      <c r="MUQ35" s="624"/>
      <c r="MUR35" s="624"/>
      <c r="MUS35" s="624"/>
      <c r="MUT35" s="624"/>
      <c r="MUU35" s="624"/>
      <c r="MUV35" s="624"/>
      <c r="MUW35" s="624"/>
      <c r="MUX35" s="624"/>
      <c r="MUY35" s="624"/>
      <c r="MUZ35" s="624"/>
      <c r="MVA35" s="624"/>
      <c r="MVB35" s="624"/>
      <c r="MVC35" s="624"/>
      <c r="MVD35" s="624"/>
      <c r="MVE35" s="624"/>
      <c r="MVF35" s="624"/>
      <c r="MVG35" s="624"/>
      <c r="MVH35" s="624"/>
      <c r="MVI35" s="624"/>
      <c r="MVJ35" s="624"/>
      <c r="MVK35" s="624"/>
      <c r="MVL35" s="624"/>
      <c r="MVM35" s="624"/>
      <c r="MVN35" s="624"/>
      <c r="MVO35" s="624"/>
      <c r="MVP35" s="624"/>
      <c r="MVQ35" s="624"/>
      <c r="MVR35" s="624"/>
      <c r="MVS35" s="624"/>
      <c r="MVT35" s="624"/>
      <c r="MVU35" s="624"/>
      <c r="MVV35" s="624"/>
      <c r="MVW35" s="624"/>
      <c r="MVX35" s="624"/>
      <c r="MVY35" s="624"/>
      <c r="MVZ35" s="624"/>
      <c r="MWA35" s="624"/>
      <c r="MWB35" s="624"/>
      <c r="MWC35" s="624"/>
      <c r="MWD35" s="624"/>
      <c r="MWE35" s="624"/>
      <c r="MWF35" s="624"/>
      <c r="MWG35" s="624"/>
      <c r="MWH35" s="624"/>
      <c r="MWI35" s="624"/>
      <c r="MWJ35" s="624"/>
      <c r="MWK35" s="624"/>
      <c r="MWL35" s="624"/>
      <c r="MWM35" s="624"/>
      <c r="MWN35" s="624"/>
      <c r="MWO35" s="624"/>
      <c r="MWP35" s="624"/>
      <c r="MWQ35" s="624"/>
      <c r="MWR35" s="624"/>
      <c r="MWS35" s="624"/>
      <c r="MWT35" s="624"/>
      <c r="MWU35" s="624"/>
      <c r="MWV35" s="624"/>
      <c r="MWW35" s="624"/>
      <c r="MWX35" s="624"/>
      <c r="MWY35" s="624"/>
      <c r="MWZ35" s="624"/>
      <c r="MXA35" s="624"/>
      <c r="MXB35" s="624"/>
      <c r="MXC35" s="624"/>
      <c r="MXD35" s="624"/>
      <c r="MXE35" s="624"/>
      <c r="MXF35" s="624"/>
      <c r="MXG35" s="624"/>
      <c r="MXH35" s="624"/>
      <c r="MXI35" s="624"/>
      <c r="MXJ35" s="624"/>
      <c r="MXK35" s="624"/>
      <c r="MXL35" s="624"/>
      <c r="MXM35" s="624"/>
      <c r="MXN35" s="624"/>
      <c r="MXO35" s="624"/>
      <c r="MXP35" s="624"/>
      <c r="MXQ35" s="624"/>
      <c r="MXR35" s="624"/>
      <c r="MXS35" s="624"/>
      <c r="MXT35" s="624"/>
      <c r="MXU35" s="624"/>
      <c r="MXV35" s="624"/>
      <c r="MXW35" s="624"/>
      <c r="MXX35" s="624"/>
      <c r="MXY35" s="624"/>
      <c r="MXZ35" s="624"/>
      <c r="MYA35" s="624"/>
      <c r="MYB35" s="624"/>
      <c r="MYC35" s="624"/>
      <c r="MYD35" s="624"/>
      <c r="MYE35" s="624"/>
      <c r="MYF35" s="624"/>
      <c r="MYG35" s="624"/>
      <c r="MYH35" s="624"/>
      <c r="MYI35" s="624"/>
      <c r="MYJ35" s="624"/>
      <c r="MYK35" s="624"/>
      <c r="MYL35" s="624"/>
      <c r="MYM35" s="624"/>
      <c r="MYN35" s="624"/>
      <c r="MYO35" s="624"/>
      <c r="MYP35" s="624"/>
      <c r="MYQ35" s="624"/>
      <c r="MYR35" s="624"/>
      <c r="MYS35" s="624"/>
      <c r="MYT35" s="624"/>
      <c r="MYU35" s="624"/>
      <c r="MYV35" s="624"/>
      <c r="MYW35" s="624"/>
      <c r="MYX35" s="624"/>
      <c r="MYY35" s="624"/>
      <c r="MYZ35" s="624"/>
      <c r="MZA35" s="624"/>
      <c r="MZB35" s="624"/>
      <c r="MZC35" s="624"/>
      <c r="MZD35" s="624"/>
      <c r="MZE35" s="624"/>
      <c r="MZF35" s="624"/>
      <c r="MZG35" s="624"/>
      <c r="MZH35" s="624"/>
      <c r="MZI35" s="624"/>
      <c r="MZJ35" s="624"/>
      <c r="MZK35" s="624"/>
      <c r="MZL35" s="624"/>
      <c r="MZM35" s="624"/>
      <c r="MZN35" s="624"/>
      <c r="MZO35" s="624"/>
      <c r="MZP35" s="624"/>
      <c r="MZQ35" s="624"/>
      <c r="MZR35" s="624"/>
      <c r="MZS35" s="624"/>
      <c r="MZT35" s="624"/>
      <c r="MZU35" s="624"/>
      <c r="MZV35" s="624"/>
      <c r="MZW35" s="624"/>
      <c r="MZX35" s="624"/>
      <c r="MZY35" s="624"/>
      <c r="MZZ35" s="624"/>
      <c r="NAA35" s="624"/>
      <c r="NAB35" s="624"/>
      <c r="NAC35" s="624"/>
      <c r="NAD35" s="624"/>
      <c r="NAE35" s="624"/>
      <c r="NAF35" s="624"/>
      <c r="NAG35" s="624"/>
      <c r="NAH35" s="624"/>
      <c r="NAI35" s="624"/>
      <c r="NAJ35" s="624"/>
      <c r="NAK35" s="624"/>
      <c r="NAL35" s="624"/>
      <c r="NAM35" s="624"/>
      <c r="NAN35" s="624"/>
      <c r="NAO35" s="624"/>
      <c r="NAP35" s="624"/>
      <c r="NAQ35" s="624"/>
      <c r="NAR35" s="624"/>
      <c r="NAS35" s="624"/>
      <c r="NAT35" s="624"/>
      <c r="NAU35" s="624"/>
      <c r="NAV35" s="624"/>
      <c r="NAW35" s="624"/>
      <c r="NAX35" s="624"/>
      <c r="NAY35" s="624"/>
      <c r="NAZ35" s="624"/>
      <c r="NBA35" s="624"/>
      <c r="NBB35" s="624"/>
      <c r="NBC35" s="624"/>
      <c r="NBD35" s="624"/>
      <c r="NBE35" s="624"/>
      <c r="NBF35" s="624"/>
      <c r="NBG35" s="624"/>
      <c r="NBH35" s="624"/>
      <c r="NBI35" s="624"/>
      <c r="NBJ35" s="624"/>
      <c r="NBK35" s="624"/>
      <c r="NBL35" s="624"/>
      <c r="NBM35" s="624"/>
      <c r="NBN35" s="624"/>
      <c r="NBO35" s="624"/>
      <c r="NBP35" s="624"/>
      <c r="NBQ35" s="624"/>
      <c r="NBR35" s="624"/>
      <c r="NBS35" s="624"/>
      <c r="NBT35" s="624"/>
      <c r="NBU35" s="624"/>
      <c r="NBV35" s="624"/>
      <c r="NBW35" s="624"/>
      <c r="NBX35" s="624"/>
      <c r="NBY35" s="624"/>
      <c r="NBZ35" s="624"/>
      <c r="NCA35" s="624"/>
      <c r="NCB35" s="624"/>
      <c r="NCC35" s="624"/>
      <c r="NCD35" s="624"/>
      <c r="NCE35" s="624"/>
      <c r="NCF35" s="624"/>
      <c r="NCG35" s="624"/>
      <c r="NCH35" s="624"/>
      <c r="NCI35" s="624"/>
      <c r="NCJ35" s="624"/>
      <c r="NCK35" s="624"/>
      <c r="NCL35" s="624"/>
      <c r="NCM35" s="624"/>
      <c r="NCN35" s="624"/>
      <c r="NCO35" s="624"/>
      <c r="NCP35" s="624"/>
      <c r="NCQ35" s="624"/>
      <c r="NCR35" s="624"/>
      <c r="NCS35" s="624"/>
      <c r="NCT35" s="624"/>
      <c r="NCU35" s="624"/>
      <c r="NCV35" s="624"/>
      <c r="NCW35" s="624"/>
      <c r="NCX35" s="624"/>
      <c r="NCY35" s="624"/>
      <c r="NCZ35" s="624"/>
      <c r="NDA35" s="624"/>
      <c r="NDB35" s="624"/>
      <c r="NDC35" s="624"/>
      <c r="NDD35" s="624"/>
      <c r="NDE35" s="624"/>
      <c r="NDF35" s="624"/>
      <c r="NDG35" s="624"/>
      <c r="NDH35" s="624"/>
      <c r="NDI35" s="624"/>
      <c r="NDJ35" s="624"/>
      <c r="NDK35" s="624"/>
      <c r="NDL35" s="624"/>
      <c r="NDM35" s="624"/>
      <c r="NDN35" s="624"/>
      <c r="NDO35" s="624"/>
      <c r="NDP35" s="624"/>
      <c r="NDQ35" s="624"/>
      <c r="NDR35" s="624"/>
      <c r="NDS35" s="624"/>
      <c r="NDT35" s="624"/>
      <c r="NDU35" s="624"/>
      <c r="NDV35" s="624"/>
      <c r="NDW35" s="624"/>
      <c r="NDX35" s="624"/>
      <c r="NDY35" s="624"/>
      <c r="NDZ35" s="624"/>
      <c r="NEA35" s="624"/>
      <c r="NEB35" s="624"/>
      <c r="NEC35" s="624"/>
      <c r="NED35" s="624"/>
      <c r="NEE35" s="624"/>
      <c r="NEF35" s="624"/>
      <c r="NEG35" s="624"/>
      <c r="NEH35" s="624"/>
      <c r="NEI35" s="624"/>
      <c r="NEJ35" s="624"/>
      <c r="NEK35" s="624"/>
      <c r="NEL35" s="624"/>
      <c r="NEM35" s="624"/>
      <c r="NEN35" s="624"/>
      <c r="NEO35" s="624"/>
      <c r="NEP35" s="624"/>
      <c r="NEQ35" s="624"/>
      <c r="NER35" s="624"/>
      <c r="NES35" s="624"/>
      <c r="NET35" s="624"/>
      <c r="NEU35" s="624"/>
      <c r="NEV35" s="624"/>
      <c r="NEW35" s="624"/>
      <c r="NEX35" s="624"/>
      <c r="NEY35" s="624"/>
      <c r="NEZ35" s="624"/>
      <c r="NFA35" s="624"/>
      <c r="NFB35" s="624"/>
      <c r="NFC35" s="624"/>
      <c r="NFD35" s="624"/>
      <c r="NFE35" s="624"/>
      <c r="NFF35" s="624"/>
      <c r="NFG35" s="624"/>
      <c r="NFH35" s="624"/>
      <c r="NFI35" s="624"/>
      <c r="NFJ35" s="624"/>
      <c r="NFK35" s="624"/>
      <c r="NFL35" s="624"/>
      <c r="NFM35" s="624"/>
      <c r="NFN35" s="624"/>
      <c r="NFO35" s="624"/>
      <c r="NFP35" s="624"/>
      <c r="NFQ35" s="624"/>
      <c r="NFR35" s="624"/>
      <c r="NFS35" s="624"/>
      <c r="NFT35" s="624"/>
      <c r="NFU35" s="624"/>
      <c r="NFV35" s="624"/>
      <c r="NFW35" s="624"/>
      <c r="NFX35" s="624"/>
      <c r="NFY35" s="624"/>
      <c r="NFZ35" s="624"/>
      <c r="NGA35" s="624"/>
      <c r="NGB35" s="624"/>
      <c r="NGC35" s="624"/>
      <c r="NGD35" s="624"/>
      <c r="NGE35" s="624"/>
      <c r="NGF35" s="624"/>
      <c r="NGG35" s="624"/>
      <c r="NGH35" s="624"/>
      <c r="NGI35" s="624"/>
      <c r="NGJ35" s="624"/>
      <c r="NGK35" s="624"/>
      <c r="NGL35" s="624"/>
      <c r="NGM35" s="624"/>
      <c r="NGN35" s="624"/>
      <c r="NGO35" s="624"/>
      <c r="NGP35" s="624"/>
      <c r="NGQ35" s="624"/>
      <c r="NGR35" s="624"/>
      <c r="NGS35" s="624"/>
      <c r="NGT35" s="624"/>
      <c r="NGU35" s="624"/>
      <c r="NGV35" s="624"/>
      <c r="NGW35" s="624"/>
      <c r="NGX35" s="624"/>
      <c r="NGY35" s="624"/>
      <c r="NGZ35" s="624"/>
      <c r="NHA35" s="624"/>
      <c r="NHB35" s="624"/>
      <c r="NHC35" s="624"/>
      <c r="NHD35" s="624"/>
      <c r="NHE35" s="624"/>
      <c r="NHF35" s="624"/>
      <c r="NHG35" s="624"/>
      <c r="NHH35" s="624"/>
      <c r="NHI35" s="624"/>
      <c r="NHJ35" s="624"/>
      <c r="NHK35" s="624"/>
      <c r="NHL35" s="624"/>
      <c r="NHM35" s="624"/>
      <c r="NHN35" s="624"/>
      <c r="NHO35" s="624"/>
      <c r="NHP35" s="624"/>
      <c r="NHQ35" s="624"/>
      <c r="NHR35" s="624"/>
      <c r="NHS35" s="624"/>
      <c r="NHT35" s="624"/>
      <c r="NHU35" s="624"/>
      <c r="NHV35" s="624"/>
      <c r="NHW35" s="624"/>
      <c r="NHX35" s="624"/>
      <c r="NHY35" s="624"/>
      <c r="NHZ35" s="624"/>
      <c r="NIA35" s="624"/>
      <c r="NIB35" s="624"/>
      <c r="NIC35" s="624"/>
      <c r="NID35" s="624"/>
      <c r="NIE35" s="624"/>
      <c r="NIF35" s="624"/>
      <c r="NIG35" s="624"/>
      <c r="NIH35" s="624"/>
      <c r="NII35" s="624"/>
      <c r="NIJ35" s="624"/>
      <c r="NIK35" s="624"/>
      <c r="NIL35" s="624"/>
      <c r="NIM35" s="624"/>
      <c r="NIN35" s="624"/>
      <c r="NIO35" s="624"/>
      <c r="NIP35" s="624"/>
      <c r="NIQ35" s="624"/>
      <c r="NIR35" s="624"/>
      <c r="NIS35" s="624"/>
      <c r="NIT35" s="624"/>
      <c r="NIU35" s="624"/>
      <c r="NIV35" s="624"/>
      <c r="NIW35" s="624"/>
      <c r="NIX35" s="624"/>
      <c r="NIY35" s="624"/>
      <c r="NIZ35" s="624"/>
      <c r="NJA35" s="624"/>
      <c r="NJB35" s="624"/>
      <c r="NJC35" s="624"/>
      <c r="NJD35" s="624"/>
      <c r="NJE35" s="624"/>
      <c r="NJF35" s="624"/>
      <c r="NJG35" s="624"/>
      <c r="NJH35" s="624"/>
      <c r="NJI35" s="624"/>
      <c r="NJJ35" s="624"/>
      <c r="NJK35" s="624"/>
      <c r="NJL35" s="624"/>
      <c r="NJM35" s="624"/>
      <c r="NJN35" s="624"/>
      <c r="NJO35" s="624"/>
      <c r="NJP35" s="624"/>
      <c r="NJQ35" s="624"/>
      <c r="NJR35" s="624"/>
      <c r="NJS35" s="624"/>
      <c r="NJT35" s="624"/>
      <c r="NJU35" s="624"/>
      <c r="NJV35" s="624"/>
      <c r="NJW35" s="624"/>
      <c r="NJX35" s="624"/>
      <c r="NJY35" s="624"/>
      <c r="NJZ35" s="624"/>
      <c r="NKA35" s="624"/>
      <c r="NKB35" s="624"/>
      <c r="NKC35" s="624"/>
      <c r="NKD35" s="624"/>
      <c r="NKE35" s="624"/>
      <c r="NKF35" s="624"/>
      <c r="NKG35" s="624"/>
      <c r="NKH35" s="624"/>
      <c r="NKI35" s="624"/>
      <c r="NKJ35" s="624"/>
      <c r="NKK35" s="624"/>
      <c r="NKL35" s="624"/>
      <c r="NKM35" s="624"/>
      <c r="NKN35" s="624"/>
      <c r="NKO35" s="624"/>
      <c r="NKP35" s="624"/>
      <c r="NKQ35" s="624"/>
      <c r="NKR35" s="624"/>
      <c r="NKS35" s="624"/>
      <c r="NKT35" s="624"/>
      <c r="NKU35" s="624"/>
      <c r="NKV35" s="624"/>
      <c r="NKW35" s="624"/>
      <c r="NKX35" s="624"/>
      <c r="NKY35" s="624"/>
      <c r="NKZ35" s="624"/>
      <c r="NLA35" s="624"/>
      <c r="NLB35" s="624"/>
      <c r="NLC35" s="624"/>
      <c r="NLD35" s="624"/>
      <c r="NLE35" s="624"/>
      <c r="NLF35" s="624"/>
      <c r="NLG35" s="624"/>
      <c r="NLH35" s="624"/>
      <c r="NLI35" s="624"/>
      <c r="NLJ35" s="624"/>
      <c r="NLK35" s="624"/>
      <c r="NLL35" s="624"/>
      <c r="NLM35" s="624"/>
      <c r="NLN35" s="624"/>
      <c r="NLO35" s="624"/>
      <c r="NLP35" s="624"/>
      <c r="NLQ35" s="624"/>
      <c r="NLR35" s="624"/>
      <c r="NLS35" s="624"/>
      <c r="NLT35" s="624"/>
      <c r="NLU35" s="624"/>
      <c r="NLV35" s="624"/>
      <c r="NLW35" s="624"/>
      <c r="NLX35" s="624"/>
      <c r="NLY35" s="624"/>
      <c r="NLZ35" s="624"/>
      <c r="NMA35" s="624"/>
      <c r="NMB35" s="624"/>
      <c r="NMC35" s="624"/>
      <c r="NMD35" s="624"/>
      <c r="NME35" s="624"/>
      <c r="NMF35" s="624"/>
      <c r="NMG35" s="624"/>
      <c r="NMH35" s="624"/>
      <c r="NMI35" s="624"/>
      <c r="NMJ35" s="624"/>
      <c r="NMK35" s="624"/>
      <c r="NML35" s="624"/>
      <c r="NMM35" s="624"/>
      <c r="NMN35" s="624"/>
      <c r="NMO35" s="624"/>
      <c r="NMP35" s="624"/>
      <c r="NMQ35" s="624"/>
      <c r="NMR35" s="624"/>
      <c r="NMS35" s="624"/>
      <c r="NMT35" s="624"/>
      <c r="NMU35" s="624"/>
      <c r="NMV35" s="624"/>
      <c r="NMW35" s="624"/>
      <c r="NMX35" s="624"/>
      <c r="NMY35" s="624"/>
      <c r="NMZ35" s="624"/>
      <c r="NNA35" s="624"/>
      <c r="NNB35" s="624"/>
      <c r="NNC35" s="624"/>
      <c r="NND35" s="624"/>
      <c r="NNE35" s="624"/>
      <c r="NNF35" s="624"/>
      <c r="NNG35" s="624"/>
      <c r="NNH35" s="624"/>
      <c r="NNI35" s="624"/>
      <c r="NNJ35" s="624"/>
      <c r="NNK35" s="624"/>
      <c r="NNL35" s="624"/>
      <c r="NNM35" s="624"/>
      <c r="NNN35" s="624"/>
      <c r="NNO35" s="624"/>
      <c r="NNP35" s="624"/>
      <c r="NNQ35" s="624"/>
      <c r="NNR35" s="624"/>
      <c r="NNS35" s="624"/>
      <c r="NNT35" s="624"/>
      <c r="NNU35" s="624"/>
      <c r="NNV35" s="624"/>
      <c r="NNW35" s="624"/>
      <c r="NNX35" s="624"/>
      <c r="NNY35" s="624"/>
      <c r="NNZ35" s="624"/>
      <c r="NOA35" s="624"/>
      <c r="NOB35" s="624"/>
      <c r="NOC35" s="624"/>
      <c r="NOD35" s="624"/>
      <c r="NOE35" s="624"/>
      <c r="NOF35" s="624"/>
      <c r="NOG35" s="624"/>
      <c r="NOH35" s="624"/>
      <c r="NOI35" s="624"/>
      <c r="NOJ35" s="624"/>
      <c r="NOK35" s="624"/>
      <c r="NOL35" s="624"/>
      <c r="NOM35" s="624"/>
      <c r="NON35" s="624"/>
      <c r="NOO35" s="624"/>
      <c r="NOP35" s="624"/>
      <c r="NOQ35" s="624"/>
      <c r="NOR35" s="624"/>
      <c r="NOS35" s="624"/>
      <c r="NOT35" s="624"/>
      <c r="NOU35" s="624"/>
      <c r="NOV35" s="624"/>
      <c r="NOW35" s="624"/>
      <c r="NOX35" s="624"/>
      <c r="NOY35" s="624"/>
      <c r="NOZ35" s="624"/>
      <c r="NPA35" s="624"/>
      <c r="NPB35" s="624"/>
      <c r="NPC35" s="624"/>
      <c r="NPD35" s="624"/>
      <c r="NPE35" s="624"/>
      <c r="NPF35" s="624"/>
      <c r="NPG35" s="624"/>
      <c r="NPH35" s="624"/>
      <c r="NPI35" s="624"/>
      <c r="NPJ35" s="624"/>
      <c r="NPK35" s="624"/>
      <c r="NPL35" s="624"/>
      <c r="NPM35" s="624"/>
      <c r="NPN35" s="624"/>
      <c r="NPO35" s="624"/>
      <c r="NPP35" s="624"/>
      <c r="NPQ35" s="624"/>
      <c r="NPR35" s="624"/>
      <c r="NPS35" s="624"/>
      <c r="NPT35" s="624"/>
      <c r="NPU35" s="624"/>
      <c r="NPV35" s="624"/>
      <c r="NPW35" s="624"/>
      <c r="NPX35" s="624"/>
      <c r="NPY35" s="624"/>
      <c r="NPZ35" s="624"/>
      <c r="NQA35" s="624"/>
      <c r="NQB35" s="624"/>
      <c r="NQC35" s="624"/>
      <c r="NQD35" s="624"/>
      <c r="NQE35" s="624"/>
      <c r="NQF35" s="624"/>
      <c r="NQG35" s="624"/>
      <c r="NQH35" s="624"/>
      <c r="NQI35" s="624"/>
      <c r="NQJ35" s="624"/>
      <c r="NQK35" s="624"/>
      <c r="NQL35" s="624"/>
      <c r="NQM35" s="624"/>
      <c r="NQN35" s="624"/>
      <c r="NQO35" s="624"/>
      <c r="NQP35" s="624"/>
      <c r="NQQ35" s="624"/>
      <c r="NQR35" s="624"/>
      <c r="NQS35" s="624"/>
      <c r="NQT35" s="624"/>
      <c r="NQU35" s="624"/>
      <c r="NQV35" s="624"/>
      <c r="NQW35" s="624"/>
      <c r="NQX35" s="624"/>
      <c r="NQY35" s="624"/>
      <c r="NQZ35" s="624"/>
      <c r="NRA35" s="624"/>
      <c r="NRB35" s="624"/>
      <c r="NRC35" s="624"/>
      <c r="NRD35" s="624"/>
      <c r="NRE35" s="624"/>
      <c r="NRF35" s="624"/>
      <c r="NRG35" s="624"/>
      <c r="NRH35" s="624"/>
      <c r="NRI35" s="624"/>
      <c r="NRJ35" s="624"/>
      <c r="NRK35" s="624"/>
      <c r="NRL35" s="624"/>
      <c r="NRM35" s="624"/>
      <c r="NRN35" s="624"/>
      <c r="NRO35" s="624"/>
      <c r="NRP35" s="624"/>
      <c r="NRQ35" s="624"/>
      <c r="NRR35" s="624"/>
      <c r="NRS35" s="624"/>
      <c r="NRT35" s="624"/>
      <c r="NRU35" s="624"/>
      <c r="NRV35" s="624"/>
      <c r="NRW35" s="624"/>
      <c r="NRX35" s="624"/>
      <c r="NRY35" s="624"/>
      <c r="NRZ35" s="624"/>
      <c r="NSA35" s="624"/>
      <c r="NSB35" s="624"/>
      <c r="NSC35" s="624"/>
      <c r="NSD35" s="624"/>
      <c r="NSE35" s="624"/>
      <c r="NSF35" s="624"/>
      <c r="NSG35" s="624"/>
      <c r="NSH35" s="624"/>
      <c r="NSI35" s="624"/>
      <c r="NSJ35" s="624"/>
      <c r="NSK35" s="624"/>
      <c r="NSL35" s="624"/>
      <c r="NSM35" s="624"/>
      <c r="NSN35" s="624"/>
      <c r="NSO35" s="624"/>
      <c r="NSP35" s="624"/>
      <c r="NSQ35" s="624"/>
      <c r="NSR35" s="624"/>
      <c r="NSS35" s="624"/>
      <c r="NST35" s="624"/>
      <c r="NSU35" s="624"/>
      <c r="NSV35" s="624"/>
      <c r="NSW35" s="624"/>
      <c r="NSX35" s="624"/>
      <c r="NSY35" s="624"/>
      <c r="NSZ35" s="624"/>
      <c r="NTA35" s="624"/>
      <c r="NTB35" s="624"/>
      <c r="NTC35" s="624"/>
      <c r="NTD35" s="624"/>
      <c r="NTE35" s="624"/>
      <c r="NTF35" s="624"/>
      <c r="NTG35" s="624"/>
      <c r="NTH35" s="624"/>
      <c r="NTI35" s="624"/>
      <c r="NTJ35" s="624"/>
      <c r="NTK35" s="624"/>
      <c r="NTL35" s="624"/>
      <c r="NTM35" s="624"/>
      <c r="NTN35" s="624"/>
      <c r="NTO35" s="624"/>
      <c r="NTP35" s="624"/>
      <c r="NTQ35" s="624"/>
      <c r="NTR35" s="624"/>
      <c r="NTS35" s="624"/>
      <c r="NTT35" s="624"/>
      <c r="NTU35" s="624"/>
      <c r="NTV35" s="624"/>
      <c r="NTW35" s="624"/>
      <c r="NTX35" s="624"/>
      <c r="NTY35" s="624"/>
      <c r="NTZ35" s="624"/>
      <c r="NUA35" s="624"/>
      <c r="NUB35" s="624"/>
      <c r="NUC35" s="624"/>
      <c r="NUD35" s="624"/>
      <c r="NUE35" s="624"/>
      <c r="NUF35" s="624"/>
      <c r="NUG35" s="624"/>
      <c r="NUH35" s="624"/>
      <c r="NUI35" s="624"/>
      <c r="NUJ35" s="624"/>
      <c r="NUK35" s="624"/>
      <c r="NUL35" s="624"/>
      <c r="NUM35" s="624"/>
      <c r="NUN35" s="624"/>
      <c r="NUO35" s="624"/>
      <c r="NUP35" s="624"/>
      <c r="NUQ35" s="624"/>
      <c r="NUR35" s="624"/>
      <c r="NUS35" s="624"/>
      <c r="NUT35" s="624"/>
      <c r="NUU35" s="624"/>
      <c r="NUV35" s="624"/>
      <c r="NUW35" s="624"/>
      <c r="NUX35" s="624"/>
      <c r="NUY35" s="624"/>
      <c r="NUZ35" s="624"/>
      <c r="NVA35" s="624"/>
      <c r="NVB35" s="624"/>
      <c r="NVC35" s="624"/>
      <c r="NVD35" s="624"/>
      <c r="NVE35" s="624"/>
      <c r="NVF35" s="624"/>
      <c r="NVG35" s="624"/>
      <c r="NVH35" s="624"/>
      <c r="NVI35" s="624"/>
      <c r="NVJ35" s="624"/>
      <c r="NVK35" s="624"/>
      <c r="NVL35" s="624"/>
      <c r="NVM35" s="624"/>
      <c r="NVN35" s="624"/>
      <c r="NVO35" s="624"/>
      <c r="NVP35" s="624"/>
      <c r="NVQ35" s="624"/>
      <c r="NVR35" s="624"/>
      <c r="NVS35" s="624"/>
      <c r="NVT35" s="624"/>
      <c r="NVU35" s="624"/>
      <c r="NVV35" s="624"/>
      <c r="NVW35" s="624"/>
      <c r="NVX35" s="624"/>
      <c r="NVY35" s="624"/>
      <c r="NVZ35" s="624"/>
      <c r="NWA35" s="624"/>
      <c r="NWB35" s="624"/>
      <c r="NWC35" s="624"/>
      <c r="NWD35" s="624"/>
      <c r="NWE35" s="624"/>
      <c r="NWF35" s="624"/>
      <c r="NWG35" s="624"/>
      <c r="NWH35" s="624"/>
      <c r="NWI35" s="624"/>
      <c r="NWJ35" s="624"/>
      <c r="NWK35" s="624"/>
      <c r="NWL35" s="624"/>
      <c r="NWM35" s="624"/>
      <c r="NWN35" s="624"/>
      <c r="NWO35" s="624"/>
      <c r="NWP35" s="624"/>
      <c r="NWQ35" s="624"/>
      <c r="NWR35" s="624"/>
      <c r="NWS35" s="624"/>
      <c r="NWT35" s="624"/>
      <c r="NWU35" s="624"/>
      <c r="NWV35" s="624"/>
      <c r="NWW35" s="624"/>
      <c r="NWX35" s="624"/>
      <c r="NWY35" s="624"/>
      <c r="NWZ35" s="624"/>
      <c r="NXA35" s="624"/>
      <c r="NXB35" s="624"/>
      <c r="NXC35" s="624"/>
      <c r="NXD35" s="624"/>
      <c r="NXE35" s="624"/>
      <c r="NXF35" s="624"/>
      <c r="NXG35" s="624"/>
      <c r="NXH35" s="624"/>
      <c r="NXI35" s="624"/>
      <c r="NXJ35" s="624"/>
      <c r="NXK35" s="624"/>
      <c r="NXL35" s="624"/>
      <c r="NXM35" s="624"/>
      <c r="NXN35" s="624"/>
      <c r="NXO35" s="624"/>
      <c r="NXP35" s="624"/>
      <c r="NXQ35" s="624"/>
      <c r="NXR35" s="624"/>
      <c r="NXS35" s="624"/>
      <c r="NXT35" s="624"/>
      <c r="NXU35" s="624"/>
      <c r="NXV35" s="624"/>
      <c r="NXW35" s="624"/>
      <c r="NXX35" s="624"/>
      <c r="NXY35" s="624"/>
      <c r="NXZ35" s="624"/>
      <c r="NYA35" s="624"/>
      <c r="NYB35" s="624"/>
      <c r="NYC35" s="624"/>
      <c r="NYD35" s="624"/>
      <c r="NYE35" s="624"/>
      <c r="NYF35" s="624"/>
      <c r="NYG35" s="624"/>
      <c r="NYH35" s="624"/>
      <c r="NYI35" s="624"/>
      <c r="NYJ35" s="624"/>
      <c r="NYK35" s="624"/>
      <c r="NYL35" s="624"/>
      <c r="NYM35" s="624"/>
      <c r="NYN35" s="624"/>
      <c r="NYO35" s="624"/>
      <c r="NYP35" s="624"/>
      <c r="NYQ35" s="624"/>
      <c r="NYR35" s="624"/>
      <c r="NYS35" s="624"/>
      <c r="NYT35" s="624"/>
      <c r="NYU35" s="624"/>
      <c r="NYV35" s="624"/>
      <c r="NYW35" s="624"/>
      <c r="NYX35" s="624"/>
      <c r="NYY35" s="624"/>
      <c r="NYZ35" s="624"/>
      <c r="NZA35" s="624"/>
      <c r="NZB35" s="624"/>
      <c r="NZC35" s="624"/>
      <c r="NZD35" s="624"/>
      <c r="NZE35" s="624"/>
      <c r="NZF35" s="624"/>
      <c r="NZG35" s="624"/>
      <c r="NZH35" s="624"/>
      <c r="NZI35" s="624"/>
      <c r="NZJ35" s="624"/>
      <c r="NZK35" s="624"/>
      <c r="NZL35" s="624"/>
      <c r="NZM35" s="624"/>
      <c r="NZN35" s="624"/>
      <c r="NZO35" s="624"/>
      <c r="NZP35" s="624"/>
      <c r="NZQ35" s="624"/>
      <c r="NZR35" s="624"/>
      <c r="NZS35" s="624"/>
      <c r="NZT35" s="624"/>
      <c r="NZU35" s="624"/>
      <c r="NZV35" s="624"/>
      <c r="NZW35" s="624"/>
      <c r="NZX35" s="624"/>
      <c r="NZY35" s="624"/>
      <c r="NZZ35" s="624"/>
      <c r="OAA35" s="624"/>
      <c r="OAB35" s="624"/>
      <c r="OAC35" s="624"/>
      <c r="OAD35" s="624"/>
      <c r="OAE35" s="624"/>
      <c r="OAF35" s="624"/>
      <c r="OAG35" s="624"/>
      <c r="OAH35" s="624"/>
      <c r="OAI35" s="624"/>
      <c r="OAJ35" s="624"/>
      <c r="OAK35" s="624"/>
      <c r="OAL35" s="624"/>
      <c r="OAM35" s="624"/>
      <c r="OAN35" s="624"/>
      <c r="OAO35" s="624"/>
      <c r="OAP35" s="624"/>
      <c r="OAQ35" s="624"/>
      <c r="OAR35" s="624"/>
      <c r="OAS35" s="624"/>
      <c r="OAT35" s="624"/>
      <c r="OAU35" s="624"/>
      <c r="OAV35" s="624"/>
      <c r="OAW35" s="624"/>
      <c r="OAX35" s="624"/>
      <c r="OAY35" s="624"/>
      <c r="OAZ35" s="624"/>
      <c r="OBA35" s="624"/>
      <c r="OBB35" s="624"/>
      <c r="OBC35" s="624"/>
      <c r="OBD35" s="624"/>
      <c r="OBE35" s="624"/>
      <c r="OBF35" s="624"/>
      <c r="OBG35" s="624"/>
      <c r="OBH35" s="624"/>
      <c r="OBI35" s="624"/>
      <c r="OBJ35" s="624"/>
      <c r="OBK35" s="624"/>
      <c r="OBL35" s="624"/>
      <c r="OBM35" s="624"/>
      <c r="OBN35" s="624"/>
      <c r="OBO35" s="624"/>
      <c r="OBP35" s="624"/>
      <c r="OBQ35" s="624"/>
      <c r="OBR35" s="624"/>
      <c r="OBS35" s="624"/>
      <c r="OBT35" s="624"/>
      <c r="OBU35" s="624"/>
      <c r="OBV35" s="624"/>
      <c r="OBW35" s="624"/>
      <c r="OBX35" s="624"/>
      <c r="OBY35" s="624"/>
      <c r="OBZ35" s="624"/>
      <c r="OCA35" s="624"/>
      <c r="OCB35" s="624"/>
      <c r="OCC35" s="624"/>
      <c r="OCD35" s="624"/>
      <c r="OCE35" s="624"/>
      <c r="OCF35" s="624"/>
      <c r="OCG35" s="624"/>
      <c r="OCH35" s="624"/>
      <c r="OCI35" s="624"/>
      <c r="OCJ35" s="624"/>
      <c r="OCK35" s="624"/>
      <c r="OCL35" s="624"/>
      <c r="OCM35" s="624"/>
      <c r="OCN35" s="624"/>
      <c r="OCO35" s="624"/>
      <c r="OCP35" s="624"/>
      <c r="OCQ35" s="624"/>
      <c r="OCR35" s="624"/>
      <c r="OCS35" s="624"/>
      <c r="OCT35" s="624"/>
      <c r="OCU35" s="624"/>
      <c r="OCV35" s="624"/>
      <c r="OCW35" s="624"/>
      <c r="OCX35" s="624"/>
      <c r="OCY35" s="624"/>
      <c r="OCZ35" s="624"/>
      <c r="ODA35" s="624"/>
      <c r="ODB35" s="624"/>
      <c r="ODC35" s="624"/>
      <c r="ODD35" s="624"/>
      <c r="ODE35" s="624"/>
      <c r="ODF35" s="624"/>
      <c r="ODG35" s="624"/>
      <c r="ODH35" s="624"/>
      <c r="ODI35" s="624"/>
      <c r="ODJ35" s="624"/>
      <c r="ODK35" s="624"/>
      <c r="ODL35" s="624"/>
      <c r="ODM35" s="624"/>
      <c r="ODN35" s="624"/>
      <c r="ODO35" s="624"/>
      <c r="ODP35" s="624"/>
      <c r="ODQ35" s="624"/>
      <c r="ODR35" s="624"/>
      <c r="ODS35" s="624"/>
      <c r="ODT35" s="624"/>
      <c r="ODU35" s="624"/>
      <c r="ODV35" s="624"/>
      <c r="ODW35" s="624"/>
      <c r="ODX35" s="624"/>
      <c r="ODY35" s="624"/>
      <c r="ODZ35" s="624"/>
      <c r="OEA35" s="624"/>
      <c r="OEB35" s="624"/>
      <c r="OEC35" s="624"/>
      <c r="OED35" s="624"/>
      <c r="OEE35" s="624"/>
      <c r="OEF35" s="624"/>
      <c r="OEG35" s="624"/>
      <c r="OEH35" s="624"/>
      <c r="OEI35" s="624"/>
      <c r="OEJ35" s="624"/>
      <c r="OEK35" s="624"/>
      <c r="OEL35" s="624"/>
      <c r="OEM35" s="624"/>
      <c r="OEN35" s="624"/>
      <c r="OEO35" s="624"/>
      <c r="OEP35" s="624"/>
      <c r="OEQ35" s="624"/>
      <c r="OER35" s="624"/>
      <c r="OES35" s="624"/>
      <c r="OET35" s="624"/>
      <c r="OEU35" s="624"/>
      <c r="OEV35" s="624"/>
      <c r="OEW35" s="624"/>
      <c r="OEX35" s="624"/>
      <c r="OEY35" s="624"/>
      <c r="OEZ35" s="624"/>
      <c r="OFA35" s="624"/>
      <c r="OFB35" s="624"/>
      <c r="OFC35" s="624"/>
      <c r="OFD35" s="624"/>
      <c r="OFE35" s="624"/>
      <c r="OFF35" s="624"/>
      <c r="OFG35" s="624"/>
      <c r="OFH35" s="624"/>
      <c r="OFI35" s="624"/>
      <c r="OFJ35" s="624"/>
      <c r="OFK35" s="624"/>
      <c r="OFL35" s="624"/>
      <c r="OFM35" s="624"/>
      <c r="OFN35" s="624"/>
      <c r="OFO35" s="624"/>
      <c r="OFP35" s="624"/>
      <c r="OFQ35" s="624"/>
      <c r="OFR35" s="624"/>
      <c r="OFS35" s="624"/>
      <c r="OFT35" s="624"/>
      <c r="OFU35" s="624"/>
      <c r="OFV35" s="624"/>
      <c r="OFW35" s="624"/>
      <c r="OFX35" s="624"/>
      <c r="OFY35" s="624"/>
      <c r="OFZ35" s="624"/>
      <c r="OGA35" s="624"/>
      <c r="OGB35" s="624"/>
      <c r="OGC35" s="624"/>
      <c r="OGD35" s="624"/>
      <c r="OGE35" s="624"/>
      <c r="OGF35" s="624"/>
      <c r="OGG35" s="624"/>
      <c r="OGH35" s="624"/>
      <c r="OGI35" s="624"/>
      <c r="OGJ35" s="624"/>
      <c r="OGK35" s="624"/>
      <c r="OGL35" s="624"/>
      <c r="OGM35" s="624"/>
      <c r="OGN35" s="624"/>
      <c r="OGO35" s="624"/>
      <c r="OGP35" s="624"/>
      <c r="OGQ35" s="624"/>
      <c r="OGR35" s="624"/>
      <c r="OGS35" s="624"/>
      <c r="OGT35" s="624"/>
      <c r="OGU35" s="624"/>
      <c r="OGV35" s="624"/>
      <c r="OGW35" s="624"/>
      <c r="OGX35" s="624"/>
      <c r="OGY35" s="624"/>
      <c r="OGZ35" s="624"/>
      <c r="OHA35" s="624"/>
      <c r="OHB35" s="624"/>
      <c r="OHC35" s="624"/>
      <c r="OHD35" s="624"/>
      <c r="OHE35" s="624"/>
      <c r="OHF35" s="624"/>
      <c r="OHG35" s="624"/>
      <c r="OHH35" s="624"/>
      <c r="OHI35" s="624"/>
      <c r="OHJ35" s="624"/>
      <c r="OHK35" s="624"/>
      <c r="OHL35" s="624"/>
      <c r="OHM35" s="624"/>
      <c r="OHN35" s="624"/>
      <c r="OHO35" s="624"/>
      <c r="OHP35" s="624"/>
      <c r="OHQ35" s="624"/>
      <c r="OHR35" s="624"/>
      <c r="OHS35" s="624"/>
      <c r="OHT35" s="624"/>
      <c r="OHU35" s="624"/>
      <c r="OHV35" s="624"/>
      <c r="OHW35" s="624"/>
      <c r="OHX35" s="624"/>
      <c r="OHY35" s="624"/>
      <c r="OHZ35" s="624"/>
      <c r="OIA35" s="624"/>
      <c r="OIB35" s="624"/>
      <c r="OIC35" s="624"/>
      <c r="OID35" s="624"/>
      <c r="OIE35" s="624"/>
      <c r="OIF35" s="624"/>
      <c r="OIG35" s="624"/>
      <c r="OIH35" s="624"/>
      <c r="OII35" s="624"/>
      <c r="OIJ35" s="624"/>
      <c r="OIK35" s="624"/>
      <c r="OIL35" s="624"/>
      <c r="OIM35" s="624"/>
      <c r="OIN35" s="624"/>
      <c r="OIO35" s="624"/>
      <c r="OIP35" s="624"/>
      <c r="OIQ35" s="624"/>
      <c r="OIR35" s="624"/>
      <c r="OIS35" s="624"/>
      <c r="OIT35" s="624"/>
      <c r="OIU35" s="624"/>
      <c r="OIV35" s="624"/>
      <c r="OIW35" s="624"/>
      <c r="OIX35" s="624"/>
      <c r="OIY35" s="624"/>
      <c r="OIZ35" s="624"/>
      <c r="OJA35" s="624"/>
      <c r="OJB35" s="624"/>
      <c r="OJC35" s="624"/>
      <c r="OJD35" s="624"/>
      <c r="OJE35" s="624"/>
      <c r="OJF35" s="624"/>
      <c r="OJG35" s="624"/>
      <c r="OJH35" s="624"/>
      <c r="OJI35" s="624"/>
      <c r="OJJ35" s="624"/>
      <c r="OJK35" s="624"/>
      <c r="OJL35" s="624"/>
      <c r="OJM35" s="624"/>
      <c r="OJN35" s="624"/>
      <c r="OJO35" s="624"/>
      <c r="OJP35" s="624"/>
      <c r="OJQ35" s="624"/>
      <c r="OJR35" s="624"/>
      <c r="OJS35" s="624"/>
      <c r="OJT35" s="624"/>
      <c r="OJU35" s="624"/>
      <c r="OJV35" s="624"/>
      <c r="OJW35" s="624"/>
      <c r="OJX35" s="624"/>
      <c r="OJY35" s="624"/>
      <c r="OJZ35" s="624"/>
      <c r="OKA35" s="624"/>
      <c r="OKB35" s="624"/>
      <c r="OKC35" s="624"/>
      <c r="OKD35" s="624"/>
      <c r="OKE35" s="624"/>
      <c r="OKF35" s="624"/>
      <c r="OKG35" s="624"/>
      <c r="OKH35" s="624"/>
      <c r="OKI35" s="624"/>
      <c r="OKJ35" s="624"/>
      <c r="OKK35" s="624"/>
      <c r="OKL35" s="624"/>
      <c r="OKM35" s="624"/>
      <c r="OKN35" s="624"/>
      <c r="OKO35" s="624"/>
      <c r="OKP35" s="624"/>
      <c r="OKQ35" s="624"/>
      <c r="OKR35" s="624"/>
      <c r="OKS35" s="624"/>
      <c r="OKT35" s="624"/>
      <c r="OKU35" s="624"/>
      <c r="OKV35" s="624"/>
      <c r="OKW35" s="624"/>
      <c r="OKX35" s="624"/>
      <c r="OKY35" s="624"/>
      <c r="OKZ35" s="624"/>
      <c r="OLA35" s="624"/>
      <c r="OLB35" s="624"/>
      <c r="OLC35" s="624"/>
      <c r="OLD35" s="624"/>
      <c r="OLE35" s="624"/>
      <c r="OLF35" s="624"/>
      <c r="OLG35" s="624"/>
      <c r="OLH35" s="624"/>
      <c r="OLI35" s="624"/>
      <c r="OLJ35" s="624"/>
      <c r="OLK35" s="624"/>
      <c r="OLL35" s="624"/>
      <c r="OLM35" s="624"/>
      <c r="OLN35" s="624"/>
      <c r="OLO35" s="624"/>
      <c r="OLP35" s="624"/>
      <c r="OLQ35" s="624"/>
      <c r="OLR35" s="624"/>
      <c r="OLS35" s="624"/>
      <c r="OLT35" s="624"/>
      <c r="OLU35" s="624"/>
      <c r="OLV35" s="624"/>
      <c r="OLW35" s="624"/>
      <c r="OLX35" s="624"/>
      <c r="OLY35" s="624"/>
      <c r="OLZ35" s="624"/>
      <c r="OMA35" s="624"/>
      <c r="OMB35" s="624"/>
      <c r="OMC35" s="624"/>
      <c r="OMD35" s="624"/>
      <c r="OME35" s="624"/>
      <c r="OMF35" s="624"/>
      <c r="OMG35" s="624"/>
      <c r="OMH35" s="624"/>
      <c r="OMI35" s="624"/>
      <c r="OMJ35" s="624"/>
      <c r="OMK35" s="624"/>
      <c r="OML35" s="624"/>
      <c r="OMM35" s="624"/>
      <c r="OMN35" s="624"/>
      <c r="OMO35" s="624"/>
      <c r="OMP35" s="624"/>
      <c r="OMQ35" s="624"/>
      <c r="OMR35" s="624"/>
      <c r="OMS35" s="624"/>
      <c r="OMT35" s="624"/>
      <c r="OMU35" s="624"/>
      <c r="OMV35" s="624"/>
      <c r="OMW35" s="624"/>
      <c r="OMX35" s="624"/>
      <c r="OMY35" s="624"/>
      <c r="OMZ35" s="624"/>
      <c r="ONA35" s="624"/>
      <c r="ONB35" s="624"/>
      <c r="ONC35" s="624"/>
      <c r="OND35" s="624"/>
      <c r="ONE35" s="624"/>
      <c r="ONF35" s="624"/>
      <c r="ONG35" s="624"/>
      <c r="ONH35" s="624"/>
      <c r="ONI35" s="624"/>
      <c r="ONJ35" s="624"/>
      <c r="ONK35" s="624"/>
      <c r="ONL35" s="624"/>
      <c r="ONM35" s="624"/>
      <c r="ONN35" s="624"/>
      <c r="ONO35" s="624"/>
      <c r="ONP35" s="624"/>
      <c r="ONQ35" s="624"/>
      <c r="ONR35" s="624"/>
      <c r="ONS35" s="624"/>
      <c r="ONT35" s="624"/>
      <c r="ONU35" s="624"/>
      <c r="ONV35" s="624"/>
      <c r="ONW35" s="624"/>
      <c r="ONX35" s="624"/>
      <c r="ONY35" s="624"/>
      <c r="ONZ35" s="624"/>
      <c r="OOA35" s="624"/>
      <c r="OOB35" s="624"/>
      <c r="OOC35" s="624"/>
      <c r="OOD35" s="624"/>
      <c r="OOE35" s="624"/>
      <c r="OOF35" s="624"/>
      <c r="OOG35" s="624"/>
      <c r="OOH35" s="624"/>
      <c r="OOI35" s="624"/>
      <c r="OOJ35" s="624"/>
      <c r="OOK35" s="624"/>
      <c r="OOL35" s="624"/>
      <c r="OOM35" s="624"/>
      <c r="OON35" s="624"/>
      <c r="OOO35" s="624"/>
      <c r="OOP35" s="624"/>
      <c r="OOQ35" s="624"/>
      <c r="OOR35" s="624"/>
      <c r="OOS35" s="624"/>
      <c r="OOT35" s="624"/>
      <c r="OOU35" s="624"/>
      <c r="OOV35" s="624"/>
      <c r="OOW35" s="624"/>
      <c r="OOX35" s="624"/>
      <c r="OOY35" s="624"/>
      <c r="OOZ35" s="624"/>
      <c r="OPA35" s="624"/>
      <c r="OPB35" s="624"/>
      <c r="OPC35" s="624"/>
      <c r="OPD35" s="624"/>
      <c r="OPE35" s="624"/>
      <c r="OPF35" s="624"/>
      <c r="OPG35" s="624"/>
      <c r="OPH35" s="624"/>
      <c r="OPI35" s="624"/>
      <c r="OPJ35" s="624"/>
      <c r="OPK35" s="624"/>
      <c r="OPL35" s="624"/>
      <c r="OPM35" s="624"/>
      <c r="OPN35" s="624"/>
      <c r="OPO35" s="624"/>
      <c r="OPP35" s="624"/>
      <c r="OPQ35" s="624"/>
      <c r="OPR35" s="624"/>
      <c r="OPS35" s="624"/>
      <c r="OPT35" s="624"/>
      <c r="OPU35" s="624"/>
      <c r="OPV35" s="624"/>
      <c r="OPW35" s="624"/>
      <c r="OPX35" s="624"/>
      <c r="OPY35" s="624"/>
      <c r="OPZ35" s="624"/>
      <c r="OQA35" s="624"/>
      <c r="OQB35" s="624"/>
      <c r="OQC35" s="624"/>
      <c r="OQD35" s="624"/>
      <c r="OQE35" s="624"/>
      <c r="OQF35" s="624"/>
      <c r="OQG35" s="624"/>
      <c r="OQH35" s="624"/>
      <c r="OQI35" s="624"/>
      <c r="OQJ35" s="624"/>
      <c r="OQK35" s="624"/>
      <c r="OQL35" s="624"/>
      <c r="OQM35" s="624"/>
      <c r="OQN35" s="624"/>
      <c r="OQO35" s="624"/>
      <c r="OQP35" s="624"/>
      <c r="OQQ35" s="624"/>
      <c r="OQR35" s="624"/>
      <c r="OQS35" s="624"/>
      <c r="OQT35" s="624"/>
      <c r="OQU35" s="624"/>
      <c r="OQV35" s="624"/>
      <c r="OQW35" s="624"/>
      <c r="OQX35" s="624"/>
      <c r="OQY35" s="624"/>
      <c r="OQZ35" s="624"/>
      <c r="ORA35" s="624"/>
      <c r="ORB35" s="624"/>
      <c r="ORC35" s="624"/>
      <c r="ORD35" s="624"/>
      <c r="ORE35" s="624"/>
      <c r="ORF35" s="624"/>
      <c r="ORG35" s="624"/>
      <c r="ORH35" s="624"/>
      <c r="ORI35" s="624"/>
      <c r="ORJ35" s="624"/>
      <c r="ORK35" s="624"/>
      <c r="ORL35" s="624"/>
      <c r="ORM35" s="624"/>
      <c r="ORN35" s="624"/>
      <c r="ORO35" s="624"/>
      <c r="ORP35" s="624"/>
      <c r="ORQ35" s="624"/>
      <c r="ORR35" s="624"/>
      <c r="ORS35" s="624"/>
      <c r="ORT35" s="624"/>
      <c r="ORU35" s="624"/>
      <c r="ORV35" s="624"/>
      <c r="ORW35" s="624"/>
      <c r="ORX35" s="624"/>
      <c r="ORY35" s="624"/>
      <c r="ORZ35" s="624"/>
      <c r="OSA35" s="624"/>
      <c r="OSB35" s="624"/>
      <c r="OSC35" s="624"/>
      <c r="OSD35" s="624"/>
      <c r="OSE35" s="624"/>
      <c r="OSF35" s="624"/>
      <c r="OSG35" s="624"/>
      <c r="OSH35" s="624"/>
      <c r="OSI35" s="624"/>
      <c r="OSJ35" s="624"/>
      <c r="OSK35" s="624"/>
      <c r="OSL35" s="624"/>
      <c r="OSM35" s="624"/>
      <c r="OSN35" s="624"/>
      <c r="OSO35" s="624"/>
      <c r="OSP35" s="624"/>
      <c r="OSQ35" s="624"/>
      <c r="OSR35" s="624"/>
      <c r="OSS35" s="624"/>
      <c r="OST35" s="624"/>
      <c r="OSU35" s="624"/>
      <c r="OSV35" s="624"/>
      <c r="OSW35" s="624"/>
      <c r="OSX35" s="624"/>
      <c r="OSY35" s="624"/>
      <c r="OSZ35" s="624"/>
      <c r="OTA35" s="624"/>
      <c r="OTB35" s="624"/>
      <c r="OTC35" s="624"/>
      <c r="OTD35" s="624"/>
      <c r="OTE35" s="624"/>
      <c r="OTF35" s="624"/>
      <c r="OTG35" s="624"/>
      <c r="OTH35" s="624"/>
      <c r="OTI35" s="624"/>
      <c r="OTJ35" s="624"/>
      <c r="OTK35" s="624"/>
      <c r="OTL35" s="624"/>
      <c r="OTM35" s="624"/>
      <c r="OTN35" s="624"/>
      <c r="OTO35" s="624"/>
      <c r="OTP35" s="624"/>
      <c r="OTQ35" s="624"/>
      <c r="OTR35" s="624"/>
      <c r="OTS35" s="624"/>
      <c r="OTT35" s="624"/>
      <c r="OTU35" s="624"/>
      <c r="OTV35" s="624"/>
      <c r="OTW35" s="624"/>
      <c r="OTX35" s="624"/>
      <c r="OTY35" s="624"/>
      <c r="OTZ35" s="624"/>
      <c r="OUA35" s="624"/>
      <c r="OUB35" s="624"/>
      <c r="OUC35" s="624"/>
      <c r="OUD35" s="624"/>
      <c r="OUE35" s="624"/>
      <c r="OUF35" s="624"/>
      <c r="OUG35" s="624"/>
      <c r="OUH35" s="624"/>
      <c r="OUI35" s="624"/>
      <c r="OUJ35" s="624"/>
      <c r="OUK35" s="624"/>
      <c r="OUL35" s="624"/>
      <c r="OUM35" s="624"/>
      <c r="OUN35" s="624"/>
      <c r="OUO35" s="624"/>
      <c r="OUP35" s="624"/>
      <c r="OUQ35" s="624"/>
      <c r="OUR35" s="624"/>
      <c r="OUS35" s="624"/>
      <c r="OUT35" s="624"/>
      <c r="OUU35" s="624"/>
      <c r="OUV35" s="624"/>
      <c r="OUW35" s="624"/>
      <c r="OUX35" s="624"/>
      <c r="OUY35" s="624"/>
      <c r="OUZ35" s="624"/>
      <c r="OVA35" s="624"/>
      <c r="OVB35" s="624"/>
      <c r="OVC35" s="624"/>
      <c r="OVD35" s="624"/>
      <c r="OVE35" s="624"/>
      <c r="OVF35" s="624"/>
      <c r="OVG35" s="624"/>
      <c r="OVH35" s="624"/>
      <c r="OVI35" s="624"/>
      <c r="OVJ35" s="624"/>
      <c r="OVK35" s="624"/>
      <c r="OVL35" s="624"/>
      <c r="OVM35" s="624"/>
      <c r="OVN35" s="624"/>
      <c r="OVO35" s="624"/>
      <c r="OVP35" s="624"/>
      <c r="OVQ35" s="624"/>
      <c r="OVR35" s="624"/>
      <c r="OVS35" s="624"/>
      <c r="OVT35" s="624"/>
      <c r="OVU35" s="624"/>
      <c r="OVV35" s="624"/>
      <c r="OVW35" s="624"/>
      <c r="OVX35" s="624"/>
      <c r="OVY35" s="624"/>
      <c r="OVZ35" s="624"/>
      <c r="OWA35" s="624"/>
      <c r="OWB35" s="624"/>
      <c r="OWC35" s="624"/>
      <c r="OWD35" s="624"/>
      <c r="OWE35" s="624"/>
      <c r="OWF35" s="624"/>
      <c r="OWG35" s="624"/>
      <c r="OWH35" s="624"/>
      <c r="OWI35" s="624"/>
      <c r="OWJ35" s="624"/>
      <c r="OWK35" s="624"/>
      <c r="OWL35" s="624"/>
      <c r="OWM35" s="624"/>
      <c r="OWN35" s="624"/>
      <c r="OWO35" s="624"/>
      <c r="OWP35" s="624"/>
      <c r="OWQ35" s="624"/>
      <c r="OWR35" s="624"/>
      <c r="OWS35" s="624"/>
      <c r="OWT35" s="624"/>
      <c r="OWU35" s="624"/>
      <c r="OWV35" s="624"/>
      <c r="OWW35" s="624"/>
      <c r="OWX35" s="624"/>
      <c r="OWY35" s="624"/>
      <c r="OWZ35" s="624"/>
      <c r="OXA35" s="624"/>
      <c r="OXB35" s="624"/>
      <c r="OXC35" s="624"/>
      <c r="OXD35" s="624"/>
      <c r="OXE35" s="624"/>
      <c r="OXF35" s="624"/>
      <c r="OXG35" s="624"/>
      <c r="OXH35" s="624"/>
      <c r="OXI35" s="624"/>
      <c r="OXJ35" s="624"/>
      <c r="OXK35" s="624"/>
      <c r="OXL35" s="624"/>
      <c r="OXM35" s="624"/>
      <c r="OXN35" s="624"/>
      <c r="OXO35" s="624"/>
      <c r="OXP35" s="624"/>
      <c r="OXQ35" s="624"/>
      <c r="OXR35" s="624"/>
      <c r="OXS35" s="624"/>
      <c r="OXT35" s="624"/>
      <c r="OXU35" s="624"/>
      <c r="OXV35" s="624"/>
      <c r="OXW35" s="624"/>
      <c r="OXX35" s="624"/>
      <c r="OXY35" s="624"/>
      <c r="OXZ35" s="624"/>
      <c r="OYA35" s="624"/>
      <c r="OYB35" s="624"/>
      <c r="OYC35" s="624"/>
      <c r="OYD35" s="624"/>
      <c r="OYE35" s="624"/>
      <c r="OYF35" s="624"/>
      <c r="OYG35" s="624"/>
      <c r="OYH35" s="624"/>
      <c r="OYI35" s="624"/>
      <c r="OYJ35" s="624"/>
      <c r="OYK35" s="624"/>
      <c r="OYL35" s="624"/>
      <c r="OYM35" s="624"/>
      <c r="OYN35" s="624"/>
      <c r="OYO35" s="624"/>
      <c r="OYP35" s="624"/>
      <c r="OYQ35" s="624"/>
      <c r="OYR35" s="624"/>
      <c r="OYS35" s="624"/>
      <c r="OYT35" s="624"/>
      <c r="OYU35" s="624"/>
      <c r="OYV35" s="624"/>
      <c r="OYW35" s="624"/>
      <c r="OYX35" s="624"/>
      <c r="OYY35" s="624"/>
      <c r="OYZ35" s="624"/>
      <c r="OZA35" s="624"/>
      <c r="OZB35" s="624"/>
      <c r="OZC35" s="624"/>
      <c r="OZD35" s="624"/>
      <c r="OZE35" s="624"/>
      <c r="OZF35" s="624"/>
      <c r="OZG35" s="624"/>
      <c r="OZH35" s="624"/>
      <c r="OZI35" s="624"/>
      <c r="OZJ35" s="624"/>
      <c r="OZK35" s="624"/>
      <c r="OZL35" s="624"/>
      <c r="OZM35" s="624"/>
      <c r="OZN35" s="624"/>
      <c r="OZO35" s="624"/>
      <c r="OZP35" s="624"/>
      <c r="OZQ35" s="624"/>
      <c r="OZR35" s="624"/>
      <c r="OZS35" s="624"/>
      <c r="OZT35" s="624"/>
      <c r="OZU35" s="624"/>
      <c r="OZV35" s="624"/>
      <c r="OZW35" s="624"/>
      <c r="OZX35" s="624"/>
      <c r="OZY35" s="624"/>
      <c r="OZZ35" s="624"/>
      <c r="PAA35" s="624"/>
      <c r="PAB35" s="624"/>
      <c r="PAC35" s="624"/>
      <c r="PAD35" s="624"/>
      <c r="PAE35" s="624"/>
      <c r="PAF35" s="624"/>
      <c r="PAG35" s="624"/>
      <c r="PAH35" s="624"/>
      <c r="PAI35" s="624"/>
      <c r="PAJ35" s="624"/>
      <c r="PAK35" s="624"/>
      <c r="PAL35" s="624"/>
      <c r="PAM35" s="624"/>
      <c r="PAN35" s="624"/>
      <c r="PAO35" s="624"/>
      <c r="PAP35" s="624"/>
      <c r="PAQ35" s="624"/>
      <c r="PAR35" s="624"/>
      <c r="PAS35" s="624"/>
      <c r="PAT35" s="624"/>
      <c r="PAU35" s="624"/>
      <c r="PAV35" s="624"/>
      <c r="PAW35" s="624"/>
      <c r="PAX35" s="624"/>
      <c r="PAY35" s="624"/>
      <c r="PAZ35" s="624"/>
      <c r="PBA35" s="624"/>
      <c r="PBB35" s="624"/>
      <c r="PBC35" s="624"/>
      <c r="PBD35" s="624"/>
      <c r="PBE35" s="624"/>
      <c r="PBF35" s="624"/>
      <c r="PBG35" s="624"/>
      <c r="PBH35" s="624"/>
      <c r="PBI35" s="624"/>
      <c r="PBJ35" s="624"/>
      <c r="PBK35" s="624"/>
      <c r="PBL35" s="624"/>
      <c r="PBM35" s="624"/>
      <c r="PBN35" s="624"/>
      <c r="PBO35" s="624"/>
      <c r="PBP35" s="624"/>
      <c r="PBQ35" s="624"/>
      <c r="PBR35" s="624"/>
      <c r="PBS35" s="624"/>
      <c r="PBT35" s="624"/>
      <c r="PBU35" s="624"/>
      <c r="PBV35" s="624"/>
      <c r="PBW35" s="624"/>
      <c r="PBX35" s="624"/>
      <c r="PBY35" s="624"/>
      <c r="PBZ35" s="624"/>
      <c r="PCA35" s="624"/>
      <c r="PCB35" s="624"/>
      <c r="PCC35" s="624"/>
      <c r="PCD35" s="624"/>
      <c r="PCE35" s="624"/>
      <c r="PCF35" s="624"/>
      <c r="PCG35" s="624"/>
      <c r="PCH35" s="624"/>
      <c r="PCI35" s="624"/>
      <c r="PCJ35" s="624"/>
      <c r="PCK35" s="624"/>
      <c r="PCL35" s="624"/>
      <c r="PCM35" s="624"/>
      <c r="PCN35" s="624"/>
      <c r="PCO35" s="624"/>
      <c r="PCP35" s="624"/>
      <c r="PCQ35" s="624"/>
      <c r="PCR35" s="624"/>
      <c r="PCS35" s="624"/>
      <c r="PCT35" s="624"/>
      <c r="PCU35" s="624"/>
      <c r="PCV35" s="624"/>
      <c r="PCW35" s="624"/>
      <c r="PCX35" s="624"/>
      <c r="PCY35" s="624"/>
      <c r="PCZ35" s="624"/>
      <c r="PDA35" s="624"/>
      <c r="PDB35" s="624"/>
      <c r="PDC35" s="624"/>
      <c r="PDD35" s="624"/>
      <c r="PDE35" s="624"/>
      <c r="PDF35" s="624"/>
      <c r="PDG35" s="624"/>
      <c r="PDH35" s="624"/>
      <c r="PDI35" s="624"/>
      <c r="PDJ35" s="624"/>
      <c r="PDK35" s="624"/>
      <c r="PDL35" s="624"/>
      <c r="PDM35" s="624"/>
      <c r="PDN35" s="624"/>
      <c r="PDO35" s="624"/>
      <c r="PDP35" s="624"/>
      <c r="PDQ35" s="624"/>
      <c r="PDR35" s="624"/>
      <c r="PDS35" s="624"/>
      <c r="PDT35" s="624"/>
      <c r="PDU35" s="624"/>
      <c r="PDV35" s="624"/>
      <c r="PDW35" s="624"/>
      <c r="PDX35" s="624"/>
      <c r="PDY35" s="624"/>
      <c r="PDZ35" s="624"/>
      <c r="PEA35" s="624"/>
      <c r="PEB35" s="624"/>
      <c r="PEC35" s="624"/>
      <c r="PED35" s="624"/>
      <c r="PEE35" s="624"/>
      <c r="PEF35" s="624"/>
      <c r="PEG35" s="624"/>
      <c r="PEH35" s="624"/>
      <c r="PEI35" s="624"/>
      <c r="PEJ35" s="624"/>
      <c r="PEK35" s="624"/>
      <c r="PEL35" s="624"/>
      <c r="PEM35" s="624"/>
      <c r="PEN35" s="624"/>
      <c r="PEO35" s="624"/>
      <c r="PEP35" s="624"/>
      <c r="PEQ35" s="624"/>
      <c r="PER35" s="624"/>
      <c r="PES35" s="624"/>
      <c r="PET35" s="624"/>
      <c r="PEU35" s="624"/>
      <c r="PEV35" s="624"/>
      <c r="PEW35" s="624"/>
      <c r="PEX35" s="624"/>
      <c r="PEY35" s="624"/>
      <c r="PEZ35" s="624"/>
      <c r="PFA35" s="624"/>
      <c r="PFB35" s="624"/>
      <c r="PFC35" s="624"/>
      <c r="PFD35" s="624"/>
      <c r="PFE35" s="624"/>
      <c r="PFF35" s="624"/>
      <c r="PFG35" s="624"/>
      <c r="PFH35" s="624"/>
      <c r="PFI35" s="624"/>
      <c r="PFJ35" s="624"/>
      <c r="PFK35" s="624"/>
      <c r="PFL35" s="624"/>
      <c r="PFM35" s="624"/>
      <c r="PFN35" s="624"/>
      <c r="PFO35" s="624"/>
      <c r="PFP35" s="624"/>
      <c r="PFQ35" s="624"/>
      <c r="PFR35" s="624"/>
      <c r="PFS35" s="624"/>
      <c r="PFT35" s="624"/>
      <c r="PFU35" s="624"/>
      <c r="PFV35" s="624"/>
      <c r="PFW35" s="624"/>
      <c r="PFX35" s="624"/>
      <c r="PFY35" s="624"/>
      <c r="PFZ35" s="624"/>
      <c r="PGA35" s="624"/>
      <c r="PGB35" s="624"/>
      <c r="PGC35" s="624"/>
      <c r="PGD35" s="624"/>
      <c r="PGE35" s="624"/>
      <c r="PGF35" s="624"/>
      <c r="PGG35" s="624"/>
      <c r="PGH35" s="624"/>
      <c r="PGI35" s="624"/>
      <c r="PGJ35" s="624"/>
      <c r="PGK35" s="624"/>
      <c r="PGL35" s="624"/>
      <c r="PGM35" s="624"/>
      <c r="PGN35" s="624"/>
      <c r="PGO35" s="624"/>
      <c r="PGP35" s="624"/>
      <c r="PGQ35" s="624"/>
      <c r="PGR35" s="624"/>
      <c r="PGS35" s="624"/>
      <c r="PGT35" s="624"/>
      <c r="PGU35" s="624"/>
      <c r="PGV35" s="624"/>
      <c r="PGW35" s="624"/>
      <c r="PGX35" s="624"/>
      <c r="PGY35" s="624"/>
      <c r="PGZ35" s="624"/>
      <c r="PHA35" s="624"/>
      <c r="PHB35" s="624"/>
      <c r="PHC35" s="624"/>
      <c r="PHD35" s="624"/>
      <c r="PHE35" s="624"/>
      <c r="PHF35" s="624"/>
      <c r="PHG35" s="624"/>
      <c r="PHH35" s="624"/>
      <c r="PHI35" s="624"/>
      <c r="PHJ35" s="624"/>
      <c r="PHK35" s="624"/>
      <c r="PHL35" s="624"/>
      <c r="PHM35" s="624"/>
      <c r="PHN35" s="624"/>
      <c r="PHO35" s="624"/>
      <c r="PHP35" s="624"/>
      <c r="PHQ35" s="624"/>
      <c r="PHR35" s="624"/>
      <c r="PHS35" s="624"/>
      <c r="PHT35" s="624"/>
      <c r="PHU35" s="624"/>
      <c r="PHV35" s="624"/>
      <c r="PHW35" s="624"/>
      <c r="PHX35" s="624"/>
      <c r="PHY35" s="624"/>
      <c r="PHZ35" s="624"/>
      <c r="PIA35" s="624"/>
      <c r="PIB35" s="624"/>
      <c r="PIC35" s="624"/>
      <c r="PID35" s="624"/>
      <c r="PIE35" s="624"/>
      <c r="PIF35" s="624"/>
      <c r="PIG35" s="624"/>
      <c r="PIH35" s="624"/>
      <c r="PII35" s="624"/>
      <c r="PIJ35" s="624"/>
      <c r="PIK35" s="624"/>
      <c r="PIL35" s="624"/>
      <c r="PIM35" s="624"/>
      <c r="PIN35" s="624"/>
      <c r="PIO35" s="624"/>
      <c r="PIP35" s="624"/>
      <c r="PIQ35" s="624"/>
      <c r="PIR35" s="624"/>
      <c r="PIS35" s="624"/>
      <c r="PIT35" s="624"/>
      <c r="PIU35" s="624"/>
      <c r="PIV35" s="624"/>
      <c r="PIW35" s="624"/>
      <c r="PIX35" s="624"/>
      <c r="PIY35" s="624"/>
      <c r="PIZ35" s="624"/>
      <c r="PJA35" s="624"/>
      <c r="PJB35" s="624"/>
      <c r="PJC35" s="624"/>
      <c r="PJD35" s="624"/>
      <c r="PJE35" s="624"/>
      <c r="PJF35" s="624"/>
      <c r="PJG35" s="624"/>
      <c r="PJH35" s="624"/>
      <c r="PJI35" s="624"/>
      <c r="PJJ35" s="624"/>
      <c r="PJK35" s="624"/>
      <c r="PJL35" s="624"/>
      <c r="PJM35" s="624"/>
      <c r="PJN35" s="624"/>
      <c r="PJO35" s="624"/>
      <c r="PJP35" s="624"/>
      <c r="PJQ35" s="624"/>
      <c r="PJR35" s="624"/>
      <c r="PJS35" s="624"/>
      <c r="PJT35" s="624"/>
      <c r="PJU35" s="624"/>
      <c r="PJV35" s="624"/>
      <c r="PJW35" s="624"/>
      <c r="PJX35" s="624"/>
      <c r="PJY35" s="624"/>
      <c r="PJZ35" s="624"/>
      <c r="PKA35" s="624"/>
      <c r="PKB35" s="624"/>
      <c r="PKC35" s="624"/>
      <c r="PKD35" s="624"/>
      <c r="PKE35" s="624"/>
      <c r="PKF35" s="624"/>
      <c r="PKG35" s="624"/>
      <c r="PKH35" s="624"/>
      <c r="PKI35" s="624"/>
      <c r="PKJ35" s="624"/>
      <c r="PKK35" s="624"/>
      <c r="PKL35" s="624"/>
      <c r="PKM35" s="624"/>
      <c r="PKN35" s="624"/>
      <c r="PKO35" s="624"/>
      <c r="PKP35" s="624"/>
      <c r="PKQ35" s="624"/>
      <c r="PKR35" s="624"/>
      <c r="PKS35" s="624"/>
      <c r="PKT35" s="624"/>
      <c r="PKU35" s="624"/>
      <c r="PKV35" s="624"/>
      <c r="PKW35" s="624"/>
      <c r="PKX35" s="624"/>
      <c r="PKY35" s="624"/>
      <c r="PKZ35" s="624"/>
      <c r="PLA35" s="624"/>
      <c r="PLB35" s="624"/>
      <c r="PLC35" s="624"/>
      <c r="PLD35" s="624"/>
      <c r="PLE35" s="624"/>
      <c r="PLF35" s="624"/>
      <c r="PLG35" s="624"/>
      <c r="PLH35" s="624"/>
      <c r="PLI35" s="624"/>
      <c r="PLJ35" s="624"/>
      <c r="PLK35" s="624"/>
      <c r="PLL35" s="624"/>
      <c r="PLM35" s="624"/>
      <c r="PLN35" s="624"/>
      <c r="PLO35" s="624"/>
      <c r="PLP35" s="624"/>
      <c r="PLQ35" s="624"/>
      <c r="PLR35" s="624"/>
      <c r="PLS35" s="624"/>
      <c r="PLT35" s="624"/>
      <c r="PLU35" s="624"/>
      <c r="PLV35" s="624"/>
      <c r="PLW35" s="624"/>
      <c r="PLX35" s="624"/>
      <c r="PLY35" s="624"/>
      <c r="PLZ35" s="624"/>
      <c r="PMA35" s="624"/>
      <c r="PMB35" s="624"/>
      <c r="PMC35" s="624"/>
      <c r="PMD35" s="624"/>
      <c r="PME35" s="624"/>
      <c r="PMF35" s="624"/>
      <c r="PMG35" s="624"/>
      <c r="PMH35" s="624"/>
      <c r="PMI35" s="624"/>
      <c r="PMJ35" s="624"/>
      <c r="PMK35" s="624"/>
      <c r="PML35" s="624"/>
      <c r="PMM35" s="624"/>
      <c r="PMN35" s="624"/>
      <c r="PMO35" s="624"/>
      <c r="PMP35" s="624"/>
      <c r="PMQ35" s="624"/>
      <c r="PMR35" s="624"/>
      <c r="PMS35" s="624"/>
      <c r="PMT35" s="624"/>
      <c r="PMU35" s="624"/>
      <c r="PMV35" s="624"/>
      <c r="PMW35" s="624"/>
      <c r="PMX35" s="624"/>
      <c r="PMY35" s="624"/>
      <c r="PMZ35" s="624"/>
      <c r="PNA35" s="624"/>
      <c r="PNB35" s="624"/>
      <c r="PNC35" s="624"/>
      <c r="PND35" s="624"/>
      <c r="PNE35" s="624"/>
      <c r="PNF35" s="624"/>
      <c r="PNG35" s="624"/>
      <c r="PNH35" s="624"/>
      <c r="PNI35" s="624"/>
      <c r="PNJ35" s="624"/>
      <c r="PNK35" s="624"/>
      <c r="PNL35" s="624"/>
      <c r="PNM35" s="624"/>
      <c r="PNN35" s="624"/>
      <c r="PNO35" s="624"/>
      <c r="PNP35" s="624"/>
      <c r="PNQ35" s="624"/>
      <c r="PNR35" s="624"/>
      <c r="PNS35" s="624"/>
      <c r="PNT35" s="624"/>
      <c r="PNU35" s="624"/>
      <c r="PNV35" s="624"/>
      <c r="PNW35" s="624"/>
      <c r="PNX35" s="624"/>
      <c r="PNY35" s="624"/>
      <c r="PNZ35" s="624"/>
      <c r="POA35" s="624"/>
      <c r="POB35" s="624"/>
      <c r="POC35" s="624"/>
      <c r="POD35" s="624"/>
      <c r="POE35" s="624"/>
      <c r="POF35" s="624"/>
      <c r="POG35" s="624"/>
      <c r="POH35" s="624"/>
      <c r="POI35" s="624"/>
      <c r="POJ35" s="624"/>
      <c r="POK35" s="624"/>
      <c r="POL35" s="624"/>
      <c r="POM35" s="624"/>
      <c r="PON35" s="624"/>
      <c r="POO35" s="624"/>
      <c r="POP35" s="624"/>
      <c r="POQ35" s="624"/>
      <c r="POR35" s="624"/>
      <c r="POS35" s="624"/>
      <c r="POT35" s="624"/>
      <c r="POU35" s="624"/>
      <c r="POV35" s="624"/>
      <c r="POW35" s="624"/>
      <c r="POX35" s="624"/>
      <c r="POY35" s="624"/>
      <c r="POZ35" s="624"/>
      <c r="PPA35" s="624"/>
      <c r="PPB35" s="624"/>
      <c r="PPC35" s="624"/>
      <c r="PPD35" s="624"/>
      <c r="PPE35" s="624"/>
      <c r="PPF35" s="624"/>
      <c r="PPG35" s="624"/>
      <c r="PPH35" s="624"/>
      <c r="PPI35" s="624"/>
      <c r="PPJ35" s="624"/>
      <c r="PPK35" s="624"/>
      <c r="PPL35" s="624"/>
      <c r="PPM35" s="624"/>
      <c r="PPN35" s="624"/>
      <c r="PPO35" s="624"/>
      <c r="PPP35" s="624"/>
      <c r="PPQ35" s="624"/>
      <c r="PPR35" s="624"/>
      <c r="PPS35" s="624"/>
      <c r="PPT35" s="624"/>
      <c r="PPU35" s="624"/>
      <c r="PPV35" s="624"/>
      <c r="PPW35" s="624"/>
      <c r="PPX35" s="624"/>
      <c r="PPY35" s="624"/>
      <c r="PPZ35" s="624"/>
      <c r="PQA35" s="624"/>
      <c r="PQB35" s="624"/>
      <c r="PQC35" s="624"/>
      <c r="PQD35" s="624"/>
      <c r="PQE35" s="624"/>
      <c r="PQF35" s="624"/>
      <c r="PQG35" s="624"/>
      <c r="PQH35" s="624"/>
      <c r="PQI35" s="624"/>
      <c r="PQJ35" s="624"/>
      <c r="PQK35" s="624"/>
      <c r="PQL35" s="624"/>
      <c r="PQM35" s="624"/>
      <c r="PQN35" s="624"/>
      <c r="PQO35" s="624"/>
      <c r="PQP35" s="624"/>
      <c r="PQQ35" s="624"/>
      <c r="PQR35" s="624"/>
      <c r="PQS35" s="624"/>
      <c r="PQT35" s="624"/>
      <c r="PQU35" s="624"/>
      <c r="PQV35" s="624"/>
      <c r="PQW35" s="624"/>
      <c r="PQX35" s="624"/>
      <c r="PQY35" s="624"/>
      <c r="PQZ35" s="624"/>
      <c r="PRA35" s="624"/>
      <c r="PRB35" s="624"/>
      <c r="PRC35" s="624"/>
      <c r="PRD35" s="624"/>
      <c r="PRE35" s="624"/>
      <c r="PRF35" s="624"/>
      <c r="PRG35" s="624"/>
      <c r="PRH35" s="624"/>
      <c r="PRI35" s="624"/>
      <c r="PRJ35" s="624"/>
      <c r="PRK35" s="624"/>
      <c r="PRL35" s="624"/>
      <c r="PRM35" s="624"/>
      <c r="PRN35" s="624"/>
      <c r="PRO35" s="624"/>
      <c r="PRP35" s="624"/>
      <c r="PRQ35" s="624"/>
      <c r="PRR35" s="624"/>
      <c r="PRS35" s="624"/>
      <c r="PRT35" s="624"/>
      <c r="PRU35" s="624"/>
      <c r="PRV35" s="624"/>
      <c r="PRW35" s="624"/>
      <c r="PRX35" s="624"/>
      <c r="PRY35" s="624"/>
      <c r="PRZ35" s="624"/>
      <c r="PSA35" s="624"/>
      <c r="PSB35" s="624"/>
      <c r="PSC35" s="624"/>
      <c r="PSD35" s="624"/>
      <c r="PSE35" s="624"/>
      <c r="PSF35" s="624"/>
      <c r="PSG35" s="624"/>
      <c r="PSH35" s="624"/>
      <c r="PSI35" s="624"/>
      <c r="PSJ35" s="624"/>
      <c r="PSK35" s="624"/>
      <c r="PSL35" s="624"/>
      <c r="PSM35" s="624"/>
      <c r="PSN35" s="624"/>
      <c r="PSO35" s="624"/>
      <c r="PSP35" s="624"/>
      <c r="PSQ35" s="624"/>
      <c r="PSR35" s="624"/>
      <c r="PSS35" s="624"/>
      <c r="PST35" s="624"/>
      <c r="PSU35" s="624"/>
      <c r="PSV35" s="624"/>
      <c r="PSW35" s="624"/>
      <c r="PSX35" s="624"/>
      <c r="PSY35" s="624"/>
      <c r="PSZ35" s="624"/>
      <c r="PTA35" s="624"/>
      <c r="PTB35" s="624"/>
      <c r="PTC35" s="624"/>
      <c r="PTD35" s="624"/>
      <c r="PTE35" s="624"/>
      <c r="PTF35" s="624"/>
      <c r="PTG35" s="624"/>
      <c r="PTH35" s="624"/>
      <c r="PTI35" s="624"/>
      <c r="PTJ35" s="624"/>
      <c r="PTK35" s="624"/>
      <c r="PTL35" s="624"/>
      <c r="PTM35" s="624"/>
      <c r="PTN35" s="624"/>
      <c r="PTO35" s="624"/>
      <c r="PTP35" s="624"/>
      <c r="PTQ35" s="624"/>
      <c r="PTR35" s="624"/>
      <c r="PTS35" s="624"/>
      <c r="PTT35" s="624"/>
      <c r="PTU35" s="624"/>
      <c r="PTV35" s="624"/>
      <c r="PTW35" s="624"/>
      <c r="PTX35" s="624"/>
      <c r="PTY35" s="624"/>
      <c r="PTZ35" s="624"/>
      <c r="PUA35" s="624"/>
      <c r="PUB35" s="624"/>
      <c r="PUC35" s="624"/>
      <c r="PUD35" s="624"/>
      <c r="PUE35" s="624"/>
      <c r="PUF35" s="624"/>
      <c r="PUG35" s="624"/>
      <c r="PUH35" s="624"/>
      <c r="PUI35" s="624"/>
      <c r="PUJ35" s="624"/>
      <c r="PUK35" s="624"/>
      <c r="PUL35" s="624"/>
      <c r="PUM35" s="624"/>
      <c r="PUN35" s="624"/>
      <c r="PUO35" s="624"/>
      <c r="PUP35" s="624"/>
      <c r="PUQ35" s="624"/>
      <c r="PUR35" s="624"/>
      <c r="PUS35" s="624"/>
      <c r="PUT35" s="624"/>
      <c r="PUU35" s="624"/>
      <c r="PUV35" s="624"/>
      <c r="PUW35" s="624"/>
      <c r="PUX35" s="624"/>
      <c r="PUY35" s="624"/>
      <c r="PUZ35" s="624"/>
      <c r="PVA35" s="624"/>
      <c r="PVB35" s="624"/>
      <c r="PVC35" s="624"/>
      <c r="PVD35" s="624"/>
      <c r="PVE35" s="624"/>
      <c r="PVF35" s="624"/>
      <c r="PVG35" s="624"/>
      <c r="PVH35" s="624"/>
      <c r="PVI35" s="624"/>
      <c r="PVJ35" s="624"/>
      <c r="PVK35" s="624"/>
      <c r="PVL35" s="624"/>
      <c r="PVM35" s="624"/>
      <c r="PVN35" s="624"/>
      <c r="PVO35" s="624"/>
      <c r="PVP35" s="624"/>
      <c r="PVQ35" s="624"/>
      <c r="PVR35" s="624"/>
      <c r="PVS35" s="624"/>
      <c r="PVT35" s="624"/>
      <c r="PVU35" s="624"/>
      <c r="PVV35" s="624"/>
      <c r="PVW35" s="624"/>
      <c r="PVX35" s="624"/>
      <c r="PVY35" s="624"/>
      <c r="PVZ35" s="624"/>
      <c r="PWA35" s="624"/>
      <c r="PWB35" s="624"/>
      <c r="PWC35" s="624"/>
      <c r="PWD35" s="624"/>
      <c r="PWE35" s="624"/>
      <c r="PWF35" s="624"/>
      <c r="PWG35" s="624"/>
      <c r="PWH35" s="624"/>
      <c r="PWI35" s="624"/>
      <c r="PWJ35" s="624"/>
      <c r="PWK35" s="624"/>
      <c r="PWL35" s="624"/>
      <c r="PWM35" s="624"/>
      <c r="PWN35" s="624"/>
      <c r="PWO35" s="624"/>
      <c r="PWP35" s="624"/>
      <c r="PWQ35" s="624"/>
      <c r="PWR35" s="624"/>
      <c r="PWS35" s="624"/>
      <c r="PWT35" s="624"/>
      <c r="PWU35" s="624"/>
      <c r="PWV35" s="624"/>
      <c r="PWW35" s="624"/>
      <c r="PWX35" s="624"/>
      <c r="PWY35" s="624"/>
      <c r="PWZ35" s="624"/>
      <c r="PXA35" s="624"/>
      <c r="PXB35" s="624"/>
      <c r="PXC35" s="624"/>
      <c r="PXD35" s="624"/>
      <c r="PXE35" s="624"/>
      <c r="PXF35" s="624"/>
      <c r="PXG35" s="624"/>
      <c r="PXH35" s="624"/>
      <c r="PXI35" s="624"/>
      <c r="PXJ35" s="624"/>
      <c r="PXK35" s="624"/>
      <c r="PXL35" s="624"/>
      <c r="PXM35" s="624"/>
      <c r="PXN35" s="624"/>
      <c r="PXO35" s="624"/>
      <c r="PXP35" s="624"/>
      <c r="PXQ35" s="624"/>
      <c r="PXR35" s="624"/>
      <c r="PXS35" s="624"/>
      <c r="PXT35" s="624"/>
      <c r="PXU35" s="624"/>
      <c r="PXV35" s="624"/>
      <c r="PXW35" s="624"/>
      <c r="PXX35" s="624"/>
      <c r="PXY35" s="624"/>
      <c r="PXZ35" s="624"/>
      <c r="PYA35" s="624"/>
      <c r="PYB35" s="624"/>
      <c r="PYC35" s="624"/>
      <c r="PYD35" s="624"/>
      <c r="PYE35" s="624"/>
      <c r="PYF35" s="624"/>
      <c r="PYG35" s="624"/>
      <c r="PYH35" s="624"/>
      <c r="PYI35" s="624"/>
      <c r="PYJ35" s="624"/>
      <c r="PYK35" s="624"/>
      <c r="PYL35" s="624"/>
      <c r="PYM35" s="624"/>
      <c r="PYN35" s="624"/>
      <c r="PYO35" s="624"/>
      <c r="PYP35" s="624"/>
      <c r="PYQ35" s="624"/>
      <c r="PYR35" s="624"/>
      <c r="PYS35" s="624"/>
      <c r="PYT35" s="624"/>
      <c r="PYU35" s="624"/>
      <c r="PYV35" s="624"/>
      <c r="PYW35" s="624"/>
      <c r="PYX35" s="624"/>
      <c r="PYY35" s="624"/>
      <c r="PYZ35" s="624"/>
      <c r="PZA35" s="624"/>
      <c r="PZB35" s="624"/>
      <c r="PZC35" s="624"/>
      <c r="PZD35" s="624"/>
      <c r="PZE35" s="624"/>
      <c r="PZF35" s="624"/>
      <c r="PZG35" s="624"/>
      <c r="PZH35" s="624"/>
      <c r="PZI35" s="624"/>
      <c r="PZJ35" s="624"/>
      <c r="PZK35" s="624"/>
      <c r="PZL35" s="624"/>
      <c r="PZM35" s="624"/>
      <c r="PZN35" s="624"/>
      <c r="PZO35" s="624"/>
      <c r="PZP35" s="624"/>
      <c r="PZQ35" s="624"/>
      <c r="PZR35" s="624"/>
      <c r="PZS35" s="624"/>
      <c r="PZT35" s="624"/>
      <c r="PZU35" s="624"/>
      <c r="PZV35" s="624"/>
      <c r="PZW35" s="624"/>
      <c r="PZX35" s="624"/>
      <c r="PZY35" s="624"/>
      <c r="PZZ35" s="624"/>
      <c r="QAA35" s="624"/>
      <c r="QAB35" s="624"/>
      <c r="QAC35" s="624"/>
      <c r="QAD35" s="624"/>
      <c r="QAE35" s="624"/>
      <c r="QAF35" s="624"/>
      <c r="QAG35" s="624"/>
      <c r="QAH35" s="624"/>
      <c r="QAI35" s="624"/>
      <c r="QAJ35" s="624"/>
      <c r="QAK35" s="624"/>
      <c r="QAL35" s="624"/>
      <c r="QAM35" s="624"/>
      <c r="QAN35" s="624"/>
      <c r="QAO35" s="624"/>
      <c r="QAP35" s="624"/>
      <c r="QAQ35" s="624"/>
      <c r="QAR35" s="624"/>
      <c r="QAS35" s="624"/>
      <c r="QAT35" s="624"/>
      <c r="QAU35" s="624"/>
      <c r="QAV35" s="624"/>
      <c r="QAW35" s="624"/>
      <c r="QAX35" s="624"/>
      <c r="QAY35" s="624"/>
      <c r="QAZ35" s="624"/>
      <c r="QBA35" s="624"/>
      <c r="QBB35" s="624"/>
      <c r="QBC35" s="624"/>
      <c r="QBD35" s="624"/>
      <c r="QBE35" s="624"/>
      <c r="QBF35" s="624"/>
      <c r="QBG35" s="624"/>
      <c r="QBH35" s="624"/>
      <c r="QBI35" s="624"/>
      <c r="QBJ35" s="624"/>
      <c r="QBK35" s="624"/>
      <c r="QBL35" s="624"/>
      <c r="QBM35" s="624"/>
      <c r="QBN35" s="624"/>
      <c r="QBO35" s="624"/>
      <c r="QBP35" s="624"/>
      <c r="QBQ35" s="624"/>
      <c r="QBR35" s="624"/>
      <c r="QBS35" s="624"/>
      <c r="QBT35" s="624"/>
      <c r="QBU35" s="624"/>
      <c r="QBV35" s="624"/>
      <c r="QBW35" s="624"/>
      <c r="QBX35" s="624"/>
      <c r="QBY35" s="624"/>
      <c r="QBZ35" s="624"/>
      <c r="QCA35" s="624"/>
      <c r="QCB35" s="624"/>
      <c r="QCC35" s="624"/>
      <c r="QCD35" s="624"/>
      <c r="QCE35" s="624"/>
      <c r="QCF35" s="624"/>
      <c r="QCG35" s="624"/>
      <c r="QCH35" s="624"/>
      <c r="QCI35" s="624"/>
      <c r="QCJ35" s="624"/>
      <c r="QCK35" s="624"/>
      <c r="QCL35" s="624"/>
      <c r="QCM35" s="624"/>
      <c r="QCN35" s="624"/>
      <c r="QCO35" s="624"/>
      <c r="QCP35" s="624"/>
      <c r="QCQ35" s="624"/>
      <c r="QCR35" s="624"/>
      <c r="QCS35" s="624"/>
      <c r="QCT35" s="624"/>
      <c r="QCU35" s="624"/>
      <c r="QCV35" s="624"/>
      <c r="QCW35" s="624"/>
      <c r="QCX35" s="624"/>
      <c r="QCY35" s="624"/>
      <c r="QCZ35" s="624"/>
      <c r="QDA35" s="624"/>
      <c r="QDB35" s="624"/>
      <c r="QDC35" s="624"/>
      <c r="QDD35" s="624"/>
      <c r="QDE35" s="624"/>
      <c r="QDF35" s="624"/>
      <c r="QDG35" s="624"/>
      <c r="QDH35" s="624"/>
      <c r="QDI35" s="624"/>
      <c r="QDJ35" s="624"/>
      <c r="QDK35" s="624"/>
      <c r="QDL35" s="624"/>
      <c r="QDM35" s="624"/>
      <c r="QDN35" s="624"/>
      <c r="QDO35" s="624"/>
      <c r="QDP35" s="624"/>
      <c r="QDQ35" s="624"/>
      <c r="QDR35" s="624"/>
      <c r="QDS35" s="624"/>
      <c r="QDT35" s="624"/>
      <c r="QDU35" s="624"/>
      <c r="QDV35" s="624"/>
      <c r="QDW35" s="624"/>
      <c r="QDX35" s="624"/>
      <c r="QDY35" s="624"/>
      <c r="QDZ35" s="624"/>
      <c r="QEA35" s="624"/>
      <c r="QEB35" s="624"/>
      <c r="QEC35" s="624"/>
      <c r="QED35" s="624"/>
      <c r="QEE35" s="624"/>
      <c r="QEF35" s="624"/>
      <c r="QEG35" s="624"/>
      <c r="QEH35" s="624"/>
      <c r="QEI35" s="624"/>
      <c r="QEJ35" s="624"/>
      <c r="QEK35" s="624"/>
      <c r="QEL35" s="624"/>
      <c r="QEM35" s="624"/>
      <c r="QEN35" s="624"/>
      <c r="QEO35" s="624"/>
      <c r="QEP35" s="624"/>
      <c r="QEQ35" s="624"/>
      <c r="QER35" s="624"/>
      <c r="QES35" s="624"/>
      <c r="QET35" s="624"/>
      <c r="QEU35" s="624"/>
      <c r="QEV35" s="624"/>
      <c r="QEW35" s="624"/>
      <c r="QEX35" s="624"/>
      <c r="QEY35" s="624"/>
      <c r="QEZ35" s="624"/>
      <c r="QFA35" s="624"/>
      <c r="QFB35" s="624"/>
      <c r="QFC35" s="624"/>
      <c r="QFD35" s="624"/>
      <c r="QFE35" s="624"/>
      <c r="QFF35" s="624"/>
      <c r="QFG35" s="624"/>
      <c r="QFH35" s="624"/>
      <c r="QFI35" s="624"/>
      <c r="QFJ35" s="624"/>
      <c r="QFK35" s="624"/>
      <c r="QFL35" s="624"/>
      <c r="QFM35" s="624"/>
      <c r="QFN35" s="624"/>
      <c r="QFO35" s="624"/>
      <c r="QFP35" s="624"/>
      <c r="QFQ35" s="624"/>
      <c r="QFR35" s="624"/>
      <c r="QFS35" s="624"/>
      <c r="QFT35" s="624"/>
      <c r="QFU35" s="624"/>
      <c r="QFV35" s="624"/>
      <c r="QFW35" s="624"/>
      <c r="QFX35" s="624"/>
      <c r="QFY35" s="624"/>
      <c r="QFZ35" s="624"/>
      <c r="QGA35" s="624"/>
      <c r="QGB35" s="624"/>
      <c r="QGC35" s="624"/>
      <c r="QGD35" s="624"/>
      <c r="QGE35" s="624"/>
      <c r="QGF35" s="624"/>
      <c r="QGG35" s="624"/>
      <c r="QGH35" s="624"/>
      <c r="QGI35" s="624"/>
      <c r="QGJ35" s="624"/>
      <c r="QGK35" s="624"/>
      <c r="QGL35" s="624"/>
      <c r="QGM35" s="624"/>
      <c r="QGN35" s="624"/>
      <c r="QGO35" s="624"/>
      <c r="QGP35" s="624"/>
      <c r="QGQ35" s="624"/>
      <c r="QGR35" s="624"/>
      <c r="QGS35" s="624"/>
      <c r="QGT35" s="624"/>
      <c r="QGU35" s="624"/>
      <c r="QGV35" s="624"/>
      <c r="QGW35" s="624"/>
      <c r="QGX35" s="624"/>
      <c r="QGY35" s="624"/>
      <c r="QGZ35" s="624"/>
      <c r="QHA35" s="624"/>
      <c r="QHB35" s="624"/>
      <c r="QHC35" s="624"/>
      <c r="QHD35" s="624"/>
      <c r="QHE35" s="624"/>
      <c r="QHF35" s="624"/>
      <c r="QHG35" s="624"/>
      <c r="QHH35" s="624"/>
      <c r="QHI35" s="624"/>
      <c r="QHJ35" s="624"/>
      <c r="QHK35" s="624"/>
      <c r="QHL35" s="624"/>
      <c r="QHM35" s="624"/>
      <c r="QHN35" s="624"/>
      <c r="QHO35" s="624"/>
      <c r="QHP35" s="624"/>
      <c r="QHQ35" s="624"/>
      <c r="QHR35" s="624"/>
      <c r="QHS35" s="624"/>
      <c r="QHT35" s="624"/>
      <c r="QHU35" s="624"/>
      <c r="QHV35" s="624"/>
      <c r="QHW35" s="624"/>
      <c r="QHX35" s="624"/>
      <c r="QHY35" s="624"/>
      <c r="QHZ35" s="624"/>
      <c r="QIA35" s="624"/>
      <c r="QIB35" s="624"/>
      <c r="QIC35" s="624"/>
      <c r="QID35" s="624"/>
      <c r="QIE35" s="624"/>
      <c r="QIF35" s="624"/>
      <c r="QIG35" s="624"/>
      <c r="QIH35" s="624"/>
      <c r="QII35" s="624"/>
      <c r="QIJ35" s="624"/>
      <c r="QIK35" s="624"/>
      <c r="QIL35" s="624"/>
      <c r="QIM35" s="624"/>
      <c r="QIN35" s="624"/>
      <c r="QIO35" s="624"/>
      <c r="QIP35" s="624"/>
      <c r="QIQ35" s="624"/>
      <c r="QIR35" s="624"/>
      <c r="QIS35" s="624"/>
      <c r="QIT35" s="624"/>
      <c r="QIU35" s="624"/>
      <c r="QIV35" s="624"/>
      <c r="QIW35" s="624"/>
      <c r="QIX35" s="624"/>
      <c r="QIY35" s="624"/>
      <c r="QIZ35" s="624"/>
      <c r="QJA35" s="624"/>
      <c r="QJB35" s="624"/>
      <c r="QJC35" s="624"/>
      <c r="QJD35" s="624"/>
      <c r="QJE35" s="624"/>
      <c r="QJF35" s="624"/>
      <c r="QJG35" s="624"/>
      <c r="QJH35" s="624"/>
      <c r="QJI35" s="624"/>
      <c r="QJJ35" s="624"/>
      <c r="QJK35" s="624"/>
      <c r="QJL35" s="624"/>
      <c r="QJM35" s="624"/>
      <c r="QJN35" s="624"/>
      <c r="QJO35" s="624"/>
      <c r="QJP35" s="624"/>
      <c r="QJQ35" s="624"/>
      <c r="QJR35" s="624"/>
      <c r="QJS35" s="624"/>
      <c r="QJT35" s="624"/>
      <c r="QJU35" s="624"/>
      <c r="QJV35" s="624"/>
      <c r="QJW35" s="624"/>
      <c r="QJX35" s="624"/>
      <c r="QJY35" s="624"/>
      <c r="QJZ35" s="624"/>
      <c r="QKA35" s="624"/>
      <c r="QKB35" s="624"/>
      <c r="QKC35" s="624"/>
      <c r="QKD35" s="624"/>
      <c r="QKE35" s="624"/>
      <c r="QKF35" s="624"/>
      <c r="QKG35" s="624"/>
      <c r="QKH35" s="624"/>
      <c r="QKI35" s="624"/>
      <c r="QKJ35" s="624"/>
      <c r="QKK35" s="624"/>
      <c r="QKL35" s="624"/>
      <c r="QKM35" s="624"/>
      <c r="QKN35" s="624"/>
      <c r="QKO35" s="624"/>
      <c r="QKP35" s="624"/>
      <c r="QKQ35" s="624"/>
      <c r="QKR35" s="624"/>
      <c r="QKS35" s="624"/>
      <c r="QKT35" s="624"/>
      <c r="QKU35" s="624"/>
      <c r="QKV35" s="624"/>
      <c r="QKW35" s="624"/>
      <c r="QKX35" s="624"/>
      <c r="QKY35" s="624"/>
      <c r="QKZ35" s="624"/>
      <c r="QLA35" s="624"/>
      <c r="QLB35" s="624"/>
      <c r="QLC35" s="624"/>
      <c r="QLD35" s="624"/>
      <c r="QLE35" s="624"/>
      <c r="QLF35" s="624"/>
      <c r="QLG35" s="624"/>
      <c r="QLH35" s="624"/>
      <c r="QLI35" s="624"/>
      <c r="QLJ35" s="624"/>
      <c r="QLK35" s="624"/>
      <c r="QLL35" s="624"/>
      <c r="QLM35" s="624"/>
      <c r="QLN35" s="624"/>
      <c r="QLO35" s="624"/>
      <c r="QLP35" s="624"/>
      <c r="QLQ35" s="624"/>
      <c r="QLR35" s="624"/>
      <c r="QLS35" s="624"/>
      <c r="QLT35" s="624"/>
      <c r="QLU35" s="624"/>
      <c r="QLV35" s="624"/>
      <c r="QLW35" s="624"/>
      <c r="QLX35" s="624"/>
      <c r="QLY35" s="624"/>
      <c r="QLZ35" s="624"/>
      <c r="QMA35" s="624"/>
      <c r="QMB35" s="624"/>
      <c r="QMC35" s="624"/>
      <c r="QMD35" s="624"/>
      <c r="QME35" s="624"/>
      <c r="QMF35" s="624"/>
      <c r="QMG35" s="624"/>
      <c r="QMH35" s="624"/>
      <c r="QMI35" s="624"/>
      <c r="QMJ35" s="624"/>
      <c r="QMK35" s="624"/>
      <c r="QML35" s="624"/>
      <c r="QMM35" s="624"/>
      <c r="QMN35" s="624"/>
      <c r="QMO35" s="624"/>
      <c r="QMP35" s="624"/>
      <c r="QMQ35" s="624"/>
      <c r="QMR35" s="624"/>
      <c r="QMS35" s="624"/>
      <c r="QMT35" s="624"/>
      <c r="QMU35" s="624"/>
      <c r="QMV35" s="624"/>
      <c r="QMW35" s="624"/>
      <c r="QMX35" s="624"/>
      <c r="QMY35" s="624"/>
      <c r="QMZ35" s="624"/>
      <c r="QNA35" s="624"/>
      <c r="QNB35" s="624"/>
      <c r="QNC35" s="624"/>
      <c r="QND35" s="624"/>
      <c r="QNE35" s="624"/>
      <c r="QNF35" s="624"/>
      <c r="QNG35" s="624"/>
      <c r="QNH35" s="624"/>
      <c r="QNI35" s="624"/>
      <c r="QNJ35" s="624"/>
      <c r="QNK35" s="624"/>
      <c r="QNL35" s="624"/>
      <c r="QNM35" s="624"/>
      <c r="QNN35" s="624"/>
      <c r="QNO35" s="624"/>
      <c r="QNP35" s="624"/>
      <c r="QNQ35" s="624"/>
      <c r="QNR35" s="624"/>
      <c r="QNS35" s="624"/>
      <c r="QNT35" s="624"/>
      <c r="QNU35" s="624"/>
      <c r="QNV35" s="624"/>
      <c r="QNW35" s="624"/>
      <c r="QNX35" s="624"/>
      <c r="QNY35" s="624"/>
      <c r="QNZ35" s="624"/>
      <c r="QOA35" s="624"/>
      <c r="QOB35" s="624"/>
      <c r="QOC35" s="624"/>
      <c r="QOD35" s="624"/>
      <c r="QOE35" s="624"/>
      <c r="QOF35" s="624"/>
      <c r="QOG35" s="624"/>
      <c r="QOH35" s="624"/>
      <c r="QOI35" s="624"/>
      <c r="QOJ35" s="624"/>
      <c r="QOK35" s="624"/>
      <c r="QOL35" s="624"/>
      <c r="QOM35" s="624"/>
      <c r="QON35" s="624"/>
      <c r="QOO35" s="624"/>
      <c r="QOP35" s="624"/>
      <c r="QOQ35" s="624"/>
      <c r="QOR35" s="624"/>
      <c r="QOS35" s="624"/>
      <c r="QOT35" s="624"/>
      <c r="QOU35" s="624"/>
      <c r="QOV35" s="624"/>
      <c r="QOW35" s="624"/>
      <c r="QOX35" s="624"/>
      <c r="QOY35" s="624"/>
      <c r="QOZ35" s="624"/>
      <c r="QPA35" s="624"/>
      <c r="QPB35" s="624"/>
      <c r="QPC35" s="624"/>
      <c r="QPD35" s="624"/>
      <c r="QPE35" s="624"/>
      <c r="QPF35" s="624"/>
      <c r="QPG35" s="624"/>
      <c r="QPH35" s="624"/>
      <c r="QPI35" s="624"/>
      <c r="QPJ35" s="624"/>
      <c r="QPK35" s="624"/>
      <c r="QPL35" s="624"/>
      <c r="QPM35" s="624"/>
      <c r="QPN35" s="624"/>
      <c r="QPO35" s="624"/>
      <c r="QPP35" s="624"/>
      <c r="QPQ35" s="624"/>
      <c r="QPR35" s="624"/>
      <c r="QPS35" s="624"/>
      <c r="QPT35" s="624"/>
      <c r="QPU35" s="624"/>
      <c r="QPV35" s="624"/>
      <c r="QPW35" s="624"/>
      <c r="QPX35" s="624"/>
      <c r="QPY35" s="624"/>
      <c r="QPZ35" s="624"/>
      <c r="QQA35" s="624"/>
      <c r="QQB35" s="624"/>
      <c r="QQC35" s="624"/>
      <c r="QQD35" s="624"/>
      <c r="QQE35" s="624"/>
      <c r="QQF35" s="624"/>
      <c r="QQG35" s="624"/>
      <c r="QQH35" s="624"/>
      <c r="QQI35" s="624"/>
      <c r="QQJ35" s="624"/>
      <c r="QQK35" s="624"/>
      <c r="QQL35" s="624"/>
      <c r="QQM35" s="624"/>
      <c r="QQN35" s="624"/>
      <c r="QQO35" s="624"/>
      <c r="QQP35" s="624"/>
      <c r="QQQ35" s="624"/>
      <c r="QQR35" s="624"/>
      <c r="QQS35" s="624"/>
      <c r="QQT35" s="624"/>
      <c r="QQU35" s="624"/>
      <c r="QQV35" s="624"/>
      <c r="QQW35" s="624"/>
      <c r="QQX35" s="624"/>
      <c r="QQY35" s="624"/>
      <c r="QQZ35" s="624"/>
      <c r="QRA35" s="624"/>
      <c r="QRB35" s="624"/>
      <c r="QRC35" s="624"/>
      <c r="QRD35" s="624"/>
      <c r="QRE35" s="624"/>
      <c r="QRF35" s="624"/>
      <c r="QRG35" s="624"/>
      <c r="QRH35" s="624"/>
      <c r="QRI35" s="624"/>
      <c r="QRJ35" s="624"/>
      <c r="QRK35" s="624"/>
      <c r="QRL35" s="624"/>
      <c r="QRM35" s="624"/>
      <c r="QRN35" s="624"/>
      <c r="QRO35" s="624"/>
      <c r="QRP35" s="624"/>
      <c r="QRQ35" s="624"/>
      <c r="QRR35" s="624"/>
      <c r="QRS35" s="624"/>
      <c r="QRT35" s="624"/>
      <c r="QRU35" s="624"/>
      <c r="QRV35" s="624"/>
      <c r="QRW35" s="624"/>
      <c r="QRX35" s="624"/>
      <c r="QRY35" s="624"/>
      <c r="QRZ35" s="624"/>
      <c r="QSA35" s="624"/>
      <c r="QSB35" s="624"/>
      <c r="QSC35" s="624"/>
      <c r="QSD35" s="624"/>
      <c r="QSE35" s="624"/>
      <c r="QSF35" s="624"/>
      <c r="QSG35" s="624"/>
      <c r="QSH35" s="624"/>
      <c r="QSI35" s="624"/>
      <c r="QSJ35" s="624"/>
      <c r="QSK35" s="624"/>
      <c r="QSL35" s="624"/>
      <c r="QSM35" s="624"/>
      <c r="QSN35" s="624"/>
      <c r="QSO35" s="624"/>
      <c r="QSP35" s="624"/>
      <c r="QSQ35" s="624"/>
      <c r="QSR35" s="624"/>
      <c r="QSS35" s="624"/>
      <c r="QST35" s="624"/>
      <c r="QSU35" s="624"/>
      <c r="QSV35" s="624"/>
      <c r="QSW35" s="624"/>
      <c r="QSX35" s="624"/>
      <c r="QSY35" s="624"/>
      <c r="QSZ35" s="624"/>
      <c r="QTA35" s="624"/>
      <c r="QTB35" s="624"/>
      <c r="QTC35" s="624"/>
      <c r="QTD35" s="624"/>
      <c r="QTE35" s="624"/>
      <c r="QTF35" s="624"/>
      <c r="QTG35" s="624"/>
      <c r="QTH35" s="624"/>
      <c r="QTI35" s="624"/>
      <c r="QTJ35" s="624"/>
      <c r="QTK35" s="624"/>
      <c r="QTL35" s="624"/>
      <c r="QTM35" s="624"/>
      <c r="QTN35" s="624"/>
      <c r="QTO35" s="624"/>
      <c r="QTP35" s="624"/>
      <c r="QTQ35" s="624"/>
      <c r="QTR35" s="624"/>
      <c r="QTS35" s="624"/>
      <c r="QTT35" s="624"/>
      <c r="QTU35" s="624"/>
      <c r="QTV35" s="624"/>
      <c r="QTW35" s="624"/>
      <c r="QTX35" s="624"/>
      <c r="QTY35" s="624"/>
      <c r="QTZ35" s="624"/>
      <c r="QUA35" s="624"/>
      <c r="QUB35" s="624"/>
      <c r="QUC35" s="624"/>
      <c r="QUD35" s="624"/>
      <c r="QUE35" s="624"/>
      <c r="QUF35" s="624"/>
      <c r="QUG35" s="624"/>
      <c r="QUH35" s="624"/>
      <c r="QUI35" s="624"/>
      <c r="QUJ35" s="624"/>
      <c r="QUK35" s="624"/>
      <c r="QUL35" s="624"/>
      <c r="QUM35" s="624"/>
      <c r="QUN35" s="624"/>
      <c r="QUO35" s="624"/>
      <c r="QUP35" s="624"/>
      <c r="QUQ35" s="624"/>
      <c r="QUR35" s="624"/>
      <c r="QUS35" s="624"/>
      <c r="QUT35" s="624"/>
      <c r="QUU35" s="624"/>
      <c r="QUV35" s="624"/>
      <c r="QUW35" s="624"/>
      <c r="QUX35" s="624"/>
      <c r="QUY35" s="624"/>
      <c r="QUZ35" s="624"/>
      <c r="QVA35" s="624"/>
      <c r="QVB35" s="624"/>
      <c r="QVC35" s="624"/>
      <c r="QVD35" s="624"/>
      <c r="QVE35" s="624"/>
      <c r="QVF35" s="624"/>
      <c r="QVG35" s="624"/>
      <c r="QVH35" s="624"/>
      <c r="QVI35" s="624"/>
      <c r="QVJ35" s="624"/>
      <c r="QVK35" s="624"/>
      <c r="QVL35" s="624"/>
      <c r="QVM35" s="624"/>
      <c r="QVN35" s="624"/>
      <c r="QVO35" s="624"/>
      <c r="QVP35" s="624"/>
      <c r="QVQ35" s="624"/>
      <c r="QVR35" s="624"/>
      <c r="QVS35" s="624"/>
      <c r="QVT35" s="624"/>
      <c r="QVU35" s="624"/>
      <c r="QVV35" s="624"/>
      <c r="QVW35" s="624"/>
      <c r="QVX35" s="624"/>
      <c r="QVY35" s="624"/>
      <c r="QVZ35" s="624"/>
      <c r="QWA35" s="624"/>
      <c r="QWB35" s="624"/>
      <c r="QWC35" s="624"/>
      <c r="QWD35" s="624"/>
      <c r="QWE35" s="624"/>
      <c r="QWF35" s="624"/>
      <c r="QWG35" s="624"/>
      <c r="QWH35" s="624"/>
      <c r="QWI35" s="624"/>
      <c r="QWJ35" s="624"/>
      <c r="QWK35" s="624"/>
      <c r="QWL35" s="624"/>
      <c r="QWM35" s="624"/>
      <c r="QWN35" s="624"/>
      <c r="QWO35" s="624"/>
      <c r="QWP35" s="624"/>
      <c r="QWQ35" s="624"/>
      <c r="QWR35" s="624"/>
      <c r="QWS35" s="624"/>
      <c r="QWT35" s="624"/>
      <c r="QWU35" s="624"/>
      <c r="QWV35" s="624"/>
      <c r="QWW35" s="624"/>
      <c r="QWX35" s="624"/>
      <c r="QWY35" s="624"/>
      <c r="QWZ35" s="624"/>
      <c r="QXA35" s="624"/>
      <c r="QXB35" s="624"/>
      <c r="QXC35" s="624"/>
      <c r="QXD35" s="624"/>
      <c r="QXE35" s="624"/>
      <c r="QXF35" s="624"/>
      <c r="QXG35" s="624"/>
      <c r="QXH35" s="624"/>
      <c r="QXI35" s="624"/>
      <c r="QXJ35" s="624"/>
      <c r="QXK35" s="624"/>
      <c r="QXL35" s="624"/>
      <c r="QXM35" s="624"/>
      <c r="QXN35" s="624"/>
      <c r="QXO35" s="624"/>
      <c r="QXP35" s="624"/>
      <c r="QXQ35" s="624"/>
      <c r="QXR35" s="624"/>
      <c r="QXS35" s="624"/>
      <c r="QXT35" s="624"/>
      <c r="QXU35" s="624"/>
      <c r="QXV35" s="624"/>
      <c r="QXW35" s="624"/>
      <c r="QXX35" s="624"/>
      <c r="QXY35" s="624"/>
      <c r="QXZ35" s="624"/>
      <c r="QYA35" s="624"/>
      <c r="QYB35" s="624"/>
      <c r="QYC35" s="624"/>
      <c r="QYD35" s="624"/>
      <c r="QYE35" s="624"/>
      <c r="QYF35" s="624"/>
      <c r="QYG35" s="624"/>
      <c r="QYH35" s="624"/>
      <c r="QYI35" s="624"/>
      <c r="QYJ35" s="624"/>
      <c r="QYK35" s="624"/>
      <c r="QYL35" s="624"/>
      <c r="QYM35" s="624"/>
      <c r="QYN35" s="624"/>
      <c r="QYO35" s="624"/>
      <c r="QYP35" s="624"/>
      <c r="QYQ35" s="624"/>
      <c r="QYR35" s="624"/>
      <c r="QYS35" s="624"/>
      <c r="QYT35" s="624"/>
      <c r="QYU35" s="624"/>
      <c r="QYV35" s="624"/>
      <c r="QYW35" s="624"/>
      <c r="QYX35" s="624"/>
      <c r="QYY35" s="624"/>
      <c r="QYZ35" s="624"/>
      <c r="QZA35" s="624"/>
      <c r="QZB35" s="624"/>
      <c r="QZC35" s="624"/>
      <c r="QZD35" s="624"/>
      <c r="QZE35" s="624"/>
      <c r="QZF35" s="624"/>
      <c r="QZG35" s="624"/>
      <c r="QZH35" s="624"/>
      <c r="QZI35" s="624"/>
      <c r="QZJ35" s="624"/>
      <c r="QZK35" s="624"/>
      <c r="QZL35" s="624"/>
      <c r="QZM35" s="624"/>
      <c r="QZN35" s="624"/>
      <c r="QZO35" s="624"/>
      <c r="QZP35" s="624"/>
      <c r="QZQ35" s="624"/>
      <c r="QZR35" s="624"/>
      <c r="QZS35" s="624"/>
      <c r="QZT35" s="624"/>
      <c r="QZU35" s="624"/>
      <c r="QZV35" s="624"/>
      <c r="QZW35" s="624"/>
      <c r="QZX35" s="624"/>
      <c r="QZY35" s="624"/>
      <c r="QZZ35" s="624"/>
      <c r="RAA35" s="624"/>
      <c r="RAB35" s="624"/>
      <c r="RAC35" s="624"/>
      <c r="RAD35" s="624"/>
      <c r="RAE35" s="624"/>
      <c r="RAF35" s="624"/>
      <c r="RAG35" s="624"/>
      <c r="RAH35" s="624"/>
      <c r="RAI35" s="624"/>
      <c r="RAJ35" s="624"/>
      <c r="RAK35" s="624"/>
      <c r="RAL35" s="624"/>
      <c r="RAM35" s="624"/>
      <c r="RAN35" s="624"/>
      <c r="RAO35" s="624"/>
      <c r="RAP35" s="624"/>
      <c r="RAQ35" s="624"/>
      <c r="RAR35" s="624"/>
      <c r="RAS35" s="624"/>
      <c r="RAT35" s="624"/>
      <c r="RAU35" s="624"/>
      <c r="RAV35" s="624"/>
      <c r="RAW35" s="624"/>
      <c r="RAX35" s="624"/>
      <c r="RAY35" s="624"/>
      <c r="RAZ35" s="624"/>
      <c r="RBA35" s="624"/>
      <c r="RBB35" s="624"/>
      <c r="RBC35" s="624"/>
      <c r="RBD35" s="624"/>
      <c r="RBE35" s="624"/>
      <c r="RBF35" s="624"/>
      <c r="RBG35" s="624"/>
      <c r="RBH35" s="624"/>
      <c r="RBI35" s="624"/>
      <c r="RBJ35" s="624"/>
      <c r="RBK35" s="624"/>
      <c r="RBL35" s="624"/>
      <c r="RBM35" s="624"/>
      <c r="RBN35" s="624"/>
      <c r="RBO35" s="624"/>
      <c r="RBP35" s="624"/>
      <c r="RBQ35" s="624"/>
      <c r="RBR35" s="624"/>
      <c r="RBS35" s="624"/>
      <c r="RBT35" s="624"/>
      <c r="RBU35" s="624"/>
      <c r="RBV35" s="624"/>
      <c r="RBW35" s="624"/>
      <c r="RBX35" s="624"/>
      <c r="RBY35" s="624"/>
      <c r="RBZ35" s="624"/>
      <c r="RCA35" s="624"/>
      <c r="RCB35" s="624"/>
      <c r="RCC35" s="624"/>
      <c r="RCD35" s="624"/>
      <c r="RCE35" s="624"/>
      <c r="RCF35" s="624"/>
      <c r="RCG35" s="624"/>
      <c r="RCH35" s="624"/>
      <c r="RCI35" s="624"/>
      <c r="RCJ35" s="624"/>
      <c r="RCK35" s="624"/>
      <c r="RCL35" s="624"/>
      <c r="RCM35" s="624"/>
      <c r="RCN35" s="624"/>
      <c r="RCO35" s="624"/>
      <c r="RCP35" s="624"/>
      <c r="RCQ35" s="624"/>
      <c r="RCR35" s="624"/>
      <c r="RCS35" s="624"/>
      <c r="RCT35" s="624"/>
      <c r="RCU35" s="624"/>
      <c r="RCV35" s="624"/>
      <c r="RCW35" s="624"/>
      <c r="RCX35" s="624"/>
      <c r="RCY35" s="624"/>
      <c r="RCZ35" s="624"/>
      <c r="RDA35" s="624"/>
      <c r="RDB35" s="624"/>
      <c r="RDC35" s="624"/>
      <c r="RDD35" s="624"/>
      <c r="RDE35" s="624"/>
      <c r="RDF35" s="624"/>
      <c r="RDG35" s="624"/>
      <c r="RDH35" s="624"/>
      <c r="RDI35" s="624"/>
      <c r="RDJ35" s="624"/>
      <c r="RDK35" s="624"/>
      <c r="RDL35" s="624"/>
      <c r="RDM35" s="624"/>
      <c r="RDN35" s="624"/>
      <c r="RDO35" s="624"/>
      <c r="RDP35" s="624"/>
      <c r="RDQ35" s="624"/>
      <c r="RDR35" s="624"/>
      <c r="RDS35" s="624"/>
      <c r="RDT35" s="624"/>
      <c r="RDU35" s="624"/>
      <c r="RDV35" s="624"/>
      <c r="RDW35" s="624"/>
      <c r="RDX35" s="624"/>
      <c r="RDY35" s="624"/>
      <c r="RDZ35" s="624"/>
      <c r="REA35" s="624"/>
      <c r="REB35" s="624"/>
      <c r="REC35" s="624"/>
      <c r="RED35" s="624"/>
      <c r="REE35" s="624"/>
      <c r="REF35" s="624"/>
      <c r="REG35" s="624"/>
      <c r="REH35" s="624"/>
      <c r="REI35" s="624"/>
      <c r="REJ35" s="624"/>
      <c r="REK35" s="624"/>
      <c r="REL35" s="624"/>
      <c r="REM35" s="624"/>
      <c r="REN35" s="624"/>
      <c r="REO35" s="624"/>
      <c r="REP35" s="624"/>
      <c r="REQ35" s="624"/>
      <c r="RER35" s="624"/>
      <c r="RES35" s="624"/>
      <c r="RET35" s="624"/>
      <c r="REU35" s="624"/>
      <c r="REV35" s="624"/>
      <c r="REW35" s="624"/>
      <c r="REX35" s="624"/>
      <c r="REY35" s="624"/>
      <c r="REZ35" s="624"/>
      <c r="RFA35" s="624"/>
      <c r="RFB35" s="624"/>
      <c r="RFC35" s="624"/>
      <c r="RFD35" s="624"/>
      <c r="RFE35" s="624"/>
      <c r="RFF35" s="624"/>
      <c r="RFG35" s="624"/>
      <c r="RFH35" s="624"/>
      <c r="RFI35" s="624"/>
      <c r="RFJ35" s="624"/>
      <c r="RFK35" s="624"/>
      <c r="RFL35" s="624"/>
      <c r="RFM35" s="624"/>
      <c r="RFN35" s="624"/>
      <c r="RFO35" s="624"/>
      <c r="RFP35" s="624"/>
      <c r="RFQ35" s="624"/>
      <c r="RFR35" s="624"/>
      <c r="RFS35" s="624"/>
      <c r="RFT35" s="624"/>
      <c r="RFU35" s="624"/>
      <c r="RFV35" s="624"/>
      <c r="RFW35" s="624"/>
      <c r="RFX35" s="624"/>
      <c r="RFY35" s="624"/>
      <c r="RFZ35" s="624"/>
      <c r="RGA35" s="624"/>
      <c r="RGB35" s="624"/>
      <c r="RGC35" s="624"/>
      <c r="RGD35" s="624"/>
      <c r="RGE35" s="624"/>
      <c r="RGF35" s="624"/>
      <c r="RGG35" s="624"/>
      <c r="RGH35" s="624"/>
      <c r="RGI35" s="624"/>
      <c r="RGJ35" s="624"/>
      <c r="RGK35" s="624"/>
      <c r="RGL35" s="624"/>
      <c r="RGM35" s="624"/>
      <c r="RGN35" s="624"/>
      <c r="RGO35" s="624"/>
      <c r="RGP35" s="624"/>
      <c r="RGQ35" s="624"/>
      <c r="RGR35" s="624"/>
      <c r="RGS35" s="624"/>
      <c r="RGT35" s="624"/>
      <c r="RGU35" s="624"/>
      <c r="RGV35" s="624"/>
      <c r="RGW35" s="624"/>
      <c r="RGX35" s="624"/>
      <c r="RGY35" s="624"/>
      <c r="RGZ35" s="624"/>
      <c r="RHA35" s="624"/>
      <c r="RHB35" s="624"/>
      <c r="RHC35" s="624"/>
      <c r="RHD35" s="624"/>
      <c r="RHE35" s="624"/>
      <c r="RHF35" s="624"/>
      <c r="RHG35" s="624"/>
      <c r="RHH35" s="624"/>
      <c r="RHI35" s="624"/>
      <c r="RHJ35" s="624"/>
      <c r="RHK35" s="624"/>
      <c r="RHL35" s="624"/>
      <c r="RHM35" s="624"/>
      <c r="RHN35" s="624"/>
      <c r="RHO35" s="624"/>
      <c r="RHP35" s="624"/>
      <c r="RHQ35" s="624"/>
      <c r="RHR35" s="624"/>
      <c r="RHS35" s="624"/>
      <c r="RHT35" s="624"/>
      <c r="RHU35" s="624"/>
      <c r="RHV35" s="624"/>
      <c r="RHW35" s="624"/>
      <c r="RHX35" s="624"/>
      <c r="RHY35" s="624"/>
      <c r="RHZ35" s="624"/>
      <c r="RIA35" s="624"/>
      <c r="RIB35" s="624"/>
      <c r="RIC35" s="624"/>
      <c r="RID35" s="624"/>
      <c r="RIE35" s="624"/>
      <c r="RIF35" s="624"/>
      <c r="RIG35" s="624"/>
      <c r="RIH35" s="624"/>
      <c r="RII35" s="624"/>
      <c r="RIJ35" s="624"/>
      <c r="RIK35" s="624"/>
      <c r="RIL35" s="624"/>
      <c r="RIM35" s="624"/>
      <c r="RIN35" s="624"/>
      <c r="RIO35" s="624"/>
      <c r="RIP35" s="624"/>
      <c r="RIQ35" s="624"/>
      <c r="RIR35" s="624"/>
      <c r="RIS35" s="624"/>
      <c r="RIT35" s="624"/>
      <c r="RIU35" s="624"/>
      <c r="RIV35" s="624"/>
      <c r="RIW35" s="624"/>
      <c r="RIX35" s="624"/>
      <c r="RIY35" s="624"/>
      <c r="RIZ35" s="624"/>
      <c r="RJA35" s="624"/>
      <c r="RJB35" s="624"/>
      <c r="RJC35" s="624"/>
      <c r="RJD35" s="624"/>
      <c r="RJE35" s="624"/>
      <c r="RJF35" s="624"/>
      <c r="RJG35" s="624"/>
      <c r="RJH35" s="624"/>
      <c r="RJI35" s="624"/>
      <c r="RJJ35" s="624"/>
      <c r="RJK35" s="624"/>
      <c r="RJL35" s="624"/>
      <c r="RJM35" s="624"/>
      <c r="RJN35" s="624"/>
      <c r="RJO35" s="624"/>
      <c r="RJP35" s="624"/>
      <c r="RJQ35" s="624"/>
      <c r="RJR35" s="624"/>
      <c r="RJS35" s="624"/>
      <c r="RJT35" s="624"/>
      <c r="RJU35" s="624"/>
      <c r="RJV35" s="624"/>
      <c r="RJW35" s="624"/>
      <c r="RJX35" s="624"/>
      <c r="RJY35" s="624"/>
      <c r="RJZ35" s="624"/>
      <c r="RKA35" s="624"/>
      <c r="RKB35" s="624"/>
      <c r="RKC35" s="624"/>
      <c r="RKD35" s="624"/>
      <c r="RKE35" s="624"/>
      <c r="RKF35" s="624"/>
      <c r="RKG35" s="624"/>
      <c r="RKH35" s="624"/>
      <c r="RKI35" s="624"/>
      <c r="RKJ35" s="624"/>
      <c r="RKK35" s="624"/>
      <c r="RKL35" s="624"/>
      <c r="RKM35" s="624"/>
      <c r="RKN35" s="624"/>
      <c r="RKO35" s="624"/>
      <c r="RKP35" s="624"/>
      <c r="RKQ35" s="624"/>
      <c r="RKR35" s="624"/>
      <c r="RKS35" s="624"/>
      <c r="RKT35" s="624"/>
      <c r="RKU35" s="624"/>
      <c r="RKV35" s="624"/>
      <c r="RKW35" s="624"/>
      <c r="RKX35" s="624"/>
      <c r="RKY35" s="624"/>
      <c r="RKZ35" s="624"/>
      <c r="RLA35" s="624"/>
      <c r="RLB35" s="624"/>
      <c r="RLC35" s="624"/>
      <c r="RLD35" s="624"/>
      <c r="RLE35" s="624"/>
      <c r="RLF35" s="624"/>
      <c r="RLG35" s="624"/>
      <c r="RLH35" s="624"/>
      <c r="RLI35" s="624"/>
      <c r="RLJ35" s="624"/>
      <c r="RLK35" s="624"/>
      <c r="RLL35" s="624"/>
      <c r="RLM35" s="624"/>
      <c r="RLN35" s="624"/>
      <c r="RLO35" s="624"/>
      <c r="RLP35" s="624"/>
      <c r="RLQ35" s="624"/>
      <c r="RLR35" s="624"/>
      <c r="RLS35" s="624"/>
      <c r="RLT35" s="624"/>
      <c r="RLU35" s="624"/>
      <c r="RLV35" s="624"/>
      <c r="RLW35" s="624"/>
      <c r="RLX35" s="624"/>
      <c r="RLY35" s="624"/>
      <c r="RLZ35" s="624"/>
      <c r="RMA35" s="624"/>
      <c r="RMB35" s="624"/>
      <c r="RMC35" s="624"/>
      <c r="RMD35" s="624"/>
      <c r="RME35" s="624"/>
      <c r="RMF35" s="624"/>
      <c r="RMG35" s="624"/>
      <c r="RMH35" s="624"/>
      <c r="RMI35" s="624"/>
      <c r="RMJ35" s="624"/>
      <c r="RMK35" s="624"/>
      <c r="RML35" s="624"/>
      <c r="RMM35" s="624"/>
      <c r="RMN35" s="624"/>
      <c r="RMO35" s="624"/>
      <c r="RMP35" s="624"/>
      <c r="RMQ35" s="624"/>
      <c r="RMR35" s="624"/>
      <c r="RMS35" s="624"/>
      <c r="RMT35" s="624"/>
      <c r="RMU35" s="624"/>
      <c r="RMV35" s="624"/>
      <c r="RMW35" s="624"/>
      <c r="RMX35" s="624"/>
      <c r="RMY35" s="624"/>
      <c r="RMZ35" s="624"/>
      <c r="RNA35" s="624"/>
      <c r="RNB35" s="624"/>
      <c r="RNC35" s="624"/>
      <c r="RND35" s="624"/>
      <c r="RNE35" s="624"/>
      <c r="RNF35" s="624"/>
      <c r="RNG35" s="624"/>
      <c r="RNH35" s="624"/>
      <c r="RNI35" s="624"/>
      <c r="RNJ35" s="624"/>
      <c r="RNK35" s="624"/>
      <c r="RNL35" s="624"/>
      <c r="RNM35" s="624"/>
      <c r="RNN35" s="624"/>
      <c r="RNO35" s="624"/>
      <c r="RNP35" s="624"/>
      <c r="RNQ35" s="624"/>
      <c r="RNR35" s="624"/>
      <c r="RNS35" s="624"/>
      <c r="RNT35" s="624"/>
      <c r="RNU35" s="624"/>
      <c r="RNV35" s="624"/>
      <c r="RNW35" s="624"/>
      <c r="RNX35" s="624"/>
      <c r="RNY35" s="624"/>
      <c r="RNZ35" s="624"/>
      <c r="ROA35" s="624"/>
      <c r="ROB35" s="624"/>
      <c r="ROC35" s="624"/>
      <c r="ROD35" s="624"/>
      <c r="ROE35" s="624"/>
      <c r="ROF35" s="624"/>
      <c r="ROG35" s="624"/>
      <c r="ROH35" s="624"/>
      <c r="ROI35" s="624"/>
      <c r="ROJ35" s="624"/>
      <c r="ROK35" s="624"/>
      <c r="ROL35" s="624"/>
      <c r="ROM35" s="624"/>
      <c r="RON35" s="624"/>
      <c r="ROO35" s="624"/>
      <c r="ROP35" s="624"/>
      <c r="ROQ35" s="624"/>
      <c r="ROR35" s="624"/>
      <c r="ROS35" s="624"/>
      <c r="ROT35" s="624"/>
      <c r="ROU35" s="624"/>
      <c r="ROV35" s="624"/>
      <c r="ROW35" s="624"/>
      <c r="ROX35" s="624"/>
      <c r="ROY35" s="624"/>
      <c r="ROZ35" s="624"/>
      <c r="RPA35" s="624"/>
      <c r="RPB35" s="624"/>
      <c r="RPC35" s="624"/>
      <c r="RPD35" s="624"/>
      <c r="RPE35" s="624"/>
      <c r="RPF35" s="624"/>
      <c r="RPG35" s="624"/>
      <c r="RPH35" s="624"/>
      <c r="RPI35" s="624"/>
      <c r="RPJ35" s="624"/>
      <c r="RPK35" s="624"/>
      <c r="RPL35" s="624"/>
      <c r="RPM35" s="624"/>
      <c r="RPN35" s="624"/>
      <c r="RPO35" s="624"/>
      <c r="RPP35" s="624"/>
      <c r="RPQ35" s="624"/>
      <c r="RPR35" s="624"/>
      <c r="RPS35" s="624"/>
      <c r="RPT35" s="624"/>
      <c r="RPU35" s="624"/>
      <c r="RPV35" s="624"/>
      <c r="RPW35" s="624"/>
      <c r="RPX35" s="624"/>
      <c r="RPY35" s="624"/>
      <c r="RPZ35" s="624"/>
      <c r="RQA35" s="624"/>
      <c r="RQB35" s="624"/>
      <c r="RQC35" s="624"/>
      <c r="RQD35" s="624"/>
      <c r="RQE35" s="624"/>
      <c r="RQF35" s="624"/>
      <c r="RQG35" s="624"/>
      <c r="RQH35" s="624"/>
      <c r="RQI35" s="624"/>
      <c r="RQJ35" s="624"/>
      <c r="RQK35" s="624"/>
      <c r="RQL35" s="624"/>
      <c r="RQM35" s="624"/>
      <c r="RQN35" s="624"/>
      <c r="RQO35" s="624"/>
      <c r="RQP35" s="624"/>
      <c r="RQQ35" s="624"/>
      <c r="RQR35" s="624"/>
      <c r="RQS35" s="624"/>
      <c r="RQT35" s="624"/>
      <c r="RQU35" s="624"/>
      <c r="RQV35" s="624"/>
      <c r="RQW35" s="624"/>
      <c r="RQX35" s="624"/>
      <c r="RQY35" s="624"/>
      <c r="RQZ35" s="624"/>
      <c r="RRA35" s="624"/>
      <c r="RRB35" s="624"/>
      <c r="RRC35" s="624"/>
      <c r="RRD35" s="624"/>
      <c r="RRE35" s="624"/>
      <c r="RRF35" s="624"/>
      <c r="RRG35" s="624"/>
      <c r="RRH35" s="624"/>
      <c r="RRI35" s="624"/>
      <c r="RRJ35" s="624"/>
      <c r="RRK35" s="624"/>
      <c r="RRL35" s="624"/>
      <c r="RRM35" s="624"/>
      <c r="RRN35" s="624"/>
      <c r="RRO35" s="624"/>
      <c r="RRP35" s="624"/>
      <c r="RRQ35" s="624"/>
      <c r="RRR35" s="624"/>
      <c r="RRS35" s="624"/>
      <c r="RRT35" s="624"/>
      <c r="RRU35" s="624"/>
      <c r="RRV35" s="624"/>
      <c r="RRW35" s="624"/>
      <c r="RRX35" s="624"/>
      <c r="RRY35" s="624"/>
      <c r="RRZ35" s="624"/>
      <c r="RSA35" s="624"/>
      <c r="RSB35" s="624"/>
      <c r="RSC35" s="624"/>
      <c r="RSD35" s="624"/>
      <c r="RSE35" s="624"/>
      <c r="RSF35" s="624"/>
      <c r="RSG35" s="624"/>
      <c r="RSH35" s="624"/>
      <c r="RSI35" s="624"/>
      <c r="RSJ35" s="624"/>
      <c r="RSK35" s="624"/>
      <c r="RSL35" s="624"/>
      <c r="RSM35" s="624"/>
      <c r="RSN35" s="624"/>
      <c r="RSO35" s="624"/>
      <c r="RSP35" s="624"/>
      <c r="RSQ35" s="624"/>
      <c r="RSR35" s="624"/>
      <c r="RSS35" s="624"/>
      <c r="RST35" s="624"/>
      <c r="RSU35" s="624"/>
      <c r="RSV35" s="624"/>
      <c r="RSW35" s="624"/>
      <c r="RSX35" s="624"/>
      <c r="RSY35" s="624"/>
      <c r="RSZ35" s="624"/>
      <c r="RTA35" s="624"/>
      <c r="RTB35" s="624"/>
      <c r="RTC35" s="624"/>
      <c r="RTD35" s="624"/>
      <c r="RTE35" s="624"/>
      <c r="RTF35" s="624"/>
      <c r="RTG35" s="624"/>
      <c r="RTH35" s="624"/>
      <c r="RTI35" s="624"/>
      <c r="RTJ35" s="624"/>
      <c r="RTK35" s="624"/>
      <c r="RTL35" s="624"/>
      <c r="RTM35" s="624"/>
      <c r="RTN35" s="624"/>
      <c r="RTO35" s="624"/>
      <c r="RTP35" s="624"/>
      <c r="RTQ35" s="624"/>
      <c r="RTR35" s="624"/>
      <c r="RTS35" s="624"/>
      <c r="RTT35" s="624"/>
      <c r="RTU35" s="624"/>
      <c r="RTV35" s="624"/>
      <c r="RTW35" s="624"/>
      <c r="RTX35" s="624"/>
      <c r="RTY35" s="624"/>
      <c r="RTZ35" s="624"/>
      <c r="RUA35" s="624"/>
      <c r="RUB35" s="624"/>
      <c r="RUC35" s="624"/>
      <c r="RUD35" s="624"/>
      <c r="RUE35" s="624"/>
      <c r="RUF35" s="624"/>
      <c r="RUG35" s="624"/>
      <c r="RUH35" s="624"/>
      <c r="RUI35" s="624"/>
      <c r="RUJ35" s="624"/>
      <c r="RUK35" s="624"/>
      <c r="RUL35" s="624"/>
      <c r="RUM35" s="624"/>
      <c r="RUN35" s="624"/>
      <c r="RUO35" s="624"/>
      <c r="RUP35" s="624"/>
      <c r="RUQ35" s="624"/>
      <c r="RUR35" s="624"/>
      <c r="RUS35" s="624"/>
      <c r="RUT35" s="624"/>
      <c r="RUU35" s="624"/>
      <c r="RUV35" s="624"/>
      <c r="RUW35" s="624"/>
      <c r="RUX35" s="624"/>
      <c r="RUY35" s="624"/>
      <c r="RUZ35" s="624"/>
      <c r="RVA35" s="624"/>
      <c r="RVB35" s="624"/>
      <c r="RVC35" s="624"/>
      <c r="RVD35" s="624"/>
      <c r="RVE35" s="624"/>
      <c r="RVF35" s="624"/>
      <c r="RVG35" s="624"/>
      <c r="RVH35" s="624"/>
      <c r="RVI35" s="624"/>
      <c r="RVJ35" s="624"/>
      <c r="RVK35" s="624"/>
      <c r="RVL35" s="624"/>
      <c r="RVM35" s="624"/>
      <c r="RVN35" s="624"/>
      <c r="RVO35" s="624"/>
      <c r="RVP35" s="624"/>
      <c r="RVQ35" s="624"/>
      <c r="RVR35" s="624"/>
      <c r="RVS35" s="624"/>
      <c r="RVT35" s="624"/>
      <c r="RVU35" s="624"/>
      <c r="RVV35" s="624"/>
      <c r="RVW35" s="624"/>
      <c r="RVX35" s="624"/>
      <c r="RVY35" s="624"/>
      <c r="RVZ35" s="624"/>
      <c r="RWA35" s="624"/>
      <c r="RWB35" s="624"/>
      <c r="RWC35" s="624"/>
      <c r="RWD35" s="624"/>
      <c r="RWE35" s="624"/>
      <c r="RWF35" s="624"/>
      <c r="RWG35" s="624"/>
      <c r="RWH35" s="624"/>
      <c r="RWI35" s="624"/>
      <c r="RWJ35" s="624"/>
      <c r="RWK35" s="624"/>
      <c r="RWL35" s="624"/>
      <c r="RWM35" s="624"/>
      <c r="RWN35" s="624"/>
      <c r="RWO35" s="624"/>
      <c r="RWP35" s="624"/>
      <c r="RWQ35" s="624"/>
      <c r="RWR35" s="624"/>
      <c r="RWS35" s="624"/>
      <c r="RWT35" s="624"/>
      <c r="RWU35" s="624"/>
      <c r="RWV35" s="624"/>
      <c r="RWW35" s="624"/>
      <c r="RWX35" s="624"/>
      <c r="RWY35" s="624"/>
      <c r="RWZ35" s="624"/>
      <c r="RXA35" s="624"/>
      <c r="RXB35" s="624"/>
      <c r="RXC35" s="624"/>
      <c r="RXD35" s="624"/>
      <c r="RXE35" s="624"/>
      <c r="RXF35" s="624"/>
      <c r="RXG35" s="624"/>
      <c r="RXH35" s="624"/>
      <c r="RXI35" s="624"/>
      <c r="RXJ35" s="624"/>
      <c r="RXK35" s="624"/>
      <c r="RXL35" s="624"/>
      <c r="RXM35" s="624"/>
      <c r="RXN35" s="624"/>
      <c r="RXO35" s="624"/>
      <c r="RXP35" s="624"/>
      <c r="RXQ35" s="624"/>
      <c r="RXR35" s="624"/>
      <c r="RXS35" s="624"/>
      <c r="RXT35" s="624"/>
      <c r="RXU35" s="624"/>
      <c r="RXV35" s="624"/>
      <c r="RXW35" s="624"/>
      <c r="RXX35" s="624"/>
      <c r="RXY35" s="624"/>
      <c r="RXZ35" s="624"/>
      <c r="RYA35" s="624"/>
      <c r="RYB35" s="624"/>
      <c r="RYC35" s="624"/>
      <c r="RYD35" s="624"/>
      <c r="RYE35" s="624"/>
      <c r="RYF35" s="624"/>
      <c r="RYG35" s="624"/>
      <c r="RYH35" s="624"/>
      <c r="RYI35" s="624"/>
      <c r="RYJ35" s="624"/>
      <c r="RYK35" s="624"/>
      <c r="RYL35" s="624"/>
      <c r="RYM35" s="624"/>
      <c r="RYN35" s="624"/>
      <c r="RYO35" s="624"/>
      <c r="RYP35" s="624"/>
      <c r="RYQ35" s="624"/>
      <c r="RYR35" s="624"/>
      <c r="RYS35" s="624"/>
      <c r="RYT35" s="624"/>
      <c r="RYU35" s="624"/>
      <c r="RYV35" s="624"/>
      <c r="RYW35" s="624"/>
      <c r="RYX35" s="624"/>
      <c r="RYY35" s="624"/>
      <c r="RYZ35" s="624"/>
      <c r="RZA35" s="624"/>
      <c r="RZB35" s="624"/>
      <c r="RZC35" s="624"/>
      <c r="RZD35" s="624"/>
      <c r="RZE35" s="624"/>
      <c r="RZF35" s="624"/>
      <c r="RZG35" s="624"/>
      <c r="RZH35" s="624"/>
      <c r="RZI35" s="624"/>
      <c r="RZJ35" s="624"/>
      <c r="RZK35" s="624"/>
      <c r="RZL35" s="624"/>
      <c r="RZM35" s="624"/>
      <c r="RZN35" s="624"/>
      <c r="RZO35" s="624"/>
      <c r="RZP35" s="624"/>
      <c r="RZQ35" s="624"/>
      <c r="RZR35" s="624"/>
      <c r="RZS35" s="624"/>
      <c r="RZT35" s="624"/>
      <c r="RZU35" s="624"/>
      <c r="RZV35" s="624"/>
      <c r="RZW35" s="624"/>
      <c r="RZX35" s="624"/>
      <c r="RZY35" s="624"/>
      <c r="RZZ35" s="624"/>
      <c r="SAA35" s="624"/>
      <c r="SAB35" s="624"/>
      <c r="SAC35" s="624"/>
      <c r="SAD35" s="624"/>
      <c r="SAE35" s="624"/>
      <c r="SAF35" s="624"/>
      <c r="SAG35" s="624"/>
      <c r="SAH35" s="624"/>
      <c r="SAI35" s="624"/>
      <c r="SAJ35" s="624"/>
      <c r="SAK35" s="624"/>
      <c r="SAL35" s="624"/>
      <c r="SAM35" s="624"/>
      <c r="SAN35" s="624"/>
      <c r="SAO35" s="624"/>
      <c r="SAP35" s="624"/>
      <c r="SAQ35" s="624"/>
      <c r="SAR35" s="624"/>
      <c r="SAS35" s="624"/>
      <c r="SAT35" s="624"/>
      <c r="SAU35" s="624"/>
      <c r="SAV35" s="624"/>
      <c r="SAW35" s="624"/>
      <c r="SAX35" s="624"/>
      <c r="SAY35" s="624"/>
      <c r="SAZ35" s="624"/>
      <c r="SBA35" s="624"/>
      <c r="SBB35" s="624"/>
      <c r="SBC35" s="624"/>
      <c r="SBD35" s="624"/>
      <c r="SBE35" s="624"/>
      <c r="SBF35" s="624"/>
      <c r="SBG35" s="624"/>
      <c r="SBH35" s="624"/>
      <c r="SBI35" s="624"/>
      <c r="SBJ35" s="624"/>
      <c r="SBK35" s="624"/>
      <c r="SBL35" s="624"/>
      <c r="SBM35" s="624"/>
      <c r="SBN35" s="624"/>
      <c r="SBO35" s="624"/>
      <c r="SBP35" s="624"/>
      <c r="SBQ35" s="624"/>
      <c r="SBR35" s="624"/>
      <c r="SBS35" s="624"/>
      <c r="SBT35" s="624"/>
      <c r="SBU35" s="624"/>
      <c r="SBV35" s="624"/>
      <c r="SBW35" s="624"/>
      <c r="SBX35" s="624"/>
      <c r="SBY35" s="624"/>
      <c r="SBZ35" s="624"/>
      <c r="SCA35" s="624"/>
      <c r="SCB35" s="624"/>
      <c r="SCC35" s="624"/>
      <c r="SCD35" s="624"/>
      <c r="SCE35" s="624"/>
      <c r="SCF35" s="624"/>
      <c r="SCG35" s="624"/>
      <c r="SCH35" s="624"/>
      <c r="SCI35" s="624"/>
      <c r="SCJ35" s="624"/>
      <c r="SCK35" s="624"/>
      <c r="SCL35" s="624"/>
      <c r="SCM35" s="624"/>
      <c r="SCN35" s="624"/>
      <c r="SCO35" s="624"/>
      <c r="SCP35" s="624"/>
      <c r="SCQ35" s="624"/>
      <c r="SCR35" s="624"/>
      <c r="SCS35" s="624"/>
      <c r="SCT35" s="624"/>
      <c r="SCU35" s="624"/>
      <c r="SCV35" s="624"/>
      <c r="SCW35" s="624"/>
      <c r="SCX35" s="624"/>
      <c r="SCY35" s="624"/>
      <c r="SCZ35" s="624"/>
      <c r="SDA35" s="624"/>
      <c r="SDB35" s="624"/>
      <c r="SDC35" s="624"/>
      <c r="SDD35" s="624"/>
      <c r="SDE35" s="624"/>
      <c r="SDF35" s="624"/>
      <c r="SDG35" s="624"/>
      <c r="SDH35" s="624"/>
      <c r="SDI35" s="624"/>
      <c r="SDJ35" s="624"/>
      <c r="SDK35" s="624"/>
      <c r="SDL35" s="624"/>
      <c r="SDM35" s="624"/>
      <c r="SDN35" s="624"/>
      <c r="SDO35" s="624"/>
      <c r="SDP35" s="624"/>
      <c r="SDQ35" s="624"/>
      <c r="SDR35" s="624"/>
      <c r="SDS35" s="624"/>
      <c r="SDT35" s="624"/>
      <c r="SDU35" s="624"/>
      <c r="SDV35" s="624"/>
      <c r="SDW35" s="624"/>
      <c r="SDX35" s="624"/>
      <c r="SDY35" s="624"/>
      <c r="SDZ35" s="624"/>
      <c r="SEA35" s="624"/>
      <c r="SEB35" s="624"/>
      <c r="SEC35" s="624"/>
      <c r="SED35" s="624"/>
      <c r="SEE35" s="624"/>
      <c r="SEF35" s="624"/>
      <c r="SEG35" s="624"/>
      <c r="SEH35" s="624"/>
      <c r="SEI35" s="624"/>
      <c r="SEJ35" s="624"/>
      <c r="SEK35" s="624"/>
      <c r="SEL35" s="624"/>
      <c r="SEM35" s="624"/>
      <c r="SEN35" s="624"/>
      <c r="SEO35" s="624"/>
      <c r="SEP35" s="624"/>
      <c r="SEQ35" s="624"/>
      <c r="SER35" s="624"/>
      <c r="SES35" s="624"/>
      <c r="SET35" s="624"/>
      <c r="SEU35" s="624"/>
      <c r="SEV35" s="624"/>
      <c r="SEW35" s="624"/>
      <c r="SEX35" s="624"/>
      <c r="SEY35" s="624"/>
      <c r="SEZ35" s="624"/>
      <c r="SFA35" s="624"/>
      <c r="SFB35" s="624"/>
      <c r="SFC35" s="624"/>
      <c r="SFD35" s="624"/>
      <c r="SFE35" s="624"/>
      <c r="SFF35" s="624"/>
      <c r="SFG35" s="624"/>
      <c r="SFH35" s="624"/>
      <c r="SFI35" s="624"/>
      <c r="SFJ35" s="624"/>
      <c r="SFK35" s="624"/>
      <c r="SFL35" s="624"/>
      <c r="SFM35" s="624"/>
      <c r="SFN35" s="624"/>
      <c r="SFO35" s="624"/>
      <c r="SFP35" s="624"/>
      <c r="SFQ35" s="624"/>
      <c r="SFR35" s="624"/>
      <c r="SFS35" s="624"/>
      <c r="SFT35" s="624"/>
      <c r="SFU35" s="624"/>
      <c r="SFV35" s="624"/>
      <c r="SFW35" s="624"/>
      <c r="SFX35" s="624"/>
      <c r="SFY35" s="624"/>
      <c r="SFZ35" s="624"/>
      <c r="SGA35" s="624"/>
      <c r="SGB35" s="624"/>
      <c r="SGC35" s="624"/>
      <c r="SGD35" s="624"/>
      <c r="SGE35" s="624"/>
      <c r="SGF35" s="624"/>
      <c r="SGG35" s="624"/>
      <c r="SGH35" s="624"/>
      <c r="SGI35" s="624"/>
      <c r="SGJ35" s="624"/>
      <c r="SGK35" s="624"/>
      <c r="SGL35" s="624"/>
      <c r="SGM35" s="624"/>
      <c r="SGN35" s="624"/>
      <c r="SGO35" s="624"/>
      <c r="SGP35" s="624"/>
      <c r="SGQ35" s="624"/>
      <c r="SGR35" s="624"/>
      <c r="SGS35" s="624"/>
      <c r="SGT35" s="624"/>
      <c r="SGU35" s="624"/>
      <c r="SGV35" s="624"/>
      <c r="SGW35" s="624"/>
      <c r="SGX35" s="624"/>
      <c r="SGY35" s="624"/>
      <c r="SGZ35" s="624"/>
      <c r="SHA35" s="624"/>
      <c r="SHB35" s="624"/>
      <c r="SHC35" s="624"/>
      <c r="SHD35" s="624"/>
      <c r="SHE35" s="624"/>
      <c r="SHF35" s="624"/>
      <c r="SHG35" s="624"/>
      <c r="SHH35" s="624"/>
      <c r="SHI35" s="624"/>
      <c r="SHJ35" s="624"/>
      <c r="SHK35" s="624"/>
      <c r="SHL35" s="624"/>
      <c r="SHM35" s="624"/>
      <c r="SHN35" s="624"/>
      <c r="SHO35" s="624"/>
      <c r="SHP35" s="624"/>
      <c r="SHQ35" s="624"/>
      <c r="SHR35" s="624"/>
      <c r="SHS35" s="624"/>
      <c r="SHT35" s="624"/>
      <c r="SHU35" s="624"/>
      <c r="SHV35" s="624"/>
      <c r="SHW35" s="624"/>
      <c r="SHX35" s="624"/>
      <c r="SHY35" s="624"/>
      <c r="SHZ35" s="624"/>
      <c r="SIA35" s="624"/>
      <c r="SIB35" s="624"/>
      <c r="SIC35" s="624"/>
      <c r="SID35" s="624"/>
      <c r="SIE35" s="624"/>
      <c r="SIF35" s="624"/>
      <c r="SIG35" s="624"/>
      <c r="SIH35" s="624"/>
      <c r="SII35" s="624"/>
      <c r="SIJ35" s="624"/>
      <c r="SIK35" s="624"/>
      <c r="SIL35" s="624"/>
      <c r="SIM35" s="624"/>
      <c r="SIN35" s="624"/>
      <c r="SIO35" s="624"/>
      <c r="SIP35" s="624"/>
      <c r="SIQ35" s="624"/>
      <c r="SIR35" s="624"/>
      <c r="SIS35" s="624"/>
      <c r="SIT35" s="624"/>
      <c r="SIU35" s="624"/>
      <c r="SIV35" s="624"/>
      <c r="SIW35" s="624"/>
      <c r="SIX35" s="624"/>
      <c r="SIY35" s="624"/>
      <c r="SIZ35" s="624"/>
      <c r="SJA35" s="624"/>
      <c r="SJB35" s="624"/>
      <c r="SJC35" s="624"/>
      <c r="SJD35" s="624"/>
      <c r="SJE35" s="624"/>
      <c r="SJF35" s="624"/>
      <c r="SJG35" s="624"/>
      <c r="SJH35" s="624"/>
      <c r="SJI35" s="624"/>
      <c r="SJJ35" s="624"/>
      <c r="SJK35" s="624"/>
      <c r="SJL35" s="624"/>
      <c r="SJM35" s="624"/>
      <c r="SJN35" s="624"/>
      <c r="SJO35" s="624"/>
      <c r="SJP35" s="624"/>
      <c r="SJQ35" s="624"/>
      <c r="SJR35" s="624"/>
      <c r="SJS35" s="624"/>
      <c r="SJT35" s="624"/>
      <c r="SJU35" s="624"/>
      <c r="SJV35" s="624"/>
      <c r="SJW35" s="624"/>
      <c r="SJX35" s="624"/>
      <c r="SJY35" s="624"/>
      <c r="SJZ35" s="624"/>
      <c r="SKA35" s="624"/>
      <c r="SKB35" s="624"/>
      <c r="SKC35" s="624"/>
      <c r="SKD35" s="624"/>
      <c r="SKE35" s="624"/>
      <c r="SKF35" s="624"/>
      <c r="SKG35" s="624"/>
      <c r="SKH35" s="624"/>
      <c r="SKI35" s="624"/>
      <c r="SKJ35" s="624"/>
      <c r="SKK35" s="624"/>
      <c r="SKL35" s="624"/>
      <c r="SKM35" s="624"/>
      <c r="SKN35" s="624"/>
      <c r="SKO35" s="624"/>
      <c r="SKP35" s="624"/>
      <c r="SKQ35" s="624"/>
      <c r="SKR35" s="624"/>
      <c r="SKS35" s="624"/>
      <c r="SKT35" s="624"/>
      <c r="SKU35" s="624"/>
      <c r="SKV35" s="624"/>
      <c r="SKW35" s="624"/>
      <c r="SKX35" s="624"/>
      <c r="SKY35" s="624"/>
      <c r="SKZ35" s="624"/>
      <c r="SLA35" s="624"/>
      <c r="SLB35" s="624"/>
      <c r="SLC35" s="624"/>
      <c r="SLD35" s="624"/>
      <c r="SLE35" s="624"/>
      <c r="SLF35" s="624"/>
      <c r="SLG35" s="624"/>
      <c r="SLH35" s="624"/>
      <c r="SLI35" s="624"/>
      <c r="SLJ35" s="624"/>
      <c r="SLK35" s="624"/>
      <c r="SLL35" s="624"/>
      <c r="SLM35" s="624"/>
      <c r="SLN35" s="624"/>
      <c r="SLO35" s="624"/>
      <c r="SLP35" s="624"/>
      <c r="SLQ35" s="624"/>
      <c r="SLR35" s="624"/>
      <c r="SLS35" s="624"/>
      <c r="SLT35" s="624"/>
      <c r="SLU35" s="624"/>
      <c r="SLV35" s="624"/>
      <c r="SLW35" s="624"/>
      <c r="SLX35" s="624"/>
      <c r="SLY35" s="624"/>
      <c r="SLZ35" s="624"/>
      <c r="SMA35" s="624"/>
      <c r="SMB35" s="624"/>
      <c r="SMC35" s="624"/>
      <c r="SMD35" s="624"/>
      <c r="SME35" s="624"/>
      <c r="SMF35" s="624"/>
      <c r="SMG35" s="624"/>
      <c r="SMH35" s="624"/>
      <c r="SMI35" s="624"/>
      <c r="SMJ35" s="624"/>
      <c r="SMK35" s="624"/>
      <c r="SML35" s="624"/>
      <c r="SMM35" s="624"/>
      <c r="SMN35" s="624"/>
      <c r="SMO35" s="624"/>
      <c r="SMP35" s="624"/>
      <c r="SMQ35" s="624"/>
      <c r="SMR35" s="624"/>
      <c r="SMS35" s="624"/>
      <c r="SMT35" s="624"/>
      <c r="SMU35" s="624"/>
      <c r="SMV35" s="624"/>
      <c r="SMW35" s="624"/>
      <c r="SMX35" s="624"/>
      <c r="SMY35" s="624"/>
      <c r="SMZ35" s="624"/>
      <c r="SNA35" s="624"/>
      <c r="SNB35" s="624"/>
      <c r="SNC35" s="624"/>
      <c r="SND35" s="624"/>
      <c r="SNE35" s="624"/>
      <c r="SNF35" s="624"/>
      <c r="SNG35" s="624"/>
      <c r="SNH35" s="624"/>
      <c r="SNI35" s="624"/>
      <c r="SNJ35" s="624"/>
      <c r="SNK35" s="624"/>
      <c r="SNL35" s="624"/>
      <c r="SNM35" s="624"/>
      <c r="SNN35" s="624"/>
      <c r="SNO35" s="624"/>
      <c r="SNP35" s="624"/>
      <c r="SNQ35" s="624"/>
      <c r="SNR35" s="624"/>
      <c r="SNS35" s="624"/>
      <c r="SNT35" s="624"/>
      <c r="SNU35" s="624"/>
      <c r="SNV35" s="624"/>
      <c r="SNW35" s="624"/>
      <c r="SNX35" s="624"/>
      <c r="SNY35" s="624"/>
      <c r="SNZ35" s="624"/>
      <c r="SOA35" s="624"/>
      <c r="SOB35" s="624"/>
      <c r="SOC35" s="624"/>
      <c r="SOD35" s="624"/>
      <c r="SOE35" s="624"/>
      <c r="SOF35" s="624"/>
      <c r="SOG35" s="624"/>
      <c r="SOH35" s="624"/>
      <c r="SOI35" s="624"/>
      <c r="SOJ35" s="624"/>
      <c r="SOK35" s="624"/>
      <c r="SOL35" s="624"/>
      <c r="SOM35" s="624"/>
      <c r="SON35" s="624"/>
      <c r="SOO35" s="624"/>
      <c r="SOP35" s="624"/>
      <c r="SOQ35" s="624"/>
      <c r="SOR35" s="624"/>
      <c r="SOS35" s="624"/>
      <c r="SOT35" s="624"/>
      <c r="SOU35" s="624"/>
      <c r="SOV35" s="624"/>
      <c r="SOW35" s="624"/>
      <c r="SOX35" s="624"/>
      <c r="SOY35" s="624"/>
      <c r="SOZ35" s="624"/>
      <c r="SPA35" s="624"/>
      <c r="SPB35" s="624"/>
      <c r="SPC35" s="624"/>
      <c r="SPD35" s="624"/>
      <c r="SPE35" s="624"/>
      <c r="SPF35" s="624"/>
      <c r="SPG35" s="624"/>
      <c r="SPH35" s="624"/>
      <c r="SPI35" s="624"/>
      <c r="SPJ35" s="624"/>
      <c r="SPK35" s="624"/>
      <c r="SPL35" s="624"/>
      <c r="SPM35" s="624"/>
      <c r="SPN35" s="624"/>
      <c r="SPO35" s="624"/>
      <c r="SPP35" s="624"/>
      <c r="SPQ35" s="624"/>
      <c r="SPR35" s="624"/>
      <c r="SPS35" s="624"/>
      <c r="SPT35" s="624"/>
      <c r="SPU35" s="624"/>
      <c r="SPV35" s="624"/>
      <c r="SPW35" s="624"/>
      <c r="SPX35" s="624"/>
      <c r="SPY35" s="624"/>
      <c r="SPZ35" s="624"/>
      <c r="SQA35" s="624"/>
      <c r="SQB35" s="624"/>
      <c r="SQC35" s="624"/>
      <c r="SQD35" s="624"/>
      <c r="SQE35" s="624"/>
      <c r="SQF35" s="624"/>
      <c r="SQG35" s="624"/>
      <c r="SQH35" s="624"/>
      <c r="SQI35" s="624"/>
      <c r="SQJ35" s="624"/>
      <c r="SQK35" s="624"/>
      <c r="SQL35" s="624"/>
      <c r="SQM35" s="624"/>
      <c r="SQN35" s="624"/>
      <c r="SQO35" s="624"/>
      <c r="SQP35" s="624"/>
      <c r="SQQ35" s="624"/>
      <c r="SQR35" s="624"/>
      <c r="SQS35" s="624"/>
      <c r="SQT35" s="624"/>
      <c r="SQU35" s="624"/>
      <c r="SQV35" s="624"/>
      <c r="SQW35" s="624"/>
      <c r="SQX35" s="624"/>
      <c r="SQY35" s="624"/>
      <c r="SQZ35" s="624"/>
      <c r="SRA35" s="624"/>
      <c r="SRB35" s="624"/>
      <c r="SRC35" s="624"/>
      <c r="SRD35" s="624"/>
      <c r="SRE35" s="624"/>
      <c r="SRF35" s="624"/>
      <c r="SRG35" s="624"/>
      <c r="SRH35" s="624"/>
      <c r="SRI35" s="624"/>
      <c r="SRJ35" s="624"/>
      <c r="SRK35" s="624"/>
      <c r="SRL35" s="624"/>
      <c r="SRM35" s="624"/>
      <c r="SRN35" s="624"/>
      <c r="SRO35" s="624"/>
      <c r="SRP35" s="624"/>
      <c r="SRQ35" s="624"/>
      <c r="SRR35" s="624"/>
      <c r="SRS35" s="624"/>
      <c r="SRT35" s="624"/>
      <c r="SRU35" s="624"/>
      <c r="SRV35" s="624"/>
      <c r="SRW35" s="624"/>
      <c r="SRX35" s="624"/>
      <c r="SRY35" s="624"/>
      <c r="SRZ35" s="624"/>
      <c r="SSA35" s="624"/>
      <c r="SSB35" s="624"/>
      <c r="SSC35" s="624"/>
      <c r="SSD35" s="624"/>
      <c r="SSE35" s="624"/>
      <c r="SSF35" s="624"/>
      <c r="SSG35" s="624"/>
      <c r="SSH35" s="624"/>
      <c r="SSI35" s="624"/>
      <c r="SSJ35" s="624"/>
      <c r="SSK35" s="624"/>
      <c r="SSL35" s="624"/>
      <c r="SSM35" s="624"/>
      <c r="SSN35" s="624"/>
      <c r="SSO35" s="624"/>
      <c r="SSP35" s="624"/>
      <c r="SSQ35" s="624"/>
      <c r="SSR35" s="624"/>
      <c r="SSS35" s="624"/>
      <c r="SST35" s="624"/>
      <c r="SSU35" s="624"/>
      <c r="SSV35" s="624"/>
      <c r="SSW35" s="624"/>
      <c r="SSX35" s="624"/>
      <c r="SSY35" s="624"/>
      <c r="SSZ35" s="624"/>
      <c r="STA35" s="624"/>
      <c r="STB35" s="624"/>
      <c r="STC35" s="624"/>
      <c r="STD35" s="624"/>
      <c r="STE35" s="624"/>
      <c r="STF35" s="624"/>
      <c r="STG35" s="624"/>
      <c r="STH35" s="624"/>
      <c r="STI35" s="624"/>
      <c r="STJ35" s="624"/>
      <c r="STK35" s="624"/>
      <c r="STL35" s="624"/>
      <c r="STM35" s="624"/>
      <c r="STN35" s="624"/>
      <c r="STO35" s="624"/>
      <c r="STP35" s="624"/>
      <c r="STQ35" s="624"/>
      <c r="STR35" s="624"/>
      <c r="STS35" s="624"/>
      <c r="STT35" s="624"/>
      <c r="STU35" s="624"/>
      <c r="STV35" s="624"/>
      <c r="STW35" s="624"/>
      <c r="STX35" s="624"/>
      <c r="STY35" s="624"/>
      <c r="STZ35" s="624"/>
      <c r="SUA35" s="624"/>
      <c r="SUB35" s="624"/>
      <c r="SUC35" s="624"/>
      <c r="SUD35" s="624"/>
      <c r="SUE35" s="624"/>
      <c r="SUF35" s="624"/>
      <c r="SUG35" s="624"/>
      <c r="SUH35" s="624"/>
      <c r="SUI35" s="624"/>
      <c r="SUJ35" s="624"/>
      <c r="SUK35" s="624"/>
      <c r="SUL35" s="624"/>
      <c r="SUM35" s="624"/>
      <c r="SUN35" s="624"/>
      <c r="SUO35" s="624"/>
      <c r="SUP35" s="624"/>
      <c r="SUQ35" s="624"/>
      <c r="SUR35" s="624"/>
      <c r="SUS35" s="624"/>
      <c r="SUT35" s="624"/>
      <c r="SUU35" s="624"/>
      <c r="SUV35" s="624"/>
      <c r="SUW35" s="624"/>
      <c r="SUX35" s="624"/>
      <c r="SUY35" s="624"/>
      <c r="SUZ35" s="624"/>
      <c r="SVA35" s="624"/>
      <c r="SVB35" s="624"/>
      <c r="SVC35" s="624"/>
      <c r="SVD35" s="624"/>
      <c r="SVE35" s="624"/>
      <c r="SVF35" s="624"/>
      <c r="SVG35" s="624"/>
      <c r="SVH35" s="624"/>
      <c r="SVI35" s="624"/>
      <c r="SVJ35" s="624"/>
      <c r="SVK35" s="624"/>
      <c r="SVL35" s="624"/>
      <c r="SVM35" s="624"/>
      <c r="SVN35" s="624"/>
      <c r="SVO35" s="624"/>
      <c r="SVP35" s="624"/>
      <c r="SVQ35" s="624"/>
      <c r="SVR35" s="624"/>
      <c r="SVS35" s="624"/>
      <c r="SVT35" s="624"/>
      <c r="SVU35" s="624"/>
      <c r="SVV35" s="624"/>
      <c r="SVW35" s="624"/>
      <c r="SVX35" s="624"/>
      <c r="SVY35" s="624"/>
      <c r="SVZ35" s="624"/>
      <c r="SWA35" s="624"/>
      <c r="SWB35" s="624"/>
      <c r="SWC35" s="624"/>
      <c r="SWD35" s="624"/>
      <c r="SWE35" s="624"/>
      <c r="SWF35" s="624"/>
      <c r="SWG35" s="624"/>
      <c r="SWH35" s="624"/>
      <c r="SWI35" s="624"/>
      <c r="SWJ35" s="624"/>
      <c r="SWK35" s="624"/>
      <c r="SWL35" s="624"/>
      <c r="SWM35" s="624"/>
      <c r="SWN35" s="624"/>
      <c r="SWO35" s="624"/>
      <c r="SWP35" s="624"/>
      <c r="SWQ35" s="624"/>
      <c r="SWR35" s="624"/>
      <c r="SWS35" s="624"/>
      <c r="SWT35" s="624"/>
      <c r="SWU35" s="624"/>
      <c r="SWV35" s="624"/>
      <c r="SWW35" s="624"/>
      <c r="SWX35" s="624"/>
      <c r="SWY35" s="624"/>
      <c r="SWZ35" s="624"/>
      <c r="SXA35" s="624"/>
      <c r="SXB35" s="624"/>
      <c r="SXC35" s="624"/>
      <c r="SXD35" s="624"/>
      <c r="SXE35" s="624"/>
      <c r="SXF35" s="624"/>
      <c r="SXG35" s="624"/>
      <c r="SXH35" s="624"/>
      <c r="SXI35" s="624"/>
      <c r="SXJ35" s="624"/>
      <c r="SXK35" s="624"/>
      <c r="SXL35" s="624"/>
      <c r="SXM35" s="624"/>
      <c r="SXN35" s="624"/>
      <c r="SXO35" s="624"/>
      <c r="SXP35" s="624"/>
      <c r="SXQ35" s="624"/>
      <c r="SXR35" s="624"/>
      <c r="SXS35" s="624"/>
      <c r="SXT35" s="624"/>
      <c r="SXU35" s="624"/>
      <c r="SXV35" s="624"/>
      <c r="SXW35" s="624"/>
      <c r="SXX35" s="624"/>
      <c r="SXY35" s="624"/>
      <c r="SXZ35" s="624"/>
      <c r="SYA35" s="624"/>
      <c r="SYB35" s="624"/>
      <c r="SYC35" s="624"/>
      <c r="SYD35" s="624"/>
      <c r="SYE35" s="624"/>
      <c r="SYF35" s="624"/>
      <c r="SYG35" s="624"/>
      <c r="SYH35" s="624"/>
      <c r="SYI35" s="624"/>
      <c r="SYJ35" s="624"/>
      <c r="SYK35" s="624"/>
      <c r="SYL35" s="624"/>
      <c r="SYM35" s="624"/>
      <c r="SYN35" s="624"/>
      <c r="SYO35" s="624"/>
      <c r="SYP35" s="624"/>
      <c r="SYQ35" s="624"/>
      <c r="SYR35" s="624"/>
      <c r="SYS35" s="624"/>
      <c r="SYT35" s="624"/>
      <c r="SYU35" s="624"/>
      <c r="SYV35" s="624"/>
      <c r="SYW35" s="624"/>
      <c r="SYX35" s="624"/>
      <c r="SYY35" s="624"/>
      <c r="SYZ35" s="624"/>
      <c r="SZA35" s="624"/>
      <c r="SZB35" s="624"/>
      <c r="SZC35" s="624"/>
      <c r="SZD35" s="624"/>
      <c r="SZE35" s="624"/>
      <c r="SZF35" s="624"/>
      <c r="SZG35" s="624"/>
      <c r="SZH35" s="624"/>
      <c r="SZI35" s="624"/>
      <c r="SZJ35" s="624"/>
      <c r="SZK35" s="624"/>
      <c r="SZL35" s="624"/>
      <c r="SZM35" s="624"/>
      <c r="SZN35" s="624"/>
      <c r="SZO35" s="624"/>
      <c r="SZP35" s="624"/>
      <c r="SZQ35" s="624"/>
      <c r="SZR35" s="624"/>
      <c r="SZS35" s="624"/>
      <c r="SZT35" s="624"/>
      <c r="SZU35" s="624"/>
      <c r="SZV35" s="624"/>
      <c r="SZW35" s="624"/>
      <c r="SZX35" s="624"/>
      <c r="SZY35" s="624"/>
      <c r="SZZ35" s="624"/>
      <c r="TAA35" s="624"/>
      <c r="TAB35" s="624"/>
      <c r="TAC35" s="624"/>
      <c r="TAD35" s="624"/>
      <c r="TAE35" s="624"/>
      <c r="TAF35" s="624"/>
      <c r="TAG35" s="624"/>
      <c r="TAH35" s="624"/>
      <c r="TAI35" s="624"/>
      <c r="TAJ35" s="624"/>
      <c r="TAK35" s="624"/>
      <c r="TAL35" s="624"/>
      <c r="TAM35" s="624"/>
      <c r="TAN35" s="624"/>
      <c r="TAO35" s="624"/>
      <c r="TAP35" s="624"/>
      <c r="TAQ35" s="624"/>
      <c r="TAR35" s="624"/>
      <c r="TAS35" s="624"/>
      <c r="TAT35" s="624"/>
      <c r="TAU35" s="624"/>
      <c r="TAV35" s="624"/>
      <c r="TAW35" s="624"/>
      <c r="TAX35" s="624"/>
      <c r="TAY35" s="624"/>
      <c r="TAZ35" s="624"/>
      <c r="TBA35" s="624"/>
      <c r="TBB35" s="624"/>
      <c r="TBC35" s="624"/>
      <c r="TBD35" s="624"/>
      <c r="TBE35" s="624"/>
      <c r="TBF35" s="624"/>
      <c r="TBG35" s="624"/>
      <c r="TBH35" s="624"/>
      <c r="TBI35" s="624"/>
      <c r="TBJ35" s="624"/>
      <c r="TBK35" s="624"/>
      <c r="TBL35" s="624"/>
      <c r="TBM35" s="624"/>
      <c r="TBN35" s="624"/>
      <c r="TBO35" s="624"/>
      <c r="TBP35" s="624"/>
      <c r="TBQ35" s="624"/>
      <c r="TBR35" s="624"/>
      <c r="TBS35" s="624"/>
      <c r="TBT35" s="624"/>
      <c r="TBU35" s="624"/>
      <c r="TBV35" s="624"/>
      <c r="TBW35" s="624"/>
      <c r="TBX35" s="624"/>
      <c r="TBY35" s="624"/>
      <c r="TBZ35" s="624"/>
      <c r="TCA35" s="624"/>
      <c r="TCB35" s="624"/>
      <c r="TCC35" s="624"/>
      <c r="TCD35" s="624"/>
      <c r="TCE35" s="624"/>
      <c r="TCF35" s="624"/>
      <c r="TCG35" s="624"/>
      <c r="TCH35" s="624"/>
      <c r="TCI35" s="624"/>
      <c r="TCJ35" s="624"/>
      <c r="TCK35" s="624"/>
      <c r="TCL35" s="624"/>
      <c r="TCM35" s="624"/>
      <c r="TCN35" s="624"/>
      <c r="TCO35" s="624"/>
      <c r="TCP35" s="624"/>
      <c r="TCQ35" s="624"/>
      <c r="TCR35" s="624"/>
      <c r="TCS35" s="624"/>
      <c r="TCT35" s="624"/>
      <c r="TCU35" s="624"/>
      <c r="TCV35" s="624"/>
      <c r="TCW35" s="624"/>
      <c r="TCX35" s="624"/>
      <c r="TCY35" s="624"/>
      <c r="TCZ35" s="624"/>
      <c r="TDA35" s="624"/>
      <c r="TDB35" s="624"/>
      <c r="TDC35" s="624"/>
      <c r="TDD35" s="624"/>
      <c r="TDE35" s="624"/>
      <c r="TDF35" s="624"/>
      <c r="TDG35" s="624"/>
      <c r="TDH35" s="624"/>
      <c r="TDI35" s="624"/>
      <c r="TDJ35" s="624"/>
      <c r="TDK35" s="624"/>
      <c r="TDL35" s="624"/>
      <c r="TDM35" s="624"/>
      <c r="TDN35" s="624"/>
      <c r="TDO35" s="624"/>
      <c r="TDP35" s="624"/>
      <c r="TDQ35" s="624"/>
      <c r="TDR35" s="624"/>
      <c r="TDS35" s="624"/>
      <c r="TDT35" s="624"/>
      <c r="TDU35" s="624"/>
      <c r="TDV35" s="624"/>
      <c r="TDW35" s="624"/>
      <c r="TDX35" s="624"/>
      <c r="TDY35" s="624"/>
      <c r="TDZ35" s="624"/>
      <c r="TEA35" s="624"/>
      <c r="TEB35" s="624"/>
      <c r="TEC35" s="624"/>
      <c r="TED35" s="624"/>
      <c r="TEE35" s="624"/>
      <c r="TEF35" s="624"/>
      <c r="TEG35" s="624"/>
      <c r="TEH35" s="624"/>
      <c r="TEI35" s="624"/>
      <c r="TEJ35" s="624"/>
      <c r="TEK35" s="624"/>
      <c r="TEL35" s="624"/>
      <c r="TEM35" s="624"/>
      <c r="TEN35" s="624"/>
      <c r="TEO35" s="624"/>
      <c r="TEP35" s="624"/>
      <c r="TEQ35" s="624"/>
      <c r="TER35" s="624"/>
      <c r="TES35" s="624"/>
      <c r="TET35" s="624"/>
      <c r="TEU35" s="624"/>
      <c r="TEV35" s="624"/>
      <c r="TEW35" s="624"/>
      <c r="TEX35" s="624"/>
      <c r="TEY35" s="624"/>
      <c r="TEZ35" s="624"/>
      <c r="TFA35" s="624"/>
      <c r="TFB35" s="624"/>
      <c r="TFC35" s="624"/>
      <c r="TFD35" s="624"/>
      <c r="TFE35" s="624"/>
      <c r="TFF35" s="624"/>
      <c r="TFG35" s="624"/>
      <c r="TFH35" s="624"/>
      <c r="TFI35" s="624"/>
      <c r="TFJ35" s="624"/>
      <c r="TFK35" s="624"/>
      <c r="TFL35" s="624"/>
      <c r="TFM35" s="624"/>
      <c r="TFN35" s="624"/>
      <c r="TFO35" s="624"/>
      <c r="TFP35" s="624"/>
      <c r="TFQ35" s="624"/>
      <c r="TFR35" s="624"/>
      <c r="TFS35" s="624"/>
      <c r="TFT35" s="624"/>
      <c r="TFU35" s="624"/>
      <c r="TFV35" s="624"/>
      <c r="TFW35" s="624"/>
      <c r="TFX35" s="624"/>
      <c r="TFY35" s="624"/>
      <c r="TFZ35" s="624"/>
      <c r="TGA35" s="624"/>
      <c r="TGB35" s="624"/>
      <c r="TGC35" s="624"/>
      <c r="TGD35" s="624"/>
      <c r="TGE35" s="624"/>
      <c r="TGF35" s="624"/>
      <c r="TGG35" s="624"/>
      <c r="TGH35" s="624"/>
      <c r="TGI35" s="624"/>
      <c r="TGJ35" s="624"/>
      <c r="TGK35" s="624"/>
      <c r="TGL35" s="624"/>
      <c r="TGM35" s="624"/>
      <c r="TGN35" s="624"/>
      <c r="TGO35" s="624"/>
      <c r="TGP35" s="624"/>
      <c r="TGQ35" s="624"/>
      <c r="TGR35" s="624"/>
      <c r="TGS35" s="624"/>
      <c r="TGT35" s="624"/>
      <c r="TGU35" s="624"/>
      <c r="TGV35" s="624"/>
      <c r="TGW35" s="624"/>
      <c r="TGX35" s="624"/>
      <c r="TGY35" s="624"/>
      <c r="TGZ35" s="624"/>
      <c r="THA35" s="624"/>
      <c r="THB35" s="624"/>
      <c r="THC35" s="624"/>
      <c r="THD35" s="624"/>
      <c r="THE35" s="624"/>
      <c r="THF35" s="624"/>
      <c r="THG35" s="624"/>
      <c r="THH35" s="624"/>
      <c r="THI35" s="624"/>
      <c r="THJ35" s="624"/>
      <c r="THK35" s="624"/>
      <c r="THL35" s="624"/>
      <c r="THM35" s="624"/>
      <c r="THN35" s="624"/>
      <c r="THO35" s="624"/>
      <c r="THP35" s="624"/>
      <c r="THQ35" s="624"/>
      <c r="THR35" s="624"/>
      <c r="THS35" s="624"/>
      <c r="THT35" s="624"/>
      <c r="THU35" s="624"/>
      <c r="THV35" s="624"/>
      <c r="THW35" s="624"/>
      <c r="THX35" s="624"/>
      <c r="THY35" s="624"/>
      <c r="THZ35" s="624"/>
      <c r="TIA35" s="624"/>
      <c r="TIB35" s="624"/>
      <c r="TIC35" s="624"/>
      <c r="TID35" s="624"/>
      <c r="TIE35" s="624"/>
      <c r="TIF35" s="624"/>
      <c r="TIG35" s="624"/>
      <c r="TIH35" s="624"/>
      <c r="TII35" s="624"/>
      <c r="TIJ35" s="624"/>
      <c r="TIK35" s="624"/>
      <c r="TIL35" s="624"/>
      <c r="TIM35" s="624"/>
      <c r="TIN35" s="624"/>
      <c r="TIO35" s="624"/>
      <c r="TIP35" s="624"/>
      <c r="TIQ35" s="624"/>
      <c r="TIR35" s="624"/>
      <c r="TIS35" s="624"/>
      <c r="TIT35" s="624"/>
      <c r="TIU35" s="624"/>
      <c r="TIV35" s="624"/>
      <c r="TIW35" s="624"/>
      <c r="TIX35" s="624"/>
      <c r="TIY35" s="624"/>
      <c r="TIZ35" s="624"/>
      <c r="TJA35" s="624"/>
      <c r="TJB35" s="624"/>
      <c r="TJC35" s="624"/>
      <c r="TJD35" s="624"/>
      <c r="TJE35" s="624"/>
      <c r="TJF35" s="624"/>
      <c r="TJG35" s="624"/>
      <c r="TJH35" s="624"/>
      <c r="TJI35" s="624"/>
      <c r="TJJ35" s="624"/>
      <c r="TJK35" s="624"/>
      <c r="TJL35" s="624"/>
      <c r="TJM35" s="624"/>
      <c r="TJN35" s="624"/>
      <c r="TJO35" s="624"/>
      <c r="TJP35" s="624"/>
      <c r="TJQ35" s="624"/>
      <c r="TJR35" s="624"/>
      <c r="TJS35" s="624"/>
      <c r="TJT35" s="624"/>
      <c r="TJU35" s="624"/>
      <c r="TJV35" s="624"/>
      <c r="TJW35" s="624"/>
      <c r="TJX35" s="624"/>
      <c r="TJY35" s="624"/>
      <c r="TJZ35" s="624"/>
      <c r="TKA35" s="624"/>
      <c r="TKB35" s="624"/>
      <c r="TKC35" s="624"/>
      <c r="TKD35" s="624"/>
      <c r="TKE35" s="624"/>
      <c r="TKF35" s="624"/>
      <c r="TKG35" s="624"/>
      <c r="TKH35" s="624"/>
      <c r="TKI35" s="624"/>
      <c r="TKJ35" s="624"/>
      <c r="TKK35" s="624"/>
      <c r="TKL35" s="624"/>
      <c r="TKM35" s="624"/>
      <c r="TKN35" s="624"/>
      <c r="TKO35" s="624"/>
      <c r="TKP35" s="624"/>
      <c r="TKQ35" s="624"/>
      <c r="TKR35" s="624"/>
      <c r="TKS35" s="624"/>
      <c r="TKT35" s="624"/>
      <c r="TKU35" s="624"/>
      <c r="TKV35" s="624"/>
      <c r="TKW35" s="624"/>
      <c r="TKX35" s="624"/>
      <c r="TKY35" s="624"/>
      <c r="TKZ35" s="624"/>
      <c r="TLA35" s="624"/>
      <c r="TLB35" s="624"/>
      <c r="TLC35" s="624"/>
      <c r="TLD35" s="624"/>
      <c r="TLE35" s="624"/>
      <c r="TLF35" s="624"/>
      <c r="TLG35" s="624"/>
      <c r="TLH35" s="624"/>
      <c r="TLI35" s="624"/>
      <c r="TLJ35" s="624"/>
      <c r="TLK35" s="624"/>
      <c r="TLL35" s="624"/>
      <c r="TLM35" s="624"/>
      <c r="TLN35" s="624"/>
      <c r="TLO35" s="624"/>
      <c r="TLP35" s="624"/>
      <c r="TLQ35" s="624"/>
      <c r="TLR35" s="624"/>
      <c r="TLS35" s="624"/>
      <c r="TLT35" s="624"/>
      <c r="TLU35" s="624"/>
      <c r="TLV35" s="624"/>
      <c r="TLW35" s="624"/>
      <c r="TLX35" s="624"/>
      <c r="TLY35" s="624"/>
      <c r="TLZ35" s="624"/>
      <c r="TMA35" s="624"/>
      <c r="TMB35" s="624"/>
      <c r="TMC35" s="624"/>
      <c r="TMD35" s="624"/>
      <c r="TME35" s="624"/>
      <c r="TMF35" s="624"/>
      <c r="TMG35" s="624"/>
      <c r="TMH35" s="624"/>
      <c r="TMI35" s="624"/>
      <c r="TMJ35" s="624"/>
      <c r="TMK35" s="624"/>
      <c r="TML35" s="624"/>
      <c r="TMM35" s="624"/>
      <c r="TMN35" s="624"/>
      <c r="TMO35" s="624"/>
      <c r="TMP35" s="624"/>
      <c r="TMQ35" s="624"/>
      <c r="TMR35" s="624"/>
      <c r="TMS35" s="624"/>
      <c r="TMT35" s="624"/>
      <c r="TMU35" s="624"/>
      <c r="TMV35" s="624"/>
      <c r="TMW35" s="624"/>
      <c r="TMX35" s="624"/>
      <c r="TMY35" s="624"/>
      <c r="TMZ35" s="624"/>
      <c r="TNA35" s="624"/>
      <c r="TNB35" s="624"/>
      <c r="TNC35" s="624"/>
      <c r="TND35" s="624"/>
      <c r="TNE35" s="624"/>
      <c r="TNF35" s="624"/>
      <c r="TNG35" s="624"/>
      <c r="TNH35" s="624"/>
      <c r="TNI35" s="624"/>
      <c r="TNJ35" s="624"/>
      <c r="TNK35" s="624"/>
      <c r="TNL35" s="624"/>
      <c r="TNM35" s="624"/>
      <c r="TNN35" s="624"/>
      <c r="TNO35" s="624"/>
      <c r="TNP35" s="624"/>
      <c r="TNQ35" s="624"/>
      <c r="TNR35" s="624"/>
      <c r="TNS35" s="624"/>
      <c r="TNT35" s="624"/>
      <c r="TNU35" s="624"/>
      <c r="TNV35" s="624"/>
      <c r="TNW35" s="624"/>
      <c r="TNX35" s="624"/>
      <c r="TNY35" s="624"/>
      <c r="TNZ35" s="624"/>
      <c r="TOA35" s="624"/>
      <c r="TOB35" s="624"/>
      <c r="TOC35" s="624"/>
      <c r="TOD35" s="624"/>
      <c r="TOE35" s="624"/>
      <c r="TOF35" s="624"/>
      <c r="TOG35" s="624"/>
      <c r="TOH35" s="624"/>
      <c r="TOI35" s="624"/>
      <c r="TOJ35" s="624"/>
      <c r="TOK35" s="624"/>
      <c r="TOL35" s="624"/>
      <c r="TOM35" s="624"/>
      <c r="TON35" s="624"/>
      <c r="TOO35" s="624"/>
      <c r="TOP35" s="624"/>
      <c r="TOQ35" s="624"/>
      <c r="TOR35" s="624"/>
      <c r="TOS35" s="624"/>
      <c r="TOT35" s="624"/>
      <c r="TOU35" s="624"/>
      <c r="TOV35" s="624"/>
      <c r="TOW35" s="624"/>
      <c r="TOX35" s="624"/>
      <c r="TOY35" s="624"/>
      <c r="TOZ35" s="624"/>
      <c r="TPA35" s="624"/>
      <c r="TPB35" s="624"/>
      <c r="TPC35" s="624"/>
      <c r="TPD35" s="624"/>
      <c r="TPE35" s="624"/>
      <c r="TPF35" s="624"/>
      <c r="TPG35" s="624"/>
      <c r="TPH35" s="624"/>
      <c r="TPI35" s="624"/>
      <c r="TPJ35" s="624"/>
      <c r="TPK35" s="624"/>
      <c r="TPL35" s="624"/>
      <c r="TPM35" s="624"/>
      <c r="TPN35" s="624"/>
      <c r="TPO35" s="624"/>
      <c r="TPP35" s="624"/>
      <c r="TPQ35" s="624"/>
      <c r="TPR35" s="624"/>
      <c r="TPS35" s="624"/>
      <c r="TPT35" s="624"/>
      <c r="TPU35" s="624"/>
      <c r="TPV35" s="624"/>
      <c r="TPW35" s="624"/>
      <c r="TPX35" s="624"/>
      <c r="TPY35" s="624"/>
      <c r="TPZ35" s="624"/>
      <c r="TQA35" s="624"/>
      <c r="TQB35" s="624"/>
      <c r="TQC35" s="624"/>
      <c r="TQD35" s="624"/>
      <c r="TQE35" s="624"/>
      <c r="TQF35" s="624"/>
      <c r="TQG35" s="624"/>
      <c r="TQH35" s="624"/>
      <c r="TQI35" s="624"/>
      <c r="TQJ35" s="624"/>
      <c r="TQK35" s="624"/>
      <c r="TQL35" s="624"/>
      <c r="TQM35" s="624"/>
      <c r="TQN35" s="624"/>
      <c r="TQO35" s="624"/>
      <c r="TQP35" s="624"/>
      <c r="TQQ35" s="624"/>
      <c r="TQR35" s="624"/>
      <c r="TQS35" s="624"/>
      <c r="TQT35" s="624"/>
      <c r="TQU35" s="624"/>
      <c r="TQV35" s="624"/>
      <c r="TQW35" s="624"/>
      <c r="TQX35" s="624"/>
      <c r="TQY35" s="624"/>
      <c r="TQZ35" s="624"/>
      <c r="TRA35" s="624"/>
      <c r="TRB35" s="624"/>
      <c r="TRC35" s="624"/>
      <c r="TRD35" s="624"/>
      <c r="TRE35" s="624"/>
      <c r="TRF35" s="624"/>
      <c r="TRG35" s="624"/>
      <c r="TRH35" s="624"/>
      <c r="TRI35" s="624"/>
      <c r="TRJ35" s="624"/>
      <c r="TRK35" s="624"/>
      <c r="TRL35" s="624"/>
      <c r="TRM35" s="624"/>
      <c r="TRN35" s="624"/>
      <c r="TRO35" s="624"/>
      <c r="TRP35" s="624"/>
      <c r="TRQ35" s="624"/>
      <c r="TRR35" s="624"/>
      <c r="TRS35" s="624"/>
      <c r="TRT35" s="624"/>
      <c r="TRU35" s="624"/>
      <c r="TRV35" s="624"/>
      <c r="TRW35" s="624"/>
      <c r="TRX35" s="624"/>
      <c r="TRY35" s="624"/>
      <c r="TRZ35" s="624"/>
      <c r="TSA35" s="624"/>
      <c r="TSB35" s="624"/>
      <c r="TSC35" s="624"/>
      <c r="TSD35" s="624"/>
      <c r="TSE35" s="624"/>
      <c r="TSF35" s="624"/>
      <c r="TSG35" s="624"/>
      <c r="TSH35" s="624"/>
      <c r="TSI35" s="624"/>
      <c r="TSJ35" s="624"/>
      <c r="TSK35" s="624"/>
      <c r="TSL35" s="624"/>
      <c r="TSM35" s="624"/>
      <c r="TSN35" s="624"/>
      <c r="TSO35" s="624"/>
      <c r="TSP35" s="624"/>
      <c r="TSQ35" s="624"/>
      <c r="TSR35" s="624"/>
      <c r="TSS35" s="624"/>
      <c r="TST35" s="624"/>
      <c r="TSU35" s="624"/>
      <c r="TSV35" s="624"/>
      <c r="TSW35" s="624"/>
      <c r="TSX35" s="624"/>
      <c r="TSY35" s="624"/>
      <c r="TSZ35" s="624"/>
      <c r="TTA35" s="624"/>
      <c r="TTB35" s="624"/>
      <c r="TTC35" s="624"/>
      <c r="TTD35" s="624"/>
      <c r="TTE35" s="624"/>
      <c r="TTF35" s="624"/>
      <c r="TTG35" s="624"/>
      <c r="TTH35" s="624"/>
      <c r="TTI35" s="624"/>
      <c r="TTJ35" s="624"/>
      <c r="TTK35" s="624"/>
      <c r="TTL35" s="624"/>
      <c r="TTM35" s="624"/>
      <c r="TTN35" s="624"/>
      <c r="TTO35" s="624"/>
      <c r="TTP35" s="624"/>
      <c r="TTQ35" s="624"/>
      <c r="TTR35" s="624"/>
      <c r="TTS35" s="624"/>
      <c r="TTT35" s="624"/>
      <c r="TTU35" s="624"/>
      <c r="TTV35" s="624"/>
      <c r="TTW35" s="624"/>
      <c r="TTX35" s="624"/>
      <c r="TTY35" s="624"/>
      <c r="TTZ35" s="624"/>
      <c r="TUA35" s="624"/>
      <c r="TUB35" s="624"/>
      <c r="TUC35" s="624"/>
      <c r="TUD35" s="624"/>
      <c r="TUE35" s="624"/>
      <c r="TUF35" s="624"/>
      <c r="TUG35" s="624"/>
      <c r="TUH35" s="624"/>
      <c r="TUI35" s="624"/>
      <c r="TUJ35" s="624"/>
      <c r="TUK35" s="624"/>
      <c r="TUL35" s="624"/>
      <c r="TUM35" s="624"/>
      <c r="TUN35" s="624"/>
      <c r="TUO35" s="624"/>
      <c r="TUP35" s="624"/>
      <c r="TUQ35" s="624"/>
      <c r="TUR35" s="624"/>
      <c r="TUS35" s="624"/>
      <c r="TUT35" s="624"/>
      <c r="TUU35" s="624"/>
      <c r="TUV35" s="624"/>
      <c r="TUW35" s="624"/>
      <c r="TUX35" s="624"/>
      <c r="TUY35" s="624"/>
      <c r="TUZ35" s="624"/>
      <c r="TVA35" s="624"/>
      <c r="TVB35" s="624"/>
      <c r="TVC35" s="624"/>
      <c r="TVD35" s="624"/>
      <c r="TVE35" s="624"/>
      <c r="TVF35" s="624"/>
      <c r="TVG35" s="624"/>
      <c r="TVH35" s="624"/>
      <c r="TVI35" s="624"/>
      <c r="TVJ35" s="624"/>
      <c r="TVK35" s="624"/>
      <c r="TVL35" s="624"/>
      <c r="TVM35" s="624"/>
      <c r="TVN35" s="624"/>
      <c r="TVO35" s="624"/>
      <c r="TVP35" s="624"/>
      <c r="TVQ35" s="624"/>
      <c r="TVR35" s="624"/>
      <c r="TVS35" s="624"/>
      <c r="TVT35" s="624"/>
      <c r="TVU35" s="624"/>
      <c r="TVV35" s="624"/>
      <c r="TVW35" s="624"/>
      <c r="TVX35" s="624"/>
      <c r="TVY35" s="624"/>
      <c r="TVZ35" s="624"/>
      <c r="TWA35" s="624"/>
      <c r="TWB35" s="624"/>
      <c r="TWC35" s="624"/>
      <c r="TWD35" s="624"/>
      <c r="TWE35" s="624"/>
      <c r="TWF35" s="624"/>
      <c r="TWG35" s="624"/>
      <c r="TWH35" s="624"/>
      <c r="TWI35" s="624"/>
      <c r="TWJ35" s="624"/>
      <c r="TWK35" s="624"/>
      <c r="TWL35" s="624"/>
      <c r="TWM35" s="624"/>
      <c r="TWN35" s="624"/>
      <c r="TWO35" s="624"/>
      <c r="TWP35" s="624"/>
      <c r="TWQ35" s="624"/>
      <c r="TWR35" s="624"/>
      <c r="TWS35" s="624"/>
      <c r="TWT35" s="624"/>
      <c r="TWU35" s="624"/>
      <c r="TWV35" s="624"/>
      <c r="TWW35" s="624"/>
      <c r="TWX35" s="624"/>
      <c r="TWY35" s="624"/>
      <c r="TWZ35" s="624"/>
      <c r="TXA35" s="624"/>
      <c r="TXB35" s="624"/>
      <c r="TXC35" s="624"/>
      <c r="TXD35" s="624"/>
      <c r="TXE35" s="624"/>
      <c r="TXF35" s="624"/>
      <c r="TXG35" s="624"/>
      <c r="TXH35" s="624"/>
      <c r="TXI35" s="624"/>
      <c r="TXJ35" s="624"/>
      <c r="TXK35" s="624"/>
      <c r="TXL35" s="624"/>
      <c r="TXM35" s="624"/>
      <c r="TXN35" s="624"/>
      <c r="TXO35" s="624"/>
      <c r="TXP35" s="624"/>
      <c r="TXQ35" s="624"/>
      <c r="TXR35" s="624"/>
      <c r="TXS35" s="624"/>
      <c r="TXT35" s="624"/>
      <c r="TXU35" s="624"/>
      <c r="TXV35" s="624"/>
      <c r="TXW35" s="624"/>
      <c r="TXX35" s="624"/>
      <c r="TXY35" s="624"/>
      <c r="TXZ35" s="624"/>
      <c r="TYA35" s="624"/>
      <c r="TYB35" s="624"/>
      <c r="TYC35" s="624"/>
      <c r="TYD35" s="624"/>
      <c r="TYE35" s="624"/>
      <c r="TYF35" s="624"/>
      <c r="TYG35" s="624"/>
      <c r="TYH35" s="624"/>
      <c r="TYI35" s="624"/>
      <c r="TYJ35" s="624"/>
      <c r="TYK35" s="624"/>
      <c r="TYL35" s="624"/>
      <c r="TYM35" s="624"/>
      <c r="TYN35" s="624"/>
      <c r="TYO35" s="624"/>
      <c r="TYP35" s="624"/>
      <c r="TYQ35" s="624"/>
      <c r="TYR35" s="624"/>
      <c r="TYS35" s="624"/>
      <c r="TYT35" s="624"/>
      <c r="TYU35" s="624"/>
      <c r="TYV35" s="624"/>
      <c r="TYW35" s="624"/>
      <c r="TYX35" s="624"/>
      <c r="TYY35" s="624"/>
      <c r="TYZ35" s="624"/>
      <c r="TZA35" s="624"/>
      <c r="TZB35" s="624"/>
      <c r="TZC35" s="624"/>
      <c r="TZD35" s="624"/>
      <c r="TZE35" s="624"/>
      <c r="TZF35" s="624"/>
      <c r="TZG35" s="624"/>
      <c r="TZH35" s="624"/>
      <c r="TZI35" s="624"/>
      <c r="TZJ35" s="624"/>
      <c r="TZK35" s="624"/>
      <c r="TZL35" s="624"/>
      <c r="TZM35" s="624"/>
      <c r="TZN35" s="624"/>
      <c r="TZO35" s="624"/>
      <c r="TZP35" s="624"/>
      <c r="TZQ35" s="624"/>
      <c r="TZR35" s="624"/>
      <c r="TZS35" s="624"/>
      <c r="TZT35" s="624"/>
      <c r="TZU35" s="624"/>
      <c r="TZV35" s="624"/>
      <c r="TZW35" s="624"/>
      <c r="TZX35" s="624"/>
      <c r="TZY35" s="624"/>
      <c r="TZZ35" s="624"/>
      <c r="UAA35" s="624"/>
      <c r="UAB35" s="624"/>
      <c r="UAC35" s="624"/>
      <c r="UAD35" s="624"/>
      <c r="UAE35" s="624"/>
      <c r="UAF35" s="624"/>
      <c r="UAG35" s="624"/>
      <c r="UAH35" s="624"/>
      <c r="UAI35" s="624"/>
      <c r="UAJ35" s="624"/>
      <c r="UAK35" s="624"/>
      <c r="UAL35" s="624"/>
      <c r="UAM35" s="624"/>
      <c r="UAN35" s="624"/>
      <c r="UAO35" s="624"/>
      <c r="UAP35" s="624"/>
      <c r="UAQ35" s="624"/>
      <c r="UAR35" s="624"/>
      <c r="UAS35" s="624"/>
      <c r="UAT35" s="624"/>
      <c r="UAU35" s="624"/>
      <c r="UAV35" s="624"/>
      <c r="UAW35" s="624"/>
      <c r="UAX35" s="624"/>
      <c r="UAY35" s="624"/>
      <c r="UAZ35" s="624"/>
      <c r="UBA35" s="624"/>
      <c r="UBB35" s="624"/>
      <c r="UBC35" s="624"/>
      <c r="UBD35" s="624"/>
      <c r="UBE35" s="624"/>
      <c r="UBF35" s="624"/>
      <c r="UBG35" s="624"/>
      <c r="UBH35" s="624"/>
      <c r="UBI35" s="624"/>
      <c r="UBJ35" s="624"/>
      <c r="UBK35" s="624"/>
      <c r="UBL35" s="624"/>
      <c r="UBM35" s="624"/>
      <c r="UBN35" s="624"/>
      <c r="UBO35" s="624"/>
      <c r="UBP35" s="624"/>
      <c r="UBQ35" s="624"/>
      <c r="UBR35" s="624"/>
      <c r="UBS35" s="624"/>
      <c r="UBT35" s="624"/>
      <c r="UBU35" s="624"/>
      <c r="UBV35" s="624"/>
      <c r="UBW35" s="624"/>
      <c r="UBX35" s="624"/>
      <c r="UBY35" s="624"/>
      <c r="UBZ35" s="624"/>
      <c r="UCA35" s="624"/>
      <c r="UCB35" s="624"/>
      <c r="UCC35" s="624"/>
      <c r="UCD35" s="624"/>
      <c r="UCE35" s="624"/>
      <c r="UCF35" s="624"/>
      <c r="UCG35" s="624"/>
      <c r="UCH35" s="624"/>
      <c r="UCI35" s="624"/>
      <c r="UCJ35" s="624"/>
      <c r="UCK35" s="624"/>
      <c r="UCL35" s="624"/>
      <c r="UCM35" s="624"/>
      <c r="UCN35" s="624"/>
      <c r="UCO35" s="624"/>
      <c r="UCP35" s="624"/>
      <c r="UCQ35" s="624"/>
      <c r="UCR35" s="624"/>
      <c r="UCS35" s="624"/>
      <c r="UCT35" s="624"/>
      <c r="UCU35" s="624"/>
      <c r="UCV35" s="624"/>
      <c r="UCW35" s="624"/>
      <c r="UCX35" s="624"/>
      <c r="UCY35" s="624"/>
      <c r="UCZ35" s="624"/>
      <c r="UDA35" s="624"/>
      <c r="UDB35" s="624"/>
      <c r="UDC35" s="624"/>
      <c r="UDD35" s="624"/>
      <c r="UDE35" s="624"/>
      <c r="UDF35" s="624"/>
      <c r="UDG35" s="624"/>
      <c r="UDH35" s="624"/>
      <c r="UDI35" s="624"/>
      <c r="UDJ35" s="624"/>
      <c r="UDK35" s="624"/>
      <c r="UDL35" s="624"/>
      <c r="UDM35" s="624"/>
      <c r="UDN35" s="624"/>
      <c r="UDO35" s="624"/>
      <c r="UDP35" s="624"/>
      <c r="UDQ35" s="624"/>
      <c r="UDR35" s="624"/>
      <c r="UDS35" s="624"/>
      <c r="UDT35" s="624"/>
      <c r="UDU35" s="624"/>
      <c r="UDV35" s="624"/>
      <c r="UDW35" s="624"/>
      <c r="UDX35" s="624"/>
      <c r="UDY35" s="624"/>
      <c r="UDZ35" s="624"/>
      <c r="UEA35" s="624"/>
      <c r="UEB35" s="624"/>
      <c r="UEC35" s="624"/>
      <c r="UED35" s="624"/>
      <c r="UEE35" s="624"/>
      <c r="UEF35" s="624"/>
      <c r="UEG35" s="624"/>
      <c r="UEH35" s="624"/>
      <c r="UEI35" s="624"/>
      <c r="UEJ35" s="624"/>
      <c r="UEK35" s="624"/>
      <c r="UEL35" s="624"/>
      <c r="UEM35" s="624"/>
      <c r="UEN35" s="624"/>
      <c r="UEO35" s="624"/>
      <c r="UEP35" s="624"/>
      <c r="UEQ35" s="624"/>
      <c r="UER35" s="624"/>
      <c r="UES35" s="624"/>
      <c r="UET35" s="624"/>
      <c r="UEU35" s="624"/>
      <c r="UEV35" s="624"/>
      <c r="UEW35" s="624"/>
      <c r="UEX35" s="624"/>
      <c r="UEY35" s="624"/>
      <c r="UEZ35" s="624"/>
      <c r="UFA35" s="624"/>
      <c r="UFB35" s="624"/>
      <c r="UFC35" s="624"/>
      <c r="UFD35" s="624"/>
      <c r="UFE35" s="624"/>
      <c r="UFF35" s="624"/>
      <c r="UFG35" s="624"/>
      <c r="UFH35" s="624"/>
      <c r="UFI35" s="624"/>
      <c r="UFJ35" s="624"/>
      <c r="UFK35" s="624"/>
      <c r="UFL35" s="624"/>
      <c r="UFM35" s="624"/>
      <c r="UFN35" s="624"/>
      <c r="UFO35" s="624"/>
      <c r="UFP35" s="624"/>
      <c r="UFQ35" s="624"/>
      <c r="UFR35" s="624"/>
      <c r="UFS35" s="624"/>
      <c r="UFT35" s="624"/>
      <c r="UFU35" s="624"/>
      <c r="UFV35" s="624"/>
      <c r="UFW35" s="624"/>
      <c r="UFX35" s="624"/>
      <c r="UFY35" s="624"/>
      <c r="UFZ35" s="624"/>
      <c r="UGA35" s="624"/>
      <c r="UGB35" s="624"/>
      <c r="UGC35" s="624"/>
      <c r="UGD35" s="624"/>
      <c r="UGE35" s="624"/>
      <c r="UGF35" s="624"/>
      <c r="UGG35" s="624"/>
      <c r="UGH35" s="624"/>
      <c r="UGI35" s="624"/>
      <c r="UGJ35" s="624"/>
      <c r="UGK35" s="624"/>
      <c r="UGL35" s="624"/>
      <c r="UGM35" s="624"/>
      <c r="UGN35" s="624"/>
      <c r="UGO35" s="624"/>
      <c r="UGP35" s="624"/>
      <c r="UGQ35" s="624"/>
      <c r="UGR35" s="624"/>
      <c r="UGS35" s="624"/>
      <c r="UGT35" s="624"/>
      <c r="UGU35" s="624"/>
      <c r="UGV35" s="624"/>
      <c r="UGW35" s="624"/>
      <c r="UGX35" s="624"/>
      <c r="UGY35" s="624"/>
      <c r="UGZ35" s="624"/>
      <c r="UHA35" s="624"/>
      <c r="UHB35" s="624"/>
      <c r="UHC35" s="624"/>
      <c r="UHD35" s="624"/>
      <c r="UHE35" s="624"/>
      <c r="UHF35" s="624"/>
      <c r="UHG35" s="624"/>
      <c r="UHH35" s="624"/>
      <c r="UHI35" s="624"/>
      <c r="UHJ35" s="624"/>
      <c r="UHK35" s="624"/>
      <c r="UHL35" s="624"/>
      <c r="UHM35" s="624"/>
      <c r="UHN35" s="624"/>
      <c r="UHO35" s="624"/>
      <c r="UHP35" s="624"/>
      <c r="UHQ35" s="624"/>
      <c r="UHR35" s="624"/>
      <c r="UHS35" s="624"/>
      <c r="UHT35" s="624"/>
      <c r="UHU35" s="624"/>
      <c r="UHV35" s="624"/>
      <c r="UHW35" s="624"/>
      <c r="UHX35" s="624"/>
      <c r="UHY35" s="624"/>
      <c r="UHZ35" s="624"/>
      <c r="UIA35" s="624"/>
      <c r="UIB35" s="624"/>
      <c r="UIC35" s="624"/>
      <c r="UID35" s="624"/>
      <c r="UIE35" s="624"/>
      <c r="UIF35" s="624"/>
      <c r="UIG35" s="624"/>
      <c r="UIH35" s="624"/>
      <c r="UII35" s="624"/>
      <c r="UIJ35" s="624"/>
      <c r="UIK35" s="624"/>
      <c r="UIL35" s="624"/>
      <c r="UIM35" s="624"/>
      <c r="UIN35" s="624"/>
      <c r="UIO35" s="624"/>
      <c r="UIP35" s="624"/>
      <c r="UIQ35" s="624"/>
      <c r="UIR35" s="624"/>
      <c r="UIS35" s="624"/>
      <c r="UIT35" s="624"/>
      <c r="UIU35" s="624"/>
      <c r="UIV35" s="624"/>
      <c r="UIW35" s="624"/>
      <c r="UIX35" s="624"/>
      <c r="UIY35" s="624"/>
      <c r="UIZ35" s="624"/>
      <c r="UJA35" s="624"/>
      <c r="UJB35" s="624"/>
      <c r="UJC35" s="624"/>
      <c r="UJD35" s="624"/>
      <c r="UJE35" s="624"/>
      <c r="UJF35" s="624"/>
      <c r="UJG35" s="624"/>
      <c r="UJH35" s="624"/>
      <c r="UJI35" s="624"/>
      <c r="UJJ35" s="624"/>
      <c r="UJK35" s="624"/>
      <c r="UJL35" s="624"/>
      <c r="UJM35" s="624"/>
      <c r="UJN35" s="624"/>
      <c r="UJO35" s="624"/>
      <c r="UJP35" s="624"/>
      <c r="UJQ35" s="624"/>
      <c r="UJR35" s="624"/>
      <c r="UJS35" s="624"/>
      <c r="UJT35" s="624"/>
      <c r="UJU35" s="624"/>
      <c r="UJV35" s="624"/>
      <c r="UJW35" s="624"/>
      <c r="UJX35" s="624"/>
      <c r="UJY35" s="624"/>
      <c r="UJZ35" s="624"/>
      <c r="UKA35" s="624"/>
      <c r="UKB35" s="624"/>
      <c r="UKC35" s="624"/>
      <c r="UKD35" s="624"/>
      <c r="UKE35" s="624"/>
      <c r="UKF35" s="624"/>
      <c r="UKG35" s="624"/>
      <c r="UKH35" s="624"/>
      <c r="UKI35" s="624"/>
      <c r="UKJ35" s="624"/>
      <c r="UKK35" s="624"/>
      <c r="UKL35" s="624"/>
      <c r="UKM35" s="624"/>
      <c r="UKN35" s="624"/>
      <c r="UKO35" s="624"/>
      <c r="UKP35" s="624"/>
      <c r="UKQ35" s="624"/>
      <c r="UKR35" s="624"/>
      <c r="UKS35" s="624"/>
      <c r="UKT35" s="624"/>
      <c r="UKU35" s="624"/>
      <c r="UKV35" s="624"/>
      <c r="UKW35" s="624"/>
      <c r="UKX35" s="624"/>
      <c r="UKY35" s="624"/>
      <c r="UKZ35" s="624"/>
      <c r="ULA35" s="624"/>
      <c r="ULB35" s="624"/>
      <c r="ULC35" s="624"/>
      <c r="ULD35" s="624"/>
      <c r="ULE35" s="624"/>
      <c r="ULF35" s="624"/>
      <c r="ULG35" s="624"/>
      <c r="ULH35" s="624"/>
      <c r="ULI35" s="624"/>
      <c r="ULJ35" s="624"/>
      <c r="ULK35" s="624"/>
      <c r="ULL35" s="624"/>
      <c r="ULM35" s="624"/>
      <c r="ULN35" s="624"/>
      <c r="ULO35" s="624"/>
      <c r="ULP35" s="624"/>
      <c r="ULQ35" s="624"/>
      <c r="ULR35" s="624"/>
      <c r="ULS35" s="624"/>
      <c r="ULT35" s="624"/>
      <c r="ULU35" s="624"/>
      <c r="ULV35" s="624"/>
      <c r="ULW35" s="624"/>
      <c r="ULX35" s="624"/>
      <c r="ULY35" s="624"/>
      <c r="ULZ35" s="624"/>
      <c r="UMA35" s="624"/>
      <c r="UMB35" s="624"/>
      <c r="UMC35" s="624"/>
      <c r="UMD35" s="624"/>
      <c r="UME35" s="624"/>
      <c r="UMF35" s="624"/>
      <c r="UMG35" s="624"/>
      <c r="UMH35" s="624"/>
      <c r="UMI35" s="624"/>
      <c r="UMJ35" s="624"/>
      <c r="UMK35" s="624"/>
      <c r="UML35" s="624"/>
      <c r="UMM35" s="624"/>
      <c r="UMN35" s="624"/>
      <c r="UMO35" s="624"/>
      <c r="UMP35" s="624"/>
      <c r="UMQ35" s="624"/>
      <c r="UMR35" s="624"/>
      <c r="UMS35" s="624"/>
      <c r="UMT35" s="624"/>
      <c r="UMU35" s="624"/>
      <c r="UMV35" s="624"/>
      <c r="UMW35" s="624"/>
      <c r="UMX35" s="624"/>
      <c r="UMY35" s="624"/>
      <c r="UMZ35" s="624"/>
      <c r="UNA35" s="624"/>
      <c r="UNB35" s="624"/>
      <c r="UNC35" s="624"/>
      <c r="UND35" s="624"/>
      <c r="UNE35" s="624"/>
      <c r="UNF35" s="624"/>
      <c r="UNG35" s="624"/>
      <c r="UNH35" s="624"/>
      <c r="UNI35" s="624"/>
      <c r="UNJ35" s="624"/>
      <c r="UNK35" s="624"/>
      <c r="UNL35" s="624"/>
      <c r="UNM35" s="624"/>
      <c r="UNN35" s="624"/>
      <c r="UNO35" s="624"/>
      <c r="UNP35" s="624"/>
      <c r="UNQ35" s="624"/>
      <c r="UNR35" s="624"/>
      <c r="UNS35" s="624"/>
      <c r="UNT35" s="624"/>
      <c r="UNU35" s="624"/>
      <c r="UNV35" s="624"/>
      <c r="UNW35" s="624"/>
      <c r="UNX35" s="624"/>
      <c r="UNY35" s="624"/>
      <c r="UNZ35" s="624"/>
      <c r="UOA35" s="624"/>
      <c r="UOB35" s="624"/>
      <c r="UOC35" s="624"/>
      <c r="UOD35" s="624"/>
      <c r="UOE35" s="624"/>
      <c r="UOF35" s="624"/>
      <c r="UOG35" s="624"/>
      <c r="UOH35" s="624"/>
      <c r="UOI35" s="624"/>
      <c r="UOJ35" s="624"/>
      <c r="UOK35" s="624"/>
      <c r="UOL35" s="624"/>
      <c r="UOM35" s="624"/>
      <c r="UON35" s="624"/>
      <c r="UOO35" s="624"/>
      <c r="UOP35" s="624"/>
      <c r="UOQ35" s="624"/>
      <c r="UOR35" s="624"/>
      <c r="UOS35" s="624"/>
      <c r="UOT35" s="624"/>
      <c r="UOU35" s="624"/>
      <c r="UOV35" s="624"/>
      <c r="UOW35" s="624"/>
      <c r="UOX35" s="624"/>
      <c r="UOY35" s="624"/>
      <c r="UOZ35" s="624"/>
      <c r="UPA35" s="624"/>
      <c r="UPB35" s="624"/>
      <c r="UPC35" s="624"/>
      <c r="UPD35" s="624"/>
      <c r="UPE35" s="624"/>
      <c r="UPF35" s="624"/>
      <c r="UPG35" s="624"/>
      <c r="UPH35" s="624"/>
      <c r="UPI35" s="624"/>
      <c r="UPJ35" s="624"/>
      <c r="UPK35" s="624"/>
      <c r="UPL35" s="624"/>
      <c r="UPM35" s="624"/>
      <c r="UPN35" s="624"/>
      <c r="UPO35" s="624"/>
      <c r="UPP35" s="624"/>
      <c r="UPQ35" s="624"/>
      <c r="UPR35" s="624"/>
      <c r="UPS35" s="624"/>
      <c r="UPT35" s="624"/>
      <c r="UPU35" s="624"/>
      <c r="UPV35" s="624"/>
      <c r="UPW35" s="624"/>
      <c r="UPX35" s="624"/>
      <c r="UPY35" s="624"/>
      <c r="UPZ35" s="624"/>
      <c r="UQA35" s="624"/>
      <c r="UQB35" s="624"/>
      <c r="UQC35" s="624"/>
      <c r="UQD35" s="624"/>
      <c r="UQE35" s="624"/>
      <c r="UQF35" s="624"/>
      <c r="UQG35" s="624"/>
      <c r="UQH35" s="624"/>
      <c r="UQI35" s="624"/>
      <c r="UQJ35" s="624"/>
      <c r="UQK35" s="624"/>
      <c r="UQL35" s="624"/>
      <c r="UQM35" s="624"/>
      <c r="UQN35" s="624"/>
      <c r="UQO35" s="624"/>
      <c r="UQP35" s="624"/>
      <c r="UQQ35" s="624"/>
      <c r="UQR35" s="624"/>
      <c r="UQS35" s="624"/>
      <c r="UQT35" s="624"/>
      <c r="UQU35" s="624"/>
      <c r="UQV35" s="624"/>
      <c r="UQW35" s="624"/>
      <c r="UQX35" s="624"/>
      <c r="UQY35" s="624"/>
      <c r="UQZ35" s="624"/>
      <c r="URA35" s="624"/>
      <c r="URB35" s="624"/>
      <c r="URC35" s="624"/>
      <c r="URD35" s="624"/>
      <c r="URE35" s="624"/>
      <c r="URF35" s="624"/>
      <c r="URG35" s="624"/>
      <c r="URH35" s="624"/>
      <c r="URI35" s="624"/>
      <c r="URJ35" s="624"/>
      <c r="URK35" s="624"/>
      <c r="URL35" s="624"/>
      <c r="URM35" s="624"/>
      <c r="URN35" s="624"/>
      <c r="URO35" s="624"/>
      <c r="URP35" s="624"/>
      <c r="URQ35" s="624"/>
      <c r="URR35" s="624"/>
      <c r="URS35" s="624"/>
      <c r="URT35" s="624"/>
      <c r="URU35" s="624"/>
      <c r="URV35" s="624"/>
      <c r="URW35" s="624"/>
      <c r="URX35" s="624"/>
      <c r="URY35" s="624"/>
      <c r="URZ35" s="624"/>
      <c r="USA35" s="624"/>
      <c r="USB35" s="624"/>
      <c r="USC35" s="624"/>
      <c r="USD35" s="624"/>
      <c r="USE35" s="624"/>
      <c r="USF35" s="624"/>
      <c r="USG35" s="624"/>
      <c r="USH35" s="624"/>
      <c r="USI35" s="624"/>
      <c r="USJ35" s="624"/>
      <c r="USK35" s="624"/>
      <c r="USL35" s="624"/>
      <c r="USM35" s="624"/>
      <c r="USN35" s="624"/>
      <c r="USO35" s="624"/>
      <c r="USP35" s="624"/>
      <c r="USQ35" s="624"/>
      <c r="USR35" s="624"/>
      <c r="USS35" s="624"/>
      <c r="UST35" s="624"/>
      <c r="USU35" s="624"/>
      <c r="USV35" s="624"/>
      <c r="USW35" s="624"/>
      <c r="USX35" s="624"/>
      <c r="USY35" s="624"/>
      <c r="USZ35" s="624"/>
      <c r="UTA35" s="624"/>
      <c r="UTB35" s="624"/>
      <c r="UTC35" s="624"/>
      <c r="UTD35" s="624"/>
      <c r="UTE35" s="624"/>
      <c r="UTF35" s="624"/>
      <c r="UTG35" s="624"/>
      <c r="UTH35" s="624"/>
      <c r="UTI35" s="624"/>
      <c r="UTJ35" s="624"/>
      <c r="UTK35" s="624"/>
      <c r="UTL35" s="624"/>
      <c r="UTM35" s="624"/>
      <c r="UTN35" s="624"/>
      <c r="UTO35" s="624"/>
      <c r="UTP35" s="624"/>
      <c r="UTQ35" s="624"/>
      <c r="UTR35" s="624"/>
      <c r="UTS35" s="624"/>
      <c r="UTT35" s="624"/>
      <c r="UTU35" s="624"/>
      <c r="UTV35" s="624"/>
      <c r="UTW35" s="624"/>
      <c r="UTX35" s="624"/>
      <c r="UTY35" s="624"/>
      <c r="UTZ35" s="624"/>
      <c r="UUA35" s="624"/>
      <c r="UUB35" s="624"/>
      <c r="UUC35" s="624"/>
      <c r="UUD35" s="624"/>
      <c r="UUE35" s="624"/>
      <c r="UUF35" s="624"/>
      <c r="UUG35" s="624"/>
      <c r="UUH35" s="624"/>
      <c r="UUI35" s="624"/>
      <c r="UUJ35" s="624"/>
      <c r="UUK35" s="624"/>
      <c r="UUL35" s="624"/>
      <c r="UUM35" s="624"/>
      <c r="UUN35" s="624"/>
      <c r="UUO35" s="624"/>
      <c r="UUP35" s="624"/>
      <c r="UUQ35" s="624"/>
      <c r="UUR35" s="624"/>
      <c r="UUS35" s="624"/>
      <c r="UUT35" s="624"/>
      <c r="UUU35" s="624"/>
      <c r="UUV35" s="624"/>
      <c r="UUW35" s="624"/>
      <c r="UUX35" s="624"/>
      <c r="UUY35" s="624"/>
      <c r="UUZ35" s="624"/>
      <c r="UVA35" s="624"/>
      <c r="UVB35" s="624"/>
      <c r="UVC35" s="624"/>
      <c r="UVD35" s="624"/>
      <c r="UVE35" s="624"/>
      <c r="UVF35" s="624"/>
      <c r="UVG35" s="624"/>
      <c r="UVH35" s="624"/>
      <c r="UVI35" s="624"/>
      <c r="UVJ35" s="624"/>
      <c r="UVK35" s="624"/>
      <c r="UVL35" s="624"/>
      <c r="UVM35" s="624"/>
      <c r="UVN35" s="624"/>
      <c r="UVO35" s="624"/>
      <c r="UVP35" s="624"/>
      <c r="UVQ35" s="624"/>
      <c r="UVR35" s="624"/>
      <c r="UVS35" s="624"/>
      <c r="UVT35" s="624"/>
      <c r="UVU35" s="624"/>
      <c r="UVV35" s="624"/>
      <c r="UVW35" s="624"/>
      <c r="UVX35" s="624"/>
      <c r="UVY35" s="624"/>
      <c r="UVZ35" s="624"/>
      <c r="UWA35" s="624"/>
      <c r="UWB35" s="624"/>
      <c r="UWC35" s="624"/>
      <c r="UWD35" s="624"/>
      <c r="UWE35" s="624"/>
      <c r="UWF35" s="624"/>
      <c r="UWG35" s="624"/>
      <c r="UWH35" s="624"/>
      <c r="UWI35" s="624"/>
      <c r="UWJ35" s="624"/>
      <c r="UWK35" s="624"/>
      <c r="UWL35" s="624"/>
      <c r="UWM35" s="624"/>
      <c r="UWN35" s="624"/>
      <c r="UWO35" s="624"/>
      <c r="UWP35" s="624"/>
      <c r="UWQ35" s="624"/>
      <c r="UWR35" s="624"/>
      <c r="UWS35" s="624"/>
      <c r="UWT35" s="624"/>
      <c r="UWU35" s="624"/>
      <c r="UWV35" s="624"/>
      <c r="UWW35" s="624"/>
      <c r="UWX35" s="624"/>
      <c r="UWY35" s="624"/>
      <c r="UWZ35" s="624"/>
      <c r="UXA35" s="624"/>
      <c r="UXB35" s="624"/>
      <c r="UXC35" s="624"/>
      <c r="UXD35" s="624"/>
      <c r="UXE35" s="624"/>
      <c r="UXF35" s="624"/>
      <c r="UXG35" s="624"/>
      <c r="UXH35" s="624"/>
      <c r="UXI35" s="624"/>
      <c r="UXJ35" s="624"/>
      <c r="UXK35" s="624"/>
      <c r="UXL35" s="624"/>
      <c r="UXM35" s="624"/>
      <c r="UXN35" s="624"/>
      <c r="UXO35" s="624"/>
      <c r="UXP35" s="624"/>
      <c r="UXQ35" s="624"/>
      <c r="UXR35" s="624"/>
      <c r="UXS35" s="624"/>
      <c r="UXT35" s="624"/>
      <c r="UXU35" s="624"/>
      <c r="UXV35" s="624"/>
      <c r="UXW35" s="624"/>
      <c r="UXX35" s="624"/>
      <c r="UXY35" s="624"/>
      <c r="UXZ35" s="624"/>
      <c r="UYA35" s="624"/>
      <c r="UYB35" s="624"/>
      <c r="UYC35" s="624"/>
      <c r="UYD35" s="624"/>
      <c r="UYE35" s="624"/>
      <c r="UYF35" s="624"/>
      <c r="UYG35" s="624"/>
      <c r="UYH35" s="624"/>
      <c r="UYI35" s="624"/>
      <c r="UYJ35" s="624"/>
      <c r="UYK35" s="624"/>
      <c r="UYL35" s="624"/>
      <c r="UYM35" s="624"/>
      <c r="UYN35" s="624"/>
      <c r="UYO35" s="624"/>
      <c r="UYP35" s="624"/>
      <c r="UYQ35" s="624"/>
      <c r="UYR35" s="624"/>
      <c r="UYS35" s="624"/>
      <c r="UYT35" s="624"/>
      <c r="UYU35" s="624"/>
      <c r="UYV35" s="624"/>
      <c r="UYW35" s="624"/>
      <c r="UYX35" s="624"/>
      <c r="UYY35" s="624"/>
      <c r="UYZ35" s="624"/>
      <c r="UZA35" s="624"/>
      <c r="UZB35" s="624"/>
      <c r="UZC35" s="624"/>
      <c r="UZD35" s="624"/>
      <c r="UZE35" s="624"/>
      <c r="UZF35" s="624"/>
      <c r="UZG35" s="624"/>
      <c r="UZH35" s="624"/>
      <c r="UZI35" s="624"/>
      <c r="UZJ35" s="624"/>
      <c r="UZK35" s="624"/>
      <c r="UZL35" s="624"/>
      <c r="UZM35" s="624"/>
      <c r="UZN35" s="624"/>
      <c r="UZO35" s="624"/>
      <c r="UZP35" s="624"/>
      <c r="UZQ35" s="624"/>
      <c r="UZR35" s="624"/>
      <c r="UZS35" s="624"/>
      <c r="UZT35" s="624"/>
      <c r="UZU35" s="624"/>
      <c r="UZV35" s="624"/>
      <c r="UZW35" s="624"/>
      <c r="UZX35" s="624"/>
      <c r="UZY35" s="624"/>
      <c r="UZZ35" s="624"/>
      <c r="VAA35" s="624"/>
      <c r="VAB35" s="624"/>
      <c r="VAC35" s="624"/>
      <c r="VAD35" s="624"/>
      <c r="VAE35" s="624"/>
      <c r="VAF35" s="624"/>
      <c r="VAG35" s="624"/>
      <c r="VAH35" s="624"/>
      <c r="VAI35" s="624"/>
      <c r="VAJ35" s="624"/>
      <c r="VAK35" s="624"/>
      <c r="VAL35" s="624"/>
      <c r="VAM35" s="624"/>
      <c r="VAN35" s="624"/>
      <c r="VAO35" s="624"/>
      <c r="VAP35" s="624"/>
      <c r="VAQ35" s="624"/>
      <c r="VAR35" s="624"/>
      <c r="VAS35" s="624"/>
      <c r="VAT35" s="624"/>
      <c r="VAU35" s="624"/>
      <c r="VAV35" s="624"/>
      <c r="VAW35" s="624"/>
      <c r="VAX35" s="624"/>
      <c r="VAY35" s="624"/>
      <c r="VAZ35" s="624"/>
      <c r="VBA35" s="624"/>
      <c r="VBB35" s="624"/>
      <c r="VBC35" s="624"/>
      <c r="VBD35" s="624"/>
      <c r="VBE35" s="624"/>
      <c r="VBF35" s="624"/>
      <c r="VBG35" s="624"/>
      <c r="VBH35" s="624"/>
      <c r="VBI35" s="624"/>
      <c r="VBJ35" s="624"/>
      <c r="VBK35" s="624"/>
      <c r="VBL35" s="624"/>
      <c r="VBM35" s="624"/>
      <c r="VBN35" s="624"/>
      <c r="VBO35" s="624"/>
      <c r="VBP35" s="624"/>
      <c r="VBQ35" s="624"/>
      <c r="VBR35" s="624"/>
      <c r="VBS35" s="624"/>
      <c r="VBT35" s="624"/>
      <c r="VBU35" s="624"/>
      <c r="VBV35" s="624"/>
      <c r="VBW35" s="624"/>
      <c r="VBX35" s="624"/>
      <c r="VBY35" s="624"/>
      <c r="VBZ35" s="624"/>
      <c r="VCA35" s="624"/>
      <c r="VCB35" s="624"/>
      <c r="VCC35" s="624"/>
      <c r="VCD35" s="624"/>
      <c r="VCE35" s="624"/>
      <c r="VCF35" s="624"/>
      <c r="VCG35" s="624"/>
      <c r="VCH35" s="624"/>
      <c r="VCI35" s="624"/>
      <c r="VCJ35" s="624"/>
      <c r="VCK35" s="624"/>
      <c r="VCL35" s="624"/>
      <c r="VCM35" s="624"/>
      <c r="VCN35" s="624"/>
      <c r="VCO35" s="624"/>
      <c r="VCP35" s="624"/>
      <c r="VCQ35" s="624"/>
      <c r="VCR35" s="624"/>
      <c r="VCS35" s="624"/>
      <c r="VCT35" s="624"/>
      <c r="VCU35" s="624"/>
      <c r="VCV35" s="624"/>
      <c r="VCW35" s="624"/>
      <c r="VCX35" s="624"/>
      <c r="VCY35" s="624"/>
      <c r="VCZ35" s="624"/>
      <c r="VDA35" s="624"/>
      <c r="VDB35" s="624"/>
      <c r="VDC35" s="624"/>
      <c r="VDD35" s="624"/>
      <c r="VDE35" s="624"/>
      <c r="VDF35" s="624"/>
      <c r="VDG35" s="624"/>
      <c r="VDH35" s="624"/>
      <c r="VDI35" s="624"/>
      <c r="VDJ35" s="624"/>
      <c r="VDK35" s="624"/>
      <c r="VDL35" s="624"/>
      <c r="VDM35" s="624"/>
      <c r="VDN35" s="624"/>
      <c r="VDO35" s="624"/>
      <c r="VDP35" s="624"/>
      <c r="VDQ35" s="624"/>
      <c r="VDR35" s="624"/>
      <c r="VDS35" s="624"/>
      <c r="VDT35" s="624"/>
      <c r="VDU35" s="624"/>
      <c r="VDV35" s="624"/>
      <c r="VDW35" s="624"/>
      <c r="VDX35" s="624"/>
      <c r="VDY35" s="624"/>
      <c r="VDZ35" s="624"/>
      <c r="VEA35" s="624"/>
      <c r="VEB35" s="624"/>
      <c r="VEC35" s="624"/>
      <c r="VED35" s="624"/>
      <c r="VEE35" s="624"/>
      <c r="VEF35" s="624"/>
      <c r="VEG35" s="624"/>
      <c r="VEH35" s="624"/>
      <c r="VEI35" s="624"/>
      <c r="VEJ35" s="624"/>
      <c r="VEK35" s="624"/>
      <c r="VEL35" s="624"/>
      <c r="VEM35" s="624"/>
      <c r="VEN35" s="624"/>
      <c r="VEO35" s="624"/>
      <c r="VEP35" s="624"/>
      <c r="VEQ35" s="624"/>
      <c r="VER35" s="624"/>
      <c r="VES35" s="624"/>
      <c r="VET35" s="624"/>
      <c r="VEU35" s="624"/>
      <c r="VEV35" s="624"/>
      <c r="VEW35" s="624"/>
      <c r="VEX35" s="624"/>
      <c r="VEY35" s="624"/>
      <c r="VEZ35" s="624"/>
      <c r="VFA35" s="624"/>
      <c r="VFB35" s="624"/>
      <c r="VFC35" s="624"/>
      <c r="VFD35" s="624"/>
      <c r="VFE35" s="624"/>
      <c r="VFF35" s="624"/>
      <c r="VFG35" s="624"/>
      <c r="VFH35" s="624"/>
      <c r="VFI35" s="624"/>
      <c r="VFJ35" s="624"/>
      <c r="VFK35" s="624"/>
      <c r="VFL35" s="624"/>
      <c r="VFM35" s="624"/>
      <c r="VFN35" s="624"/>
      <c r="VFO35" s="624"/>
      <c r="VFP35" s="624"/>
      <c r="VFQ35" s="624"/>
      <c r="VFR35" s="624"/>
      <c r="VFS35" s="624"/>
      <c r="VFT35" s="624"/>
      <c r="VFU35" s="624"/>
      <c r="VFV35" s="624"/>
      <c r="VFW35" s="624"/>
      <c r="VFX35" s="624"/>
      <c r="VFY35" s="624"/>
      <c r="VFZ35" s="624"/>
      <c r="VGA35" s="624"/>
      <c r="VGB35" s="624"/>
      <c r="VGC35" s="624"/>
      <c r="VGD35" s="624"/>
      <c r="VGE35" s="624"/>
      <c r="VGF35" s="624"/>
      <c r="VGG35" s="624"/>
      <c r="VGH35" s="624"/>
      <c r="VGI35" s="624"/>
      <c r="VGJ35" s="624"/>
      <c r="VGK35" s="624"/>
      <c r="VGL35" s="624"/>
      <c r="VGM35" s="624"/>
      <c r="VGN35" s="624"/>
      <c r="VGO35" s="624"/>
      <c r="VGP35" s="624"/>
      <c r="VGQ35" s="624"/>
      <c r="VGR35" s="624"/>
      <c r="VGS35" s="624"/>
      <c r="VGT35" s="624"/>
      <c r="VGU35" s="624"/>
      <c r="VGV35" s="624"/>
      <c r="VGW35" s="624"/>
      <c r="VGX35" s="624"/>
      <c r="VGY35" s="624"/>
      <c r="VGZ35" s="624"/>
      <c r="VHA35" s="624"/>
      <c r="VHB35" s="624"/>
      <c r="VHC35" s="624"/>
      <c r="VHD35" s="624"/>
      <c r="VHE35" s="624"/>
      <c r="VHF35" s="624"/>
      <c r="VHG35" s="624"/>
      <c r="VHH35" s="624"/>
      <c r="VHI35" s="624"/>
      <c r="VHJ35" s="624"/>
      <c r="VHK35" s="624"/>
      <c r="VHL35" s="624"/>
      <c r="VHM35" s="624"/>
      <c r="VHN35" s="624"/>
      <c r="VHO35" s="624"/>
      <c r="VHP35" s="624"/>
      <c r="VHQ35" s="624"/>
      <c r="VHR35" s="624"/>
      <c r="VHS35" s="624"/>
      <c r="VHT35" s="624"/>
      <c r="VHU35" s="624"/>
      <c r="VHV35" s="624"/>
      <c r="VHW35" s="624"/>
      <c r="VHX35" s="624"/>
      <c r="VHY35" s="624"/>
      <c r="VHZ35" s="624"/>
      <c r="VIA35" s="624"/>
      <c r="VIB35" s="624"/>
      <c r="VIC35" s="624"/>
      <c r="VID35" s="624"/>
      <c r="VIE35" s="624"/>
      <c r="VIF35" s="624"/>
      <c r="VIG35" s="624"/>
      <c r="VIH35" s="624"/>
      <c r="VII35" s="624"/>
      <c r="VIJ35" s="624"/>
      <c r="VIK35" s="624"/>
      <c r="VIL35" s="624"/>
      <c r="VIM35" s="624"/>
      <c r="VIN35" s="624"/>
      <c r="VIO35" s="624"/>
      <c r="VIP35" s="624"/>
      <c r="VIQ35" s="624"/>
      <c r="VIR35" s="624"/>
      <c r="VIS35" s="624"/>
      <c r="VIT35" s="624"/>
      <c r="VIU35" s="624"/>
      <c r="VIV35" s="624"/>
      <c r="VIW35" s="624"/>
      <c r="VIX35" s="624"/>
      <c r="VIY35" s="624"/>
      <c r="VIZ35" s="624"/>
      <c r="VJA35" s="624"/>
      <c r="VJB35" s="624"/>
      <c r="VJC35" s="624"/>
      <c r="VJD35" s="624"/>
      <c r="VJE35" s="624"/>
      <c r="VJF35" s="624"/>
      <c r="VJG35" s="624"/>
      <c r="VJH35" s="624"/>
      <c r="VJI35" s="624"/>
      <c r="VJJ35" s="624"/>
      <c r="VJK35" s="624"/>
      <c r="VJL35" s="624"/>
      <c r="VJM35" s="624"/>
      <c r="VJN35" s="624"/>
      <c r="VJO35" s="624"/>
      <c r="VJP35" s="624"/>
      <c r="VJQ35" s="624"/>
      <c r="VJR35" s="624"/>
      <c r="VJS35" s="624"/>
      <c r="VJT35" s="624"/>
      <c r="VJU35" s="624"/>
      <c r="VJV35" s="624"/>
      <c r="VJW35" s="624"/>
      <c r="VJX35" s="624"/>
      <c r="VJY35" s="624"/>
      <c r="VJZ35" s="624"/>
      <c r="VKA35" s="624"/>
      <c r="VKB35" s="624"/>
      <c r="VKC35" s="624"/>
      <c r="VKD35" s="624"/>
      <c r="VKE35" s="624"/>
      <c r="VKF35" s="624"/>
      <c r="VKG35" s="624"/>
      <c r="VKH35" s="624"/>
      <c r="VKI35" s="624"/>
      <c r="VKJ35" s="624"/>
      <c r="VKK35" s="624"/>
      <c r="VKL35" s="624"/>
      <c r="VKM35" s="624"/>
      <c r="VKN35" s="624"/>
      <c r="VKO35" s="624"/>
      <c r="VKP35" s="624"/>
      <c r="VKQ35" s="624"/>
      <c r="VKR35" s="624"/>
      <c r="VKS35" s="624"/>
      <c r="VKT35" s="624"/>
      <c r="VKU35" s="624"/>
      <c r="VKV35" s="624"/>
      <c r="VKW35" s="624"/>
      <c r="VKX35" s="624"/>
      <c r="VKY35" s="624"/>
      <c r="VKZ35" s="624"/>
      <c r="VLA35" s="624"/>
      <c r="VLB35" s="624"/>
      <c r="VLC35" s="624"/>
      <c r="VLD35" s="624"/>
      <c r="VLE35" s="624"/>
      <c r="VLF35" s="624"/>
      <c r="VLG35" s="624"/>
      <c r="VLH35" s="624"/>
      <c r="VLI35" s="624"/>
      <c r="VLJ35" s="624"/>
      <c r="VLK35" s="624"/>
      <c r="VLL35" s="624"/>
      <c r="VLM35" s="624"/>
      <c r="VLN35" s="624"/>
      <c r="VLO35" s="624"/>
      <c r="VLP35" s="624"/>
      <c r="VLQ35" s="624"/>
      <c r="VLR35" s="624"/>
      <c r="VLS35" s="624"/>
      <c r="VLT35" s="624"/>
      <c r="VLU35" s="624"/>
      <c r="VLV35" s="624"/>
      <c r="VLW35" s="624"/>
      <c r="VLX35" s="624"/>
      <c r="VLY35" s="624"/>
      <c r="VLZ35" s="624"/>
      <c r="VMA35" s="624"/>
      <c r="VMB35" s="624"/>
      <c r="VMC35" s="624"/>
      <c r="VMD35" s="624"/>
      <c r="VME35" s="624"/>
      <c r="VMF35" s="624"/>
      <c r="VMG35" s="624"/>
      <c r="VMH35" s="624"/>
      <c r="VMI35" s="624"/>
      <c r="VMJ35" s="624"/>
      <c r="VMK35" s="624"/>
      <c r="VML35" s="624"/>
      <c r="VMM35" s="624"/>
      <c r="VMN35" s="624"/>
      <c r="VMO35" s="624"/>
      <c r="VMP35" s="624"/>
      <c r="VMQ35" s="624"/>
      <c r="VMR35" s="624"/>
      <c r="VMS35" s="624"/>
      <c r="VMT35" s="624"/>
      <c r="VMU35" s="624"/>
      <c r="VMV35" s="624"/>
      <c r="VMW35" s="624"/>
      <c r="VMX35" s="624"/>
      <c r="VMY35" s="624"/>
      <c r="VMZ35" s="624"/>
      <c r="VNA35" s="624"/>
      <c r="VNB35" s="624"/>
      <c r="VNC35" s="624"/>
      <c r="VND35" s="624"/>
      <c r="VNE35" s="624"/>
      <c r="VNF35" s="624"/>
      <c r="VNG35" s="624"/>
      <c r="VNH35" s="624"/>
      <c r="VNI35" s="624"/>
      <c r="VNJ35" s="624"/>
      <c r="VNK35" s="624"/>
      <c r="VNL35" s="624"/>
      <c r="VNM35" s="624"/>
      <c r="VNN35" s="624"/>
      <c r="VNO35" s="624"/>
      <c r="VNP35" s="624"/>
      <c r="VNQ35" s="624"/>
      <c r="VNR35" s="624"/>
      <c r="VNS35" s="624"/>
      <c r="VNT35" s="624"/>
      <c r="VNU35" s="624"/>
      <c r="VNV35" s="624"/>
      <c r="VNW35" s="624"/>
      <c r="VNX35" s="624"/>
      <c r="VNY35" s="624"/>
      <c r="VNZ35" s="624"/>
      <c r="VOA35" s="624"/>
      <c r="VOB35" s="624"/>
      <c r="VOC35" s="624"/>
      <c r="VOD35" s="624"/>
      <c r="VOE35" s="624"/>
      <c r="VOF35" s="624"/>
      <c r="VOG35" s="624"/>
      <c r="VOH35" s="624"/>
      <c r="VOI35" s="624"/>
      <c r="VOJ35" s="624"/>
      <c r="VOK35" s="624"/>
      <c r="VOL35" s="624"/>
      <c r="VOM35" s="624"/>
      <c r="VON35" s="624"/>
      <c r="VOO35" s="624"/>
      <c r="VOP35" s="624"/>
      <c r="VOQ35" s="624"/>
      <c r="VOR35" s="624"/>
      <c r="VOS35" s="624"/>
      <c r="VOT35" s="624"/>
      <c r="VOU35" s="624"/>
      <c r="VOV35" s="624"/>
      <c r="VOW35" s="624"/>
      <c r="VOX35" s="624"/>
      <c r="VOY35" s="624"/>
      <c r="VOZ35" s="624"/>
      <c r="VPA35" s="624"/>
      <c r="VPB35" s="624"/>
      <c r="VPC35" s="624"/>
      <c r="VPD35" s="624"/>
      <c r="VPE35" s="624"/>
      <c r="VPF35" s="624"/>
      <c r="VPG35" s="624"/>
      <c r="VPH35" s="624"/>
      <c r="VPI35" s="624"/>
      <c r="VPJ35" s="624"/>
      <c r="VPK35" s="624"/>
      <c r="VPL35" s="624"/>
      <c r="VPM35" s="624"/>
      <c r="VPN35" s="624"/>
      <c r="VPO35" s="624"/>
      <c r="VPP35" s="624"/>
      <c r="VPQ35" s="624"/>
      <c r="VPR35" s="624"/>
      <c r="VPS35" s="624"/>
      <c r="VPT35" s="624"/>
      <c r="VPU35" s="624"/>
      <c r="VPV35" s="624"/>
      <c r="VPW35" s="624"/>
      <c r="VPX35" s="624"/>
      <c r="VPY35" s="624"/>
      <c r="VPZ35" s="624"/>
      <c r="VQA35" s="624"/>
      <c r="VQB35" s="624"/>
      <c r="VQC35" s="624"/>
      <c r="VQD35" s="624"/>
      <c r="VQE35" s="624"/>
      <c r="VQF35" s="624"/>
      <c r="VQG35" s="624"/>
      <c r="VQH35" s="624"/>
      <c r="VQI35" s="624"/>
      <c r="VQJ35" s="624"/>
      <c r="VQK35" s="624"/>
      <c r="VQL35" s="624"/>
      <c r="VQM35" s="624"/>
      <c r="VQN35" s="624"/>
      <c r="VQO35" s="624"/>
      <c r="VQP35" s="624"/>
      <c r="VQQ35" s="624"/>
      <c r="VQR35" s="624"/>
      <c r="VQS35" s="624"/>
      <c r="VQT35" s="624"/>
      <c r="VQU35" s="624"/>
      <c r="VQV35" s="624"/>
      <c r="VQW35" s="624"/>
      <c r="VQX35" s="624"/>
      <c r="VQY35" s="624"/>
      <c r="VQZ35" s="624"/>
      <c r="VRA35" s="624"/>
      <c r="VRB35" s="624"/>
      <c r="VRC35" s="624"/>
      <c r="VRD35" s="624"/>
      <c r="VRE35" s="624"/>
      <c r="VRF35" s="624"/>
      <c r="VRG35" s="624"/>
      <c r="VRH35" s="624"/>
      <c r="VRI35" s="624"/>
      <c r="VRJ35" s="624"/>
      <c r="VRK35" s="624"/>
      <c r="VRL35" s="624"/>
      <c r="VRM35" s="624"/>
      <c r="VRN35" s="624"/>
      <c r="VRO35" s="624"/>
      <c r="VRP35" s="624"/>
      <c r="VRQ35" s="624"/>
      <c r="VRR35" s="624"/>
      <c r="VRS35" s="624"/>
      <c r="VRT35" s="624"/>
      <c r="VRU35" s="624"/>
      <c r="VRV35" s="624"/>
      <c r="VRW35" s="624"/>
      <c r="VRX35" s="624"/>
      <c r="VRY35" s="624"/>
      <c r="VRZ35" s="624"/>
      <c r="VSA35" s="624"/>
      <c r="VSB35" s="624"/>
      <c r="VSC35" s="624"/>
      <c r="VSD35" s="624"/>
      <c r="VSE35" s="624"/>
      <c r="VSF35" s="624"/>
      <c r="VSG35" s="624"/>
      <c r="VSH35" s="624"/>
      <c r="VSI35" s="624"/>
      <c r="VSJ35" s="624"/>
      <c r="VSK35" s="624"/>
      <c r="VSL35" s="624"/>
      <c r="VSM35" s="624"/>
      <c r="VSN35" s="624"/>
      <c r="VSO35" s="624"/>
      <c r="VSP35" s="624"/>
      <c r="VSQ35" s="624"/>
      <c r="VSR35" s="624"/>
      <c r="VSS35" s="624"/>
      <c r="VST35" s="624"/>
      <c r="VSU35" s="624"/>
      <c r="VSV35" s="624"/>
      <c r="VSW35" s="624"/>
      <c r="VSX35" s="624"/>
      <c r="VSY35" s="624"/>
      <c r="VSZ35" s="624"/>
      <c r="VTA35" s="624"/>
      <c r="VTB35" s="624"/>
      <c r="VTC35" s="624"/>
      <c r="VTD35" s="624"/>
      <c r="VTE35" s="624"/>
      <c r="VTF35" s="624"/>
      <c r="VTG35" s="624"/>
      <c r="VTH35" s="624"/>
      <c r="VTI35" s="624"/>
      <c r="VTJ35" s="624"/>
      <c r="VTK35" s="624"/>
      <c r="VTL35" s="624"/>
      <c r="VTM35" s="624"/>
      <c r="VTN35" s="624"/>
      <c r="VTO35" s="624"/>
      <c r="VTP35" s="624"/>
      <c r="VTQ35" s="624"/>
      <c r="VTR35" s="624"/>
      <c r="VTS35" s="624"/>
      <c r="VTT35" s="624"/>
      <c r="VTU35" s="624"/>
      <c r="VTV35" s="624"/>
      <c r="VTW35" s="624"/>
      <c r="VTX35" s="624"/>
      <c r="VTY35" s="624"/>
      <c r="VTZ35" s="624"/>
      <c r="VUA35" s="624"/>
      <c r="VUB35" s="624"/>
      <c r="VUC35" s="624"/>
      <c r="VUD35" s="624"/>
      <c r="VUE35" s="624"/>
      <c r="VUF35" s="624"/>
      <c r="VUG35" s="624"/>
      <c r="VUH35" s="624"/>
      <c r="VUI35" s="624"/>
      <c r="VUJ35" s="624"/>
      <c r="VUK35" s="624"/>
      <c r="VUL35" s="624"/>
      <c r="VUM35" s="624"/>
      <c r="VUN35" s="624"/>
      <c r="VUO35" s="624"/>
      <c r="VUP35" s="624"/>
      <c r="VUQ35" s="624"/>
      <c r="VUR35" s="624"/>
      <c r="VUS35" s="624"/>
      <c r="VUT35" s="624"/>
      <c r="VUU35" s="624"/>
      <c r="VUV35" s="624"/>
      <c r="VUW35" s="624"/>
      <c r="VUX35" s="624"/>
      <c r="VUY35" s="624"/>
      <c r="VUZ35" s="624"/>
      <c r="VVA35" s="624"/>
      <c r="VVB35" s="624"/>
      <c r="VVC35" s="624"/>
      <c r="VVD35" s="624"/>
      <c r="VVE35" s="624"/>
      <c r="VVF35" s="624"/>
      <c r="VVG35" s="624"/>
      <c r="VVH35" s="624"/>
      <c r="VVI35" s="624"/>
      <c r="VVJ35" s="624"/>
      <c r="VVK35" s="624"/>
      <c r="VVL35" s="624"/>
      <c r="VVM35" s="624"/>
      <c r="VVN35" s="624"/>
      <c r="VVO35" s="624"/>
      <c r="VVP35" s="624"/>
      <c r="VVQ35" s="624"/>
      <c r="VVR35" s="624"/>
      <c r="VVS35" s="624"/>
      <c r="VVT35" s="624"/>
      <c r="VVU35" s="624"/>
      <c r="VVV35" s="624"/>
      <c r="VVW35" s="624"/>
      <c r="VVX35" s="624"/>
      <c r="VVY35" s="624"/>
      <c r="VVZ35" s="624"/>
      <c r="VWA35" s="624"/>
      <c r="VWB35" s="624"/>
      <c r="VWC35" s="624"/>
      <c r="VWD35" s="624"/>
      <c r="VWE35" s="624"/>
      <c r="VWF35" s="624"/>
      <c r="VWG35" s="624"/>
      <c r="VWH35" s="624"/>
      <c r="VWI35" s="624"/>
      <c r="VWJ35" s="624"/>
      <c r="VWK35" s="624"/>
      <c r="VWL35" s="624"/>
      <c r="VWM35" s="624"/>
      <c r="VWN35" s="624"/>
      <c r="VWO35" s="624"/>
      <c r="VWP35" s="624"/>
      <c r="VWQ35" s="624"/>
      <c r="VWR35" s="624"/>
      <c r="VWS35" s="624"/>
      <c r="VWT35" s="624"/>
      <c r="VWU35" s="624"/>
      <c r="VWV35" s="624"/>
      <c r="VWW35" s="624"/>
      <c r="VWX35" s="624"/>
      <c r="VWY35" s="624"/>
      <c r="VWZ35" s="624"/>
      <c r="VXA35" s="624"/>
      <c r="VXB35" s="624"/>
      <c r="VXC35" s="624"/>
      <c r="VXD35" s="624"/>
      <c r="VXE35" s="624"/>
      <c r="VXF35" s="624"/>
      <c r="VXG35" s="624"/>
      <c r="VXH35" s="624"/>
      <c r="VXI35" s="624"/>
      <c r="VXJ35" s="624"/>
      <c r="VXK35" s="624"/>
      <c r="VXL35" s="624"/>
      <c r="VXM35" s="624"/>
      <c r="VXN35" s="624"/>
      <c r="VXO35" s="624"/>
      <c r="VXP35" s="624"/>
      <c r="VXQ35" s="624"/>
      <c r="VXR35" s="624"/>
      <c r="VXS35" s="624"/>
      <c r="VXT35" s="624"/>
      <c r="VXU35" s="624"/>
      <c r="VXV35" s="624"/>
      <c r="VXW35" s="624"/>
      <c r="VXX35" s="624"/>
      <c r="VXY35" s="624"/>
      <c r="VXZ35" s="624"/>
      <c r="VYA35" s="624"/>
      <c r="VYB35" s="624"/>
      <c r="VYC35" s="624"/>
      <c r="VYD35" s="624"/>
      <c r="VYE35" s="624"/>
      <c r="VYF35" s="624"/>
      <c r="VYG35" s="624"/>
      <c r="VYH35" s="624"/>
      <c r="VYI35" s="624"/>
      <c r="VYJ35" s="624"/>
      <c r="VYK35" s="624"/>
      <c r="VYL35" s="624"/>
      <c r="VYM35" s="624"/>
      <c r="VYN35" s="624"/>
      <c r="VYO35" s="624"/>
      <c r="VYP35" s="624"/>
      <c r="VYQ35" s="624"/>
      <c r="VYR35" s="624"/>
      <c r="VYS35" s="624"/>
      <c r="VYT35" s="624"/>
      <c r="VYU35" s="624"/>
      <c r="VYV35" s="624"/>
      <c r="VYW35" s="624"/>
      <c r="VYX35" s="624"/>
      <c r="VYY35" s="624"/>
      <c r="VYZ35" s="624"/>
      <c r="VZA35" s="624"/>
      <c r="VZB35" s="624"/>
      <c r="VZC35" s="624"/>
      <c r="VZD35" s="624"/>
      <c r="VZE35" s="624"/>
      <c r="VZF35" s="624"/>
      <c r="VZG35" s="624"/>
      <c r="VZH35" s="624"/>
      <c r="VZI35" s="624"/>
      <c r="VZJ35" s="624"/>
      <c r="VZK35" s="624"/>
      <c r="VZL35" s="624"/>
      <c r="VZM35" s="624"/>
      <c r="VZN35" s="624"/>
      <c r="VZO35" s="624"/>
      <c r="VZP35" s="624"/>
      <c r="VZQ35" s="624"/>
      <c r="VZR35" s="624"/>
      <c r="VZS35" s="624"/>
      <c r="VZT35" s="624"/>
      <c r="VZU35" s="624"/>
      <c r="VZV35" s="624"/>
      <c r="VZW35" s="624"/>
      <c r="VZX35" s="624"/>
      <c r="VZY35" s="624"/>
      <c r="VZZ35" s="624"/>
      <c r="WAA35" s="624"/>
      <c r="WAB35" s="624"/>
      <c r="WAC35" s="624"/>
      <c r="WAD35" s="624"/>
      <c r="WAE35" s="624"/>
      <c r="WAF35" s="624"/>
      <c r="WAG35" s="624"/>
      <c r="WAH35" s="624"/>
      <c r="WAI35" s="624"/>
      <c r="WAJ35" s="624"/>
      <c r="WAK35" s="624"/>
      <c r="WAL35" s="624"/>
      <c r="WAM35" s="624"/>
      <c r="WAN35" s="624"/>
      <c r="WAO35" s="624"/>
      <c r="WAP35" s="624"/>
      <c r="WAQ35" s="624"/>
      <c r="WAR35" s="624"/>
      <c r="WAS35" s="624"/>
      <c r="WAT35" s="624"/>
      <c r="WAU35" s="624"/>
      <c r="WAV35" s="624"/>
      <c r="WAW35" s="624"/>
      <c r="WAX35" s="624"/>
      <c r="WAY35" s="624"/>
      <c r="WAZ35" s="624"/>
      <c r="WBA35" s="624"/>
      <c r="WBB35" s="624"/>
      <c r="WBC35" s="624"/>
      <c r="WBD35" s="624"/>
      <c r="WBE35" s="624"/>
      <c r="WBF35" s="624"/>
      <c r="WBG35" s="624"/>
      <c r="WBH35" s="624"/>
      <c r="WBI35" s="624"/>
      <c r="WBJ35" s="624"/>
      <c r="WBK35" s="624"/>
      <c r="WBL35" s="624"/>
      <c r="WBM35" s="624"/>
      <c r="WBN35" s="624"/>
      <c r="WBO35" s="624"/>
      <c r="WBP35" s="624"/>
      <c r="WBQ35" s="624"/>
      <c r="WBR35" s="624"/>
      <c r="WBS35" s="624"/>
      <c r="WBT35" s="624"/>
      <c r="WBU35" s="624"/>
      <c r="WBV35" s="624"/>
      <c r="WBW35" s="624"/>
      <c r="WBX35" s="624"/>
      <c r="WBY35" s="624"/>
      <c r="WBZ35" s="624"/>
      <c r="WCA35" s="624"/>
      <c r="WCB35" s="624"/>
      <c r="WCC35" s="624"/>
      <c r="WCD35" s="624"/>
      <c r="WCE35" s="624"/>
      <c r="WCF35" s="624"/>
      <c r="WCG35" s="624"/>
      <c r="WCH35" s="624"/>
      <c r="WCI35" s="624"/>
      <c r="WCJ35" s="624"/>
      <c r="WCK35" s="624"/>
      <c r="WCL35" s="624"/>
      <c r="WCM35" s="624"/>
      <c r="WCN35" s="624"/>
      <c r="WCO35" s="624"/>
      <c r="WCP35" s="624"/>
      <c r="WCQ35" s="624"/>
      <c r="WCR35" s="624"/>
      <c r="WCS35" s="624"/>
      <c r="WCT35" s="624"/>
      <c r="WCU35" s="624"/>
      <c r="WCV35" s="624"/>
      <c r="WCW35" s="624"/>
      <c r="WCX35" s="624"/>
      <c r="WCY35" s="624"/>
      <c r="WCZ35" s="624"/>
      <c r="WDA35" s="624"/>
      <c r="WDB35" s="624"/>
      <c r="WDC35" s="624"/>
      <c r="WDD35" s="624"/>
      <c r="WDE35" s="624"/>
      <c r="WDF35" s="624"/>
      <c r="WDG35" s="624"/>
      <c r="WDH35" s="624"/>
      <c r="WDI35" s="624"/>
      <c r="WDJ35" s="624"/>
      <c r="WDK35" s="624"/>
      <c r="WDL35" s="624"/>
      <c r="WDM35" s="624"/>
      <c r="WDN35" s="624"/>
      <c r="WDO35" s="624"/>
      <c r="WDP35" s="624"/>
      <c r="WDQ35" s="624"/>
      <c r="WDR35" s="624"/>
      <c r="WDS35" s="624"/>
      <c r="WDT35" s="624"/>
      <c r="WDU35" s="624"/>
      <c r="WDV35" s="624"/>
      <c r="WDW35" s="624"/>
      <c r="WDX35" s="624"/>
      <c r="WDY35" s="624"/>
      <c r="WDZ35" s="624"/>
      <c r="WEA35" s="624"/>
      <c r="WEB35" s="624"/>
      <c r="WEC35" s="624"/>
      <c r="WED35" s="624"/>
      <c r="WEE35" s="624"/>
      <c r="WEF35" s="624"/>
      <c r="WEG35" s="624"/>
      <c r="WEH35" s="624"/>
      <c r="WEI35" s="624"/>
      <c r="WEJ35" s="624"/>
      <c r="WEK35" s="624"/>
      <c r="WEL35" s="624"/>
      <c r="WEM35" s="624"/>
      <c r="WEN35" s="624"/>
      <c r="WEO35" s="624"/>
      <c r="WEP35" s="624"/>
      <c r="WEQ35" s="624"/>
      <c r="WER35" s="624"/>
      <c r="WES35" s="624"/>
      <c r="WET35" s="624"/>
      <c r="WEU35" s="624"/>
      <c r="WEV35" s="624"/>
      <c r="WEW35" s="624"/>
      <c r="WEX35" s="624"/>
      <c r="WEY35" s="624"/>
      <c r="WEZ35" s="624"/>
      <c r="WFA35" s="624"/>
      <c r="WFB35" s="624"/>
      <c r="WFC35" s="624"/>
      <c r="WFD35" s="624"/>
      <c r="WFE35" s="624"/>
      <c r="WFF35" s="624"/>
      <c r="WFG35" s="624"/>
      <c r="WFH35" s="624"/>
      <c r="WFI35" s="624"/>
      <c r="WFJ35" s="624"/>
      <c r="WFK35" s="624"/>
      <c r="WFL35" s="624"/>
      <c r="WFM35" s="624"/>
      <c r="WFN35" s="624"/>
      <c r="WFO35" s="624"/>
      <c r="WFP35" s="624"/>
      <c r="WFQ35" s="624"/>
      <c r="WFR35" s="624"/>
      <c r="WFS35" s="624"/>
      <c r="WFT35" s="624"/>
      <c r="WFU35" s="624"/>
      <c r="WFV35" s="624"/>
      <c r="WFW35" s="624"/>
      <c r="WFX35" s="624"/>
      <c r="WFY35" s="624"/>
      <c r="WFZ35" s="624"/>
      <c r="WGA35" s="624"/>
      <c r="WGB35" s="624"/>
      <c r="WGC35" s="624"/>
      <c r="WGD35" s="624"/>
      <c r="WGE35" s="624"/>
      <c r="WGF35" s="624"/>
      <c r="WGG35" s="624"/>
      <c r="WGH35" s="624"/>
      <c r="WGI35" s="624"/>
      <c r="WGJ35" s="624"/>
      <c r="WGK35" s="624"/>
      <c r="WGL35" s="624"/>
      <c r="WGM35" s="624"/>
      <c r="WGN35" s="624"/>
      <c r="WGO35" s="624"/>
      <c r="WGP35" s="624"/>
      <c r="WGQ35" s="624"/>
      <c r="WGR35" s="624"/>
      <c r="WGS35" s="624"/>
      <c r="WGT35" s="624"/>
      <c r="WGU35" s="624"/>
      <c r="WGV35" s="624"/>
      <c r="WGW35" s="624"/>
      <c r="WGX35" s="624"/>
      <c r="WGY35" s="624"/>
      <c r="WGZ35" s="624"/>
      <c r="WHA35" s="624"/>
      <c r="WHB35" s="624"/>
      <c r="WHC35" s="624"/>
      <c r="WHD35" s="624"/>
      <c r="WHE35" s="624"/>
      <c r="WHF35" s="624"/>
      <c r="WHG35" s="624"/>
      <c r="WHH35" s="624"/>
      <c r="WHI35" s="624"/>
      <c r="WHJ35" s="624"/>
      <c r="WHK35" s="624"/>
      <c r="WHL35" s="624"/>
      <c r="WHM35" s="624"/>
      <c r="WHN35" s="624"/>
      <c r="WHO35" s="624"/>
      <c r="WHP35" s="624"/>
      <c r="WHQ35" s="624"/>
      <c r="WHR35" s="624"/>
      <c r="WHS35" s="624"/>
      <c r="WHT35" s="624"/>
      <c r="WHU35" s="624"/>
      <c r="WHV35" s="624"/>
      <c r="WHW35" s="624"/>
      <c r="WHX35" s="624"/>
      <c r="WHY35" s="624"/>
      <c r="WHZ35" s="624"/>
      <c r="WIA35" s="624"/>
      <c r="WIB35" s="624"/>
      <c r="WIC35" s="624"/>
      <c r="WID35" s="624"/>
      <c r="WIE35" s="624"/>
      <c r="WIF35" s="624"/>
      <c r="WIG35" s="624"/>
      <c r="WIH35" s="624"/>
      <c r="WII35" s="624"/>
      <c r="WIJ35" s="624"/>
      <c r="WIK35" s="624"/>
      <c r="WIL35" s="624"/>
      <c r="WIM35" s="624"/>
      <c r="WIN35" s="624"/>
      <c r="WIO35" s="624"/>
      <c r="WIP35" s="624"/>
      <c r="WIQ35" s="624"/>
      <c r="WIR35" s="624"/>
      <c r="WIS35" s="624"/>
      <c r="WIT35" s="624"/>
      <c r="WIU35" s="624"/>
      <c r="WIV35" s="624"/>
      <c r="WIW35" s="624"/>
      <c r="WIX35" s="624"/>
      <c r="WIY35" s="624"/>
      <c r="WIZ35" s="624"/>
      <c r="WJA35" s="624"/>
      <c r="WJB35" s="624"/>
      <c r="WJC35" s="624"/>
      <c r="WJD35" s="624"/>
      <c r="WJE35" s="624"/>
      <c r="WJF35" s="624"/>
      <c r="WJG35" s="624"/>
      <c r="WJH35" s="624"/>
      <c r="WJI35" s="624"/>
      <c r="WJJ35" s="624"/>
      <c r="WJK35" s="624"/>
      <c r="WJL35" s="624"/>
      <c r="WJM35" s="624"/>
      <c r="WJN35" s="624"/>
      <c r="WJO35" s="624"/>
      <c r="WJP35" s="624"/>
      <c r="WJQ35" s="624"/>
      <c r="WJR35" s="624"/>
      <c r="WJS35" s="624"/>
      <c r="WJT35" s="624"/>
      <c r="WJU35" s="624"/>
      <c r="WJV35" s="624"/>
      <c r="WJW35" s="624"/>
      <c r="WJX35" s="624"/>
      <c r="WJY35" s="624"/>
      <c r="WJZ35" s="624"/>
      <c r="WKA35" s="624"/>
      <c r="WKB35" s="624"/>
      <c r="WKC35" s="624"/>
      <c r="WKD35" s="624"/>
      <c r="WKE35" s="624"/>
      <c r="WKF35" s="624"/>
      <c r="WKG35" s="624"/>
      <c r="WKH35" s="624"/>
      <c r="WKI35" s="624"/>
      <c r="WKJ35" s="624"/>
      <c r="WKK35" s="624"/>
      <c r="WKL35" s="624"/>
      <c r="WKM35" s="624"/>
      <c r="WKN35" s="624"/>
      <c r="WKO35" s="624"/>
      <c r="WKP35" s="624"/>
      <c r="WKQ35" s="624"/>
      <c r="WKR35" s="624"/>
      <c r="WKS35" s="624"/>
      <c r="WKT35" s="624"/>
      <c r="WKU35" s="624"/>
      <c r="WKV35" s="624"/>
      <c r="WKW35" s="624"/>
      <c r="WKX35" s="624"/>
      <c r="WKY35" s="624"/>
      <c r="WKZ35" s="624"/>
      <c r="WLA35" s="624"/>
      <c r="WLB35" s="624"/>
      <c r="WLC35" s="624"/>
      <c r="WLD35" s="624"/>
      <c r="WLE35" s="624"/>
      <c r="WLF35" s="624"/>
      <c r="WLG35" s="624"/>
      <c r="WLH35" s="624"/>
      <c r="WLI35" s="624"/>
      <c r="WLJ35" s="624"/>
      <c r="WLK35" s="624"/>
      <c r="WLL35" s="624"/>
      <c r="WLM35" s="624"/>
      <c r="WLN35" s="624"/>
      <c r="WLO35" s="624"/>
      <c r="WLP35" s="624"/>
      <c r="WLQ35" s="624"/>
      <c r="WLR35" s="624"/>
      <c r="WLS35" s="624"/>
      <c r="WLT35" s="624"/>
      <c r="WLU35" s="624"/>
      <c r="WLV35" s="624"/>
      <c r="WLW35" s="624"/>
      <c r="WLX35" s="624"/>
      <c r="WLY35" s="624"/>
      <c r="WLZ35" s="624"/>
      <c r="WMA35" s="624"/>
      <c r="WMB35" s="624"/>
      <c r="WMC35" s="624"/>
      <c r="WMD35" s="624"/>
      <c r="WME35" s="624"/>
      <c r="WMF35" s="624"/>
      <c r="WMG35" s="624"/>
      <c r="WMH35" s="624"/>
      <c r="WMI35" s="624"/>
      <c r="WMJ35" s="624"/>
      <c r="WMK35" s="624"/>
      <c r="WML35" s="624"/>
      <c r="WMM35" s="624"/>
      <c r="WMN35" s="624"/>
      <c r="WMO35" s="624"/>
      <c r="WMP35" s="624"/>
      <c r="WMQ35" s="624"/>
      <c r="WMR35" s="624"/>
      <c r="WMS35" s="624"/>
      <c r="WMT35" s="624"/>
      <c r="WMU35" s="624"/>
      <c r="WMV35" s="624"/>
      <c r="WMW35" s="624"/>
      <c r="WMX35" s="624"/>
      <c r="WMY35" s="624"/>
      <c r="WMZ35" s="624"/>
      <c r="WNA35" s="624"/>
      <c r="WNB35" s="624"/>
      <c r="WNC35" s="624"/>
      <c r="WND35" s="624"/>
      <c r="WNE35" s="624"/>
      <c r="WNF35" s="624"/>
      <c r="WNG35" s="624"/>
      <c r="WNH35" s="624"/>
      <c r="WNI35" s="624"/>
      <c r="WNJ35" s="624"/>
      <c r="WNK35" s="624"/>
      <c r="WNL35" s="624"/>
      <c r="WNM35" s="624"/>
      <c r="WNN35" s="624"/>
      <c r="WNO35" s="624"/>
      <c r="WNP35" s="624"/>
      <c r="WNQ35" s="624"/>
      <c r="WNR35" s="624"/>
      <c r="WNS35" s="624"/>
      <c r="WNT35" s="624"/>
      <c r="WNU35" s="624"/>
      <c r="WNV35" s="624"/>
      <c r="WNW35" s="624"/>
      <c r="WNX35" s="624"/>
      <c r="WNY35" s="624"/>
      <c r="WNZ35" s="624"/>
      <c r="WOA35" s="624"/>
      <c r="WOB35" s="624"/>
      <c r="WOC35" s="624"/>
      <c r="WOD35" s="624"/>
      <c r="WOE35" s="624"/>
      <c r="WOF35" s="624"/>
      <c r="WOG35" s="624"/>
      <c r="WOH35" s="624"/>
      <c r="WOI35" s="624"/>
      <c r="WOJ35" s="624"/>
      <c r="WOK35" s="624"/>
      <c r="WOL35" s="624"/>
      <c r="WOM35" s="624"/>
      <c r="WON35" s="624"/>
      <c r="WOO35" s="624"/>
      <c r="WOP35" s="624"/>
      <c r="WOQ35" s="624"/>
      <c r="WOR35" s="624"/>
      <c r="WOS35" s="624"/>
      <c r="WOT35" s="624"/>
      <c r="WOU35" s="624"/>
      <c r="WOV35" s="624"/>
      <c r="WOW35" s="624"/>
      <c r="WOX35" s="624"/>
      <c r="WOY35" s="624"/>
      <c r="WOZ35" s="624"/>
      <c r="WPA35" s="624"/>
      <c r="WPB35" s="624"/>
      <c r="WPC35" s="624"/>
      <c r="WPD35" s="624"/>
      <c r="WPE35" s="624"/>
      <c r="WPF35" s="624"/>
      <c r="WPG35" s="624"/>
      <c r="WPH35" s="624"/>
      <c r="WPI35" s="624"/>
      <c r="WPJ35" s="624"/>
      <c r="WPK35" s="624"/>
      <c r="WPL35" s="624"/>
      <c r="WPM35" s="624"/>
      <c r="WPN35" s="624"/>
      <c r="WPO35" s="624"/>
      <c r="WPP35" s="624"/>
      <c r="WPQ35" s="624"/>
      <c r="WPR35" s="624"/>
      <c r="WPS35" s="624"/>
      <c r="WPT35" s="624"/>
      <c r="WPU35" s="624"/>
      <c r="WPV35" s="624"/>
      <c r="WPW35" s="624"/>
      <c r="WPX35" s="624"/>
      <c r="WPY35" s="624"/>
      <c r="WPZ35" s="624"/>
      <c r="WQA35" s="624"/>
      <c r="WQB35" s="624"/>
      <c r="WQC35" s="624"/>
      <c r="WQD35" s="624"/>
      <c r="WQE35" s="624"/>
      <c r="WQF35" s="624"/>
      <c r="WQG35" s="624"/>
      <c r="WQH35" s="624"/>
      <c r="WQI35" s="624"/>
      <c r="WQJ35" s="624"/>
      <c r="WQK35" s="624"/>
      <c r="WQL35" s="624"/>
      <c r="WQM35" s="624"/>
      <c r="WQN35" s="624"/>
      <c r="WQO35" s="624"/>
      <c r="WQP35" s="624"/>
      <c r="WQQ35" s="624"/>
      <c r="WQR35" s="624"/>
      <c r="WQS35" s="624"/>
      <c r="WQT35" s="624"/>
      <c r="WQU35" s="624"/>
      <c r="WQV35" s="624"/>
      <c r="WQW35" s="624"/>
      <c r="WQX35" s="624"/>
      <c r="WQY35" s="624"/>
      <c r="WQZ35" s="624"/>
      <c r="WRA35" s="624"/>
      <c r="WRB35" s="624"/>
      <c r="WRC35" s="624"/>
      <c r="WRD35" s="624"/>
      <c r="WRE35" s="624"/>
      <c r="WRF35" s="624"/>
      <c r="WRG35" s="624"/>
      <c r="WRH35" s="624"/>
      <c r="WRI35" s="624"/>
      <c r="WRJ35" s="624"/>
      <c r="WRK35" s="624"/>
      <c r="WRL35" s="624"/>
      <c r="WRM35" s="624"/>
      <c r="WRN35" s="624"/>
      <c r="WRO35" s="624"/>
      <c r="WRP35" s="624"/>
      <c r="WRQ35" s="624"/>
      <c r="WRR35" s="624"/>
      <c r="WRS35" s="624"/>
      <c r="WRT35" s="624"/>
      <c r="WRU35" s="624"/>
      <c r="WRV35" s="624"/>
      <c r="WRW35" s="624"/>
      <c r="WRX35" s="624"/>
      <c r="WRY35" s="624"/>
      <c r="WRZ35" s="624"/>
      <c r="WSA35" s="624"/>
      <c r="WSB35" s="624"/>
      <c r="WSC35" s="624"/>
      <c r="WSD35" s="624"/>
      <c r="WSE35" s="624"/>
      <c r="WSF35" s="624"/>
      <c r="WSG35" s="624"/>
      <c r="WSH35" s="624"/>
      <c r="WSI35" s="624"/>
      <c r="WSJ35" s="624"/>
      <c r="WSK35" s="624"/>
      <c r="WSL35" s="624"/>
      <c r="WSM35" s="624"/>
      <c r="WSN35" s="624"/>
      <c r="WSO35" s="624"/>
      <c r="WSP35" s="624"/>
      <c r="WSQ35" s="624"/>
      <c r="WSR35" s="624"/>
      <c r="WSS35" s="624"/>
      <c r="WST35" s="624"/>
      <c r="WSU35" s="624"/>
      <c r="WSV35" s="624"/>
      <c r="WSW35" s="624"/>
      <c r="WSX35" s="624"/>
      <c r="WSY35" s="624"/>
      <c r="WSZ35" s="624"/>
      <c r="WTA35" s="624"/>
      <c r="WTB35" s="624"/>
      <c r="WTC35" s="624"/>
      <c r="WTD35" s="624"/>
      <c r="WTE35" s="624"/>
      <c r="WTF35" s="624"/>
      <c r="WTG35" s="624"/>
      <c r="WTH35" s="624"/>
      <c r="WTI35" s="624"/>
      <c r="WTJ35" s="624"/>
      <c r="WTK35" s="624"/>
      <c r="WTL35" s="624"/>
      <c r="WTM35" s="624"/>
      <c r="WTN35" s="624"/>
      <c r="WTO35" s="624"/>
      <c r="WTP35" s="624"/>
      <c r="WTQ35" s="624"/>
      <c r="WTR35" s="624"/>
      <c r="WTS35" s="624"/>
      <c r="WTT35" s="624"/>
      <c r="WTU35" s="624"/>
      <c r="WTV35" s="624"/>
      <c r="WTW35" s="624"/>
      <c r="WTX35" s="624"/>
      <c r="WTY35" s="624"/>
      <c r="WTZ35" s="624"/>
      <c r="WUA35" s="624"/>
      <c r="WUB35" s="624"/>
      <c r="WUC35" s="624"/>
      <c r="WUD35" s="624"/>
      <c r="WUE35" s="624"/>
      <c r="WUF35" s="624"/>
      <c r="WUG35" s="624"/>
      <c r="WUH35" s="624"/>
      <c r="WUI35" s="624"/>
      <c r="WUJ35" s="624"/>
      <c r="WUK35" s="624"/>
      <c r="WUL35" s="624"/>
      <c r="WUM35" s="624"/>
      <c r="WUN35" s="624"/>
      <c r="WUO35" s="624"/>
      <c r="WUP35" s="624"/>
      <c r="WUQ35" s="624"/>
      <c r="WUR35" s="624"/>
      <c r="WUS35" s="624"/>
      <c r="WUT35" s="624"/>
      <c r="WUU35" s="624"/>
      <c r="WUV35" s="624"/>
      <c r="WUW35" s="624"/>
      <c r="WUX35" s="624"/>
      <c r="WUY35" s="624"/>
      <c r="WUZ35" s="624"/>
      <c r="WVA35" s="624"/>
      <c r="WVB35" s="624"/>
      <c r="WVC35" s="624"/>
      <c r="WVD35" s="624"/>
      <c r="WVE35" s="624"/>
      <c r="WVF35" s="624"/>
      <c r="WVG35" s="624"/>
      <c r="WVH35" s="624"/>
      <c r="WVI35" s="624"/>
      <c r="WVJ35" s="624"/>
      <c r="WVK35" s="624"/>
      <c r="WVL35" s="624"/>
      <c r="WVM35" s="624"/>
      <c r="WVN35" s="624"/>
      <c r="WVO35" s="624"/>
      <c r="WVP35" s="624"/>
      <c r="WVQ35" s="624"/>
      <c r="WVR35" s="624"/>
      <c r="WVS35" s="624"/>
      <c r="WVT35" s="624"/>
      <c r="WVU35" s="624"/>
      <c r="WVV35" s="624"/>
      <c r="WVW35" s="624"/>
      <c r="WVX35" s="624"/>
      <c r="WVY35" s="624"/>
      <c r="WVZ35" s="624"/>
      <c r="WWA35" s="624"/>
      <c r="WWB35" s="624"/>
      <c r="WWC35" s="624"/>
      <c r="WWD35" s="624"/>
      <c r="WWE35" s="624"/>
      <c r="WWF35" s="624"/>
      <c r="WWG35" s="624"/>
      <c r="WWH35" s="624"/>
      <c r="WWI35" s="624"/>
      <c r="WWJ35" s="624"/>
      <c r="WWK35" s="624"/>
      <c r="WWL35" s="624"/>
      <c r="WWM35" s="624"/>
      <c r="WWN35" s="624"/>
      <c r="WWO35" s="624"/>
      <c r="WWP35" s="624"/>
      <c r="WWQ35" s="624"/>
      <c r="WWR35" s="624"/>
      <c r="WWS35" s="624"/>
      <c r="WWT35" s="624"/>
      <c r="WWU35" s="624"/>
      <c r="WWV35" s="624"/>
      <c r="WWW35" s="624"/>
      <c r="WWX35" s="624"/>
      <c r="WWY35" s="624"/>
      <c r="WWZ35" s="624"/>
      <c r="WXA35" s="624"/>
      <c r="WXB35" s="624"/>
      <c r="WXC35" s="624"/>
      <c r="WXD35" s="624"/>
      <c r="WXE35" s="624"/>
      <c r="WXF35" s="624"/>
      <c r="WXG35" s="624"/>
      <c r="WXH35" s="624"/>
      <c r="WXI35" s="624"/>
      <c r="WXJ35" s="624"/>
      <c r="WXK35" s="624"/>
      <c r="WXL35" s="624"/>
      <c r="WXM35" s="624"/>
      <c r="WXN35" s="624"/>
      <c r="WXO35" s="624"/>
      <c r="WXP35" s="624"/>
      <c r="WXQ35" s="624"/>
      <c r="WXR35" s="624"/>
      <c r="WXS35" s="624"/>
      <c r="WXT35" s="624"/>
      <c r="WXU35" s="624"/>
      <c r="WXV35" s="624"/>
      <c r="WXW35" s="624"/>
      <c r="WXX35" s="624"/>
      <c r="WXY35" s="624"/>
      <c r="WXZ35" s="624"/>
      <c r="WYA35" s="624"/>
      <c r="WYB35" s="624"/>
      <c r="WYC35" s="624"/>
      <c r="WYD35" s="624"/>
      <c r="WYE35" s="624"/>
      <c r="WYF35" s="624"/>
      <c r="WYG35" s="624"/>
      <c r="WYH35" s="624"/>
      <c r="WYI35" s="624"/>
      <c r="WYJ35" s="624"/>
      <c r="WYK35" s="624"/>
      <c r="WYL35" s="624"/>
      <c r="WYM35" s="624"/>
      <c r="WYN35" s="624"/>
      <c r="WYO35" s="624"/>
      <c r="WYP35" s="624"/>
      <c r="WYQ35" s="624"/>
      <c r="WYR35" s="624"/>
      <c r="WYS35" s="624"/>
      <c r="WYT35" s="624"/>
      <c r="WYU35" s="624"/>
      <c r="WYV35" s="624"/>
      <c r="WYW35" s="624"/>
      <c r="WYX35" s="624"/>
      <c r="WYY35" s="624"/>
      <c r="WYZ35" s="624"/>
      <c r="WZA35" s="624"/>
      <c r="WZB35" s="624"/>
      <c r="WZC35" s="624"/>
      <c r="WZD35" s="624"/>
      <c r="WZE35" s="624"/>
      <c r="WZF35" s="624"/>
      <c r="WZG35" s="624"/>
      <c r="WZH35" s="624"/>
      <c r="WZI35" s="624"/>
      <c r="WZJ35" s="624"/>
      <c r="WZK35" s="624"/>
      <c r="WZL35" s="624"/>
      <c r="WZM35" s="624"/>
      <c r="WZN35" s="624"/>
      <c r="WZO35" s="624"/>
      <c r="WZP35" s="624"/>
      <c r="WZQ35" s="624"/>
      <c r="WZR35" s="624"/>
      <c r="WZS35" s="624"/>
      <c r="WZT35" s="624"/>
      <c r="WZU35" s="624"/>
      <c r="WZV35" s="624"/>
      <c r="WZW35" s="624"/>
      <c r="WZX35" s="624"/>
      <c r="WZY35" s="624"/>
      <c r="WZZ35" s="624"/>
      <c r="XAA35" s="624"/>
      <c r="XAB35" s="624"/>
      <c r="XAC35" s="624"/>
      <c r="XAD35" s="624"/>
      <c r="XAE35" s="624"/>
      <c r="XAF35" s="624"/>
      <c r="XAG35" s="624"/>
      <c r="XAH35" s="624"/>
      <c r="XAI35" s="624"/>
      <c r="XAJ35" s="624"/>
      <c r="XAK35" s="624"/>
      <c r="XAL35" s="624"/>
      <c r="XAM35" s="624"/>
      <c r="XAN35" s="624"/>
      <c r="XAO35" s="624"/>
      <c r="XAP35" s="624"/>
      <c r="XAQ35" s="624"/>
      <c r="XAR35" s="624"/>
      <c r="XAS35" s="624"/>
      <c r="XAT35" s="624"/>
      <c r="XAU35" s="624"/>
      <c r="XAV35" s="624"/>
      <c r="XAW35" s="624"/>
      <c r="XAX35" s="624"/>
      <c r="XAY35" s="624"/>
      <c r="XAZ35" s="624"/>
      <c r="XBA35" s="624"/>
      <c r="XBB35" s="624"/>
      <c r="XBC35" s="624"/>
      <c r="XBD35" s="624"/>
      <c r="XBE35" s="624"/>
      <c r="XBF35" s="624"/>
      <c r="XBG35" s="624"/>
      <c r="XBH35" s="624"/>
      <c r="XBI35" s="624"/>
      <c r="XBJ35" s="624"/>
      <c r="XBK35" s="624"/>
      <c r="XBL35" s="624"/>
      <c r="XBM35" s="624"/>
      <c r="XBN35" s="624"/>
      <c r="XBO35" s="624"/>
      <c r="XBP35" s="624"/>
      <c r="XBQ35" s="624"/>
      <c r="XBR35" s="624"/>
      <c r="XBS35" s="624"/>
      <c r="XBT35" s="624"/>
      <c r="XBU35" s="624"/>
      <c r="XBV35" s="624"/>
      <c r="XBW35" s="624"/>
      <c r="XBX35" s="624"/>
      <c r="XBY35" s="624"/>
      <c r="XBZ35" s="624"/>
      <c r="XCA35" s="624"/>
      <c r="XCB35" s="624"/>
      <c r="XCC35" s="624"/>
      <c r="XCD35" s="624"/>
      <c r="XCE35" s="624"/>
      <c r="XCF35" s="624"/>
      <c r="XCG35" s="624"/>
      <c r="XCH35" s="624"/>
      <c r="XCI35" s="624"/>
      <c r="XCJ35" s="624"/>
      <c r="XCK35" s="624"/>
      <c r="XCL35" s="624"/>
      <c r="XCM35" s="624"/>
      <c r="XCN35" s="624"/>
      <c r="XCO35" s="624"/>
      <c r="XCP35" s="624"/>
      <c r="XCQ35" s="624"/>
      <c r="XCR35" s="624"/>
      <c r="XCS35" s="624"/>
      <c r="XCT35" s="624"/>
      <c r="XCU35" s="624"/>
      <c r="XCV35" s="624"/>
      <c r="XCW35" s="624"/>
      <c r="XCX35" s="624"/>
      <c r="XCY35" s="624"/>
      <c r="XCZ35" s="624"/>
      <c r="XDA35" s="624"/>
      <c r="XDB35" s="624"/>
      <c r="XDC35" s="624"/>
      <c r="XDD35" s="624"/>
      <c r="XDE35" s="624"/>
      <c r="XDF35" s="624"/>
      <c r="XDG35" s="624"/>
      <c r="XDH35" s="624"/>
      <c r="XDI35" s="624"/>
      <c r="XDJ35" s="624"/>
      <c r="XDK35" s="624"/>
      <c r="XDL35" s="624"/>
      <c r="XDM35" s="624"/>
      <c r="XDN35" s="624"/>
      <c r="XDO35" s="624"/>
      <c r="XDP35" s="624"/>
      <c r="XDQ35" s="624"/>
      <c r="XDR35" s="624"/>
      <c r="XDS35" s="624"/>
      <c r="XDT35" s="624"/>
      <c r="XDU35" s="624"/>
      <c r="XDV35" s="624"/>
      <c r="XDW35" s="624"/>
      <c r="XDX35" s="624"/>
      <c r="XDY35" s="624"/>
      <c r="XDZ35" s="624"/>
      <c r="XEA35" s="624"/>
      <c r="XEB35" s="624"/>
      <c r="XEC35" s="624"/>
      <c r="XED35" s="624"/>
      <c r="XEE35" s="624"/>
      <c r="XEF35" s="624"/>
      <c r="XEG35" s="624"/>
      <c r="XEH35" s="624"/>
      <c r="XEI35" s="624"/>
      <c r="XEJ35" s="624"/>
      <c r="XEK35" s="624"/>
      <c r="XEL35" s="624"/>
      <c r="XEM35" s="624"/>
      <c r="XEN35" s="624"/>
      <c r="XEO35" s="624"/>
      <c r="XEP35" s="624"/>
      <c r="XEQ35" s="624"/>
      <c r="XER35" s="624"/>
      <c r="XES35" s="624"/>
      <c r="XET35" s="624"/>
      <c r="XEU35" s="624"/>
      <c r="XEV35" s="624"/>
      <c r="XEW35" s="624"/>
      <c r="XEX35" s="624"/>
      <c r="XEY35" s="624"/>
      <c r="XEZ35" s="624"/>
      <c r="XFA35" s="624"/>
      <c r="XFB35" s="624"/>
      <c r="XFC35" s="624"/>
      <c r="XFD35" s="624"/>
    </row>
    <row r="36" spans="2:16384" s="618" customFormat="1" hidden="1" outlineLevel="1">
      <c r="B36" s="644"/>
      <c r="D36" s="645"/>
      <c r="E36" s="645"/>
      <c r="F36" s="645"/>
      <c r="G36" s="645"/>
      <c r="H36" s="644"/>
      <c r="I36" s="645"/>
      <c r="J36" s="644"/>
      <c r="K36" s="645"/>
      <c r="L36" s="644"/>
      <c r="M36" s="644"/>
      <c r="N36" s="645"/>
      <c r="O36" s="645"/>
      <c r="P36" s="645"/>
      <c r="Q36" s="645"/>
      <c r="R36" s="644"/>
      <c r="S36" s="645"/>
      <c r="T36" s="644"/>
      <c r="U36" s="645"/>
      <c r="V36" s="645"/>
      <c r="W36" s="644"/>
      <c r="X36" s="645"/>
      <c r="Y36" s="645"/>
      <c r="Z36" s="645"/>
      <c r="AA36" s="645"/>
      <c r="AB36" s="644"/>
      <c r="AC36" s="645"/>
      <c r="AD36" s="645"/>
      <c r="AE36" s="645"/>
      <c r="AF36" s="645">
        <f>AF35/AA35-1</f>
        <v>0.23831775700934577</v>
      </c>
      <c r="AG36" s="644"/>
      <c r="AH36" s="645"/>
      <c r="AI36" s="645"/>
      <c r="AJ36" s="645"/>
      <c r="AK36" s="645"/>
      <c r="AL36" s="644"/>
      <c r="AM36" s="645"/>
      <c r="AN36" s="645"/>
      <c r="AO36" s="645"/>
      <c r="AP36" s="645"/>
      <c r="AQ36" s="644"/>
      <c r="AR36" s="645"/>
      <c r="AS36" s="645"/>
      <c r="AT36" s="645"/>
      <c r="AU36" s="645"/>
      <c r="AV36" s="644"/>
    </row>
    <row r="37" spans="2:16384" s="618" customFormat="1" hidden="1" outlineLevel="1">
      <c r="B37" s="644"/>
      <c r="D37" s="645"/>
      <c r="E37" s="645"/>
      <c r="F37" s="645"/>
      <c r="G37" s="645"/>
      <c r="H37" s="644"/>
      <c r="I37" s="645"/>
      <c r="J37" s="644"/>
      <c r="K37" s="645"/>
      <c r="L37" s="644"/>
      <c r="M37" s="644"/>
      <c r="N37" s="645"/>
      <c r="O37" s="645"/>
      <c r="P37" s="645"/>
      <c r="Q37" s="645"/>
      <c r="R37" s="644"/>
      <c r="S37" s="645"/>
      <c r="T37" s="644"/>
      <c r="U37" s="645"/>
      <c r="V37" s="645"/>
      <c r="W37" s="644"/>
      <c r="X37" s="645"/>
      <c r="Y37" s="645"/>
      <c r="Z37" s="645"/>
      <c r="AA37" s="645"/>
      <c r="AB37" s="644"/>
      <c r="AC37" s="645"/>
      <c r="AD37" s="645"/>
      <c r="AE37" s="645"/>
      <c r="AF37" s="645"/>
      <c r="AG37" s="644"/>
      <c r="AH37" s="645"/>
      <c r="AI37" s="645"/>
      <c r="AJ37" s="645"/>
      <c r="AK37" s="645"/>
      <c r="AL37" s="644"/>
      <c r="AM37" s="645"/>
      <c r="AN37" s="645"/>
      <c r="AO37" s="645"/>
      <c r="AP37" s="645"/>
      <c r="AQ37" s="644"/>
      <c r="AR37" s="645"/>
      <c r="AS37" s="645"/>
      <c r="AT37" s="645"/>
      <c r="AU37" s="645"/>
      <c r="AV37" s="644"/>
    </row>
    <row r="38" spans="2:16384" s="618" customFormat="1" hidden="1" outlineLevel="1">
      <c r="B38" s="644"/>
      <c r="D38" s="645"/>
      <c r="E38" s="645"/>
      <c r="F38" s="645"/>
      <c r="G38" s="645"/>
      <c r="H38" s="624"/>
      <c r="I38" s="624"/>
      <c r="J38" s="624"/>
      <c r="K38" s="624"/>
      <c r="L38" s="644" t="s">
        <v>377</v>
      </c>
      <c r="M38" s="624">
        <v>27</v>
      </c>
      <c r="N38" s="624"/>
      <c r="O38" s="624"/>
      <c r="P38" s="624"/>
      <c r="Q38" s="624"/>
      <c r="R38" s="624"/>
      <c r="S38" s="624"/>
      <c r="T38" s="624"/>
      <c r="U38" s="624"/>
      <c r="V38" s="624">
        <v>63</v>
      </c>
      <c r="W38" s="624"/>
      <c r="X38" s="624"/>
      <c r="Y38" s="624"/>
      <c r="Z38" s="624"/>
      <c r="AA38" s="624"/>
      <c r="AB38" s="624"/>
      <c r="AC38" s="624"/>
      <c r="AD38" s="624"/>
      <c r="AE38" s="624"/>
      <c r="AF38" s="624"/>
      <c r="AG38" s="624"/>
      <c r="AH38" s="624"/>
      <c r="AI38" s="624"/>
      <c r="AJ38" s="624"/>
      <c r="AK38" s="624"/>
      <c r="AL38" s="624"/>
      <c r="AM38" s="624"/>
      <c r="AN38" s="624"/>
      <c r="AO38" s="624"/>
      <c r="AP38" s="624"/>
      <c r="AQ38" s="624"/>
      <c r="AR38" s="624"/>
      <c r="AS38" s="624"/>
      <c r="AT38" s="624"/>
      <c r="AU38" s="624"/>
      <c r="AV38" s="624"/>
      <c r="AW38" s="624"/>
      <c r="AX38" s="624"/>
      <c r="AY38" s="624"/>
      <c r="AZ38" s="624"/>
      <c r="BA38" s="624"/>
      <c r="BB38" s="624"/>
      <c r="BC38" s="624"/>
      <c r="BD38" s="624"/>
      <c r="BE38" s="624"/>
      <c r="BF38" s="624"/>
      <c r="BG38" s="624"/>
      <c r="BH38" s="624"/>
      <c r="BI38" s="624"/>
      <c r="BJ38" s="624"/>
      <c r="BK38" s="624"/>
      <c r="BL38" s="624"/>
      <c r="BM38" s="624"/>
      <c r="BN38" s="624"/>
      <c r="BO38" s="624"/>
      <c r="BP38" s="624"/>
      <c r="BQ38" s="624"/>
      <c r="BR38" s="624"/>
      <c r="BS38" s="624"/>
      <c r="BT38" s="624"/>
      <c r="BU38" s="624"/>
      <c r="BV38" s="624"/>
      <c r="BW38" s="624"/>
      <c r="BX38" s="624"/>
      <c r="BY38" s="624"/>
      <c r="BZ38" s="624"/>
      <c r="CA38" s="624"/>
      <c r="CB38" s="624"/>
      <c r="CC38" s="624"/>
      <c r="CD38" s="624"/>
      <c r="CE38" s="624"/>
      <c r="CF38" s="624"/>
      <c r="CG38" s="624"/>
      <c r="CH38" s="624"/>
      <c r="CI38" s="624"/>
      <c r="CJ38" s="624"/>
      <c r="CK38" s="624"/>
      <c r="CL38" s="624"/>
      <c r="CM38" s="624"/>
      <c r="CN38" s="624"/>
      <c r="CO38" s="624"/>
      <c r="CP38" s="624"/>
      <c r="CQ38" s="624"/>
      <c r="CR38" s="624"/>
      <c r="CS38" s="624"/>
      <c r="CT38" s="624"/>
      <c r="CU38" s="624"/>
      <c r="CV38" s="624"/>
      <c r="CW38" s="624"/>
      <c r="CX38" s="624"/>
      <c r="CY38" s="624"/>
      <c r="CZ38" s="624"/>
      <c r="DA38" s="624"/>
      <c r="DB38" s="624"/>
      <c r="DC38" s="624"/>
      <c r="DD38" s="624"/>
      <c r="DE38" s="624"/>
      <c r="DF38" s="624"/>
      <c r="DG38" s="624"/>
      <c r="DH38" s="624"/>
      <c r="DI38" s="624"/>
      <c r="DJ38" s="624"/>
      <c r="DK38" s="624"/>
      <c r="DL38" s="624"/>
      <c r="DM38" s="624"/>
      <c r="DN38" s="624"/>
      <c r="DO38" s="624"/>
      <c r="DP38" s="624"/>
      <c r="DQ38" s="624"/>
      <c r="DR38" s="624"/>
      <c r="DS38" s="624"/>
      <c r="DT38" s="624"/>
      <c r="DU38" s="624"/>
      <c r="DV38" s="624"/>
      <c r="DW38" s="624"/>
      <c r="DX38" s="624"/>
      <c r="DY38" s="624"/>
      <c r="DZ38" s="624"/>
      <c r="EA38" s="624"/>
      <c r="EB38" s="624"/>
      <c r="EC38" s="624"/>
      <c r="ED38" s="624"/>
      <c r="EE38" s="624"/>
      <c r="EF38" s="624"/>
      <c r="EG38" s="624"/>
      <c r="EH38" s="624"/>
      <c r="EI38" s="624"/>
      <c r="EJ38" s="624"/>
      <c r="EK38" s="624"/>
      <c r="EL38" s="624"/>
      <c r="EM38" s="624"/>
      <c r="EN38" s="624"/>
      <c r="EO38" s="624"/>
      <c r="EP38" s="624"/>
      <c r="EQ38" s="624"/>
      <c r="ER38" s="624"/>
      <c r="ES38" s="624"/>
      <c r="ET38" s="624"/>
      <c r="EU38" s="624"/>
      <c r="EV38" s="624"/>
      <c r="EW38" s="624"/>
      <c r="EX38" s="624"/>
      <c r="EY38" s="624"/>
      <c r="EZ38" s="624"/>
      <c r="FA38" s="624"/>
      <c r="FB38" s="624"/>
      <c r="FC38" s="624"/>
      <c r="FD38" s="624"/>
      <c r="FE38" s="624"/>
      <c r="FF38" s="624"/>
      <c r="FG38" s="624"/>
      <c r="FH38" s="624"/>
      <c r="FI38" s="624"/>
      <c r="FJ38" s="624"/>
      <c r="FK38" s="624"/>
      <c r="FL38" s="624"/>
      <c r="FM38" s="624"/>
      <c r="FN38" s="624"/>
      <c r="FO38" s="624"/>
      <c r="FP38" s="624"/>
      <c r="FQ38" s="624"/>
      <c r="FR38" s="624"/>
      <c r="FS38" s="624"/>
      <c r="FT38" s="624"/>
      <c r="FU38" s="624"/>
      <c r="FV38" s="624"/>
      <c r="FW38" s="624"/>
      <c r="FX38" s="624"/>
      <c r="FY38" s="624"/>
      <c r="FZ38" s="624"/>
      <c r="GA38" s="624"/>
      <c r="GB38" s="624"/>
      <c r="GC38" s="624"/>
      <c r="GD38" s="624"/>
      <c r="GE38" s="624"/>
      <c r="GF38" s="624"/>
      <c r="GG38" s="624"/>
      <c r="GH38" s="624"/>
      <c r="GI38" s="624"/>
      <c r="GJ38" s="624"/>
      <c r="GK38" s="624"/>
      <c r="GL38" s="624"/>
      <c r="GM38" s="624"/>
      <c r="GN38" s="624"/>
      <c r="GO38" s="624"/>
      <c r="GP38" s="624"/>
      <c r="GQ38" s="624"/>
      <c r="GR38" s="624"/>
      <c r="GS38" s="624"/>
      <c r="GT38" s="624"/>
      <c r="GU38" s="624"/>
      <c r="GV38" s="624"/>
      <c r="GW38" s="624"/>
      <c r="GX38" s="624"/>
      <c r="GY38" s="624"/>
      <c r="GZ38" s="624"/>
      <c r="HA38" s="624"/>
      <c r="HB38" s="624"/>
      <c r="HC38" s="624"/>
      <c r="HD38" s="624"/>
      <c r="HE38" s="624"/>
      <c r="HF38" s="624"/>
      <c r="HG38" s="624"/>
      <c r="HH38" s="624"/>
      <c r="HI38" s="624"/>
      <c r="HJ38" s="624"/>
      <c r="HK38" s="624"/>
      <c r="HL38" s="624"/>
      <c r="HM38" s="624"/>
      <c r="HN38" s="624"/>
      <c r="HO38" s="624"/>
      <c r="HP38" s="624"/>
      <c r="HQ38" s="624"/>
      <c r="HR38" s="624"/>
      <c r="HS38" s="624"/>
      <c r="HT38" s="624"/>
      <c r="HU38" s="624"/>
      <c r="HV38" s="624"/>
      <c r="HW38" s="624"/>
      <c r="HX38" s="624"/>
      <c r="HY38" s="624"/>
      <c r="HZ38" s="624"/>
      <c r="IA38" s="624"/>
      <c r="IB38" s="624"/>
      <c r="IC38" s="624"/>
      <c r="ID38" s="624"/>
      <c r="IE38" s="624"/>
      <c r="IF38" s="624"/>
      <c r="IG38" s="624"/>
      <c r="IH38" s="624"/>
      <c r="II38" s="624"/>
      <c r="IJ38" s="624"/>
      <c r="IK38" s="624"/>
      <c r="IL38" s="624"/>
      <c r="IM38" s="624"/>
      <c r="IN38" s="624"/>
      <c r="IO38" s="624"/>
      <c r="IP38" s="624"/>
      <c r="IQ38" s="624"/>
      <c r="IR38" s="624"/>
      <c r="IS38" s="624"/>
      <c r="IT38" s="624"/>
      <c r="IU38" s="624"/>
      <c r="IV38" s="624"/>
      <c r="IW38" s="624"/>
      <c r="IX38" s="624"/>
      <c r="IY38" s="624"/>
      <c r="IZ38" s="624"/>
      <c r="JA38" s="624"/>
      <c r="JB38" s="624"/>
      <c r="JC38" s="624"/>
      <c r="JD38" s="624"/>
      <c r="JE38" s="624"/>
      <c r="JF38" s="624"/>
      <c r="JG38" s="624"/>
      <c r="JH38" s="624"/>
      <c r="JI38" s="624"/>
      <c r="JJ38" s="624"/>
      <c r="JK38" s="624"/>
      <c r="JL38" s="624"/>
      <c r="JM38" s="624"/>
      <c r="JN38" s="624"/>
      <c r="JO38" s="624"/>
      <c r="JP38" s="624"/>
      <c r="JQ38" s="624"/>
      <c r="JR38" s="624"/>
      <c r="JS38" s="624"/>
      <c r="JT38" s="624"/>
      <c r="JU38" s="624"/>
      <c r="JV38" s="624"/>
      <c r="JW38" s="624"/>
      <c r="JX38" s="624"/>
      <c r="JY38" s="624"/>
      <c r="JZ38" s="624"/>
      <c r="KA38" s="624"/>
      <c r="KB38" s="624"/>
      <c r="KC38" s="624"/>
      <c r="KD38" s="624"/>
      <c r="KE38" s="624"/>
      <c r="KF38" s="624"/>
      <c r="KG38" s="624"/>
      <c r="KH38" s="624"/>
      <c r="KI38" s="624"/>
      <c r="KJ38" s="624"/>
      <c r="KK38" s="624"/>
      <c r="KL38" s="624"/>
      <c r="KM38" s="624"/>
      <c r="KN38" s="624"/>
      <c r="KO38" s="624"/>
      <c r="KP38" s="624"/>
      <c r="KQ38" s="624"/>
      <c r="KR38" s="624"/>
      <c r="KS38" s="624"/>
      <c r="KT38" s="624"/>
      <c r="KU38" s="624"/>
      <c r="KV38" s="624"/>
      <c r="KW38" s="624"/>
      <c r="KX38" s="624"/>
      <c r="KY38" s="624"/>
      <c r="KZ38" s="624"/>
      <c r="LA38" s="624"/>
      <c r="LB38" s="624"/>
      <c r="LC38" s="624"/>
      <c r="LD38" s="624"/>
      <c r="LE38" s="624"/>
      <c r="LF38" s="624"/>
      <c r="LG38" s="624"/>
      <c r="LH38" s="624"/>
      <c r="LI38" s="624"/>
      <c r="LJ38" s="624"/>
      <c r="LK38" s="624"/>
      <c r="LL38" s="624"/>
      <c r="LM38" s="624"/>
      <c r="LN38" s="624"/>
      <c r="LO38" s="624"/>
      <c r="LP38" s="624"/>
      <c r="LQ38" s="624"/>
      <c r="LR38" s="624"/>
      <c r="LS38" s="624"/>
      <c r="LT38" s="624"/>
      <c r="LU38" s="624"/>
      <c r="LV38" s="624"/>
      <c r="LW38" s="624"/>
      <c r="LX38" s="624"/>
      <c r="LY38" s="624"/>
      <c r="LZ38" s="624"/>
      <c r="MA38" s="624"/>
      <c r="MB38" s="624"/>
      <c r="MC38" s="624"/>
      <c r="MD38" s="624"/>
      <c r="ME38" s="624"/>
      <c r="MF38" s="624"/>
      <c r="MG38" s="624"/>
      <c r="MH38" s="624"/>
      <c r="MI38" s="624"/>
      <c r="MJ38" s="624"/>
      <c r="MK38" s="624"/>
      <c r="ML38" s="624"/>
      <c r="MM38" s="624"/>
      <c r="MN38" s="624"/>
      <c r="MO38" s="624"/>
      <c r="MP38" s="624"/>
      <c r="MQ38" s="624"/>
      <c r="MR38" s="624"/>
      <c r="MS38" s="624"/>
      <c r="MT38" s="624"/>
      <c r="MU38" s="624"/>
      <c r="MV38" s="624"/>
      <c r="MW38" s="624"/>
      <c r="MX38" s="624"/>
      <c r="MY38" s="624"/>
      <c r="MZ38" s="624"/>
      <c r="NA38" s="624"/>
      <c r="NB38" s="624"/>
      <c r="NC38" s="624"/>
      <c r="ND38" s="624"/>
      <c r="NE38" s="624"/>
      <c r="NF38" s="624"/>
      <c r="NG38" s="624"/>
      <c r="NH38" s="624"/>
      <c r="NI38" s="624"/>
      <c r="NJ38" s="624"/>
      <c r="NK38" s="624"/>
      <c r="NL38" s="624"/>
      <c r="NM38" s="624"/>
      <c r="NN38" s="624"/>
      <c r="NO38" s="624"/>
      <c r="NP38" s="624"/>
      <c r="NQ38" s="624"/>
      <c r="NR38" s="624"/>
      <c r="NS38" s="624"/>
      <c r="NT38" s="624"/>
      <c r="NU38" s="624"/>
      <c r="NV38" s="624"/>
      <c r="NW38" s="624"/>
      <c r="NX38" s="624"/>
      <c r="NY38" s="624"/>
      <c r="NZ38" s="624"/>
      <c r="OA38" s="624"/>
      <c r="OB38" s="624"/>
      <c r="OC38" s="624"/>
      <c r="OD38" s="624"/>
      <c r="OE38" s="624"/>
      <c r="OF38" s="624"/>
      <c r="OG38" s="624"/>
      <c r="OH38" s="624"/>
      <c r="OI38" s="624"/>
      <c r="OJ38" s="624"/>
      <c r="OK38" s="624"/>
      <c r="OL38" s="624"/>
      <c r="OM38" s="624"/>
      <c r="ON38" s="624"/>
      <c r="OO38" s="624"/>
      <c r="OP38" s="624"/>
      <c r="OQ38" s="624"/>
      <c r="OR38" s="624"/>
      <c r="OS38" s="624"/>
      <c r="OT38" s="624"/>
      <c r="OU38" s="624"/>
      <c r="OV38" s="624"/>
      <c r="OW38" s="624"/>
      <c r="OX38" s="624"/>
      <c r="OY38" s="624"/>
      <c r="OZ38" s="624"/>
      <c r="PA38" s="624"/>
      <c r="PB38" s="624"/>
      <c r="PC38" s="624"/>
      <c r="PD38" s="624"/>
      <c r="PE38" s="624"/>
      <c r="PF38" s="624"/>
      <c r="PG38" s="624"/>
      <c r="PH38" s="624"/>
      <c r="PI38" s="624"/>
      <c r="PJ38" s="624"/>
      <c r="PK38" s="624"/>
      <c r="PL38" s="624"/>
      <c r="PM38" s="624"/>
      <c r="PN38" s="624"/>
      <c r="PO38" s="624"/>
      <c r="PP38" s="624"/>
      <c r="PQ38" s="624"/>
      <c r="PR38" s="624"/>
      <c r="PS38" s="624"/>
      <c r="PT38" s="624"/>
      <c r="PU38" s="624"/>
      <c r="PV38" s="624"/>
      <c r="PW38" s="624"/>
      <c r="PX38" s="624"/>
      <c r="PY38" s="624"/>
      <c r="PZ38" s="624"/>
      <c r="QA38" s="624"/>
      <c r="QB38" s="624"/>
      <c r="QC38" s="624"/>
      <c r="QD38" s="624"/>
      <c r="QE38" s="624"/>
      <c r="QF38" s="624"/>
      <c r="QG38" s="624"/>
      <c r="QH38" s="624"/>
      <c r="QI38" s="624"/>
      <c r="QJ38" s="624"/>
      <c r="QK38" s="624"/>
      <c r="QL38" s="624"/>
      <c r="QM38" s="624"/>
      <c r="QN38" s="624"/>
      <c r="QO38" s="624"/>
      <c r="QP38" s="624"/>
      <c r="QQ38" s="624"/>
      <c r="QR38" s="624"/>
      <c r="QS38" s="624"/>
      <c r="QT38" s="624"/>
      <c r="QU38" s="624"/>
      <c r="QV38" s="624"/>
      <c r="QW38" s="624"/>
      <c r="QX38" s="624"/>
      <c r="QY38" s="624"/>
      <c r="QZ38" s="624"/>
      <c r="RA38" s="624"/>
      <c r="RB38" s="624"/>
      <c r="RC38" s="624"/>
      <c r="RD38" s="624"/>
      <c r="RE38" s="624"/>
      <c r="RF38" s="624"/>
      <c r="RG38" s="624"/>
      <c r="RH38" s="624"/>
      <c r="RI38" s="624"/>
      <c r="RJ38" s="624"/>
      <c r="RK38" s="624"/>
      <c r="RL38" s="624"/>
      <c r="RM38" s="624"/>
      <c r="RN38" s="624"/>
      <c r="RO38" s="624"/>
      <c r="RP38" s="624"/>
      <c r="RQ38" s="624"/>
      <c r="RR38" s="624"/>
      <c r="RS38" s="624"/>
      <c r="RT38" s="624"/>
      <c r="RU38" s="624"/>
      <c r="RV38" s="624"/>
      <c r="RW38" s="624"/>
      <c r="RX38" s="624"/>
      <c r="RY38" s="624"/>
      <c r="RZ38" s="624"/>
      <c r="SA38" s="624"/>
      <c r="SB38" s="624"/>
      <c r="SC38" s="624"/>
      <c r="SD38" s="624"/>
      <c r="SE38" s="624"/>
      <c r="SF38" s="624"/>
      <c r="SG38" s="624"/>
      <c r="SH38" s="624"/>
      <c r="SI38" s="624"/>
      <c r="SJ38" s="624"/>
      <c r="SK38" s="624"/>
      <c r="SL38" s="624"/>
      <c r="SM38" s="624"/>
      <c r="SN38" s="624"/>
      <c r="SO38" s="624"/>
      <c r="SP38" s="624"/>
      <c r="SQ38" s="624"/>
      <c r="SR38" s="624"/>
      <c r="SS38" s="624"/>
      <c r="ST38" s="624"/>
      <c r="SU38" s="624"/>
      <c r="SV38" s="624"/>
      <c r="SW38" s="624"/>
      <c r="SX38" s="624"/>
      <c r="SY38" s="624"/>
      <c r="SZ38" s="624"/>
      <c r="TA38" s="624"/>
      <c r="TB38" s="624"/>
      <c r="TC38" s="624"/>
      <c r="TD38" s="624"/>
      <c r="TE38" s="624"/>
      <c r="TF38" s="624"/>
      <c r="TG38" s="624"/>
      <c r="TH38" s="624"/>
      <c r="TI38" s="624"/>
      <c r="TJ38" s="624"/>
      <c r="TK38" s="624"/>
      <c r="TL38" s="624"/>
      <c r="TM38" s="624"/>
      <c r="TN38" s="624"/>
      <c r="TO38" s="624"/>
      <c r="TP38" s="624"/>
      <c r="TQ38" s="624"/>
      <c r="TR38" s="624"/>
      <c r="TS38" s="624"/>
      <c r="TT38" s="624"/>
      <c r="TU38" s="624"/>
      <c r="TV38" s="624"/>
      <c r="TW38" s="624"/>
      <c r="TX38" s="624"/>
      <c r="TY38" s="624"/>
      <c r="TZ38" s="624"/>
      <c r="UA38" s="624"/>
      <c r="UB38" s="624"/>
      <c r="UC38" s="624"/>
      <c r="UD38" s="624"/>
      <c r="UE38" s="624"/>
      <c r="UF38" s="624"/>
      <c r="UG38" s="624"/>
      <c r="UH38" s="624"/>
      <c r="UI38" s="624"/>
      <c r="UJ38" s="624"/>
      <c r="UK38" s="624"/>
      <c r="UL38" s="624"/>
      <c r="UM38" s="624"/>
      <c r="UN38" s="624"/>
      <c r="UO38" s="624"/>
      <c r="UP38" s="624"/>
      <c r="UQ38" s="624"/>
      <c r="UR38" s="624"/>
      <c r="US38" s="624"/>
      <c r="UT38" s="624"/>
      <c r="UU38" s="624"/>
      <c r="UV38" s="624"/>
      <c r="UW38" s="624"/>
      <c r="UX38" s="624"/>
      <c r="UY38" s="624"/>
      <c r="UZ38" s="624"/>
      <c r="VA38" s="624"/>
      <c r="VB38" s="624"/>
      <c r="VC38" s="624"/>
      <c r="VD38" s="624"/>
      <c r="VE38" s="624"/>
      <c r="VF38" s="624"/>
      <c r="VG38" s="624"/>
      <c r="VH38" s="624"/>
      <c r="VI38" s="624"/>
      <c r="VJ38" s="624"/>
      <c r="VK38" s="624"/>
      <c r="VL38" s="624"/>
      <c r="VM38" s="624"/>
      <c r="VN38" s="624"/>
      <c r="VO38" s="624"/>
      <c r="VP38" s="624"/>
      <c r="VQ38" s="624"/>
      <c r="VR38" s="624"/>
      <c r="VS38" s="624"/>
      <c r="VT38" s="624"/>
      <c r="VU38" s="624"/>
      <c r="VV38" s="624"/>
      <c r="VW38" s="624"/>
      <c r="VX38" s="624"/>
      <c r="VY38" s="624"/>
      <c r="VZ38" s="624"/>
      <c r="WA38" s="624"/>
      <c r="WB38" s="624"/>
      <c r="WC38" s="624"/>
      <c r="WD38" s="624"/>
      <c r="WE38" s="624"/>
      <c r="WF38" s="624"/>
      <c r="WG38" s="624"/>
      <c r="WH38" s="624"/>
      <c r="WI38" s="624"/>
      <c r="WJ38" s="624"/>
      <c r="WK38" s="624"/>
      <c r="WL38" s="624"/>
      <c r="WM38" s="624"/>
      <c r="WN38" s="624"/>
      <c r="WO38" s="624"/>
      <c r="WP38" s="624"/>
      <c r="WQ38" s="624"/>
      <c r="WR38" s="624"/>
      <c r="WS38" s="624"/>
      <c r="WT38" s="624"/>
      <c r="WU38" s="624"/>
      <c r="WV38" s="624"/>
      <c r="WW38" s="624"/>
      <c r="WX38" s="624"/>
      <c r="WY38" s="624"/>
      <c r="WZ38" s="624"/>
      <c r="XA38" s="624"/>
      <c r="XB38" s="624"/>
      <c r="XC38" s="624"/>
      <c r="XD38" s="624"/>
      <c r="XE38" s="624"/>
      <c r="XF38" s="624"/>
      <c r="XG38" s="624"/>
      <c r="XH38" s="624"/>
      <c r="XI38" s="624"/>
      <c r="XJ38" s="624"/>
      <c r="XK38" s="624"/>
      <c r="XL38" s="624"/>
      <c r="XM38" s="624"/>
      <c r="XN38" s="624"/>
      <c r="XO38" s="624"/>
      <c r="XP38" s="624"/>
      <c r="XQ38" s="624"/>
      <c r="XR38" s="624"/>
      <c r="XS38" s="624"/>
      <c r="XT38" s="624"/>
      <c r="XU38" s="624"/>
      <c r="XV38" s="624"/>
      <c r="XW38" s="624"/>
      <c r="XX38" s="624"/>
      <c r="XY38" s="624"/>
      <c r="XZ38" s="624"/>
      <c r="YA38" s="624"/>
      <c r="YB38" s="624"/>
      <c r="YC38" s="624"/>
      <c r="YD38" s="624"/>
      <c r="YE38" s="624"/>
      <c r="YF38" s="624"/>
      <c r="YG38" s="624"/>
      <c r="YH38" s="624"/>
      <c r="YI38" s="624"/>
      <c r="YJ38" s="624"/>
      <c r="YK38" s="624"/>
      <c r="YL38" s="624"/>
      <c r="YM38" s="624"/>
      <c r="YN38" s="624"/>
      <c r="YO38" s="624"/>
      <c r="YP38" s="624"/>
      <c r="YQ38" s="624"/>
      <c r="YR38" s="624"/>
      <c r="YS38" s="624"/>
      <c r="YT38" s="624"/>
      <c r="YU38" s="624"/>
      <c r="YV38" s="624"/>
      <c r="YW38" s="624"/>
      <c r="YX38" s="624"/>
      <c r="YY38" s="624"/>
      <c r="YZ38" s="624"/>
      <c r="ZA38" s="624"/>
      <c r="ZB38" s="624"/>
      <c r="ZC38" s="624"/>
      <c r="ZD38" s="624"/>
      <c r="ZE38" s="624"/>
      <c r="ZF38" s="624"/>
      <c r="ZG38" s="624"/>
      <c r="ZH38" s="624"/>
      <c r="ZI38" s="624"/>
      <c r="ZJ38" s="624"/>
      <c r="ZK38" s="624"/>
      <c r="ZL38" s="624"/>
      <c r="ZM38" s="624"/>
      <c r="ZN38" s="624"/>
      <c r="ZO38" s="624"/>
      <c r="ZP38" s="624"/>
      <c r="ZQ38" s="624"/>
      <c r="ZR38" s="624"/>
      <c r="ZS38" s="624"/>
      <c r="ZT38" s="624"/>
      <c r="ZU38" s="624"/>
      <c r="ZV38" s="624"/>
      <c r="ZW38" s="624"/>
      <c r="ZX38" s="624"/>
      <c r="ZY38" s="624"/>
      <c r="ZZ38" s="624"/>
      <c r="AAA38" s="624"/>
      <c r="AAB38" s="624"/>
      <c r="AAC38" s="624"/>
      <c r="AAD38" s="624"/>
      <c r="AAE38" s="624"/>
      <c r="AAF38" s="624"/>
      <c r="AAG38" s="624"/>
      <c r="AAH38" s="624"/>
      <c r="AAI38" s="624"/>
      <c r="AAJ38" s="624"/>
      <c r="AAK38" s="624"/>
      <c r="AAL38" s="624"/>
      <c r="AAM38" s="624"/>
      <c r="AAN38" s="624"/>
      <c r="AAO38" s="624"/>
      <c r="AAP38" s="624"/>
      <c r="AAQ38" s="624"/>
      <c r="AAR38" s="624"/>
      <c r="AAS38" s="624"/>
      <c r="AAT38" s="624"/>
      <c r="AAU38" s="624"/>
      <c r="AAV38" s="624"/>
      <c r="AAW38" s="624"/>
      <c r="AAX38" s="624"/>
      <c r="AAY38" s="624"/>
      <c r="AAZ38" s="624"/>
      <c r="ABA38" s="624"/>
      <c r="ABB38" s="624"/>
      <c r="ABC38" s="624"/>
      <c r="ABD38" s="624"/>
      <c r="ABE38" s="624"/>
      <c r="ABF38" s="624"/>
      <c r="ABG38" s="624"/>
      <c r="ABH38" s="624"/>
      <c r="ABI38" s="624"/>
      <c r="ABJ38" s="624"/>
      <c r="ABK38" s="624"/>
      <c r="ABL38" s="624"/>
      <c r="ABM38" s="624"/>
      <c r="ABN38" s="624"/>
      <c r="ABO38" s="624"/>
      <c r="ABP38" s="624"/>
      <c r="ABQ38" s="624"/>
      <c r="ABR38" s="624"/>
      <c r="ABS38" s="624"/>
      <c r="ABT38" s="624"/>
      <c r="ABU38" s="624"/>
      <c r="ABV38" s="624"/>
      <c r="ABW38" s="624"/>
      <c r="ABX38" s="624"/>
      <c r="ABY38" s="624"/>
      <c r="ABZ38" s="624"/>
      <c r="ACA38" s="624"/>
      <c r="ACB38" s="624"/>
      <c r="ACC38" s="624"/>
      <c r="ACD38" s="624"/>
      <c r="ACE38" s="624"/>
      <c r="ACF38" s="624"/>
      <c r="ACG38" s="624"/>
      <c r="ACH38" s="624"/>
      <c r="ACI38" s="624"/>
      <c r="ACJ38" s="624"/>
      <c r="ACK38" s="624"/>
      <c r="ACL38" s="624"/>
      <c r="ACM38" s="624"/>
      <c r="ACN38" s="624"/>
      <c r="ACO38" s="624"/>
      <c r="ACP38" s="624"/>
      <c r="ACQ38" s="624"/>
      <c r="ACR38" s="624"/>
      <c r="ACS38" s="624"/>
      <c r="ACT38" s="624"/>
      <c r="ACU38" s="624"/>
      <c r="ACV38" s="624"/>
      <c r="ACW38" s="624"/>
      <c r="ACX38" s="624"/>
      <c r="ACY38" s="624"/>
      <c r="ACZ38" s="624"/>
      <c r="ADA38" s="624"/>
      <c r="ADB38" s="624"/>
      <c r="ADC38" s="624"/>
      <c r="ADD38" s="624"/>
      <c r="ADE38" s="624"/>
      <c r="ADF38" s="624"/>
      <c r="ADG38" s="624"/>
      <c r="ADH38" s="624"/>
      <c r="ADI38" s="624"/>
      <c r="ADJ38" s="624"/>
      <c r="ADK38" s="624"/>
      <c r="ADL38" s="624"/>
      <c r="ADM38" s="624"/>
      <c r="ADN38" s="624"/>
      <c r="ADO38" s="624"/>
      <c r="ADP38" s="624"/>
      <c r="ADQ38" s="624"/>
      <c r="ADR38" s="624"/>
      <c r="ADS38" s="624"/>
      <c r="ADT38" s="624"/>
      <c r="ADU38" s="624"/>
      <c r="ADV38" s="624"/>
      <c r="ADW38" s="624"/>
      <c r="ADX38" s="624"/>
      <c r="ADY38" s="624"/>
      <c r="ADZ38" s="624"/>
      <c r="AEA38" s="624"/>
      <c r="AEB38" s="624"/>
      <c r="AEC38" s="624"/>
      <c r="AED38" s="624"/>
      <c r="AEE38" s="624"/>
      <c r="AEF38" s="624"/>
      <c r="AEG38" s="624"/>
      <c r="AEH38" s="624"/>
      <c r="AEI38" s="624"/>
      <c r="AEJ38" s="624"/>
      <c r="AEK38" s="624"/>
      <c r="AEL38" s="624"/>
      <c r="AEM38" s="624"/>
      <c r="AEN38" s="624"/>
      <c r="AEO38" s="624"/>
      <c r="AEP38" s="624"/>
      <c r="AEQ38" s="624"/>
      <c r="AER38" s="624"/>
      <c r="AES38" s="624"/>
      <c r="AET38" s="624"/>
      <c r="AEU38" s="624"/>
      <c r="AEV38" s="624"/>
      <c r="AEW38" s="624"/>
      <c r="AEX38" s="624"/>
      <c r="AEY38" s="624"/>
      <c r="AEZ38" s="624"/>
      <c r="AFA38" s="624"/>
      <c r="AFB38" s="624"/>
      <c r="AFC38" s="624"/>
      <c r="AFD38" s="624"/>
      <c r="AFE38" s="624"/>
      <c r="AFF38" s="624"/>
      <c r="AFG38" s="624"/>
      <c r="AFH38" s="624"/>
      <c r="AFI38" s="624"/>
      <c r="AFJ38" s="624"/>
      <c r="AFK38" s="624"/>
      <c r="AFL38" s="624"/>
      <c r="AFM38" s="624"/>
      <c r="AFN38" s="624"/>
      <c r="AFO38" s="624"/>
      <c r="AFP38" s="624"/>
      <c r="AFQ38" s="624"/>
      <c r="AFR38" s="624"/>
      <c r="AFS38" s="624"/>
      <c r="AFT38" s="624"/>
      <c r="AFU38" s="624"/>
      <c r="AFV38" s="624"/>
      <c r="AFW38" s="624"/>
      <c r="AFX38" s="624"/>
      <c r="AFY38" s="624"/>
      <c r="AFZ38" s="624"/>
      <c r="AGA38" s="624"/>
      <c r="AGB38" s="624"/>
      <c r="AGC38" s="624"/>
      <c r="AGD38" s="624"/>
      <c r="AGE38" s="624"/>
      <c r="AGF38" s="624"/>
      <c r="AGG38" s="624"/>
      <c r="AGH38" s="624"/>
      <c r="AGI38" s="624"/>
      <c r="AGJ38" s="624"/>
      <c r="AGK38" s="624"/>
      <c r="AGL38" s="624"/>
      <c r="AGM38" s="624"/>
      <c r="AGN38" s="624"/>
      <c r="AGO38" s="624"/>
      <c r="AGP38" s="624"/>
      <c r="AGQ38" s="624"/>
      <c r="AGR38" s="624"/>
      <c r="AGS38" s="624"/>
      <c r="AGT38" s="624"/>
      <c r="AGU38" s="624"/>
      <c r="AGV38" s="624"/>
      <c r="AGW38" s="624"/>
      <c r="AGX38" s="624"/>
      <c r="AGY38" s="624"/>
      <c r="AGZ38" s="624"/>
      <c r="AHA38" s="624"/>
      <c r="AHB38" s="624"/>
      <c r="AHC38" s="624"/>
      <c r="AHD38" s="624"/>
      <c r="AHE38" s="624"/>
      <c r="AHF38" s="624"/>
      <c r="AHG38" s="624"/>
      <c r="AHH38" s="624"/>
      <c r="AHI38" s="624"/>
      <c r="AHJ38" s="624"/>
      <c r="AHK38" s="624"/>
      <c r="AHL38" s="624"/>
      <c r="AHM38" s="624"/>
      <c r="AHN38" s="624"/>
      <c r="AHO38" s="624"/>
      <c r="AHP38" s="624"/>
      <c r="AHQ38" s="624"/>
      <c r="AHR38" s="624"/>
      <c r="AHS38" s="624"/>
      <c r="AHT38" s="624"/>
      <c r="AHU38" s="624"/>
      <c r="AHV38" s="624"/>
      <c r="AHW38" s="624"/>
      <c r="AHX38" s="624"/>
      <c r="AHY38" s="624"/>
      <c r="AHZ38" s="624"/>
      <c r="AIA38" s="624"/>
      <c r="AIB38" s="624"/>
      <c r="AIC38" s="624"/>
      <c r="AID38" s="624"/>
      <c r="AIE38" s="624"/>
      <c r="AIF38" s="624"/>
      <c r="AIG38" s="624"/>
      <c r="AIH38" s="624"/>
      <c r="AII38" s="624"/>
      <c r="AIJ38" s="624"/>
      <c r="AIK38" s="624"/>
      <c r="AIL38" s="624"/>
      <c r="AIM38" s="624"/>
      <c r="AIN38" s="624"/>
      <c r="AIO38" s="624"/>
      <c r="AIP38" s="624"/>
      <c r="AIQ38" s="624"/>
      <c r="AIR38" s="624"/>
      <c r="AIS38" s="624"/>
      <c r="AIT38" s="624"/>
      <c r="AIU38" s="624"/>
      <c r="AIV38" s="624"/>
      <c r="AIW38" s="624"/>
      <c r="AIX38" s="624"/>
      <c r="AIY38" s="624"/>
      <c r="AIZ38" s="624"/>
      <c r="AJA38" s="624"/>
      <c r="AJB38" s="624"/>
      <c r="AJC38" s="624"/>
      <c r="AJD38" s="624"/>
      <c r="AJE38" s="624"/>
      <c r="AJF38" s="624"/>
      <c r="AJG38" s="624"/>
      <c r="AJH38" s="624"/>
      <c r="AJI38" s="624"/>
      <c r="AJJ38" s="624"/>
      <c r="AJK38" s="624"/>
      <c r="AJL38" s="624"/>
      <c r="AJM38" s="624"/>
      <c r="AJN38" s="624"/>
      <c r="AJO38" s="624"/>
      <c r="AJP38" s="624"/>
      <c r="AJQ38" s="624"/>
      <c r="AJR38" s="624"/>
      <c r="AJS38" s="624"/>
      <c r="AJT38" s="624"/>
      <c r="AJU38" s="624"/>
      <c r="AJV38" s="624"/>
      <c r="AJW38" s="624"/>
      <c r="AJX38" s="624"/>
      <c r="AJY38" s="624"/>
      <c r="AJZ38" s="624"/>
      <c r="AKA38" s="624"/>
      <c r="AKB38" s="624"/>
      <c r="AKC38" s="624"/>
      <c r="AKD38" s="624"/>
      <c r="AKE38" s="624"/>
      <c r="AKF38" s="624"/>
      <c r="AKG38" s="624"/>
      <c r="AKH38" s="624"/>
      <c r="AKI38" s="624"/>
      <c r="AKJ38" s="624"/>
      <c r="AKK38" s="624"/>
      <c r="AKL38" s="624"/>
      <c r="AKM38" s="624"/>
      <c r="AKN38" s="624"/>
      <c r="AKO38" s="624"/>
      <c r="AKP38" s="624"/>
      <c r="AKQ38" s="624"/>
      <c r="AKR38" s="624"/>
      <c r="AKS38" s="624"/>
      <c r="AKT38" s="624"/>
      <c r="AKU38" s="624"/>
      <c r="AKV38" s="624"/>
      <c r="AKW38" s="624"/>
      <c r="AKX38" s="624"/>
      <c r="AKY38" s="624"/>
      <c r="AKZ38" s="624"/>
      <c r="ALA38" s="624"/>
      <c r="ALB38" s="624"/>
      <c r="ALC38" s="624"/>
      <c r="ALD38" s="624"/>
      <c r="ALE38" s="624"/>
      <c r="ALF38" s="624"/>
      <c r="ALG38" s="624"/>
      <c r="ALH38" s="624"/>
      <c r="ALI38" s="624"/>
      <c r="ALJ38" s="624"/>
      <c r="ALK38" s="624"/>
      <c r="ALL38" s="624"/>
      <c r="ALM38" s="624"/>
      <c r="ALN38" s="624"/>
      <c r="ALO38" s="624"/>
      <c r="ALP38" s="624"/>
      <c r="ALQ38" s="624"/>
      <c r="ALR38" s="624"/>
      <c r="ALS38" s="624"/>
      <c r="ALT38" s="624"/>
      <c r="ALU38" s="624"/>
      <c r="ALV38" s="624"/>
      <c r="ALW38" s="624"/>
      <c r="ALX38" s="624"/>
      <c r="ALY38" s="624"/>
      <c r="ALZ38" s="624"/>
      <c r="AMA38" s="624"/>
      <c r="AMB38" s="624"/>
      <c r="AMC38" s="624"/>
      <c r="AMD38" s="624"/>
      <c r="AME38" s="624"/>
      <c r="AMF38" s="624"/>
      <c r="AMG38" s="624"/>
      <c r="AMH38" s="624"/>
      <c r="AMI38" s="624"/>
      <c r="AMJ38" s="624"/>
      <c r="AMK38" s="624"/>
      <c r="AML38" s="624"/>
      <c r="AMM38" s="624"/>
      <c r="AMN38" s="624"/>
      <c r="AMO38" s="624"/>
      <c r="AMP38" s="624"/>
      <c r="AMQ38" s="624"/>
      <c r="AMR38" s="624"/>
      <c r="AMS38" s="624"/>
      <c r="AMT38" s="624"/>
      <c r="AMU38" s="624"/>
      <c r="AMV38" s="624"/>
      <c r="AMW38" s="624"/>
      <c r="AMX38" s="624"/>
      <c r="AMY38" s="624"/>
      <c r="AMZ38" s="624"/>
      <c r="ANA38" s="624"/>
      <c r="ANB38" s="624"/>
      <c r="ANC38" s="624"/>
      <c r="AND38" s="624"/>
      <c r="ANE38" s="624"/>
      <c r="ANF38" s="624"/>
      <c r="ANG38" s="624"/>
      <c r="ANH38" s="624"/>
      <c r="ANI38" s="624"/>
      <c r="ANJ38" s="624"/>
      <c r="ANK38" s="624"/>
      <c r="ANL38" s="624"/>
      <c r="ANM38" s="624"/>
      <c r="ANN38" s="624"/>
      <c r="ANO38" s="624"/>
      <c r="ANP38" s="624"/>
      <c r="ANQ38" s="624"/>
      <c r="ANR38" s="624"/>
      <c r="ANS38" s="624"/>
      <c r="ANT38" s="624"/>
      <c r="ANU38" s="624"/>
      <c r="ANV38" s="624"/>
      <c r="ANW38" s="624"/>
      <c r="ANX38" s="624"/>
      <c r="ANY38" s="624"/>
      <c r="ANZ38" s="624"/>
      <c r="AOA38" s="624"/>
      <c r="AOB38" s="624"/>
      <c r="AOC38" s="624"/>
      <c r="AOD38" s="624"/>
      <c r="AOE38" s="624"/>
      <c r="AOF38" s="624"/>
      <c r="AOG38" s="624"/>
      <c r="AOH38" s="624"/>
      <c r="AOI38" s="624"/>
      <c r="AOJ38" s="624"/>
      <c r="AOK38" s="624"/>
      <c r="AOL38" s="624"/>
      <c r="AOM38" s="624"/>
      <c r="AON38" s="624"/>
      <c r="AOO38" s="624"/>
      <c r="AOP38" s="624"/>
      <c r="AOQ38" s="624"/>
      <c r="AOR38" s="624"/>
      <c r="AOS38" s="624"/>
      <c r="AOT38" s="624"/>
      <c r="AOU38" s="624"/>
      <c r="AOV38" s="624"/>
      <c r="AOW38" s="624"/>
      <c r="AOX38" s="624"/>
      <c r="AOY38" s="624"/>
      <c r="AOZ38" s="624"/>
      <c r="APA38" s="624"/>
      <c r="APB38" s="624"/>
      <c r="APC38" s="624"/>
      <c r="APD38" s="624"/>
      <c r="APE38" s="624"/>
      <c r="APF38" s="624"/>
      <c r="APG38" s="624"/>
      <c r="APH38" s="624"/>
      <c r="API38" s="624"/>
      <c r="APJ38" s="624"/>
      <c r="APK38" s="624"/>
      <c r="APL38" s="624"/>
      <c r="APM38" s="624"/>
      <c r="APN38" s="624"/>
      <c r="APO38" s="624"/>
      <c r="APP38" s="624"/>
      <c r="APQ38" s="624"/>
      <c r="APR38" s="624"/>
      <c r="APS38" s="624"/>
      <c r="APT38" s="624"/>
      <c r="APU38" s="624"/>
      <c r="APV38" s="624"/>
      <c r="APW38" s="624"/>
      <c r="APX38" s="624"/>
      <c r="APY38" s="624"/>
      <c r="APZ38" s="624"/>
      <c r="AQA38" s="624"/>
      <c r="AQB38" s="624"/>
      <c r="AQC38" s="624"/>
      <c r="AQD38" s="624"/>
      <c r="AQE38" s="624"/>
      <c r="AQF38" s="624"/>
      <c r="AQG38" s="624"/>
      <c r="AQH38" s="624"/>
      <c r="AQI38" s="624"/>
      <c r="AQJ38" s="624"/>
      <c r="AQK38" s="624"/>
      <c r="AQL38" s="624"/>
      <c r="AQM38" s="624"/>
      <c r="AQN38" s="624"/>
      <c r="AQO38" s="624"/>
      <c r="AQP38" s="624"/>
      <c r="AQQ38" s="624"/>
      <c r="AQR38" s="624"/>
      <c r="AQS38" s="624"/>
      <c r="AQT38" s="624"/>
      <c r="AQU38" s="624"/>
      <c r="AQV38" s="624"/>
      <c r="AQW38" s="624"/>
      <c r="AQX38" s="624"/>
      <c r="AQY38" s="624"/>
      <c r="AQZ38" s="624"/>
      <c r="ARA38" s="624"/>
      <c r="ARB38" s="624"/>
      <c r="ARC38" s="624"/>
      <c r="ARD38" s="624"/>
      <c r="ARE38" s="624"/>
      <c r="ARF38" s="624"/>
      <c r="ARG38" s="624"/>
      <c r="ARH38" s="624"/>
      <c r="ARI38" s="624"/>
      <c r="ARJ38" s="624"/>
      <c r="ARK38" s="624"/>
      <c r="ARL38" s="624"/>
      <c r="ARM38" s="624"/>
      <c r="ARN38" s="624"/>
      <c r="ARO38" s="624"/>
      <c r="ARP38" s="624"/>
      <c r="ARQ38" s="624"/>
      <c r="ARR38" s="624"/>
      <c r="ARS38" s="624"/>
      <c r="ART38" s="624"/>
      <c r="ARU38" s="624"/>
      <c r="ARV38" s="624"/>
      <c r="ARW38" s="624"/>
      <c r="ARX38" s="624"/>
      <c r="ARY38" s="624"/>
      <c r="ARZ38" s="624"/>
      <c r="ASA38" s="624"/>
      <c r="ASB38" s="624"/>
      <c r="ASC38" s="624"/>
      <c r="ASD38" s="624"/>
      <c r="ASE38" s="624"/>
      <c r="ASF38" s="624"/>
      <c r="ASG38" s="624"/>
      <c r="ASH38" s="624"/>
      <c r="ASI38" s="624"/>
      <c r="ASJ38" s="624"/>
      <c r="ASK38" s="624"/>
      <c r="ASL38" s="624"/>
      <c r="ASM38" s="624"/>
      <c r="ASN38" s="624"/>
      <c r="ASO38" s="624"/>
      <c r="ASP38" s="624"/>
      <c r="ASQ38" s="624"/>
      <c r="ASR38" s="624"/>
      <c r="ASS38" s="624"/>
      <c r="AST38" s="624"/>
      <c r="ASU38" s="624"/>
      <c r="ASV38" s="624"/>
      <c r="ASW38" s="624"/>
      <c r="ASX38" s="624"/>
      <c r="ASY38" s="624"/>
      <c r="ASZ38" s="624"/>
      <c r="ATA38" s="624"/>
      <c r="ATB38" s="624"/>
      <c r="ATC38" s="624"/>
      <c r="ATD38" s="624"/>
      <c r="ATE38" s="624"/>
      <c r="ATF38" s="624"/>
      <c r="ATG38" s="624"/>
      <c r="ATH38" s="624"/>
      <c r="ATI38" s="624"/>
      <c r="ATJ38" s="624"/>
      <c r="ATK38" s="624"/>
      <c r="ATL38" s="624"/>
      <c r="ATM38" s="624"/>
      <c r="ATN38" s="624"/>
      <c r="ATO38" s="624"/>
      <c r="ATP38" s="624"/>
      <c r="ATQ38" s="624"/>
      <c r="ATR38" s="624"/>
      <c r="ATS38" s="624"/>
      <c r="ATT38" s="624"/>
      <c r="ATU38" s="624"/>
      <c r="ATV38" s="624"/>
      <c r="ATW38" s="624"/>
      <c r="ATX38" s="624"/>
      <c r="ATY38" s="624"/>
      <c r="ATZ38" s="624"/>
      <c r="AUA38" s="624"/>
      <c r="AUB38" s="624"/>
      <c r="AUC38" s="624"/>
      <c r="AUD38" s="624"/>
      <c r="AUE38" s="624"/>
      <c r="AUF38" s="624"/>
      <c r="AUG38" s="624"/>
      <c r="AUH38" s="624"/>
      <c r="AUI38" s="624"/>
      <c r="AUJ38" s="624"/>
      <c r="AUK38" s="624"/>
      <c r="AUL38" s="624"/>
      <c r="AUM38" s="624"/>
      <c r="AUN38" s="624"/>
      <c r="AUO38" s="624"/>
      <c r="AUP38" s="624"/>
      <c r="AUQ38" s="624"/>
      <c r="AUR38" s="624"/>
      <c r="AUS38" s="624"/>
      <c r="AUT38" s="624"/>
      <c r="AUU38" s="624"/>
      <c r="AUV38" s="624"/>
      <c r="AUW38" s="624"/>
      <c r="AUX38" s="624"/>
      <c r="AUY38" s="624"/>
      <c r="AUZ38" s="624"/>
      <c r="AVA38" s="624"/>
      <c r="AVB38" s="624"/>
      <c r="AVC38" s="624"/>
      <c r="AVD38" s="624"/>
      <c r="AVE38" s="624"/>
      <c r="AVF38" s="624"/>
      <c r="AVG38" s="624"/>
      <c r="AVH38" s="624"/>
      <c r="AVI38" s="624"/>
      <c r="AVJ38" s="624"/>
      <c r="AVK38" s="624"/>
      <c r="AVL38" s="624"/>
      <c r="AVM38" s="624"/>
      <c r="AVN38" s="624"/>
      <c r="AVO38" s="624"/>
      <c r="AVP38" s="624"/>
      <c r="AVQ38" s="624"/>
      <c r="AVR38" s="624"/>
      <c r="AVS38" s="624"/>
      <c r="AVT38" s="624"/>
      <c r="AVU38" s="624"/>
      <c r="AVV38" s="624"/>
      <c r="AVW38" s="624"/>
      <c r="AVX38" s="624"/>
      <c r="AVY38" s="624"/>
      <c r="AVZ38" s="624"/>
      <c r="AWA38" s="624"/>
      <c r="AWB38" s="624"/>
      <c r="AWC38" s="624"/>
      <c r="AWD38" s="624"/>
      <c r="AWE38" s="624"/>
      <c r="AWF38" s="624"/>
      <c r="AWG38" s="624"/>
      <c r="AWH38" s="624"/>
      <c r="AWI38" s="624"/>
      <c r="AWJ38" s="624"/>
      <c r="AWK38" s="624"/>
      <c r="AWL38" s="624"/>
      <c r="AWM38" s="624"/>
      <c r="AWN38" s="624"/>
      <c r="AWO38" s="624"/>
      <c r="AWP38" s="624"/>
      <c r="AWQ38" s="624"/>
      <c r="AWR38" s="624"/>
      <c r="AWS38" s="624"/>
      <c r="AWT38" s="624"/>
      <c r="AWU38" s="624"/>
      <c r="AWV38" s="624"/>
      <c r="AWW38" s="624"/>
      <c r="AWX38" s="624"/>
      <c r="AWY38" s="624"/>
      <c r="AWZ38" s="624"/>
      <c r="AXA38" s="624"/>
      <c r="AXB38" s="624"/>
      <c r="AXC38" s="624"/>
      <c r="AXD38" s="624"/>
      <c r="AXE38" s="624"/>
      <c r="AXF38" s="624"/>
      <c r="AXG38" s="624"/>
      <c r="AXH38" s="624"/>
      <c r="AXI38" s="624"/>
      <c r="AXJ38" s="624"/>
      <c r="AXK38" s="624"/>
      <c r="AXL38" s="624"/>
      <c r="AXM38" s="624"/>
      <c r="AXN38" s="624"/>
      <c r="AXO38" s="624"/>
      <c r="AXP38" s="624"/>
      <c r="AXQ38" s="624"/>
      <c r="AXR38" s="624"/>
      <c r="AXS38" s="624"/>
      <c r="AXT38" s="624"/>
      <c r="AXU38" s="624"/>
      <c r="AXV38" s="624"/>
      <c r="AXW38" s="624"/>
      <c r="AXX38" s="624"/>
      <c r="AXY38" s="624"/>
      <c r="AXZ38" s="624"/>
      <c r="AYA38" s="624"/>
      <c r="AYB38" s="624"/>
      <c r="AYC38" s="624"/>
      <c r="AYD38" s="624"/>
      <c r="AYE38" s="624"/>
      <c r="AYF38" s="624"/>
      <c r="AYG38" s="624"/>
      <c r="AYH38" s="624"/>
      <c r="AYI38" s="624"/>
      <c r="AYJ38" s="624"/>
      <c r="AYK38" s="624"/>
      <c r="AYL38" s="624"/>
      <c r="AYM38" s="624"/>
      <c r="AYN38" s="624"/>
      <c r="AYO38" s="624"/>
      <c r="AYP38" s="624"/>
      <c r="AYQ38" s="624"/>
      <c r="AYR38" s="624"/>
      <c r="AYS38" s="624"/>
      <c r="AYT38" s="624"/>
      <c r="AYU38" s="624"/>
      <c r="AYV38" s="624"/>
      <c r="AYW38" s="624"/>
      <c r="AYX38" s="624"/>
      <c r="AYY38" s="624"/>
      <c r="AYZ38" s="624"/>
      <c r="AZA38" s="624"/>
      <c r="AZB38" s="624"/>
      <c r="AZC38" s="624"/>
      <c r="AZD38" s="624"/>
      <c r="AZE38" s="624"/>
      <c r="AZF38" s="624"/>
      <c r="AZG38" s="624"/>
      <c r="AZH38" s="624"/>
      <c r="AZI38" s="624"/>
      <c r="AZJ38" s="624"/>
      <c r="AZK38" s="624"/>
      <c r="AZL38" s="624"/>
      <c r="AZM38" s="624"/>
      <c r="AZN38" s="624"/>
      <c r="AZO38" s="624"/>
      <c r="AZP38" s="624"/>
      <c r="AZQ38" s="624"/>
      <c r="AZR38" s="624"/>
      <c r="AZS38" s="624"/>
      <c r="AZT38" s="624"/>
      <c r="AZU38" s="624"/>
      <c r="AZV38" s="624"/>
      <c r="AZW38" s="624"/>
      <c r="AZX38" s="624"/>
      <c r="AZY38" s="624"/>
      <c r="AZZ38" s="624"/>
      <c r="BAA38" s="624"/>
      <c r="BAB38" s="624"/>
      <c r="BAC38" s="624"/>
      <c r="BAD38" s="624"/>
      <c r="BAE38" s="624"/>
      <c r="BAF38" s="624"/>
      <c r="BAG38" s="624"/>
      <c r="BAH38" s="624"/>
      <c r="BAI38" s="624"/>
      <c r="BAJ38" s="624"/>
      <c r="BAK38" s="624"/>
      <c r="BAL38" s="624"/>
      <c r="BAM38" s="624"/>
      <c r="BAN38" s="624"/>
      <c r="BAO38" s="624"/>
      <c r="BAP38" s="624"/>
      <c r="BAQ38" s="624"/>
      <c r="BAR38" s="624"/>
      <c r="BAS38" s="624"/>
      <c r="BAT38" s="624"/>
      <c r="BAU38" s="624"/>
      <c r="BAV38" s="624"/>
      <c r="BAW38" s="624"/>
      <c r="BAX38" s="624"/>
      <c r="BAY38" s="624"/>
      <c r="BAZ38" s="624"/>
      <c r="BBA38" s="624"/>
      <c r="BBB38" s="624"/>
      <c r="BBC38" s="624"/>
      <c r="BBD38" s="624"/>
      <c r="BBE38" s="624"/>
      <c r="BBF38" s="624"/>
      <c r="BBG38" s="624"/>
      <c r="BBH38" s="624"/>
      <c r="BBI38" s="624"/>
      <c r="BBJ38" s="624"/>
      <c r="BBK38" s="624"/>
      <c r="BBL38" s="624"/>
      <c r="BBM38" s="624"/>
      <c r="BBN38" s="624"/>
      <c r="BBO38" s="624"/>
      <c r="BBP38" s="624"/>
      <c r="BBQ38" s="624"/>
      <c r="BBR38" s="624"/>
      <c r="BBS38" s="624"/>
      <c r="BBT38" s="624"/>
      <c r="BBU38" s="624"/>
      <c r="BBV38" s="624"/>
      <c r="BBW38" s="624"/>
      <c r="BBX38" s="624"/>
      <c r="BBY38" s="624"/>
      <c r="BBZ38" s="624"/>
      <c r="BCA38" s="624"/>
      <c r="BCB38" s="624"/>
      <c r="BCC38" s="624"/>
      <c r="BCD38" s="624"/>
      <c r="BCE38" s="624"/>
      <c r="BCF38" s="624"/>
      <c r="BCG38" s="624"/>
      <c r="BCH38" s="624"/>
      <c r="BCI38" s="624"/>
      <c r="BCJ38" s="624"/>
      <c r="BCK38" s="624"/>
      <c r="BCL38" s="624"/>
      <c r="BCM38" s="624"/>
      <c r="BCN38" s="624"/>
      <c r="BCO38" s="624"/>
      <c r="BCP38" s="624"/>
      <c r="BCQ38" s="624"/>
      <c r="BCR38" s="624"/>
      <c r="BCS38" s="624"/>
      <c r="BCT38" s="624"/>
      <c r="BCU38" s="624"/>
      <c r="BCV38" s="624"/>
      <c r="BCW38" s="624"/>
      <c r="BCX38" s="624"/>
      <c r="BCY38" s="624"/>
      <c r="BCZ38" s="624"/>
      <c r="BDA38" s="624"/>
      <c r="BDB38" s="624"/>
      <c r="BDC38" s="624"/>
      <c r="BDD38" s="624"/>
      <c r="BDE38" s="624"/>
      <c r="BDF38" s="624"/>
      <c r="BDG38" s="624"/>
      <c r="BDH38" s="624"/>
      <c r="BDI38" s="624"/>
      <c r="BDJ38" s="624"/>
      <c r="BDK38" s="624"/>
      <c r="BDL38" s="624"/>
      <c r="BDM38" s="624"/>
      <c r="BDN38" s="624"/>
      <c r="BDO38" s="624"/>
      <c r="BDP38" s="624"/>
      <c r="BDQ38" s="624"/>
      <c r="BDR38" s="624"/>
      <c r="BDS38" s="624"/>
      <c r="BDT38" s="624"/>
      <c r="BDU38" s="624"/>
      <c r="BDV38" s="624"/>
      <c r="BDW38" s="624"/>
      <c r="BDX38" s="624"/>
      <c r="BDY38" s="624"/>
      <c r="BDZ38" s="624"/>
      <c r="BEA38" s="624"/>
      <c r="BEB38" s="624"/>
      <c r="BEC38" s="624"/>
      <c r="BED38" s="624"/>
      <c r="BEE38" s="624"/>
      <c r="BEF38" s="624"/>
      <c r="BEG38" s="624"/>
      <c r="BEH38" s="624"/>
      <c r="BEI38" s="624"/>
      <c r="BEJ38" s="624"/>
      <c r="BEK38" s="624"/>
      <c r="BEL38" s="624"/>
      <c r="BEM38" s="624"/>
      <c r="BEN38" s="624"/>
      <c r="BEO38" s="624"/>
      <c r="BEP38" s="624"/>
      <c r="BEQ38" s="624"/>
      <c r="BER38" s="624"/>
      <c r="BES38" s="624"/>
      <c r="BET38" s="624"/>
      <c r="BEU38" s="624"/>
      <c r="BEV38" s="624"/>
      <c r="BEW38" s="624"/>
      <c r="BEX38" s="624"/>
      <c r="BEY38" s="624"/>
      <c r="BEZ38" s="624"/>
      <c r="BFA38" s="624"/>
      <c r="BFB38" s="624"/>
      <c r="BFC38" s="624"/>
      <c r="BFD38" s="624"/>
      <c r="BFE38" s="624"/>
      <c r="BFF38" s="624"/>
      <c r="BFG38" s="624"/>
      <c r="BFH38" s="624"/>
      <c r="BFI38" s="624"/>
      <c r="BFJ38" s="624"/>
      <c r="BFK38" s="624"/>
      <c r="BFL38" s="624"/>
      <c r="BFM38" s="624"/>
      <c r="BFN38" s="624"/>
      <c r="BFO38" s="624"/>
      <c r="BFP38" s="624"/>
      <c r="BFQ38" s="624"/>
      <c r="BFR38" s="624"/>
      <c r="BFS38" s="624"/>
      <c r="BFT38" s="624"/>
      <c r="BFU38" s="624"/>
      <c r="BFV38" s="624"/>
      <c r="BFW38" s="624"/>
      <c r="BFX38" s="624"/>
      <c r="BFY38" s="624"/>
      <c r="BFZ38" s="624"/>
      <c r="BGA38" s="624"/>
      <c r="BGB38" s="624"/>
      <c r="BGC38" s="624"/>
      <c r="BGD38" s="624"/>
      <c r="BGE38" s="624"/>
      <c r="BGF38" s="624"/>
      <c r="BGG38" s="624"/>
      <c r="BGH38" s="624"/>
      <c r="BGI38" s="624"/>
      <c r="BGJ38" s="624"/>
      <c r="BGK38" s="624"/>
      <c r="BGL38" s="624"/>
      <c r="BGM38" s="624"/>
      <c r="BGN38" s="624"/>
      <c r="BGO38" s="624"/>
      <c r="BGP38" s="624"/>
      <c r="BGQ38" s="624"/>
      <c r="BGR38" s="624"/>
      <c r="BGS38" s="624"/>
      <c r="BGT38" s="624"/>
      <c r="BGU38" s="624"/>
      <c r="BGV38" s="624"/>
      <c r="BGW38" s="624"/>
      <c r="BGX38" s="624"/>
      <c r="BGY38" s="624"/>
      <c r="BGZ38" s="624"/>
      <c r="BHA38" s="624"/>
      <c r="BHB38" s="624"/>
      <c r="BHC38" s="624"/>
      <c r="BHD38" s="624"/>
      <c r="BHE38" s="624"/>
      <c r="BHF38" s="624"/>
      <c r="BHG38" s="624"/>
      <c r="BHH38" s="624"/>
      <c r="BHI38" s="624"/>
      <c r="BHJ38" s="624"/>
      <c r="BHK38" s="624"/>
      <c r="BHL38" s="624"/>
      <c r="BHM38" s="624"/>
      <c r="BHN38" s="624"/>
      <c r="BHO38" s="624"/>
      <c r="BHP38" s="624"/>
      <c r="BHQ38" s="624"/>
      <c r="BHR38" s="624"/>
      <c r="BHS38" s="624"/>
      <c r="BHT38" s="624"/>
      <c r="BHU38" s="624"/>
      <c r="BHV38" s="624"/>
      <c r="BHW38" s="624"/>
      <c r="BHX38" s="624"/>
      <c r="BHY38" s="624"/>
      <c r="BHZ38" s="624"/>
      <c r="BIA38" s="624"/>
      <c r="BIB38" s="624"/>
      <c r="BIC38" s="624"/>
      <c r="BID38" s="624"/>
      <c r="BIE38" s="624"/>
      <c r="BIF38" s="624"/>
      <c r="BIG38" s="624"/>
      <c r="BIH38" s="624"/>
      <c r="BII38" s="624"/>
      <c r="BIJ38" s="624"/>
      <c r="BIK38" s="624"/>
      <c r="BIL38" s="624"/>
      <c r="BIM38" s="624"/>
      <c r="BIN38" s="624"/>
      <c r="BIO38" s="624"/>
      <c r="BIP38" s="624"/>
      <c r="BIQ38" s="624"/>
      <c r="BIR38" s="624"/>
      <c r="BIS38" s="624"/>
      <c r="BIT38" s="624"/>
      <c r="BIU38" s="624"/>
      <c r="BIV38" s="624"/>
      <c r="BIW38" s="624"/>
      <c r="BIX38" s="624"/>
      <c r="BIY38" s="624"/>
      <c r="BIZ38" s="624"/>
      <c r="BJA38" s="624"/>
      <c r="BJB38" s="624"/>
      <c r="BJC38" s="624"/>
      <c r="BJD38" s="624"/>
      <c r="BJE38" s="624"/>
      <c r="BJF38" s="624"/>
      <c r="BJG38" s="624"/>
      <c r="BJH38" s="624"/>
      <c r="BJI38" s="624"/>
      <c r="BJJ38" s="624"/>
      <c r="BJK38" s="624"/>
      <c r="BJL38" s="624"/>
      <c r="BJM38" s="624"/>
      <c r="BJN38" s="624"/>
      <c r="BJO38" s="624"/>
      <c r="BJP38" s="624"/>
      <c r="BJQ38" s="624"/>
      <c r="BJR38" s="624"/>
      <c r="BJS38" s="624"/>
      <c r="BJT38" s="624"/>
      <c r="BJU38" s="624"/>
      <c r="BJV38" s="624"/>
      <c r="BJW38" s="624"/>
      <c r="BJX38" s="624"/>
      <c r="BJY38" s="624"/>
      <c r="BJZ38" s="624"/>
      <c r="BKA38" s="624"/>
      <c r="BKB38" s="624"/>
      <c r="BKC38" s="624"/>
      <c r="BKD38" s="624"/>
      <c r="BKE38" s="624"/>
      <c r="BKF38" s="624"/>
      <c r="BKG38" s="624"/>
      <c r="BKH38" s="624"/>
      <c r="BKI38" s="624"/>
      <c r="BKJ38" s="624"/>
      <c r="BKK38" s="624"/>
      <c r="BKL38" s="624"/>
      <c r="BKM38" s="624"/>
      <c r="BKN38" s="624"/>
      <c r="BKO38" s="624"/>
      <c r="BKP38" s="624"/>
      <c r="BKQ38" s="624"/>
      <c r="BKR38" s="624"/>
      <c r="BKS38" s="624"/>
      <c r="BKT38" s="624"/>
      <c r="BKU38" s="624"/>
      <c r="BKV38" s="624"/>
      <c r="BKW38" s="624"/>
      <c r="BKX38" s="624"/>
      <c r="BKY38" s="624"/>
      <c r="BKZ38" s="624"/>
      <c r="BLA38" s="624"/>
      <c r="BLB38" s="624"/>
      <c r="BLC38" s="624"/>
      <c r="BLD38" s="624"/>
      <c r="BLE38" s="624"/>
      <c r="BLF38" s="624"/>
      <c r="BLG38" s="624"/>
      <c r="BLH38" s="624"/>
      <c r="BLI38" s="624"/>
      <c r="BLJ38" s="624"/>
      <c r="BLK38" s="624"/>
      <c r="BLL38" s="624"/>
      <c r="BLM38" s="624"/>
      <c r="BLN38" s="624"/>
      <c r="BLO38" s="624"/>
      <c r="BLP38" s="624"/>
      <c r="BLQ38" s="624"/>
      <c r="BLR38" s="624"/>
      <c r="BLS38" s="624"/>
      <c r="BLT38" s="624"/>
      <c r="BLU38" s="624"/>
      <c r="BLV38" s="624"/>
      <c r="BLW38" s="624"/>
      <c r="BLX38" s="624"/>
      <c r="BLY38" s="624"/>
      <c r="BLZ38" s="624"/>
      <c r="BMA38" s="624"/>
      <c r="BMB38" s="624"/>
      <c r="BMC38" s="624"/>
      <c r="BMD38" s="624"/>
      <c r="BME38" s="624"/>
      <c r="BMF38" s="624"/>
      <c r="BMG38" s="624"/>
      <c r="BMH38" s="624"/>
      <c r="BMI38" s="624"/>
      <c r="BMJ38" s="624"/>
      <c r="BMK38" s="624"/>
      <c r="BML38" s="624"/>
      <c r="BMM38" s="624"/>
      <c r="BMN38" s="624"/>
      <c r="BMO38" s="624"/>
      <c r="BMP38" s="624"/>
      <c r="BMQ38" s="624"/>
      <c r="BMR38" s="624"/>
      <c r="BMS38" s="624"/>
      <c r="BMT38" s="624"/>
      <c r="BMU38" s="624"/>
      <c r="BMV38" s="624"/>
      <c r="BMW38" s="624"/>
      <c r="BMX38" s="624"/>
      <c r="BMY38" s="624"/>
      <c r="BMZ38" s="624"/>
      <c r="BNA38" s="624"/>
      <c r="BNB38" s="624"/>
      <c r="BNC38" s="624"/>
      <c r="BND38" s="624"/>
      <c r="BNE38" s="624"/>
      <c r="BNF38" s="624"/>
      <c r="BNG38" s="624"/>
      <c r="BNH38" s="624"/>
      <c r="BNI38" s="624"/>
      <c r="BNJ38" s="624"/>
      <c r="BNK38" s="624"/>
      <c r="BNL38" s="624"/>
      <c r="BNM38" s="624"/>
      <c r="BNN38" s="624"/>
      <c r="BNO38" s="624"/>
      <c r="BNP38" s="624"/>
      <c r="BNQ38" s="624"/>
      <c r="BNR38" s="624"/>
      <c r="BNS38" s="624"/>
      <c r="BNT38" s="624"/>
      <c r="BNU38" s="624"/>
      <c r="BNV38" s="624"/>
      <c r="BNW38" s="624"/>
      <c r="BNX38" s="624"/>
      <c r="BNY38" s="624"/>
      <c r="BNZ38" s="624"/>
      <c r="BOA38" s="624"/>
      <c r="BOB38" s="624"/>
      <c r="BOC38" s="624"/>
      <c r="BOD38" s="624"/>
      <c r="BOE38" s="624"/>
      <c r="BOF38" s="624"/>
      <c r="BOG38" s="624"/>
      <c r="BOH38" s="624"/>
      <c r="BOI38" s="624"/>
      <c r="BOJ38" s="624"/>
      <c r="BOK38" s="624"/>
      <c r="BOL38" s="624"/>
      <c r="BOM38" s="624"/>
      <c r="BON38" s="624"/>
      <c r="BOO38" s="624"/>
      <c r="BOP38" s="624"/>
      <c r="BOQ38" s="624"/>
      <c r="BOR38" s="624"/>
      <c r="BOS38" s="624"/>
      <c r="BOT38" s="624"/>
      <c r="BOU38" s="624"/>
      <c r="BOV38" s="624"/>
      <c r="BOW38" s="624"/>
      <c r="BOX38" s="624"/>
      <c r="BOY38" s="624"/>
      <c r="BOZ38" s="624"/>
      <c r="BPA38" s="624"/>
      <c r="BPB38" s="624"/>
      <c r="BPC38" s="624"/>
      <c r="BPD38" s="624"/>
      <c r="BPE38" s="624"/>
      <c r="BPF38" s="624"/>
      <c r="BPG38" s="624"/>
      <c r="BPH38" s="624"/>
      <c r="BPI38" s="624"/>
      <c r="BPJ38" s="624"/>
      <c r="BPK38" s="624"/>
      <c r="BPL38" s="624"/>
      <c r="BPM38" s="624"/>
      <c r="BPN38" s="624"/>
      <c r="BPO38" s="624"/>
      <c r="BPP38" s="624"/>
      <c r="BPQ38" s="624"/>
      <c r="BPR38" s="624"/>
      <c r="BPS38" s="624"/>
      <c r="BPT38" s="624"/>
      <c r="BPU38" s="624"/>
      <c r="BPV38" s="624"/>
      <c r="BPW38" s="624"/>
      <c r="BPX38" s="624"/>
      <c r="BPY38" s="624"/>
      <c r="BPZ38" s="624"/>
      <c r="BQA38" s="624"/>
      <c r="BQB38" s="624"/>
      <c r="BQC38" s="624"/>
      <c r="BQD38" s="624"/>
      <c r="BQE38" s="624"/>
      <c r="BQF38" s="624"/>
      <c r="BQG38" s="624"/>
      <c r="BQH38" s="624"/>
      <c r="BQI38" s="624"/>
      <c r="BQJ38" s="624"/>
      <c r="BQK38" s="624"/>
      <c r="BQL38" s="624"/>
      <c r="BQM38" s="624"/>
      <c r="BQN38" s="624"/>
      <c r="BQO38" s="624"/>
      <c r="BQP38" s="624"/>
      <c r="BQQ38" s="624"/>
      <c r="BQR38" s="624"/>
      <c r="BQS38" s="624"/>
      <c r="BQT38" s="624"/>
      <c r="BQU38" s="624"/>
      <c r="BQV38" s="624"/>
      <c r="BQW38" s="624"/>
      <c r="BQX38" s="624"/>
      <c r="BQY38" s="624"/>
      <c r="BQZ38" s="624"/>
      <c r="BRA38" s="624"/>
      <c r="BRB38" s="624"/>
      <c r="BRC38" s="624"/>
      <c r="BRD38" s="624"/>
      <c r="BRE38" s="624"/>
      <c r="BRF38" s="624"/>
      <c r="BRG38" s="624"/>
      <c r="BRH38" s="624"/>
      <c r="BRI38" s="624"/>
      <c r="BRJ38" s="624"/>
      <c r="BRK38" s="624"/>
      <c r="BRL38" s="624"/>
      <c r="BRM38" s="624"/>
      <c r="BRN38" s="624"/>
      <c r="BRO38" s="624"/>
      <c r="BRP38" s="624"/>
      <c r="BRQ38" s="624"/>
      <c r="BRR38" s="624"/>
      <c r="BRS38" s="624"/>
      <c r="BRT38" s="624"/>
      <c r="BRU38" s="624"/>
      <c r="BRV38" s="624"/>
      <c r="BRW38" s="624"/>
      <c r="BRX38" s="624"/>
      <c r="BRY38" s="624"/>
      <c r="BRZ38" s="624"/>
      <c r="BSA38" s="624"/>
      <c r="BSB38" s="624"/>
      <c r="BSC38" s="624"/>
      <c r="BSD38" s="624"/>
      <c r="BSE38" s="624"/>
      <c r="BSF38" s="624"/>
      <c r="BSG38" s="624"/>
      <c r="BSH38" s="624"/>
      <c r="BSI38" s="624"/>
      <c r="BSJ38" s="624"/>
      <c r="BSK38" s="624"/>
      <c r="BSL38" s="624"/>
      <c r="BSM38" s="624"/>
      <c r="BSN38" s="624"/>
      <c r="BSO38" s="624"/>
      <c r="BSP38" s="624"/>
      <c r="BSQ38" s="624"/>
      <c r="BSR38" s="624"/>
      <c r="BSS38" s="624"/>
      <c r="BST38" s="624"/>
      <c r="BSU38" s="624"/>
      <c r="BSV38" s="624"/>
      <c r="BSW38" s="624"/>
      <c r="BSX38" s="624"/>
      <c r="BSY38" s="624"/>
      <c r="BSZ38" s="624"/>
      <c r="BTA38" s="624"/>
      <c r="BTB38" s="624"/>
      <c r="BTC38" s="624"/>
      <c r="BTD38" s="624"/>
      <c r="BTE38" s="624"/>
      <c r="BTF38" s="624"/>
      <c r="BTG38" s="624"/>
      <c r="BTH38" s="624"/>
      <c r="BTI38" s="624"/>
      <c r="BTJ38" s="624"/>
      <c r="BTK38" s="624"/>
      <c r="BTL38" s="624"/>
      <c r="BTM38" s="624"/>
      <c r="BTN38" s="624"/>
      <c r="BTO38" s="624"/>
      <c r="BTP38" s="624"/>
      <c r="BTQ38" s="624"/>
      <c r="BTR38" s="624"/>
      <c r="BTS38" s="624"/>
      <c r="BTT38" s="624"/>
      <c r="BTU38" s="624"/>
      <c r="BTV38" s="624"/>
      <c r="BTW38" s="624"/>
      <c r="BTX38" s="624"/>
      <c r="BTY38" s="624"/>
      <c r="BTZ38" s="624"/>
      <c r="BUA38" s="624"/>
      <c r="BUB38" s="624"/>
      <c r="BUC38" s="624"/>
      <c r="BUD38" s="624"/>
      <c r="BUE38" s="624"/>
      <c r="BUF38" s="624"/>
      <c r="BUG38" s="624"/>
      <c r="BUH38" s="624"/>
      <c r="BUI38" s="624"/>
      <c r="BUJ38" s="624"/>
      <c r="BUK38" s="624"/>
      <c r="BUL38" s="624"/>
      <c r="BUM38" s="624"/>
      <c r="BUN38" s="624"/>
      <c r="BUO38" s="624"/>
      <c r="BUP38" s="624"/>
      <c r="BUQ38" s="624"/>
      <c r="BUR38" s="624"/>
      <c r="BUS38" s="624"/>
      <c r="BUT38" s="624"/>
      <c r="BUU38" s="624"/>
      <c r="BUV38" s="624"/>
      <c r="BUW38" s="624"/>
      <c r="BUX38" s="624"/>
      <c r="BUY38" s="624"/>
      <c r="BUZ38" s="624"/>
      <c r="BVA38" s="624"/>
      <c r="BVB38" s="624"/>
      <c r="BVC38" s="624"/>
      <c r="BVD38" s="624"/>
      <c r="BVE38" s="624"/>
      <c r="BVF38" s="624"/>
      <c r="BVG38" s="624"/>
      <c r="BVH38" s="624"/>
      <c r="BVI38" s="624"/>
      <c r="BVJ38" s="624"/>
      <c r="BVK38" s="624"/>
      <c r="BVL38" s="624"/>
      <c r="BVM38" s="624"/>
      <c r="BVN38" s="624"/>
      <c r="BVO38" s="624"/>
      <c r="BVP38" s="624"/>
      <c r="BVQ38" s="624"/>
      <c r="BVR38" s="624"/>
      <c r="BVS38" s="624"/>
      <c r="BVT38" s="624"/>
      <c r="BVU38" s="624"/>
      <c r="BVV38" s="624"/>
      <c r="BVW38" s="624"/>
      <c r="BVX38" s="624"/>
      <c r="BVY38" s="624"/>
      <c r="BVZ38" s="624"/>
      <c r="BWA38" s="624"/>
      <c r="BWB38" s="624"/>
      <c r="BWC38" s="624"/>
      <c r="BWD38" s="624"/>
      <c r="BWE38" s="624"/>
      <c r="BWF38" s="624"/>
      <c r="BWG38" s="624"/>
      <c r="BWH38" s="624"/>
      <c r="BWI38" s="624"/>
      <c r="BWJ38" s="624"/>
      <c r="BWK38" s="624"/>
      <c r="BWL38" s="624"/>
      <c r="BWM38" s="624"/>
      <c r="BWN38" s="624"/>
      <c r="BWO38" s="624"/>
      <c r="BWP38" s="624"/>
      <c r="BWQ38" s="624"/>
      <c r="BWR38" s="624"/>
      <c r="BWS38" s="624"/>
      <c r="BWT38" s="624"/>
      <c r="BWU38" s="624"/>
      <c r="BWV38" s="624"/>
      <c r="BWW38" s="624"/>
      <c r="BWX38" s="624"/>
      <c r="BWY38" s="624"/>
      <c r="BWZ38" s="624"/>
      <c r="BXA38" s="624"/>
      <c r="BXB38" s="624"/>
      <c r="BXC38" s="624"/>
      <c r="BXD38" s="624"/>
      <c r="BXE38" s="624"/>
      <c r="BXF38" s="624"/>
      <c r="BXG38" s="624"/>
      <c r="BXH38" s="624"/>
      <c r="BXI38" s="624"/>
      <c r="BXJ38" s="624"/>
      <c r="BXK38" s="624"/>
      <c r="BXL38" s="624"/>
      <c r="BXM38" s="624"/>
      <c r="BXN38" s="624"/>
      <c r="BXO38" s="624"/>
      <c r="BXP38" s="624"/>
      <c r="BXQ38" s="624"/>
      <c r="BXR38" s="624"/>
      <c r="BXS38" s="624"/>
      <c r="BXT38" s="624"/>
      <c r="BXU38" s="624"/>
      <c r="BXV38" s="624"/>
      <c r="BXW38" s="624"/>
      <c r="BXX38" s="624"/>
      <c r="BXY38" s="624"/>
      <c r="BXZ38" s="624"/>
      <c r="BYA38" s="624"/>
      <c r="BYB38" s="624"/>
      <c r="BYC38" s="624"/>
      <c r="BYD38" s="624"/>
      <c r="BYE38" s="624"/>
      <c r="BYF38" s="624"/>
      <c r="BYG38" s="624"/>
      <c r="BYH38" s="624"/>
      <c r="BYI38" s="624"/>
      <c r="BYJ38" s="624"/>
      <c r="BYK38" s="624"/>
      <c r="BYL38" s="624"/>
      <c r="BYM38" s="624"/>
      <c r="BYN38" s="624"/>
      <c r="BYO38" s="624"/>
      <c r="BYP38" s="624"/>
      <c r="BYQ38" s="624"/>
      <c r="BYR38" s="624"/>
      <c r="BYS38" s="624"/>
      <c r="BYT38" s="624"/>
      <c r="BYU38" s="624"/>
      <c r="BYV38" s="624"/>
      <c r="BYW38" s="624"/>
      <c r="BYX38" s="624"/>
      <c r="BYY38" s="624"/>
      <c r="BYZ38" s="624"/>
      <c r="BZA38" s="624"/>
      <c r="BZB38" s="624"/>
      <c r="BZC38" s="624"/>
      <c r="BZD38" s="624"/>
      <c r="BZE38" s="624"/>
      <c r="BZF38" s="624"/>
      <c r="BZG38" s="624"/>
      <c r="BZH38" s="624"/>
      <c r="BZI38" s="624"/>
      <c r="BZJ38" s="624"/>
      <c r="BZK38" s="624"/>
      <c r="BZL38" s="624"/>
      <c r="BZM38" s="624"/>
      <c r="BZN38" s="624"/>
      <c r="BZO38" s="624"/>
      <c r="BZP38" s="624"/>
      <c r="BZQ38" s="624"/>
      <c r="BZR38" s="624"/>
      <c r="BZS38" s="624"/>
      <c r="BZT38" s="624"/>
      <c r="BZU38" s="624"/>
      <c r="BZV38" s="624"/>
      <c r="BZW38" s="624"/>
      <c r="BZX38" s="624"/>
      <c r="BZY38" s="624"/>
      <c r="BZZ38" s="624"/>
      <c r="CAA38" s="624"/>
      <c r="CAB38" s="624"/>
      <c r="CAC38" s="624"/>
      <c r="CAD38" s="624"/>
      <c r="CAE38" s="624"/>
      <c r="CAF38" s="624"/>
      <c r="CAG38" s="624"/>
      <c r="CAH38" s="624"/>
      <c r="CAI38" s="624"/>
      <c r="CAJ38" s="624"/>
      <c r="CAK38" s="624"/>
      <c r="CAL38" s="624"/>
      <c r="CAM38" s="624"/>
      <c r="CAN38" s="624"/>
      <c r="CAO38" s="624"/>
      <c r="CAP38" s="624"/>
      <c r="CAQ38" s="624"/>
      <c r="CAR38" s="624"/>
      <c r="CAS38" s="624"/>
      <c r="CAT38" s="624"/>
      <c r="CAU38" s="624"/>
      <c r="CAV38" s="624"/>
      <c r="CAW38" s="624"/>
      <c r="CAX38" s="624"/>
      <c r="CAY38" s="624"/>
      <c r="CAZ38" s="624"/>
      <c r="CBA38" s="624"/>
      <c r="CBB38" s="624"/>
      <c r="CBC38" s="624"/>
      <c r="CBD38" s="624"/>
      <c r="CBE38" s="624"/>
      <c r="CBF38" s="624"/>
      <c r="CBG38" s="624"/>
      <c r="CBH38" s="624"/>
      <c r="CBI38" s="624"/>
      <c r="CBJ38" s="624"/>
      <c r="CBK38" s="624"/>
      <c r="CBL38" s="624"/>
      <c r="CBM38" s="624"/>
      <c r="CBN38" s="624"/>
      <c r="CBO38" s="624"/>
      <c r="CBP38" s="624"/>
      <c r="CBQ38" s="624"/>
      <c r="CBR38" s="624"/>
      <c r="CBS38" s="624"/>
      <c r="CBT38" s="624"/>
      <c r="CBU38" s="624"/>
      <c r="CBV38" s="624"/>
      <c r="CBW38" s="624"/>
      <c r="CBX38" s="624"/>
      <c r="CBY38" s="624"/>
      <c r="CBZ38" s="624"/>
      <c r="CCA38" s="624"/>
      <c r="CCB38" s="624"/>
      <c r="CCC38" s="624"/>
      <c r="CCD38" s="624"/>
      <c r="CCE38" s="624"/>
      <c r="CCF38" s="624"/>
      <c r="CCG38" s="624"/>
      <c r="CCH38" s="624"/>
      <c r="CCI38" s="624"/>
      <c r="CCJ38" s="624"/>
      <c r="CCK38" s="624"/>
      <c r="CCL38" s="624"/>
      <c r="CCM38" s="624"/>
      <c r="CCN38" s="624"/>
      <c r="CCO38" s="624"/>
      <c r="CCP38" s="624"/>
      <c r="CCQ38" s="624"/>
      <c r="CCR38" s="624"/>
      <c r="CCS38" s="624"/>
      <c r="CCT38" s="624"/>
      <c r="CCU38" s="624"/>
      <c r="CCV38" s="624"/>
      <c r="CCW38" s="624"/>
      <c r="CCX38" s="624"/>
      <c r="CCY38" s="624"/>
      <c r="CCZ38" s="624"/>
      <c r="CDA38" s="624"/>
      <c r="CDB38" s="624"/>
      <c r="CDC38" s="624"/>
      <c r="CDD38" s="624"/>
      <c r="CDE38" s="624"/>
      <c r="CDF38" s="624"/>
      <c r="CDG38" s="624"/>
      <c r="CDH38" s="624"/>
      <c r="CDI38" s="624"/>
      <c r="CDJ38" s="624"/>
      <c r="CDK38" s="624"/>
      <c r="CDL38" s="624"/>
      <c r="CDM38" s="624"/>
      <c r="CDN38" s="624"/>
      <c r="CDO38" s="624"/>
      <c r="CDP38" s="624"/>
      <c r="CDQ38" s="624"/>
      <c r="CDR38" s="624"/>
      <c r="CDS38" s="624"/>
      <c r="CDT38" s="624"/>
      <c r="CDU38" s="624"/>
      <c r="CDV38" s="624"/>
      <c r="CDW38" s="624"/>
      <c r="CDX38" s="624"/>
      <c r="CDY38" s="624"/>
      <c r="CDZ38" s="624"/>
      <c r="CEA38" s="624"/>
      <c r="CEB38" s="624"/>
      <c r="CEC38" s="624"/>
      <c r="CED38" s="624"/>
      <c r="CEE38" s="624"/>
      <c r="CEF38" s="624"/>
      <c r="CEG38" s="624"/>
      <c r="CEH38" s="624"/>
      <c r="CEI38" s="624"/>
      <c r="CEJ38" s="624"/>
      <c r="CEK38" s="624"/>
      <c r="CEL38" s="624"/>
      <c r="CEM38" s="624"/>
      <c r="CEN38" s="624"/>
      <c r="CEO38" s="624"/>
      <c r="CEP38" s="624"/>
      <c r="CEQ38" s="624"/>
      <c r="CER38" s="624"/>
      <c r="CES38" s="624"/>
      <c r="CET38" s="624"/>
      <c r="CEU38" s="624"/>
      <c r="CEV38" s="624"/>
      <c r="CEW38" s="624"/>
      <c r="CEX38" s="624"/>
      <c r="CEY38" s="624"/>
      <c r="CEZ38" s="624"/>
      <c r="CFA38" s="624"/>
      <c r="CFB38" s="624"/>
      <c r="CFC38" s="624"/>
      <c r="CFD38" s="624"/>
      <c r="CFE38" s="624"/>
      <c r="CFF38" s="624"/>
      <c r="CFG38" s="624"/>
      <c r="CFH38" s="624"/>
      <c r="CFI38" s="624"/>
      <c r="CFJ38" s="624"/>
      <c r="CFK38" s="624"/>
      <c r="CFL38" s="624"/>
      <c r="CFM38" s="624"/>
      <c r="CFN38" s="624"/>
      <c r="CFO38" s="624"/>
      <c r="CFP38" s="624"/>
      <c r="CFQ38" s="624"/>
      <c r="CFR38" s="624"/>
      <c r="CFS38" s="624"/>
      <c r="CFT38" s="624"/>
      <c r="CFU38" s="624"/>
      <c r="CFV38" s="624"/>
      <c r="CFW38" s="624"/>
      <c r="CFX38" s="624"/>
      <c r="CFY38" s="624"/>
      <c r="CFZ38" s="624"/>
      <c r="CGA38" s="624"/>
      <c r="CGB38" s="624"/>
      <c r="CGC38" s="624"/>
      <c r="CGD38" s="624"/>
      <c r="CGE38" s="624"/>
      <c r="CGF38" s="624"/>
      <c r="CGG38" s="624"/>
      <c r="CGH38" s="624"/>
      <c r="CGI38" s="624"/>
      <c r="CGJ38" s="624"/>
      <c r="CGK38" s="624"/>
      <c r="CGL38" s="624"/>
      <c r="CGM38" s="624"/>
      <c r="CGN38" s="624"/>
      <c r="CGO38" s="624"/>
      <c r="CGP38" s="624"/>
      <c r="CGQ38" s="624"/>
      <c r="CGR38" s="624"/>
      <c r="CGS38" s="624"/>
      <c r="CGT38" s="624"/>
      <c r="CGU38" s="624"/>
      <c r="CGV38" s="624"/>
      <c r="CGW38" s="624"/>
      <c r="CGX38" s="624"/>
      <c r="CGY38" s="624"/>
      <c r="CGZ38" s="624"/>
      <c r="CHA38" s="624"/>
      <c r="CHB38" s="624"/>
      <c r="CHC38" s="624"/>
      <c r="CHD38" s="624"/>
      <c r="CHE38" s="624"/>
      <c r="CHF38" s="624"/>
      <c r="CHG38" s="624"/>
      <c r="CHH38" s="624"/>
      <c r="CHI38" s="624"/>
      <c r="CHJ38" s="624"/>
      <c r="CHK38" s="624"/>
      <c r="CHL38" s="624"/>
      <c r="CHM38" s="624"/>
      <c r="CHN38" s="624"/>
      <c r="CHO38" s="624"/>
      <c r="CHP38" s="624"/>
      <c r="CHQ38" s="624"/>
      <c r="CHR38" s="624"/>
      <c r="CHS38" s="624"/>
      <c r="CHT38" s="624"/>
      <c r="CHU38" s="624"/>
      <c r="CHV38" s="624"/>
      <c r="CHW38" s="624"/>
      <c r="CHX38" s="624"/>
      <c r="CHY38" s="624"/>
      <c r="CHZ38" s="624"/>
      <c r="CIA38" s="624"/>
      <c r="CIB38" s="624"/>
      <c r="CIC38" s="624"/>
      <c r="CID38" s="624"/>
      <c r="CIE38" s="624"/>
      <c r="CIF38" s="624"/>
      <c r="CIG38" s="624"/>
      <c r="CIH38" s="624"/>
      <c r="CII38" s="624"/>
      <c r="CIJ38" s="624"/>
      <c r="CIK38" s="624"/>
      <c r="CIL38" s="624"/>
      <c r="CIM38" s="624"/>
      <c r="CIN38" s="624"/>
      <c r="CIO38" s="624"/>
      <c r="CIP38" s="624"/>
      <c r="CIQ38" s="624"/>
      <c r="CIR38" s="624"/>
      <c r="CIS38" s="624"/>
      <c r="CIT38" s="624"/>
      <c r="CIU38" s="624"/>
      <c r="CIV38" s="624"/>
      <c r="CIW38" s="624"/>
      <c r="CIX38" s="624"/>
      <c r="CIY38" s="624"/>
      <c r="CIZ38" s="624"/>
      <c r="CJA38" s="624"/>
      <c r="CJB38" s="624"/>
      <c r="CJC38" s="624"/>
      <c r="CJD38" s="624"/>
      <c r="CJE38" s="624"/>
      <c r="CJF38" s="624"/>
      <c r="CJG38" s="624"/>
      <c r="CJH38" s="624"/>
      <c r="CJI38" s="624"/>
      <c r="CJJ38" s="624"/>
      <c r="CJK38" s="624"/>
      <c r="CJL38" s="624"/>
      <c r="CJM38" s="624"/>
      <c r="CJN38" s="624"/>
      <c r="CJO38" s="624"/>
      <c r="CJP38" s="624"/>
      <c r="CJQ38" s="624"/>
      <c r="CJR38" s="624"/>
      <c r="CJS38" s="624"/>
      <c r="CJT38" s="624"/>
      <c r="CJU38" s="624"/>
      <c r="CJV38" s="624"/>
      <c r="CJW38" s="624"/>
      <c r="CJX38" s="624"/>
      <c r="CJY38" s="624"/>
      <c r="CJZ38" s="624"/>
      <c r="CKA38" s="624"/>
      <c r="CKB38" s="624"/>
      <c r="CKC38" s="624"/>
      <c r="CKD38" s="624"/>
      <c r="CKE38" s="624"/>
      <c r="CKF38" s="624"/>
      <c r="CKG38" s="624"/>
      <c r="CKH38" s="624"/>
      <c r="CKI38" s="624"/>
      <c r="CKJ38" s="624"/>
      <c r="CKK38" s="624"/>
      <c r="CKL38" s="624"/>
      <c r="CKM38" s="624"/>
      <c r="CKN38" s="624"/>
      <c r="CKO38" s="624"/>
      <c r="CKP38" s="624"/>
      <c r="CKQ38" s="624"/>
      <c r="CKR38" s="624"/>
      <c r="CKS38" s="624"/>
      <c r="CKT38" s="624"/>
      <c r="CKU38" s="624"/>
      <c r="CKV38" s="624"/>
      <c r="CKW38" s="624"/>
      <c r="CKX38" s="624"/>
      <c r="CKY38" s="624"/>
      <c r="CKZ38" s="624"/>
      <c r="CLA38" s="624"/>
      <c r="CLB38" s="624"/>
      <c r="CLC38" s="624"/>
      <c r="CLD38" s="624"/>
      <c r="CLE38" s="624"/>
      <c r="CLF38" s="624"/>
      <c r="CLG38" s="624"/>
      <c r="CLH38" s="624"/>
      <c r="CLI38" s="624"/>
      <c r="CLJ38" s="624"/>
      <c r="CLK38" s="624"/>
      <c r="CLL38" s="624"/>
      <c r="CLM38" s="624"/>
      <c r="CLN38" s="624"/>
      <c r="CLO38" s="624"/>
      <c r="CLP38" s="624"/>
      <c r="CLQ38" s="624"/>
      <c r="CLR38" s="624"/>
      <c r="CLS38" s="624"/>
      <c r="CLT38" s="624"/>
      <c r="CLU38" s="624"/>
      <c r="CLV38" s="624"/>
      <c r="CLW38" s="624"/>
      <c r="CLX38" s="624"/>
      <c r="CLY38" s="624"/>
      <c r="CLZ38" s="624"/>
      <c r="CMA38" s="624"/>
      <c r="CMB38" s="624"/>
      <c r="CMC38" s="624"/>
      <c r="CMD38" s="624"/>
      <c r="CME38" s="624"/>
      <c r="CMF38" s="624"/>
      <c r="CMG38" s="624"/>
      <c r="CMH38" s="624"/>
      <c r="CMI38" s="624"/>
      <c r="CMJ38" s="624"/>
      <c r="CMK38" s="624"/>
      <c r="CML38" s="624"/>
      <c r="CMM38" s="624"/>
      <c r="CMN38" s="624"/>
      <c r="CMO38" s="624"/>
      <c r="CMP38" s="624"/>
      <c r="CMQ38" s="624"/>
      <c r="CMR38" s="624"/>
      <c r="CMS38" s="624"/>
      <c r="CMT38" s="624"/>
      <c r="CMU38" s="624"/>
      <c r="CMV38" s="624"/>
      <c r="CMW38" s="624"/>
      <c r="CMX38" s="624"/>
      <c r="CMY38" s="624"/>
      <c r="CMZ38" s="624"/>
      <c r="CNA38" s="624"/>
      <c r="CNB38" s="624"/>
      <c r="CNC38" s="624"/>
      <c r="CND38" s="624"/>
      <c r="CNE38" s="624"/>
      <c r="CNF38" s="624"/>
      <c r="CNG38" s="624"/>
      <c r="CNH38" s="624"/>
      <c r="CNI38" s="624"/>
      <c r="CNJ38" s="624"/>
      <c r="CNK38" s="624"/>
      <c r="CNL38" s="624"/>
      <c r="CNM38" s="624"/>
      <c r="CNN38" s="624"/>
      <c r="CNO38" s="624"/>
      <c r="CNP38" s="624"/>
      <c r="CNQ38" s="624"/>
      <c r="CNR38" s="624"/>
      <c r="CNS38" s="624"/>
      <c r="CNT38" s="624"/>
      <c r="CNU38" s="624"/>
      <c r="CNV38" s="624"/>
      <c r="CNW38" s="624"/>
      <c r="CNX38" s="624"/>
      <c r="CNY38" s="624"/>
      <c r="CNZ38" s="624"/>
      <c r="COA38" s="624"/>
      <c r="COB38" s="624"/>
      <c r="COC38" s="624"/>
      <c r="COD38" s="624"/>
      <c r="COE38" s="624"/>
      <c r="COF38" s="624"/>
      <c r="COG38" s="624"/>
      <c r="COH38" s="624"/>
      <c r="COI38" s="624"/>
      <c r="COJ38" s="624"/>
      <c r="COK38" s="624"/>
      <c r="COL38" s="624"/>
      <c r="COM38" s="624"/>
      <c r="CON38" s="624"/>
      <c r="COO38" s="624"/>
      <c r="COP38" s="624"/>
      <c r="COQ38" s="624"/>
      <c r="COR38" s="624"/>
      <c r="COS38" s="624"/>
      <c r="COT38" s="624"/>
      <c r="COU38" s="624"/>
      <c r="COV38" s="624"/>
      <c r="COW38" s="624"/>
      <c r="COX38" s="624"/>
      <c r="COY38" s="624"/>
      <c r="COZ38" s="624"/>
      <c r="CPA38" s="624"/>
      <c r="CPB38" s="624"/>
      <c r="CPC38" s="624"/>
      <c r="CPD38" s="624"/>
      <c r="CPE38" s="624"/>
      <c r="CPF38" s="624"/>
      <c r="CPG38" s="624"/>
      <c r="CPH38" s="624"/>
      <c r="CPI38" s="624"/>
      <c r="CPJ38" s="624"/>
      <c r="CPK38" s="624"/>
      <c r="CPL38" s="624"/>
      <c r="CPM38" s="624"/>
      <c r="CPN38" s="624"/>
      <c r="CPO38" s="624"/>
      <c r="CPP38" s="624"/>
      <c r="CPQ38" s="624"/>
      <c r="CPR38" s="624"/>
      <c r="CPS38" s="624"/>
      <c r="CPT38" s="624"/>
      <c r="CPU38" s="624"/>
      <c r="CPV38" s="624"/>
      <c r="CPW38" s="624"/>
      <c r="CPX38" s="624"/>
      <c r="CPY38" s="624"/>
      <c r="CPZ38" s="624"/>
      <c r="CQA38" s="624"/>
      <c r="CQB38" s="624"/>
      <c r="CQC38" s="624"/>
      <c r="CQD38" s="624"/>
      <c r="CQE38" s="624"/>
      <c r="CQF38" s="624"/>
      <c r="CQG38" s="624"/>
      <c r="CQH38" s="624"/>
      <c r="CQI38" s="624"/>
      <c r="CQJ38" s="624"/>
      <c r="CQK38" s="624"/>
      <c r="CQL38" s="624"/>
      <c r="CQM38" s="624"/>
      <c r="CQN38" s="624"/>
      <c r="CQO38" s="624"/>
      <c r="CQP38" s="624"/>
      <c r="CQQ38" s="624"/>
      <c r="CQR38" s="624"/>
      <c r="CQS38" s="624"/>
      <c r="CQT38" s="624"/>
      <c r="CQU38" s="624"/>
      <c r="CQV38" s="624"/>
      <c r="CQW38" s="624"/>
      <c r="CQX38" s="624"/>
      <c r="CQY38" s="624"/>
      <c r="CQZ38" s="624"/>
      <c r="CRA38" s="624"/>
      <c r="CRB38" s="624"/>
      <c r="CRC38" s="624"/>
      <c r="CRD38" s="624"/>
      <c r="CRE38" s="624"/>
      <c r="CRF38" s="624"/>
      <c r="CRG38" s="624"/>
      <c r="CRH38" s="624"/>
      <c r="CRI38" s="624"/>
      <c r="CRJ38" s="624"/>
      <c r="CRK38" s="624"/>
      <c r="CRL38" s="624"/>
      <c r="CRM38" s="624"/>
      <c r="CRN38" s="624"/>
      <c r="CRO38" s="624"/>
      <c r="CRP38" s="624"/>
      <c r="CRQ38" s="624"/>
      <c r="CRR38" s="624"/>
      <c r="CRS38" s="624"/>
      <c r="CRT38" s="624"/>
      <c r="CRU38" s="624"/>
      <c r="CRV38" s="624"/>
      <c r="CRW38" s="624"/>
      <c r="CRX38" s="624"/>
      <c r="CRY38" s="624"/>
      <c r="CRZ38" s="624"/>
      <c r="CSA38" s="624"/>
      <c r="CSB38" s="624"/>
      <c r="CSC38" s="624"/>
      <c r="CSD38" s="624"/>
      <c r="CSE38" s="624"/>
      <c r="CSF38" s="624"/>
      <c r="CSG38" s="624"/>
      <c r="CSH38" s="624"/>
      <c r="CSI38" s="624"/>
      <c r="CSJ38" s="624"/>
      <c r="CSK38" s="624"/>
      <c r="CSL38" s="624"/>
      <c r="CSM38" s="624"/>
      <c r="CSN38" s="624"/>
      <c r="CSO38" s="624"/>
      <c r="CSP38" s="624"/>
      <c r="CSQ38" s="624"/>
      <c r="CSR38" s="624"/>
      <c r="CSS38" s="624"/>
      <c r="CST38" s="624"/>
      <c r="CSU38" s="624"/>
      <c r="CSV38" s="624"/>
      <c r="CSW38" s="624"/>
      <c r="CSX38" s="624"/>
      <c r="CSY38" s="624"/>
      <c r="CSZ38" s="624"/>
      <c r="CTA38" s="624"/>
      <c r="CTB38" s="624"/>
      <c r="CTC38" s="624"/>
      <c r="CTD38" s="624"/>
      <c r="CTE38" s="624"/>
      <c r="CTF38" s="624"/>
      <c r="CTG38" s="624"/>
      <c r="CTH38" s="624"/>
      <c r="CTI38" s="624"/>
      <c r="CTJ38" s="624"/>
      <c r="CTK38" s="624"/>
      <c r="CTL38" s="624"/>
      <c r="CTM38" s="624"/>
      <c r="CTN38" s="624"/>
      <c r="CTO38" s="624"/>
      <c r="CTP38" s="624"/>
      <c r="CTQ38" s="624"/>
      <c r="CTR38" s="624"/>
      <c r="CTS38" s="624"/>
      <c r="CTT38" s="624"/>
      <c r="CTU38" s="624"/>
      <c r="CTV38" s="624"/>
      <c r="CTW38" s="624"/>
      <c r="CTX38" s="624"/>
      <c r="CTY38" s="624"/>
      <c r="CTZ38" s="624"/>
      <c r="CUA38" s="624"/>
      <c r="CUB38" s="624"/>
      <c r="CUC38" s="624"/>
      <c r="CUD38" s="624"/>
      <c r="CUE38" s="624"/>
      <c r="CUF38" s="624"/>
      <c r="CUG38" s="624"/>
      <c r="CUH38" s="624"/>
      <c r="CUI38" s="624"/>
      <c r="CUJ38" s="624"/>
      <c r="CUK38" s="624"/>
      <c r="CUL38" s="624"/>
      <c r="CUM38" s="624"/>
      <c r="CUN38" s="624"/>
      <c r="CUO38" s="624"/>
      <c r="CUP38" s="624"/>
      <c r="CUQ38" s="624"/>
      <c r="CUR38" s="624"/>
      <c r="CUS38" s="624"/>
      <c r="CUT38" s="624"/>
      <c r="CUU38" s="624"/>
      <c r="CUV38" s="624"/>
      <c r="CUW38" s="624"/>
      <c r="CUX38" s="624"/>
      <c r="CUY38" s="624"/>
      <c r="CUZ38" s="624"/>
      <c r="CVA38" s="624"/>
      <c r="CVB38" s="624"/>
      <c r="CVC38" s="624"/>
      <c r="CVD38" s="624"/>
      <c r="CVE38" s="624"/>
      <c r="CVF38" s="624"/>
      <c r="CVG38" s="624"/>
      <c r="CVH38" s="624"/>
      <c r="CVI38" s="624"/>
      <c r="CVJ38" s="624"/>
      <c r="CVK38" s="624"/>
      <c r="CVL38" s="624"/>
      <c r="CVM38" s="624"/>
      <c r="CVN38" s="624"/>
      <c r="CVO38" s="624"/>
      <c r="CVP38" s="624"/>
      <c r="CVQ38" s="624"/>
      <c r="CVR38" s="624"/>
      <c r="CVS38" s="624"/>
      <c r="CVT38" s="624"/>
      <c r="CVU38" s="624"/>
      <c r="CVV38" s="624"/>
      <c r="CVW38" s="624"/>
      <c r="CVX38" s="624"/>
      <c r="CVY38" s="624"/>
      <c r="CVZ38" s="624"/>
      <c r="CWA38" s="624"/>
      <c r="CWB38" s="624"/>
      <c r="CWC38" s="624"/>
      <c r="CWD38" s="624"/>
      <c r="CWE38" s="624"/>
      <c r="CWF38" s="624"/>
      <c r="CWG38" s="624"/>
      <c r="CWH38" s="624"/>
      <c r="CWI38" s="624"/>
      <c r="CWJ38" s="624"/>
      <c r="CWK38" s="624"/>
      <c r="CWL38" s="624"/>
      <c r="CWM38" s="624"/>
      <c r="CWN38" s="624"/>
      <c r="CWO38" s="624"/>
      <c r="CWP38" s="624"/>
      <c r="CWQ38" s="624"/>
      <c r="CWR38" s="624"/>
      <c r="CWS38" s="624"/>
      <c r="CWT38" s="624"/>
      <c r="CWU38" s="624"/>
      <c r="CWV38" s="624"/>
      <c r="CWW38" s="624"/>
      <c r="CWX38" s="624"/>
      <c r="CWY38" s="624"/>
      <c r="CWZ38" s="624"/>
      <c r="CXA38" s="624"/>
      <c r="CXB38" s="624"/>
      <c r="CXC38" s="624"/>
      <c r="CXD38" s="624"/>
      <c r="CXE38" s="624"/>
      <c r="CXF38" s="624"/>
      <c r="CXG38" s="624"/>
      <c r="CXH38" s="624"/>
      <c r="CXI38" s="624"/>
      <c r="CXJ38" s="624"/>
      <c r="CXK38" s="624"/>
      <c r="CXL38" s="624"/>
      <c r="CXM38" s="624"/>
      <c r="CXN38" s="624"/>
      <c r="CXO38" s="624"/>
      <c r="CXP38" s="624"/>
      <c r="CXQ38" s="624"/>
      <c r="CXR38" s="624"/>
      <c r="CXS38" s="624"/>
      <c r="CXT38" s="624"/>
      <c r="CXU38" s="624"/>
      <c r="CXV38" s="624"/>
      <c r="CXW38" s="624"/>
      <c r="CXX38" s="624"/>
      <c r="CXY38" s="624"/>
      <c r="CXZ38" s="624"/>
      <c r="CYA38" s="624"/>
      <c r="CYB38" s="624"/>
      <c r="CYC38" s="624"/>
      <c r="CYD38" s="624"/>
      <c r="CYE38" s="624"/>
      <c r="CYF38" s="624"/>
      <c r="CYG38" s="624"/>
      <c r="CYH38" s="624"/>
      <c r="CYI38" s="624"/>
      <c r="CYJ38" s="624"/>
      <c r="CYK38" s="624"/>
      <c r="CYL38" s="624"/>
      <c r="CYM38" s="624"/>
      <c r="CYN38" s="624"/>
      <c r="CYO38" s="624"/>
      <c r="CYP38" s="624"/>
      <c r="CYQ38" s="624"/>
      <c r="CYR38" s="624"/>
      <c r="CYS38" s="624"/>
      <c r="CYT38" s="624"/>
      <c r="CYU38" s="624"/>
      <c r="CYV38" s="624"/>
      <c r="CYW38" s="624"/>
      <c r="CYX38" s="624"/>
      <c r="CYY38" s="624"/>
      <c r="CYZ38" s="624"/>
      <c r="CZA38" s="624"/>
      <c r="CZB38" s="624"/>
      <c r="CZC38" s="624"/>
      <c r="CZD38" s="624"/>
      <c r="CZE38" s="624"/>
      <c r="CZF38" s="624"/>
      <c r="CZG38" s="624"/>
      <c r="CZH38" s="624"/>
      <c r="CZI38" s="624"/>
      <c r="CZJ38" s="624"/>
      <c r="CZK38" s="624"/>
      <c r="CZL38" s="624"/>
      <c r="CZM38" s="624"/>
      <c r="CZN38" s="624"/>
      <c r="CZO38" s="624"/>
      <c r="CZP38" s="624"/>
      <c r="CZQ38" s="624"/>
      <c r="CZR38" s="624"/>
      <c r="CZS38" s="624"/>
      <c r="CZT38" s="624"/>
      <c r="CZU38" s="624"/>
      <c r="CZV38" s="624"/>
      <c r="CZW38" s="624"/>
      <c r="CZX38" s="624"/>
      <c r="CZY38" s="624"/>
      <c r="CZZ38" s="624"/>
      <c r="DAA38" s="624"/>
      <c r="DAB38" s="624"/>
      <c r="DAC38" s="624"/>
      <c r="DAD38" s="624"/>
      <c r="DAE38" s="624"/>
      <c r="DAF38" s="624"/>
      <c r="DAG38" s="624"/>
      <c r="DAH38" s="624"/>
      <c r="DAI38" s="624"/>
      <c r="DAJ38" s="624"/>
      <c r="DAK38" s="624"/>
      <c r="DAL38" s="624"/>
      <c r="DAM38" s="624"/>
      <c r="DAN38" s="624"/>
      <c r="DAO38" s="624"/>
      <c r="DAP38" s="624"/>
      <c r="DAQ38" s="624"/>
      <c r="DAR38" s="624"/>
      <c r="DAS38" s="624"/>
      <c r="DAT38" s="624"/>
      <c r="DAU38" s="624"/>
      <c r="DAV38" s="624"/>
      <c r="DAW38" s="624"/>
      <c r="DAX38" s="624"/>
      <c r="DAY38" s="624"/>
      <c r="DAZ38" s="624"/>
      <c r="DBA38" s="624"/>
      <c r="DBB38" s="624"/>
      <c r="DBC38" s="624"/>
      <c r="DBD38" s="624"/>
      <c r="DBE38" s="624"/>
      <c r="DBF38" s="624"/>
      <c r="DBG38" s="624"/>
      <c r="DBH38" s="624"/>
      <c r="DBI38" s="624"/>
      <c r="DBJ38" s="624"/>
      <c r="DBK38" s="624"/>
      <c r="DBL38" s="624"/>
      <c r="DBM38" s="624"/>
      <c r="DBN38" s="624"/>
      <c r="DBO38" s="624"/>
      <c r="DBP38" s="624"/>
      <c r="DBQ38" s="624"/>
      <c r="DBR38" s="624"/>
      <c r="DBS38" s="624"/>
      <c r="DBT38" s="624"/>
      <c r="DBU38" s="624"/>
      <c r="DBV38" s="624"/>
      <c r="DBW38" s="624"/>
      <c r="DBX38" s="624"/>
      <c r="DBY38" s="624"/>
      <c r="DBZ38" s="624"/>
      <c r="DCA38" s="624"/>
      <c r="DCB38" s="624"/>
      <c r="DCC38" s="624"/>
      <c r="DCD38" s="624"/>
      <c r="DCE38" s="624"/>
      <c r="DCF38" s="624"/>
      <c r="DCG38" s="624"/>
      <c r="DCH38" s="624"/>
      <c r="DCI38" s="624"/>
      <c r="DCJ38" s="624"/>
      <c r="DCK38" s="624"/>
      <c r="DCL38" s="624"/>
      <c r="DCM38" s="624"/>
      <c r="DCN38" s="624"/>
      <c r="DCO38" s="624"/>
      <c r="DCP38" s="624"/>
      <c r="DCQ38" s="624"/>
      <c r="DCR38" s="624"/>
      <c r="DCS38" s="624"/>
      <c r="DCT38" s="624"/>
      <c r="DCU38" s="624"/>
      <c r="DCV38" s="624"/>
      <c r="DCW38" s="624"/>
      <c r="DCX38" s="624"/>
      <c r="DCY38" s="624"/>
      <c r="DCZ38" s="624"/>
      <c r="DDA38" s="624"/>
      <c r="DDB38" s="624"/>
      <c r="DDC38" s="624"/>
      <c r="DDD38" s="624"/>
      <c r="DDE38" s="624"/>
      <c r="DDF38" s="624"/>
      <c r="DDG38" s="624"/>
      <c r="DDH38" s="624"/>
      <c r="DDI38" s="624"/>
      <c r="DDJ38" s="624"/>
      <c r="DDK38" s="624"/>
      <c r="DDL38" s="624"/>
      <c r="DDM38" s="624"/>
      <c r="DDN38" s="624"/>
      <c r="DDO38" s="624"/>
      <c r="DDP38" s="624"/>
      <c r="DDQ38" s="624"/>
      <c r="DDR38" s="624"/>
      <c r="DDS38" s="624"/>
      <c r="DDT38" s="624"/>
      <c r="DDU38" s="624"/>
      <c r="DDV38" s="624"/>
      <c r="DDW38" s="624"/>
      <c r="DDX38" s="624"/>
      <c r="DDY38" s="624"/>
      <c r="DDZ38" s="624"/>
      <c r="DEA38" s="624"/>
      <c r="DEB38" s="624"/>
      <c r="DEC38" s="624"/>
      <c r="DED38" s="624"/>
      <c r="DEE38" s="624"/>
      <c r="DEF38" s="624"/>
      <c r="DEG38" s="624"/>
      <c r="DEH38" s="624"/>
      <c r="DEI38" s="624"/>
      <c r="DEJ38" s="624"/>
      <c r="DEK38" s="624"/>
      <c r="DEL38" s="624"/>
      <c r="DEM38" s="624"/>
      <c r="DEN38" s="624"/>
      <c r="DEO38" s="624"/>
      <c r="DEP38" s="624"/>
      <c r="DEQ38" s="624"/>
      <c r="DER38" s="624"/>
      <c r="DES38" s="624"/>
      <c r="DET38" s="624"/>
      <c r="DEU38" s="624"/>
      <c r="DEV38" s="624"/>
      <c r="DEW38" s="624"/>
      <c r="DEX38" s="624"/>
      <c r="DEY38" s="624"/>
      <c r="DEZ38" s="624"/>
      <c r="DFA38" s="624"/>
      <c r="DFB38" s="624"/>
      <c r="DFC38" s="624"/>
      <c r="DFD38" s="624"/>
      <c r="DFE38" s="624"/>
      <c r="DFF38" s="624"/>
      <c r="DFG38" s="624"/>
      <c r="DFH38" s="624"/>
      <c r="DFI38" s="624"/>
      <c r="DFJ38" s="624"/>
      <c r="DFK38" s="624"/>
      <c r="DFL38" s="624"/>
      <c r="DFM38" s="624"/>
      <c r="DFN38" s="624"/>
      <c r="DFO38" s="624"/>
      <c r="DFP38" s="624"/>
      <c r="DFQ38" s="624"/>
      <c r="DFR38" s="624"/>
      <c r="DFS38" s="624"/>
      <c r="DFT38" s="624"/>
      <c r="DFU38" s="624"/>
      <c r="DFV38" s="624"/>
      <c r="DFW38" s="624"/>
      <c r="DFX38" s="624"/>
      <c r="DFY38" s="624"/>
      <c r="DFZ38" s="624"/>
      <c r="DGA38" s="624"/>
      <c r="DGB38" s="624"/>
      <c r="DGC38" s="624"/>
      <c r="DGD38" s="624"/>
      <c r="DGE38" s="624"/>
      <c r="DGF38" s="624"/>
      <c r="DGG38" s="624"/>
      <c r="DGH38" s="624"/>
      <c r="DGI38" s="624"/>
      <c r="DGJ38" s="624"/>
      <c r="DGK38" s="624"/>
      <c r="DGL38" s="624"/>
      <c r="DGM38" s="624"/>
      <c r="DGN38" s="624"/>
      <c r="DGO38" s="624"/>
      <c r="DGP38" s="624"/>
      <c r="DGQ38" s="624"/>
      <c r="DGR38" s="624"/>
      <c r="DGS38" s="624"/>
      <c r="DGT38" s="624"/>
      <c r="DGU38" s="624"/>
      <c r="DGV38" s="624"/>
      <c r="DGW38" s="624"/>
      <c r="DGX38" s="624"/>
      <c r="DGY38" s="624"/>
      <c r="DGZ38" s="624"/>
      <c r="DHA38" s="624"/>
      <c r="DHB38" s="624"/>
      <c r="DHC38" s="624"/>
      <c r="DHD38" s="624"/>
      <c r="DHE38" s="624"/>
      <c r="DHF38" s="624"/>
      <c r="DHG38" s="624"/>
      <c r="DHH38" s="624"/>
      <c r="DHI38" s="624"/>
      <c r="DHJ38" s="624"/>
      <c r="DHK38" s="624"/>
      <c r="DHL38" s="624"/>
      <c r="DHM38" s="624"/>
      <c r="DHN38" s="624"/>
      <c r="DHO38" s="624"/>
      <c r="DHP38" s="624"/>
      <c r="DHQ38" s="624"/>
      <c r="DHR38" s="624"/>
      <c r="DHS38" s="624"/>
      <c r="DHT38" s="624"/>
      <c r="DHU38" s="624"/>
      <c r="DHV38" s="624"/>
      <c r="DHW38" s="624"/>
      <c r="DHX38" s="624"/>
      <c r="DHY38" s="624"/>
      <c r="DHZ38" s="624"/>
      <c r="DIA38" s="624"/>
      <c r="DIB38" s="624"/>
      <c r="DIC38" s="624"/>
      <c r="DID38" s="624"/>
      <c r="DIE38" s="624"/>
      <c r="DIF38" s="624"/>
      <c r="DIG38" s="624"/>
      <c r="DIH38" s="624"/>
      <c r="DII38" s="624"/>
      <c r="DIJ38" s="624"/>
      <c r="DIK38" s="624"/>
      <c r="DIL38" s="624"/>
      <c r="DIM38" s="624"/>
      <c r="DIN38" s="624"/>
      <c r="DIO38" s="624"/>
      <c r="DIP38" s="624"/>
      <c r="DIQ38" s="624"/>
      <c r="DIR38" s="624"/>
      <c r="DIS38" s="624"/>
      <c r="DIT38" s="624"/>
      <c r="DIU38" s="624"/>
      <c r="DIV38" s="624"/>
      <c r="DIW38" s="624"/>
      <c r="DIX38" s="624"/>
      <c r="DIY38" s="624"/>
      <c r="DIZ38" s="624"/>
      <c r="DJA38" s="624"/>
      <c r="DJB38" s="624"/>
      <c r="DJC38" s="624"/>
      <c r="DJD38" s="624"/>
      <c r="DJE38" s="624"/>
      <c r="DJF38" s="624"/>
      <c r="DJG38" s="624"/>
      <c r="DJH38" s="624"/>
      <c r="DJI38" s="624"/>
      <c r="DJJ38" s="624"/>
      <c r="DJK38" s="624"/>
      <c r="DJL38" s="624"/>
      <c r="DJM38" s="624"/>
      <c r="DJN38" s="624"/>
      <c r="DJO38" s="624"/>
      <c r="DJP38" s="624"/>
      <c r="DJQ38" s="624"/>
      <c r="DJR38" s="624"/>
      <c r="DJS38" s="624"/>
      <c r="DJT38" s="624"/>
      <c r="DJU38" s="624"/>
      <c r="DJV38" s="624"/>
      <c r="DJW38" s="624"/>
      <c r="DJX38" s="624"/>
      <c r="DJY38" s="624"/>
      <c r="DJZ38" s="624"/>
      <c r="DKA38" s="624"/>
      <c r="DKB38" s="624"/>
      <c r="DKC38" s="624"/>
      <c r="DKD38" s="624"/>
      <c r="DKE38" s="624"/>
      <c r="DKF38" s="624"/>
      <c r="DKG38" s="624"/>
      <c r="DKH38" s="624"/>
      <c r="DKI38" s="624"/>
      <c r="DKJ38" s="624"/>
      <c r="DKK38" s="624"/>
      <c r="DKL38" s="624"/>
      <c r="DKM38" s="624"/>
      <c r="DKN38" s="624"/>
      <c r="DKO38" s="624"/>
      <c r="DKP38" s="624"/>
      <c r="DKQ38" s="624"/>
      <c r="DKR38" s="624"/>
      <c r="DKS38" s="624"/>
      <c r="DKT38" s="624"/>
      <c r="DKU38" s="624"/>
      <c r="DKV38" s="624"/>
      <c r="DKW38" s="624"/>
      <c r="DKX38" s="624"/>
      <c r="DKY38" s="624"/>
      <c r="DKZ38" s="624"/>
      <c r="DLA38" s="624"/>
      <c r="DLB38" s="624"/>
      <c r="DLC38" s="624"/>
      <c r="DLD38" s="624"/>
      <c r="DLE38" s="624"/>
      <c r="DLF38" s="624"/>
      <c r="DLG38" s="624"/>
      <c r="DLH38" s="624"/>
      <c r="DLI38" s="624"/>
      <c r="DLJ38" s="624"/>
      <c r="DLK38" s="624"/>
      <c r="DLL38" s="624"/>
      <c r="DLM38" s="624"/>
      <c r="DLN38" s="624"/>
      <c r="DLO38" s="624"/>
      <c r="DLP38" s="624"/>
      <c r="DLQ38" s="624"/>
      <c r="DLR38" s="624"/>
      <c r="DLS38" s="624"/>
      <c r="DLT38" s="624"/>
      <c r="DLU38" s="624"/>
      <c r="DLV38" s="624"/>
      <c r="DLW38" s="624"/>
      <c r="DLX38" s="624"/>
      <c r="DLY38" s="624"/>
      <c r="DLZ38" s="624"/>
      <c r="DMA38" s="624"/>
      <c r="DMB38" s="624"/>
      <c r="DMC38" s="624"/>
      <c r="DMD38" s="624"/>
      <c r="DME38" s="624"/>
      <c r="DMF38" s="624"/>
      <c r="DMG38" s="624"/>
      <c r="DMH38" s="624"/>
      <c r="DMI38" s="624"/>
      <c r="DMJ38" s="624"/>
      <c r="DMK38" s="624"/>
      <c r="DML38" s="624"/>
      <c r="DMM38" s="624"/>
      <c r="DMN38" s="624"/>
      <c r="DMO38" s="624"/>
      <c r="DMP38" s="624"/>
      <c r="DMQ38" s="624"/>
      <c r="DMR38" s="624"/>
      <c r="DMS38" s="624"/>
      <c r="DMT38" s="624"/>
      <c r="DMU38" s="624"/>
      <c r="DMV38" s="624"/>
      <c r="DMW38" s="624"/>
      <c r="DMX38" s="624"/>
      <c r="DMY38" s="624"/>
      <c r="DMZ38" s="624"/>
      <c r="DNA38" s="624"/>
      <c r="DNB38" s="624"/>
      <c r="DNC38" s="624"/>
      <c r="DND38" s="624"/>
      <c r="DNE38" s="624"/>
      <c r="DNF38" s="624"/>
      <c r="DNG38" s="624"/>
      <c r="DNH38" s="624"/>
      <c r="DNI38" s="624"/>
      <c r="DNJ38" s="624"/>
      <c r="DNK38" s="624"/>
      <c r="DNL38" s="624"/>
      <c r="DNM38" s="624"/>
      <c r="DNN38" s="624"/>
      <c r="DNO38" s="624"/>
      <c r="DNP38" s="624"/>
      <c r="DNQ38" s="624"/>
      <c r="DNR38" s="624"/>
      <c r="DNS38" s="624"/>
      <c r="DNT38" s="624"/>
      <c r="DNU38" s="624"/>
      <c r="DNV38" s="624"/>
      <c r="DNW38" s="624"/>
      <c r="DNX38" s="624"/>
      <c r="DNY38" s="624"/>
      <c r="DNZ38" s="624"/>
      <c r="DOA38" s="624"/>
      <c r="DOB38" s="624"/>
      <c r="DOC38" s="624"/>
      <c r="DOD38" s="624"/>
      <c r="DOE38" s="624"/>
      <c r="DOF38" s="624"/>
      <c r="DOG38" s="624"/>
      <c r="DOH38" s="624"/>
      <c r="DOI38" s="624"/>
      <c r="DOJ38" s="624"/>
      <c r="DOK38" s="624"/>
      <c r="DOL38" s="624"/>
      <c r="DOM38" s="624"/>
      <c r="DON38" s="624"/>
      <c r="DOO38" s="624"/>
      <c r="DOP38" s="624"/>
      <c r="DOQ38" s="624"/>
      <c r="DOR38" s="624"/>
      <c r="DOS38" s="624"/>
      <c r="DOT38" s="624"/>
      <c r="DOU38" s="624"/>
      <c r="DOV38" s="624"/>
      <c r="DOW38" s="624"/>
      <c r="DOX38" s="624"/>
      <c r="DOY38" s="624"/>
      <c r="DOZ38" s="624"/>
      <c r="DPA38" s="624"/>
      <c r="DPB38" s="624"/>
      <c r="DPC38" s="624"/>
      <c r="DPD38" s="624"/>
      <c r="DPE38" s="624"/>
      <c r="DPF38" s="624"/>
      <c r="DPG38" s="624"/>
      <c r="DPH38" s="624"/>
      <c r="DPI38" s="624"/>
      <c r="DPJ38" s="624"/>
      <c r="DPK38" s="624"/>
      <c r="DPL38" s="624"/>
      <c r="DPM38" s="624"/>
      <c r="DPN38" s="624"/>
      <c r="DPO38" s="624"/>
      <c r="DPP38" s="624"/>
      <c r="DPQ38" s="624"/>
      <c r="DPR38" s="624"/>
      <c r="DPS38" s="624"/>
      <c r="DPT38" s="624"/>
      <c r="DPU38" s="624"/>
      <c r="DPV38" s="624"/>
      <c r="DPW38" s="624"/>
      <c r="DPX38" s="624"/>
      <c r="DPY38" s="624"/>
      <c r="DPZ38" s="624"/>
      <c r="DQA38" s="624"/>
      <c r="DQB38" s="624"/>
      <c r="DQC38" s="624"/>
      <c r="DQD38" s="624"/>
      <c r="DQE38" s="624"/>
      <c r="DQF38" s="624"/>
      <c r="DQG38" s="624"/>
      <c r="DQH38" s="624"/>
      <c r="DQI38" s="624"/>
      <c r="DQJ38" s="624"/>
      <c r="DQK38" s="624"/>
      <c r="DQL38" s="624"/>
      <c r="DQM38" s="624"/>
      <c r="DQN38" s="624"/>
      <c r="DQO38" s="624"/>
      <c r="DQP38" s="624"/>
      <c r="DQQ38" s="624"/>
      <c r="DQR38" s="624"/>
      <c r="DQS38" s="624"/>
      <c r="DQT38" s="624"/>
      <c r="DQU38" s="624"/>
      <c r="DQV38" s="624"/>
      <c r="DQW38" s="624"/>
      <c r="DQX38" s="624"/>
      <c r="DQY38" s="624"/>
      <c r="DQZ38" s="624"/>
      <c r="DRA38" s="624"/>
      <c r="DRB38" s="624"/>
      <c r="DRC38" s="624"/>
      <c r="DRD38" s="624"/>
      <c r="DRE38" s="624"/>
      <c r="DRF38" s="624"/>
      <c r="DRG38" s="624"/>
      <c r="DRH38" s="624"/>
      <c r="DRI38" s="624"/>
      <c r="DRJ38" s="624"/>
      <c r="DRK38" s="624"/>
      <c r="DRL38" s="624"/>
      <c r="DRM38" s="624"/>
      <c r="DRN38" s="624"/>
      <c r="DRO38" s="624"/>
      <c r="DRP38" s="624"/>
      <c r="DRQ38" s="624"/>
      <c r="DRR38" s="624"/>
      <c r="DRS38" s="624"/>
      <c r="DRT38" s="624"/>
      <c r="DRU38" s="624"/>
      <c r="DRV38" s="624"/>
      <c r="DRW38" s="624"/>
      <c r="DRX38" s="624"/>
      <c r="DRY38" s="624"/>
      <c r="DRZ38" s="624"/>
      <c r="DSA38" s="624"/>
      <c r="DSB38" s="624"/>
      <c r="DSC38" s="624"/>
      <c r="DSD38" s="624"/>
      <c r="DSE38" s="624"/>
      <c r="DSF38" s="624"/>
      <c r="DSG38" s="624"/>
      <c r="DSH38" s="624"/>
      <c r="DSI38" s="624"/>
      <c r="DSJ38" s="624"/>
      <c r="DSK38" s="624"/>
      <c r="DSL38" s="624"/>
      <c r="DSM38" s="624"/>
      <c r="DSN38" s="624"/>
      <c r="DSO38" s="624"/>
      <c r="DSP38" s="624"/>
      <c r="DSQ38" s="624"/>
      <c r="DSR38" s="624"/>
      <c r="DSS38" s="624"/>
      <c r="DST38" s="624"/>
      <c r="DSU38" s="624"/>
      <c r="DSV38" s="624"/>
      <c r="DSW38" s="624"/>
      <c r="DSX38" s="624"/>
      <c r="DSY38" s="624"/>
      <c r="DSZ38" s="624"/>
      <c r="DTA38" s="624"/>
      <c r="DTB38" s="624"/>
      <c r="DTC38" s="624"/>
      <c r="DTD38" s="624"/>
      <c r="DTE38" s="624"/>
      <c r="DTF38" s="624"/>
      <c r="DTG38" s="624"/>
      <c r="DTH38" s="624"/>
      <c r="DTI38" s="624"/>
      <c r="DTJ38" s="624"/>
      <c r="DTK38" s="624"/>
      <c r="DTL38" s="624"/>
      <c r="DTM38" s="624"/>
      <c r="DTN38" s="624"/>
      <c r="DTO38" s="624"/>
      <c r="DTP38" s="624"/>
      <c r="DTQ38" s="624"/>
      <c r="DTR38" s="624"/>
      <c r="DTS38" s="624"/>
      <c r="DTT38" s="624"/>
      <c r="DTU38" s="624"/>
      <c r="DTV38" s="624"/>
      <c r="DTW38" s="624"/>
      <c r="DTX38" s="624"/>
      <c r="DTY38" s="624"/>
      <c r="DTZ38" s="624"/>
      <c r="DUA38" s="624"/>
      <c r="DUB38" s="624"/>
      <c r="DUC38" s="624"/>
      <c r="DUD38" s="624"/>
      <c r="DUE38" s="624"/>
      <c r="DUF38" s="624"/>
      <c r="DUG38" s="624"/>
      <c r="DUH38" s="624"/>
      <c r="DUI38" s="624"/>
      <c r="DUJ38" s="624"/>
      <c r="DUK38" s="624"/>
      <c r="DUL38" s="624"/>
      <c r="DUM38" s="624"/>
      <c r="DUN38" s="624"/>
      <c r="DUO38" s="624"/>
      <c r="DUP38" s="624"/>
      <c r="DUQ38" s="624"/>
      <c r="DUR38" s="624"/>
      <c r="DUS38" s="624"/>
      <c r="DUT38" s="624"/>
      <c r="DUU38" s="624"/>
      <c r="DUV38" s="624"/>
      <c r="DUW38" s="624"/>
      <c r="DUX38" s="624"/>
      <c r="DUY38" s="624"/>
      <c r="DUZ38" s="624"/>
      <c r="DVA38" s="624"/>
      <c r="DVB38" s="624"/>
      <c r="DVC38" s="624"/>
      <c r="DVD38" s="624"/>
      <c r="DVE38" s="624"/>
      <c r="DVF38" s="624"/>
      <c r="DVG38" s="624"/>
      <c r="DVH38" s="624"/>
      <c r="DVI38" s="624"/>
      <c r="DVJ38" s="624"/>
      <c r="DVK38" s="624"/>
      <c r="DVL38" s="624"/>
      <c r="DVM38" s="624"/>
      <c r="DVN38" s="624"/>
      <c r="DVO38" s="624"/>
      <c r="DVP38" s="624"/>
      <c r="DVQ38" s="624"/>
      <c r="DVR38" s="624"/>
      <c r="DVS38" s="624"/>
      <c r="DVT38" s="624"/>
      <c r="DVU38" s="624"/>
      <c r="DVV38" s="624"/>
      <c r="DVW38" s="624"/>
      <c r="DVX38" s="624"/>
      <c r="DVY38" s="624"/>
      <c r="DVZ38" s="624"/>
      <c r="DWA38" s="624"/>
      <c r="DWB38" s="624"/>
      <c r="DWC38" s="624"/>
      <c r="DWD38" s="624"/>
      <c r="DWE38" s="624"/>
      <c r="DWF38" s="624"/>
      <c r="DWG38" s="624"/>
      <c r="DWH38" s="624"/>
      <c r="DWI38" s="624"/>
      <c r="DWJ38" s="624"/>
      <c r="DWK38" s="624"/>
      <c r="DWL38" s="624"/>
      <c r="DWM38" s="624"/>
      <c r="DWN38" s="624"/>
      <c r="DWO38" s="624"/>
      <c r="DWP38" s="624"/>
      <c r="DWQ38" s="624"/>
      <c r="DWR38" s="624"/>
      <c r="DWS38" s="624"/>
      <c r="DWT38" s="624"/>
      <c r="DWU38" s="624"/>
      <c r="DWV38" s="624"/>
      <c r="DWW38" s="624"/>
      <c r="DWX38" s="624"/>
      <c r="DWY38" s="624"/>
      <c r="DWZ38" s="624"/>
      <c r="DXA38" s="624"/>
      <c r="DXB38" s="624"/>
      <c r="DXC38" s="624"/>
      <c r="DXD38" s="624"/>
      <c r="DXE38" s="624"/>
      <c r="DXF38" s="624"/>
      <c r="DXG38" s="624"/>
      <c r="DXH38" s="624"/>
      <c r="DXI38" s="624"/>
      <c r="DXJ38" s="624"/>
      <c r="DXK38" s="624"/>
      <c r="DXL38" s="624"/>
      <c r="DXM38" s="624"/>
      <c r="DXN38" s="624"/>
      <c r="DXO38" s="624"/>
      <c r="DXP38" s="624"/>
      <c r="DXQ38" s="624"/>
      <c r="DXR38" s="624"/>
      <c r="DXS38" s="624"/>
      <c r="DXT38" s="624"/>
      <c r="DXU38" s="624"/>
      <c r="DXV38" s="624"/>
      <c r="DXW38" s="624"/>
      <c r="DXX38" s="624"/>
      <c r="DXY38" s="624"/>
      <c r="DXZ38" s="624"/>
      <c r="DYA38" s="624"/>
      <c r="DYB38" s="624"/>
      <c r="DYC38" s="624"/>
      <c r="DYD38" s="624"/>
      <c r="DYE38" s="624"/>
      <c r="DYF38" s="624"/>
      <c r="DYG38" s="624"/>
      <c r="DYH38" s="624"/>
      <c r="DYI38" s="624"/>
      <c r="DYJ38" s="624"/>
      <c r="DYK38" s="624"/>
      <c r="DYL38" s="624"/>
      <c r="DYM38" s="624"/>
      <c r="DYN38" s="624"/>
      <c r="DYO38" s="624"/>
      <c r="DYP38" s="624"/>
      <c r="DYQ38" s="624"/>
      <c r="DYR38" s="624"/>
      <c r="DYS38" s="624"/>
      <c r="DYT38" s="624"/>
      <c r="DYU38" s="624"/>
      <c r="DYV38" s="624"/>
      <c r="DYW38" s="624"/>
      <c r="DYX38" s="624"/>
      <c r="DYY38" s="624"/>
      <c r="DYZ38" s="624"/>
      <c r="DZA38" s="624"/>
      <c r="DZB38" s="624"/>
      <c r="DZC38" s="624"/>
      <c r="DZD38" s="624"/>
      <c r="DZE38" s="624"/>
      <c r="DZF38" s="624"/>
      <c r="DZG38" s="624"/>
      <c r="DZH38" s="624"/>
      <c r="DZI38" s="624"/>
      <c r="DZJ38" s="624"/>
      <c r="DZK38" s="624"/>
      <c r="DZL38" s="624"/>
      <c r="DZM38" s="624"/>
      <c r="DZN38" s="624"/>
      <c r="DZO38" s="624"/>
      <c r="DZP38" s="624"/>
      <c r="DZQ38" s="624"/>
      <c r="DZR38" s="624"/>
      <c r="DZS38" s="624"/>
      <c r="DZT38" s="624"/>
      <c r="DZU38" s="624"/>
      <c r="DZV38" s="624"/>
      <c r="DZW38" s="624"/>
      <c r="DZX38" s="624"/>
      <c r="DZY38" s="624"/>
      <c r="DZZ38" s="624"/>
      <c r="EAA38" s="624"/>
      <c r="EAB38" s="624"/>
      <c r="EAC38" s="624"/>
      <c r="EAD38" s="624"/>
      <c r="EAE38" s="624"/>
      <c r="EAF38" s="624"/>
      <c r="EAG38" s="624"/>
      <c r="EAH38" s="624"/>
      <c r="EAI38" s="624"/>
      <c r="EAJ38" s="624"/>
      <c r="EAK38" s="624"/>
      <c r="EAL38" s="624"/>
      <c r="EAM38" s="624"/>
      <c r="EAN38" s="624"/>
      <c r="EAO38" s="624"/>
      <c r="EAP38" s="624"/>
      <c r="EAQ38" s="624"/>
      <c r="EAR38" s="624"/>
      <c r="EAS38" s="624"/>
      <c r="EAT38" s="624"/>
      <c r="EAU38" s="624"/>
      <c r="EAV38" s="624"/>
      <c r="EAW38" s="624"/>
      <c r="EAX38" s="624"/>
      <c r="EAY38" s="624"/>
      <c r="EAZ38" s="624"/>
      <c r="EBA38" s="624"/>
      <c r="EBB38" s="624"/>
      <c r="EBC38" s="624"/>
      <c r="EBD38" s="624"/>
      <c r="EBE38" s="624"/>
      <c r="EBF38" s="624"/>
      <c r="EBG38" s="624"/>
      <c r="EBH38" s="624"/>
      <c r="EBI38" s="624"/>
      <c r="EBJ38" s="624"/>
      <c r="EBK38" s="624"/>
      <c r="EBL38" s="624"/>
      <c r="EBM38" s="624"/>
      <c r="EBN38" s="624"/>
      <c r="EBO38" s="624"/>
      <c r="EBP38" s="624"/>
      <c r="EBQ38" s="624"/>
      <c r="EBR38" s="624"/>
      <c r="EBS38" s="624"/>
      <c r="EBT38" s="624"/>
      <c r="EBU38" s="624"/>
      <c r="EBV38" s="624"/>
      <c r="EBW38" s="624"/>
      <c r="EBX38" s="624"/>
      <c r="EBY38" s="624"/>
      <c r="EBZ38" s="624"/>
      <c r="ECA38" s="624"/>
      <c r="ECB38" s="624"/>
      <c r="ECC38" s="624"/>
      <c r="ECD38" s="624"/>
      <c r="ECE38" s="624"/>
      <c r="ECF38" s="624"/>
      <c r="ECG38" s="624"/>
      <c r="ECH38" s="624"/>
      <c r="ECI38" s="624"/>
      <c r="ECJ38" s="624"/>
      <c r="ECK38" s="624"/>
      <c r="ECL38" s="624"/>
      <c r="ECM38" s="624"/>
      <c r="ECN38" s="624"/>
      <c r="ECO38" s="624"/>
      <c r="ECP38" s="624"/>
      <c r="ECQ38" s="624"/>
      <c r="ECR38" s="624"/>
      <c r="ECS38" s="624"/>
      <c r="ECT38" s="624"/>
      <c r="ECU38" s="624"/>
      <c r="ECV38" s="624"/>
      <c r="ECW38" s="624"/>
      <c r="ECX38" s="624"/>
      <c r="ECY38" s="624"/>
      <c r="ECZ38" s="624"/>
      <c r="EDA38" s="624"/>
      <c r="EDB38" s="624"/>
      <c r="EDC38" s="624"/>
      <c r="EDD38" s="624"/>
      <c r="EDE38" s="624"/>
      <c r="EDF38" s="624"/>
      <c r="EDG38" s="624"/>
      <c r="EDH38" s="624"/>
      <c r="EDI38" s="624"/>
      <c r="EDJ38" s="624"/>
      <c r="EDK38" s="624"/>
      <c r="EDL38" s="624"/>
      <c r="EDM38" s="624"/>
      <c r="EDN38" s="624"/>
      <c r="EDO38" s="624"/>
      <c r="EDP38" s="624"/>
      <c r="EDQ38" s="624"/>
      <c r="EDR38" s="624"/>
      <c r="EDS38" s="624"/>
      <c r="EDT38" s="624"/>
      <c r="EDU38" s="624"/>
      <c r="EDV38" s="624"/>
      <c r="EDW38" s="624"/>
      <c r="EDX38" s="624"/>
      <c r="EDY38" s="624"/>
      <c r="EDZ38" s="624"/>
      <c r="EEA38" s="624"/>
      <c r="EEB38" s="624"/>
      <c r="EEC38" s="624"/>
      <c r="EED38" s="624"/>
      <c r="EEE38" s="624"/>
      <c r="EEF38" s="624"/>
      <c r="EEG38" s="624"/>
      <c r="EEH38" s="624"/>
      <c r="EEI38" s="624"/>
      <c r="EEJ38" s="624"/>
      <c r="EEK38" s="624"/>
      <c r="EEL38" s="624"/>
      <c r="EEM38" s="624"/>
      <c r="EEN38" s="624"/>
      <c r="EEO38" s="624"/>
      <c r="EEP38" s="624"/>
      <c r="EEQ38" s="624"/>
      <c r="EER38" s="624"/>
      <c r="EES38" s="624"/>
      <c r="EET38" s="624"/>
      <c r="EEU38" s="624"/>
      <c r="EEV38" s="624"/>
      <c r="EEW38" s="624"/>
      <c r="EEX38" s="624"/>
      <c r="EEY38" s="624"/>
      <c r="EEZ38" s="624"/>
      <c r="EFA38" s="624"/>
      <c r="EFB38" s="624"/>
      <c r="EFC38" s="624"/>
      <c r="EFD38" s="624"/>
      <c r="EFE38" s="624"/>
      <c r="EFF38" s="624"/>
      <c r="EFG38" s="624"/>
      <c r="EFH38" s="624"/>
      <c r="EFI38" s="624"/>
      <c r="EFJ38" s="624"/>
      <c r="EFK38" s="624"/>
      <c r="EFL38" s="624"/>
      <c r="EFM38" s="624"/>
      <c r="EFN38" s="624"/>
      <c r="EFO38" s="624"/>
      <c r="EFP38" s="624"/>
      <c r="EFQ38" s="624"/>
      <c r="EFR38" s="624"/>
      <c r="EFS38" s="624"/>
      <c r="EFT38" s="624"/>
      <c r="EFU38" s="624"/>
      <c r="EFV38" s="624"/>
      <c r="EFW38" s="624"/>
      <c r="EFX38" s="624"/>
      <c r="EFY38" s="624"/>
      <c r="EFZ38" s="624"/>
      <c r="EGA38" s="624"/>
      <c r="EGB38" s="624"/>
      <c r="EGC38" s="624"/>
      <c r="EGD38" s="624"/>
      <c r="EGE38" s="624"/>
      <c r="EGF38" s="624"/>
      <c r="EGG38" s="624"/>
      <c r="EGH38" s="624"/>
      <c r="EGI38" s="624"/>
      <c r="EGJ38" s="624"/>
      <c r="EGK38" s="624"/>
      <c r="EGL38" s="624"/>
      <c r="EGM38" s="624"/>
      <c r="EGN38" s="624"/>
      <c r="EGO38" s="624"/>
      <c r="EGP38" s="624"/>
      <c r="EGQ38" s="624"/>
      <c r="EGR38" s="624"/>
      <c r="EGS38" s="624"/>
      <c r="EGT38" s="624"/>
      <c r="EGU38" s="624"/>
      <c r="EGV38" s="624"/>
      <c r="EGW38" s="624"/>
      <c r="EGX38" s="624"/>
      <c r="EGY38" s="624"/>
      <c r="EGZ38" s="624"/>
      <c r="EHA38" s="624"/>
      <c r="EHB38" s="624"/>
      <c r="EHC38" s="624"/>
      <c r="EHD38" s="624"/>
      <c r="EHE38" s="624"/>
      <c r="EHF38" s="624"/>
      <c r="EHG38" s="624"/>
      <c r="EHH38" s="624"/>
      <c r="EHI38" s="624"/>
      <c r="EHJ38" s="624"/>
      <c r="EHK38" s="624"/>
      <c r="EHL38" s="624"/>
      <c r="EHM38" s="624"/>
      <c r="EHN38" s="624"/>
      <c r="EHO38" s="624"/>
      <c r="EHP38" s="624"/>
      <c r="EHQ38" s="624"/>
      <c r="EHR38" s="624"/>
      <c r="EHS38" s="624"/>
      <c r="EHT38" s="624"/>
      <c r="EHU38" s="624"/>
      <c r="EHV38" s="624"/>
      <c r="EHW38" s="624"/>
      <c r="EHX38" s="624"/>
      <c r="EHY38" s="624"/>
      <c r="EHZ38" s="624"/>
      <c r="EIA38" s="624"/>
      <c r="EIB38" s="624"/>
      <c r="EIC38" s="624"/>
      <c r="EID38" s="624"/>
      <c r="EIE38" s="624"/>
      <c r="EIF38" s="624"/>
      <c r="EIG38" s="624"/>
      <c r="EIH38" s="624"/>
      <c r="EII38" s="624"/>
      <c r="EIJ38" s="624"/>
      <c r="EIK38" s="624"/>
      <c r="EIL38" s="624"/>
      <c r="EIM38" s="624"/>
      <c r="EIN38" s="624"/>
      <c r="EIO38" s="624"/>
      <c r="EIP38" s="624"/>
      <c r="EIQ38" s="624"/>
      <c r="EIR38" s="624"/>
      <c r="EIS38" s="624"/>
      <c r="EIT38" s="624"/>
      <c r="EIU38" s="624"/>
      <c r="EIV38" s="624"/>
      <c r="EIW38" s="624"/>
      <c r="EIX38" s="624"/>
      <c r="EIY38" s="624"/>
      <c r="EIZ38" s="624"/>
      <c r="EJA38" s="624"/>
      <c r="EJB38" s="624"/>
      <c r="EJC38" s="624"/>
      <c r="EJD38" s="624"/>
      <c r="EJE38" s="624"/>
      <c r="EJF38" s="624"/>
      <c r="EJG38" s="624"/>
      <c r="EJH38" s="624"/>
      <c r="EJI38" s="624"/>
      <c r="EJJ38" s="624"/>
      <c r="EJK38" s="624"/>
      <c r="EJL38" s="624"/>
      <c r="EJM38" s="624"/>
      <c r="EJN38" s="624"/>
      <c r="EJO38" s="624"/>
      <c r="EJP38" s="624"/>
      <c r="EJQ38" s="624"/>
      <c r="EJR38" s="624"/>
      <c r="EJS38" s="624"/>
      <c r="EJT38" s="624"/>
      <c r="EJU38" s="624"/>
      <c r="EJV38" s="624"/>
      <c r="EJW38" s="624"/>
      <c r="EJX38" s="624"/>
      <c r="EJY38" s="624"/>
      <c r="EJZ38" s="624"/>
      <c r="EKA38" s="624"/>
      <c r="EKB38" s="624"/>
      <c r="EKC38" s="624"/>
      <c r="EKD38" s="624"/>
      <c r="EKE38" s="624"/>
      <c r="EKF38" s="624"/>
      <c r="EKG38" s="624"/>
      <c r="EKH38" s="624"/>
      <c r="EKI38" s="624"/>
      <c r="EKJ38" s="624"/>
      <c r="EKK38" s="624"/>
      <c r="EKL38" s="624"/>
      <c r="EKM38" s="624"/>
      <c r="EKN38" s="624"/>
      <c r="EKO38" s="624"/>
      <c r="EKP38" s="624"/>
      <c r="EKQ38" s="624"/>
      <c r="EKR38" s="624"/>
      <c r="EKS38" s="624"/>
      <c r="EKT38" s="624"/>
      <c r="EKU38" s="624"/>
      <c r="EKV38" s="624"/>
      <c r="EKW38" s="624"/>
      <c r="EKX38" s="624"/>
      <c r="EKY38" s="624"/>
      <c r="EKZ38" s="624"/>
      <c r="ELA38" s="624"/>
      <c r="ELB38" s="624"/>
      <c r="ELC38" s="624"/>
      <c r="ELD38" s="624"/>
      <c r="ELE38" s="624"/>
      <c r="ELF38" s="624"/>
      <c r="ELG38" s="624"/>
      <c r="ELH38" s="624"/>
      <c r="ELI38" s="624"/>
      <c r="ELJ38" s="624"/>
      <c r="ELK38" s="624"/>
      <c r="ELL38" s="624"/>
      <c r="ELM38" s="624"/>
      <c r="ELN38" s="624"/>
      <c r="ELO38" s="624"/>
      <c r="ELP38" s="624"/>
      <c r="ELQ38" s="624"/>
      <c r="ELR38" s="624"/>
      <c r="ELS38" s="624"/>
      <c r="ELT38" s="624"/>
      <c r="ELU38" s="624"/>
      <c r="ELV38" s="624"/>
      <c r="ELW38" s="624"/>
      <c r="ELX38" s="624"/>
      <c r="ELY38" s="624"/>
      <c r="ELZ38" s="624"/>
      <c r="EMA38" s="624"/>
      <c r="EMB38" s="624"/>
      <c r="EMC38" s="624"/>
      <c r="EMD38" s="624"/>
      <c r="EME38" s="624"/>
      <c r="EMF38" s="624"/>
      <c r="EMG38" s="624"/>
      <c r="EMH38" s="624"/>
      <c r="EMI38" s="624"/>
      <c r="EMJ38" s="624"/>
      <c r="EMK38" s="624"/>
      <c r="EML38" s="624"/>
      <c r="EMM38" s="624"/>
      <c r="EMN38" s="624"/>
      <c r="EMO38" s="624"/>
      <c r="EMP38" s="624"/>
      <c r="EMQ38" s="624"/>
      <c r="EMR38" s="624"/>
      <c r="EMS38" s="624"/>
      <c r="EMT38" s="624"/>
      <c r="EMU38" s="624"/>
      <c r="EMV38" s="624"/>
      <c r="EMW38" s="624"/>
      <c r="EMX38" s="624"/>
      <c r="EMY38" s="624"/>
      <c r="EMZ38" s="624"/>
      <c r="ENA38" s="624"/>
      <c r="ENB38" s="624"/>
      <c r="ENC38" s="624"/>
      <c r="END38" s="624"/>
      <c r="ENE38" s="624"/>
      <c r="ENF38" s="624"/>
      <c r="ENG38" s="624"/>
      <c r="ENH38" s="624"/>
      <c r="ENI38" s="624"/>
      <c r="ENJ38" s="624"/>
      <c r="ENK38" s="624"/>
      <c r="ENL38" s="624"/>
      <c r="ENM38" s="624"/>
      <c r="ENN38" s="624"/>
      <c r="ENO38" s="624"/>
      <c r="ENP38" s="624"/>
      <c r="ENQ38" s="624"/>
      <c r="ENR38" s="624"/>
      <c r="ENS38" s="624"/>
      <c r="ENT38" s="624"/>
      <c r="ENU38" s="624"/>
      <c r="ENV38" s="624"/>
      <c r="ENW38" s="624"/>
      <c r="ENX38" s="624"/>
      <c r="ENY38" s="624"/>
      <c r="ENZ38" s="624"/>
      <c r="EOA38" s="624"/>
      <c r="EOB38" s="624"/>
      <c r="EOC38" s="624"/>
      <c r="EOD38" s="624"/>
      <c r="EOE38" s="624"/>
      <c r="EOF38" s="624"/>
      <c r="EOG38" s="624"/>
      <c r="EOH38" s="624"/>
      <c r="EOI38" s="624"/>
      <c r="EOJ38" s="624"/>
      <c r="EOK38" s="624"/>
      <c r="EOL38" s="624"/>
      <c r="EOM38" s="624"/>
      <c r="EON38" s="624"/>
      <c r="EOO38" s="624"/>
      <c r="EOP38" s="624"/>
      <c r="EOQ38" s="624"/>
      <c r="EOR38" s="624"/>
      <c r="EOS38" s="624"/>
      <c r="EOT38" s="624"/>
      <c r="EOU38" s="624"/>
      <c r="EOV38" s="624"/>
      <c r="EOW38" s="624"/>
      <c r="EOX38" s="624"/>
      <c r="EOY38" s="624"/>
      <c r="EOZ38" s="624"/>
      <c r="EPA38" s="624"/>
      <c r="EPB38" s="624"/>
      <c r="EPC38" s="624"/>
      <c r="EPD38" s="624"/>
      <c r="EPE38" s="624"/>
      <c r="EPF38" s="624"/>
      <c r="EPG38" s="624"/>
      <c r="EPH38" s="624"/>
      <c r="EPI38" s="624"/>
      <c r="EPJ38" s="624"/>
      <c r="EPK38" s="624"/>
      <c r="EPL38" s="624"/>
      <c r="EPM38" s="624"/>
      <c r="EPN38" s="624"/>
      <c r="EPO38" s="624"/>
      <c r="EPP38" s="624"/>
      <c r="EPQ38" s="624"/>
      <c r="EPR38" s="624"/>
      <c r="EPS38" s="624"/>
      <c r="EPT38" s="624"/>
      <c r="EPU38" s="624"/>
      <c r="EPV38" s="624"/>
      <c r="EPW38" s="624"/>
      <c r="EPX38" s="624"/>
      <c r="EPY38" s="624"/>
      <c r="EPZ38" s="624"/>
      <c r="EQA38" s="624"/>
      <c r="EQB38" s="624"/>
      <c r="EQC38" s="624"/>
      <c r="EQD38" s="624"/>
      <c r="EQE38" s="624"/>
      <c r="EQF38" s="624"/>
      <c r="EQG38" s="624"/>
      <c r="EQH38" s="624"/>
      <c r="EQI38" s="624"/>
      <c r="EQJ38" s="624"/>
      <c r="EQK38" s="624"/>
      <c r="EQL38" s="624"/>
      <c r="EQM38" s="624"/>
      <c r="EQN38" s="624"/>
      <c r="EQO38" s="624"/>
      <c r="EQP38" s="624"/>
      <c r="EQQ38" s="624"/>
      <c r="EQR38" s="624"/>
      <c r="EQS38" s="624"/>
      <c r="EQT38" s="624"/>
      <c r="EQU38" s="624"/>
      <c r="EQV38" s="624"/>
      <c r="EQW38" s="624"/>
      <c r="EQX38" s="624"/>
      <c r="EQY38" s="624"/>
      <c r="EQZ38" s="624"/>
      <c r="ERA38" s="624"/>
      <c r="ERB38" s="624"/>
      <c r="ERC38" s="624"/>
      <c r="ERD38" s="624"/>
      <c r="ERE38" s="624"/>
      <c r="ERF38" s="624"/>
      <c r="ERG38" s="624"/>
      <c r="ERH38" s="624"/>
      <c r="ERI38" s="624"/>
      <c r="ERJ38" s="624"/>
      <c r="ERK38" s="624"/>
      <c r="ERL38" s="624"/>
      <c r="ERM38" s="624"/>
      <c r="ERN38" s="624"/>
      <c r="ERO38" s="624"/>
      <c r="ERP38" s="624"/>
      <c r="ERQ38" s="624"/>
      <c r="ERR38" s="624"/>
      <c r="ERS38" s="624"/>
      <c r="ERT38" s="624"/>
      <c r="ERU38" s="624"/>
      <c r="ERV38" s="624"/>
      <c r="ERW38" s="624"/>
      <c r="ERX38" s="624"/>
      <c r="ERY38" s="624"/>
      <c r="ERZ38" s="624"/>
      <c r="ESA38" s="624"/>
      <c r="ESB38" s="624"/>
      <c r="ESC38" s="624"/>
      <c r="ESD38" s="624"/>
      <c r="ESE38" s="624"/>
      <c r="ESF38" s="624"/>
      <c r="ESG38" s="624"/>
      <c r="ESH38" s="624"/>
      <c r="ESI38" s="624"/>
      <c r="ESJ38" s="624"/>
      <c r="ESK38" s="624"/>
      <c r="ESL38" s="624"/>
      <c r="ESM38" s="624"/>
      <c r="ESN38" s="624"/>
      <c r="ESO38" s="624"/>
      <c r="ESP38" s="624"/>
      <c r="ESQ38" s="624"/>
      <c r="ESR38" s="624"/>
      <c r="ESS38" s="624"/>
      <c r="EST38" s="624"/>
      <c r="ESU38" s="624"/>
      <c r="ESV38" s="624"/>
      <c r="ESW38" s="624"/>
      <c r="ESX38" s="624"/>
      <c r="ESY38" s="624"/>
      <c r="ESZ38" s="624"/>
      <c r="ETA38" s="624"/>
      <c r="ETB38" s="624"/>
      <c r="ETC38" s="624"/>
      <c r="ETD38" s="624"/>
      <c r="ETE38" s="624"/>
      <c r="ETF38" s="624"/>
      <c r="ETG38" s="624"/>
      <c r="ETH38" s="624"/>
      <c r="ETI38" s="624"/>
      <c r="ETJ38" s="624"/>
      <c r="ETK38" s="624"/>
      <c r="ETL38" s="624"/>
      <c r="ETM38" s="624"/>
      <c r="ETN38" s="624"/>
      <c r="ETO38" s="624"/>
      <c r="ETP38" s="624"/>
      <c r="ETQ38" s="624"/>
      <c r="ETR38" s="624"/>
      <c r="ETS38" s="624"/>
      <c r="ETT38" s="624"/>
      <c r="ETU38" s="624"/>
      <c r="ETV38" s="624"/>
      <c r="ETW38" s="624"/>
      <c r="ETX38" s="624"/>
      <c r="ETY38" s="624"/>
      <c r="ETZ38" s="624"/>
      <c r="EUA38" s="624"/>
      <c r="EUB38" s="624"/>
      <c r="EUC38" s="624"/>
      <c r="EUD38" s="624"/>
      <c r="EUE38" s="624"/>
      <c r="EUF38" s="624"/>
      <c r="EUG38" s="624"/>
      <c r="EUH38" s="624"/>
      <c r="EUI38" s="624"/>
      <c r="EUJ38" s="624"/>
      <c r="EUK38" s="624"/>
      <c r="EUL38" s="624"/>
      <c r="EUM38" s="624"/>
      <c r="EUN38" s="624"/>
      <c r="EUO38" s="624"/>
      <c r="EUP38" s="624"/>
      <c r="EUQ38" s="624"/>
      <c r="EUR38" s="624"/>
      <c r="EUS38" s="624"/>
      <c r="EUT38" s="624"/>
      <c r="EUU38" s="624"/>
      <c r="EUV38" s="624"/>
      <c r="EUW38" s="624"/>
      <c r="EUX38" s="624"/>
      <c r="EUY38" s="624"/>
      <c r="EUZ38" s="624"/>
      <c r="EVA38" s="624"/>
      <c r="EVB38" s="624"/>
      <c r="EVC38" s="624"/>
      <c r="EVD38" s="624"/>
      <c r="EVE38" s="624"/>
      <c r="EVF38" s="624"/>
      <c r="EVG38" s="624"/>
      <c r="EVH38" s="624"/>
      <c r="EVI38" s="624"/>
      <c r="EVJ38" s="624"/>
      <c r="EVK38" s="624"/>
      <c r="EVL38" s="624"/>
      <c r="EVM38" s="624"/>
      <c r="EVN38" s="624"/>
      <c r="EVO38" s="624"/>
      <c r="EVP38" s="624"/>
      <c r="EVQ38" s="624"/>
      <c r="EVR38" s="624"/>
      <c r="EVS38" s="624"/>
      <c r="EVT38" s="624"/>
      <c r="EVU38" s="624"/>
      <c r="EVV38" s="624"/>
      <c r="EVW38" s="624"/>
      <c r="EVX38" s="624"/>
      <c r="EVY38" s="624"/>
      <c r="EVZ38" s="624"/>
      <c r="EWA38" s="624"/>
      <c r="EWB38" s="624"/>
      <c r="EWC38" s="624"/>
      <c r="EWD38" s="624"/>
      <c r="EWE38" s="624"/>
      <c r="EWF38" s="624"/>
      <c r="EWG38" s="624"/>
      <c r="EWH38" s="624"/>
      <c r="EWI38" s="624"/>
      <c r="EWJ38" s="624"/>
      <c r="EWK38" s="624"/>
      <c r="EWL38" s="624"/>
      <c r="EWM38" s="624"/>
      <c r="EWN38" s="624"/>
      <c r="EWO38" s="624"/>
      <c r="EWP38" s="624"/>
      <c r="EWQ38" s="624"/>
      <c r="EWR38" s="624"/>
      <c r="EWS38" s="624"/>
      <c r="EWT38" s="624"/>
      <c r="EWU38" s="624"/>
      <c r="EWV38" s="624"/>
      <c r="EWW38" s="624"/>
      <c r="EWX38" s="624"/>
      <c r="EWY38" s="624"/>
      <c r="EWZ38" s="624"/>
      <c r="EXA38" s="624"/>
      <c r="EXB38" s="624"/>
      <c r="EXC38" s="624"/>
      <c r="EXD38" s="624"/>
      <c r="EXE38" s="624"/>
      <c r="EXF38" s="624"/>
      <c r="EXG38" s="624"/>
      <c r="EXH38" s="624"/>
      <c r="EXI38" s="624"/>
      <c r="EXJ38" s="624"/>
      <c r="EXK38" s="624"/>
      <c r="EXL38" s="624"/>
      <c r="EXM38" s="624"/>
      <c r="EXN38" s="624"/>
      <c r="EXO38" s="624"/>
      <c r="EXP38" s="624"/>
      <c r="EXQ38" s="624"/>
      <c r="EXR38" s="624"/>
      <c r="EXS38" s="624"/>
      <c r="EXT38" s="624"/>
      <c r="EXU38" s="624"/>
      <c r="EXV38" s="624"/>
      <c r="EXW38" s="624"/>
      <c r="EXX38" s="624"/>
      <c r="EXY38" s="624"/>
      <c r="EXZ38" s="624"/>
      <c r="EYA38" s="624"/>
      <c r="EYB38" s="624"/>
      <c r="EYC38" s="624"/>
      <c r="EYD38" s="624"/>
      <c r="EYE38" s="624"/>
      <c r="EYF38" s="624"/>
      <c r="EYG38" s="624"/>
      <c r="EYH38" s="624"/>
      <c r="EYI38" s="624"/>
      <c r="EYJ38" s="624"/>
      <c r="EYK38" s="624"/>
      <c r="EYL38" s="624"/>
      <c r="EYM38" s="624"/>
      <c r="EYN38" s="624"/>
      <c r="EYO38" s="624"/>
      <c r="EYP38" s="624"/>
      <c r="EYQ38" s="624"/>
      <c r="EYR38" s="624"/>
      <c r="EYS38" s="624"/>
      <c r="EYT38" s="624"/>
      <c r="EYU38" s="624"/>
      <c r="EYV38" s="624"/>
      <c r="EYW38" s="624"/>
      <c r="EYX38" s="624"/>
      <c r="EYY38" s="624"/>
      <c r="EYZ38" s="624"/>
      <c r="EZA38" s="624"/>
      <c r="EZB38" s="624"/>
      <c r="EZC38" s="624"/>
      <c r="EZD38" s="624"/>
      <c r="EZE38" s="624"/>
      <c r="EZF38" s="624"/>
      <c r="EZG38" s="624"/>
      <c r="EZH38" s="624"/>
      <c r="EZI38" s="624"/>
      <c r="EZJ38" s="624"/>
      <c r="EZK38" s="624"/>
      <c r="EZL38" s="624"/>
      <c r="EZM38" s="624"/>
      <c r="EZN38" s="624"/>
      <c r="EZO38" s="624"/>
      <c r="EZP38" s="624"/>
      <c r="EZQ38" s="624"/>
      <c r="EZR38" s="624"/>
      <c r="EZS38" s="624"/>
      <c r="EZT38" s="624"/>
      <c r="EZU38" s="624"/>
      <c r="EZV38" s="624"/>
      <c r="EZW38" s="624"/>
      <c r="EZX38" s="624"/>
      <c r="EZY38" s="624"/>
      <c r="EZZ38" s="624"/>
      <c r="FAA38" s="624"/>
      <c r="FAB38" s="624"/>
      <c r="FAC38" s="624"/>
      <c r="FAD38" s="624"/>
      <c r="FAE38" s="624"/>
      <c r="FAF38" s="624"/>
      <c r="FAG38" s="624"/>
      <c r="FAH38" s="624"/>
      <c r="FAI38" s="624"/>
      <c r="FAJ38" s="624"/>
      <c r="FAK38" s="624"/>
      <c r="FAL38" s="624"/>
      <c r="FAM38" s="624"/>
      <c r="FAN38" s="624"/>
      <c r="FAO38" s="624"/>
      <c r="FAP38" s="624"/>
      <c r="FAQ38" s="624"/>
      <c r="FAR38" s="624"/>
      <c r="FAS38" s="624"/>
      <c r="FAT38" s="624"/>
      <c r="FAU38" s="624"/>
      <c r="FAV38" s="624"/>
      <c r="FAW38" s="624"/>
      <c r="FAX38" s="624"/>
      <c r="FAY38" s="624"/>
      <c r="FAZ38" s="624"/>
      <c r="FBA38" s="624"/>
      <c r="FBB38" s="624"/>
      <c r="FBC38" s="624"/>
      <c r="FBD38" s="624"/>
      <c r="FBE38" s="624"/>
      <c r="FBF38" s="624"/>
      <c r="FBG38" s="624"/>
      <c r="FBH38" s="624"/>
      <c r="FBI38" s="624"/>
      <c r="FBJ38" s="624"/>
      <c r="FBK38" s="624"/>
      <c r="FBL38" s="624"/>
      <c r="FBM38" s="624"/>
      <c r="FBN38" s="624"/>
      <c r="FBO38" s="624"/>
      <c r="FBP38" s="624"/>
      <c r="FBQ38" s="624"/>
      <c r="FBR38" s="624"/>
      <c r="FBS38" s="624"/>
      <c r="FBT38" s="624"/>
      <c r="FBU38" s="624"/>
      <c r="FBV38" s="624"/>
      <c r="FBW38" s="624"/>
      <c r="FBX38" s="624"/>
      <c r="FBY38" s="624"/>
      <c r="FBZ38" s="624"/>
      <c r="FCA38" s="624"/>
      <c r="FCB38" s="624"/>
      <c r="FCC38" s="624"/>
      <c r="FCD38" s="624"/>
      <c r="FCE38" s="624"/>
      <c r="FCF38" s="624"/>
      <c r="FCG38" s="624"/>
      <c r="FCH38" s="624"/>
      <c r="FCI38" s="624"/>
      <c r="FCJ38" s="624"/>
      <c r="FCK38" s="624"/>
      <c r="FCL38" s="624"/>
      <c r="FCM38" s="624"/>
      <c r="FCN38" s="624"/>
      <c r="FCO38" s="624"/>
      <c r="FCP38" s="624"/>
      <c r="FCQ38" s="624"/>
      <c r="FCR38" s="624"/>
      <c r="FCS38" s="624"/>
      <c r="FCT38" s="624"/>
      <c r="FCU38" s="624"/>
      <c r="FCV38" s="624"/>
      <c r="FCW38" s="624"/>
      <c r="FCX38" s="624"/>
      <c r="FCY38" s="624"/>
      <c r="FCZ38" s="624"/>
      <c r="FDA38" s="624"/>
      <c r="FDB38" s="624"/>
      <c r="FDC38" s="624"/>
      <c r="FDD38" s="624"/>
      <c r="FDE38" s="624"/>
      <c r="FDF38" s="624"/>
      <c r="FDG38" s="624"/>
      <c r="FDH38" s="624"/>
      <c r="FDI38" s="624"/>
      <c r="FDJ38" s="624"/>
      <c r="FDK38" s="624"/>
      <c r="FDL38" s="624"/>
      <c r="FDM38" s="624"/>
      <c r="FDN38" s="624"/>
      <c r="FDO38" s="624"/>
      <c r="FDP38" s="624"/>
      <c r="FDQ38" s="624"/>
      <c r="FDR38" s="624"/>
      <c r="FDS38" s="624"/>
      <c r="FDT38" s="624"/>
      <c r="FDU38" s="624"/>
      <c r="FDV38" s="624"/>
      <c r="FDW38" s="624"/>
      <c r="FDX38" s="624"/>
      <c r="FDY38" s="624"/>
      <c r="FDZ38" s="624"/>
      <c r="FEA38" s="624"/>
      <c r="FEB38" s="624"/>
      <c r="FEC38" s="624"/>
      <c r="FED38" s="624"/>
      <c r="FEE38" s="624"/>
      <c r="FEF38" s="624"/>
      <c r="FEG38" s="624"/>
      <c r="FEH38" s="624"/>
      <c r="FEI38" s="624"/>
      <c r="FEJ38" s="624"/>
      <c r="FEK38" s="624"/>
      <c r="FEL38" s="624"/>
      <c r="FEM38" s="624"/>
      <c r="FEN38" s="624"/>
      <c r="FEO38" s="624"/>
      <c r="FEP38" s="624"/>
      <c r="FEQ38" s="624"/>
      <c r="FER38" s="624"/>
      <c r="FES38" s="624"/>
      <c r="FET38" s="624"/>
      <c r="FEU38" s="624"/>
      <c r="FEV38" s="624"/>
      <c r="FEW38" s="624"/>
      <c r="FEX38" s="624"/>
      <c r="FEY38" s="624"/>
      <c r="FEZ38" s="624"/>
      <c r="FFA38" s="624"/>
      <c r="FFB38" s="624"/>
      <c r="FFC38" s="624"/>
      <c r="FFD38" s="624"/>
      <c r="FFE38" s="624"/>
      <c r="FFF38" s="624"/>
      <c r="FFG38" s="624"/>
      <c r="FFH38" s="624"/>
      <c r="FFI38" s="624"/>
      <c r="FFJ38" s="624"/>
      <c r="FFK38" s="624"/>
      <c r="FFL38" s="624"/>
      <c r="FFM38" s="624"/>
      <c r="FFN38" s="624"/>
      <c r="FFO38" s="624"/>
      <c r="FFP38" s="624"/>
      <c r="FFQ38" s="624"/>
      <c r="FFR38" s="624"/>
      <c r="FFS38" s="624"/>
      <c r="FFT38" s="624"/>
      <c r="FFU38" s="624"/>
      <c r="FFV38" s="624"/>
      <c r="FFW38" s="624"/>
      <c r="FFX38" s="624"/>
      <c r="FFY38" s="624"/>
      <c r="FFZ38" s="624"/>
      <c r="FGA38" s="624"/>
      <c r="FGB38" s="624"/>
      <c r="FGC38" s="624"/>
      <c r="FGD38" s="624"/>
      <c r="FGE38" s="624"/>
      <c r="FGF38" s="624"/>
      <c r="FGG38" s="624"/>
      <c r="FGH38" s="624"/>
      <c r="FGI38" s="624"/>
      <c r="FGJ38" s="624"/>
      <c r="FGK38" s="624"/>
      <c r="FGL38" s="624"/>
      <c r="FGM38" s="624"/>
      <c r="FGN38" s="624"/>
      <c r="FGO38" s="624"/>
      <c r="FGP38" s="624"/>
      <c r="FGQ38" s="624"/>
      <c r="FGR38" s="624"/>
      <c r="FGS38" s="624"/>
      <c r="FGT38" s="624"/>
      <c r="FGU38" s="624"/>
      <c r="FGV38" s="624"/>
      <c r="FGW38" s="624"/>
      <c r="FGX38" s="624"/>
      <c r="FGY38" s="624"/>
      <c r="FGZ38" s="624"/>
      <c r="FHA38" s="624"/>
      <c r="FHB38" s="624"/>
      <c r="FHC38" s="624"/>
      <c r="FHD38" s="624"/>
      <c r="FHE38" s="624"/>
      <c r="FHF38" s="624"/>
      <c r="FHG38" s="624"/>
      <c r="FHH38" s="624"/>
      <c r="FHI38" s="624"/>
      <c r="FHJ38" s="624"/>
      <c r="FHK38" s="624"/>
      <c r="FHL38" s="624"/>
      <c r="FHM38" s="624"/>
      <c r="FHN38" s="624"/>
      <c r="FHO38" s="624"/>
      <c r="FHP38" s="624"/>
      <c r="FHQ38" s="624"/>
      <c r="FHR38" s="624"/>
      <c r="FHS38" s="624"/>
      <c r="FHT38" s="624"/>
      <c r="FHU38" s="624"/>
      <c r="FHV38" s="624"/>
      <c r="FHW38" s="624"/>
      <c r="FHX38" s="624"/>
      <c r="FHY38" s="624"/>
      <c r="FHZ38" s="624"/>
      <c r="FIA38" s="624"/>
      <c r="FIB38" s="624"/>
      <c r="FIC38" s="624"/>
      <c r="FID38" s="624"/>
      <c r="FIE38" s="624"/>
      <c r="FIF38" s="624"/>
      <c r="FIG38" s="624"/>
      <c r="FIH38" s="624"/>
      <c r="FII38" s="624"/>
      <c r="FIJ38" s="624"/>
      <c r="FIK38" s="624"/>
      <c r="FIL38" s="624"/>
      <c r="FIM38" s="624"/>
      <c r="FIN38" s="624"/>
      <c r="FIO38" s="624"/>
      <c r="FIP38" s="624"/>
      <c r="FIQ38" s="624"/>
      <c r="FIR38" s="624"/>
      <c r="FIS38" s="624"/>
      <c r="FIT38" s="624"/>
      <c r="FIU38" s="624"/>
      <c r="FIV38" s="624"/>
      <c r="FIW38" s="624"/>
      <c r="FIX38" s="624"/>
      <c r="FIY38" s="624"/>
      <c r="FIZ38" s="624"/>
      <c r="FJA38" s="624"/>
      <c r="FJB38" s="624"/>
      <c r="FJC38" s="624"/>
      <c r="FJD38" s="624"/>
      <c r="FJE38" s="624"/>
      <c r="FJF38" s="624"/>
      <c r="FJG38" s="624"/>
      <c r="FJH38" s="624"/>
      <c r="FJI38" s="624"/>
      <c r="FJJ38" s="624"/>
      <c r="FJK38" s="624"/>
      <c r="FJL38" s="624"/>
      <c r="FJM38" s="624"/>
      <c r="FJN38" s="624"/>
      <c r="FJO38" s="624"/>
      <c r="FJP38" s="624"/>
      <c r="FJQ38" s="624"/>
      <c r="FJR38" s="624"/>
      <c r="FJS38" s="624"/>
      <c r="FJT38" s="624"/>
      <c r="FJU38" s="624"/>
      <c r="FJV38" s="624"/>
      <c r="FJW38" s="624"/>
      <c r="FJX38" s="624"/>
      <c r="FJY38" s="624"/>
      <c r="FJZ38" s="624"/>
      <c r="FKA38" s="624"/>
      <c r="FKB38" s="624"/>
      <c r="FKC38" s="624"/>
      <c r="FKD38" s="624"/>
      <c r="FKE38" s="624"/>
      <c r="FKF38" s="624"/>
      <c r="FKG38" s="624"/>
      <c r="FKH38" s="624"/>
      <c r="FKI38" s="624"/>
      <c r="FKJ38" s="624"/>
      <c r="FKK38" s="624"/>
      <c r="FKL38" s="624"/>
      <c r="FKM38" s="624"/>
      <c r="FKN38" s="624"/>
      <c r="FKO38" s="624"/>
      <c r="FKP38" s="624"/>
      <c r="FKQ38" s="624"/>
      <c r="FKR38" s="624"/>
      <c r="FKS38" s="624"/>
      <c r="FKT38" s="624"/>
      <c r="FKU38" s="624"/>
      <c r="FKV38" s="624"/>
      <c r="FKW38" s="624"/>
      <c r="FKX38" s="624"/>
      <c r="FKY38" s="624"/>
      <c r="FKZ38" s="624"/>
      <c r="FLA38" s="624"/>
      <c r="FLB38" s="624"/>
      <c r="FLC38" s="624"/>
      <c r="FLD38" s="624"/>
      <c r="FLE38" s="624"/>
      <c r="FLF38" s="624"/>
      <c r="FLG38" s="624"/>
      <c r="FLH38" s="624"/>
      <c r="FLI38" s="624"/>
      <c r="FLJ38" s="624"/>
      <c r="FLK38" s="624"/>
      <c r="FLL38" s="624"/>
      <c r="FLM38" s="624"/>
      <c r="FLN38" s="624"/>
      <c r="FLO38" s="624"/>
      <c r="FLP38" s="624"/>
      <c r="FLQ38" s="624"/>
      <c r="FLR38" s="624"/>
      <c r="FLS38" s="624"/>
      <c r="FLT38" s="624"/>
      <c r="FLU38" s="624"/>
      <c r="FLV38" s="624"/>
      <c r="FLW38" s="624"/>
      <c r="FLX38" s="624"/>
      <c r="FLY38" s="624"/>
      <c r="FLZ38" s="624"/>
      <c r="FMA38" s="624"/>
      <c r="FMB38" s="624"/>
      <c r="FMC38" s="624"/>
      <c r="FMD38" s="624"/>
      <c r="FME38" s="624"/>
      <c r="FMF38" s="624"/>
      <c r="FMG38" s="624"/>
      <c r="FMH38" s="624"/>
      <c r="FMI38" s="624"/>
      <c r="FMJ38" s="624"/>
      <c r="FMK38" s="624"/>
      <c r="FML38" s="624"/>
      <c r="FMM38" s="624"/>
      <c r="FMN38" s="624"/>
      <c r="FMO38" s="624"/>
      <c r="FMP38" s="624"/>
      <c r="FMQ38" s="624"/>
      <c r="FMR38" s="624"/>
      <c r="FMS38" s="624"/>
      <c r="FMT38" s="624"/>
      <c r="FMU38" s="624"/>
      <c r="FMV38" s="624"/>
      <c r="FMW38" s="624"/>
      <c r="FMX38" s="624"/>
      <c r="FMY38" s="624"/>
      <c r="FMZ38" s="624"/>
      <c r="FNA38" s="624"/>
      <c r="FNB38" s="624"/>
      <c r="FNC38" s="624"/>
      <c r="FND38" s="624"/>
      <c r="FNE38" s="624"/>
      <c r="FNF38" s="624"/>
      <c r="FNG38" s="624"/>
      <c r="FNH38" s="624"/>
      <c r="FNI38" s="624"/>
      <c r="FNJ38" s="624"/>
      <c r="FNK38" s="624"/>
      <c r="FNL38" s="624"/>
      <c r="FNM38" s="624"/>
      <c r="FNN38" s="624"/>
      <c r="FNO38" s="624"/>
      <c r="FNP38" s="624"/>
      <c r="FNQ38" s="624"/>
      <c r="FNR38" s="624"/>
      <c r="FNS38" s="624"/>
      <c r="FNT38" s="624"/>
      <c r="FNU38" s="624"/>
      <c r="FNV38" s="624"/>
      <c r="FNW38" s="624"/>
      <c r="FNX38" s="624"/>
      <c r="FNY38" s="624"/>
      <c r="FNZ38" s="624"/>
      <c r="FOA38" s="624"/>
      <c r="FOB38" s="624"/>
      <c r="FOC38" s="624"/>
      <c r="FOD38" s="624"/>
      <c r="FOE38" s="624"/>
      <c r="FOF38" s="624"/>
      <c r="FOG38" s="624"/>
      <c r="FOH38" s="624"/>
      <c r="FOI38" s="624"/>
      <c r="FOJ38" s="624"/>
      <c r="FOK38" s="624"/>
      <c r="FOL38" s="624"/>
      <c r="FOM38" s="624"/>
      <c r="FON38" s="624"/>
      <c r="FOO38" s="624"/>
      <c r="FOP38" s="624"/>
      <c r="FOQ38" s="624"/>
      <c r="FOR38" s="624"/>
      <c r="FOS38" s="624"/>
      <c r="FOT38" s="624"/>
      <c r="FOU38" s="624"/>
      <c r="FOV38" s="624"/>
      <c r="FOW38" s="624"/>
      <c r="FOX38" s="624"/>
      <c r="FOY38" s="624"/>
      <c r="FOZ38" s="624"/>
      <c r="FPA38" s="624"/>
      <c r="FPB38" s="624"/>
      <c r="FPC38" s="624"/>
      <c r="FPD38" s="624"/>
      <c r="FPE38" s="624"/>
      <c r="FPF38" s="624"/>
      <c r="FPG38" s="624"/>
      <c r="FPH38" s="624"/>
      <c r="FPI38" s="624"/>
      <c r="FPJ38" s="624"/>
      <c r="FPK38" s="624"/>
      <c r="FPL38" s="624"/>
      <c r="FPM38" s="624"/>
      <c r="FPN38" s="624"/>
      <c r="FPO38" s="624"/>
      <c r="FPP38" s="624"/>
      <c r="FPQ38" s="624"/>
      <c r="FPR38" s="624"/>
      <c r="FPS38" s="624"/>
      <c r="FPT38" s="624"/>
      <c r="FPU38" s="624"/>
      <c r="FPV38" s="624"/>
      <c r="FPW38" s="624"/>
      <c r="FPX38" s="624"/>
      <c r="FPY38" s="624"/>
      <c r="FPZ38" s="624"/>
      <c r="FQA38" s="624"/>
      <c r="FQB38" s="624"/>
      <c r="FQC38" s="624"/>
      <c r="FQD38" s="624"/>
      <c r="FQE38" s="624"/>
      <c r="FQF38" s="624"/>
      <c r="FQG38" s="624"/>
      <c r="FQH38" s="624"/>
      <c r="FQI38" s="624"/>
      <c r="FQJ38" s="624"/>
      <c r="FQK38" s="624"/>
      <c r="FQL38" s="624"/>
      <c r="FQM38" s="624"/>
      <c r="FQN38" s="624"/>
      <c r="FQO38" s="624"/>
      <c r="FQP38" s="624"/>
      <c r="FQQ38" s="624"/>
      <c r="FQR38" s="624"/>
      <c r="FQS38" s="624"/>
      <c r="FQT38" s="624"/>
      <c r="FQU38" s="624"/>
      <c r="FQV38" s="624"/>
      <c r="FQW38" s="624"/>
      <c r="FQX38" s="624"/>
      <c r="FQY38" s="624"/>
      <c r="FQZ38" s="624"/>
      <c r="FRA38" s="624"/>
      <c r="FRB38" s="624"/>
      <c r="FRC38" s="624"/>
      <c r="FRD38" s="624"/>
      <c r="FRE38" s="624"/>
      <c r="FRF38" s="624"/>
      <c r="FRG38" s="624"/>
      <c r="FRH38" s="624"/>
      <c r="FRI38" s="624"/>
      <c r="FRJ38" s="624"/>
      <c r="FRK38" s="624"/>
      <c r="FRL38" s="624"/>
      <c r="FRM38" s="624"/>
      <c r="FRN38" s="624"/>
      <c r="FRO38" s="624"/>
      <c r="FRP38" s="624"/>
      <c r="FRQ38" s="624"/>
      <c r="FRR38" s="624"/>
      <c r="FRS38" s="624"/>
      <c r="FRT38" s="624"/>
      <c r="FRU38" s="624"/>
      <c r="FRV38" s="624"/>
      <c r="FRW38" s="624"/>
      <c r="FRX38" s="624"/>
      <c r="FRY38" s="624"/>
      <c r="FRZ38" s="624"/>
      <c r="FSA38" s="624"/>
      <c r="FSB38" s="624"/>
      <c r="FSC38" s="624"/>
      <c r="FSD38" s="624"/>
      <c r="FSE38" s="624"/>
      <c r="FSF38" s="624"/>
      <c r="FSG38" s="624"/>
      <c r="FSH38" s="624"/>
      <c r="FSI38" s="624"/>
      <c r="FSJ38" s="624"/>
      <c r="FSK38" s="624"/>
      <c r="FSL38" s="624"/>
      <c r="FSM38" s="624"/>
      <c r="FSN38" s="624"/>
      <c r="FSO38" s="624"/>
      <c r="FSP38" s="624"/>
      <c r="FSQ38" s="624"/>
      <c r="FSR38" s="624"/>
      <c r="FSS38" s="624"/>
      <c r="FST38" s="624"/>
      <c r="FSU38" s="624"/>
      <c r="FSV38" s="624"/>
      <c r="FSW38" s="624"/>
      <c r="FSX38" s="624"/>
      <c r="FSY38" s="624"/>
      <c r="FSZ38" s="624"/>
      <c r="FTA38" s="624"/>
      <c r="FTB38" s="624"/>
      <c r="FTC38" s="624"/>
      <c r="FTD38" s="624"/>
      <c r="FTE38" s="624"/>
      <c r="FTF38" s="624"/>
      <c r="FTG38" s="624"/>
      <c r="FTH38" s="624"/>
      <c r="FTI38" s="624"/>
      <c r="FTJ38" s="624"/>
      <c r="FTK38" s="624"/>
      <c r="FTL38" s="624"/>
      <c r="FTM38" s="624"/>
      <c r="FTN38" s="624"/>
      <c r="FTO38" s="624"/>
      <c r="FTP38" s="624"/>
      <c r="FTQ38" s="624"/>
      <c r="FTR38" s="624"/>
      <c r="FTS38" s="624"/>
      <c r="FTT38" s="624"/>
      <c r="FTU38" s="624"/>
      <c r="FTV38" s="624"/>
      <c r="FTW38" s="624"/>
      <c r="FTX38" s="624"/>
      <c r="FTY38" s="624"/>
      <c r="FTZ38" s="624"/>
      <c r="FUA38" s="624"/>
      <c r="FUB38" s="624"/>
      <c r="FUC38" s="624"/>
      <c r="FUD38" s="624"/>
      <c r="FUE38" s="624"/>
      <c r="FUF38" s="624"/>
      <c r="FUG38" s="624"/>
      <c r="FUH38" s="624"/>
      <c r="FUI38" s="624"/>
      <c r="FUJ38" s="624"/>
      <c r="FUK38" s="624"/>
      <c r="FUL38" s="624"/>
      <c r="FUM38" s="624"/>
      <c r="FUN38" s="624"/>
      <c r="FUO38" s="624"/>
      <c r="FUP38" s="624"/>
      <c r="FUQ38" s="624"/>
      <c r="FUR38" s="624"/>
      <c r="FUS38" s="624"/>
      <c r="FUT38" s="624"/>
      <c r="FUU38" s="624"/>
      <c r="FUV38" s="624"/>
      <c r="FUW38" s="624"/>
      <c r="FUX38" s="624"/>
      <c r="FUY38" s="624"/>
      <c r="FUZ38" s="624"/>
      <c r="FVA38" s="624"/>
      <c r="FVB38" s="624"/>
      <c r="FVC38" s="624"/>
      <c r="FVD38" s="624"/>
      <c r="FVE38" s="624"/>
      <c r="FVF38" s="624"/>
      <c r="FVG38" s="624"/>
      <c r="FVH38" s="624"/>
      <c r="FVI38" s="624"/>
      <c r="FVJ38" s="624"/>
      <c r="FVK38" s="624"/>
      <c r="FVL38" s="624"/>
      <c r="FVM38" s="624"/>
      <c r="FVN38" s="624"/>
      <c r="FVO38" s="624"/>
      <c r="FVP38" s="624"/>
      <c r="FVQ38" s="624"/>
      <c r="FVR38" s="624"/>
      <c r="FVS38" s="624"/>
      <c r="FVT38" s="624"/>
      <c r="FVU38" s="624"/>
      <c r="FVV38" s="624"/>
      <c r="FVW38" s="624"/>
      <c r="FVX38" s="624"/>
      <c r="FVY38" s="624"/>
      <c r="FVZ38" s="624"/>
      <c r="FWA38" s="624"/>
      <c r="FWB38" s="624"/>
      <c r="FWC38" s="624"/>
      <c r="FWD38" s="624"/>
      <c r="FWE38" s="624"/>
      <c r="FWF38" s="624"/>
      <c r="FWG38" s="624"/>
      <c r="FWH38" s="624"/>
      <c r="FWI38" s="624"/>
      <c r="FWJ38" s="624"/>
      <c r="FWK38" s="624"/>
      <c r="FWL38" s="624"/>
      <c r="FWM38" s="624"/>
      <c r="FWN38" s="624"/>
      <c r="FWO38" s="624"/>
      <c r="FWP38" s="624"/>
      <c r="FWQ38" s="624"/>
      <c r="FWR38" s="624"/>
      <c r="FWS38" s="624"/>
      <c r="FWT38" s="624"/>
      <c r="FWU38" s="624"/>
      <c r="FWV38" s="624"/>
      <c r="FWW38" s="624"/>
      <c r="FWX38" s="624"/>
      <c r="FWY38" s="624"/>
      <c r="FWZ38" s="624"/>
      <c r="FXA38" s="624"/>
      <c r="FXB38" s="624"/>
      <c r="FXC38" s="624"/>
      <c r="FXD38" s="624"/>
      <c r="FXE38" s="624"/>
      <c r="FXF38" s="624"/>
      <c r="FXG38" s="624"/>
      <c r="FXH38" s="624"/>
      <c r="FXI38" s="624"/>
      <c r="FXJ38" s="624"/>
      <c r="FXK38" s="624"/>
      <c r="FXL38" s="624"/>
      <c r="FXM38" s="624"/>
      <c r="FXN38" s="624"/>
      <c r="FXO38" s="624"/>
      <c r="FXP38" s="624"/>
      <c r="FXQ38" s="624"/>
      <c r="FXR38" s="624"/>
      <c r="FXS38" s="624"/>
      <c r="FXT38" s="624"/>
      <c r="FXU38" s="624"/>
      <c r="FXV38" s="624"/>
      <c r="FXW38" s="624"/>
      <c r="FXX38" s="624"/>
      <c r="FXY38" s="624"/>
      <c r="FXZ38" s="624"/>
      <c r="FYA38" s="624"/>
      <c r="FYB38" s="624"/>
      <c r="FYC38" s="624"/>
      <c r="FYD38" s="624"/>
      <c r="FYE38" s="624"/>
      <c r="FYF38" s="624"/>
      <c r="FYG38" s="624"/>
      <c r="FYH38" s="624"/>
      <c r="FYI38" s="624"/>
      <c r="FYJ38" s="624"/>
      <c r="FYK38" s="624"/>
      <c r="FYL38" s="624"/>
      <c r="FYM38" s="624"/>
      <c r="FYN38" s="624"/>
      <c r="FYO38" s="624"/>
      <c r="FYP38" s="624"/>
      <c r="FYQ38" s="624"/>
      <c r="FYR38" s="624"/>
      <c r="FYS38" s="624"/>
      <c r="FYT38" s="624"/>
      <c r="FYU38" s="624"/>
      <c r="FYV38" s="624"/>
      <c r="FYW38" s="624"/>
      <c r="FYX38" s="624"/>
      <c r="FYY38" s="624"/>
      <c r="FYZ38" s="624"/>
      <c r="FZA38" s="624"/>
      <c r="FZB38" s="624"/>
      <c r="FZC38" s="624"/>
      <c r="FZD38" s="624"/>
      <c r="FZE38" s="624"/>
      <c r="FZF38" s="624"/>
      <c r="FZG38" s="624"/>
      <c r="FZH38" s="624"/>
      <c r="FZI38" s="624"/>
      <c r="FZJ38" s="624"/>
      <c r="FZK38" s="624"/>
      <c r="FZL38" s="624"/>
      <c r="FZM38" s="624"/>
      <c r="FZN38" s="624"/>
      <c r="FZO38" s="624"/>
      <c r="FZP38" s="624"/>
      <c r="FZQ38" s="624"/>
      <c r="FZR38" s="624"/>
      <c r="FZS38" s="624"/>
      <c r="FZT38" s="624"/>
      <c r="FZU38" s="624"/>
      <c r="FZV38" s="624"/>
      <c r="FZW38" s="624"/>
      <c r="FZX38" s="624"/>
      <c r="FZY38" s="624"/>
      <c r="FZZ38" s="624"/>
      <c r="GAA38" s="624"/>
      <c r="GAB38" s="624"/>
      <c r="GAC38" s="624"/>
      <c r="GAD38" s="624"/>
      <c r="GAE38" s="624"/>
      <c r="GAF38" s="624"/>
      <c r="GAG38" s="624"/>
      <c r="GAH38" s="624"/>
      <c r="GAI38" s="624"/>
      <c r="GAJ38" s="624"/>
      <c r="GAK38" s="624"/>
      <c r="GAL38" s="624"/>
      <c r="GAM38" s="624"/>
      <c r="GAN38" s="624"/>
      <c r="GAO38" s="624"/>
      <c r="GAP38" s="624"/>
      <c r="GAQ38" s="624"/>
      <c r="GAR38" s="624"/>
      <c r="GAS38" s="624"/>
      <c r="GAT38" s="624"/>
      <c r="GAU38" s="624"/>
      <c r="GAV38" s="624"/>
      <c r="GAW38" s="624"/>
      <c r="GAX38" s="624"/>
      <c r="GAY38" s="624"/>
      <c r="GAZ38" s="624"/>
      <c r="GBA38" s="624"/>
      <c r="GBB38" s="624"/>
      <c r="GBC38" s="624"/>
      <c r="GBD38" s="624"/>
      <c r="GBE38" s="624"/>
      <c r="GBF38" s="624"/>
      <c r="GBG38" s="624"/>
      <c r="GBH38" s="624"/>
      <c r="GBI38" s="624"/>
      <c r="GBJ38" s="624"/>
      <c r="GBK38" s="624"/>
      <c r="GBL38" s="624"/>
      <c r="GBM38" s="624"/>
      <c r="GBN38" s="624"/>
      <c r="GBO38" s="624"/>
      <c r="GBP38" s="624"/>
      <c r="GBQ38" s="624"/>
      <c r="GBR38" s="624"/>
      <c r="GBS38" s="624"/>
      <c r="GBT38" s="624"/>
      <c r="GBU38" s="624"/>
      <c r="GBV38" s="624"/>
      <c r="GBW38" s="624"/>
      <c r="GBX38" s="624"/>
      <c r="GBY38" s="624"/>
      <c r="GBZ38" s="624"/>
      <c r="GCA38" s="624"/>
      <c r="GCB38" s="624"/>
      <c r="GCC38" s="624"/>
      <c r="GCD38" s="624"/>
      <c r="GCE38" s="624"/>
      <c r="GCF38" s="624"/>
      <c r="GCG38" s="624"/>
      <c r="GCH38" s="624"/>
      <c r="GCI38" s="624"/>
      <c r="GCJ38" s="624"/>
      <c r="GCK38" s="624"/>
      <c r="GCL38" s="624"/>
      <c r="GCM38" s="624"/>
      <c r="GCN38" s="624"/>
      <c r="GCO38" s="624"/>
      <c r="GCP38" s="624"/>
      <c r="GCQ38" s="624"/>
      <c r="GCR38" s="624"/>
      <c r="GCS38" s="624"/>
      <c r="GCT38" s="624"/>
      <c r="GCU38" s="624"/>
      <c r="GCV38" s="624"/>
      <c r="GCW38" s="624"/>
      <c r="GCX38" s="624"/>
      <c r="GCY38" s="624"/>
      <c r="GCZ38" s="624"/>
      <c r="GDA38" s="624"/>
      <c r="GDB38" s="624"/>
      <c r="GDC38" s="624"/>
      <c r="GDD38" s="624"/>
      <c r="GDE38" s="624"/>
      <c r="GDF38" s="624"/>
      <c r="GDG38" s="624"/>
      <c r="GDH38" s="624"/>
      <c r="GDI38" s="624"/>
      <c r="GDJ38" s="624"/>
      <c r="GDK38" s="624"/>
      <c r="GDL38" s="624"/>
      <c r="GDM38" s="624"/>
      <c r="GDN38" s="624"/>
      <c r="GDO38" s="624"/>
      <c r="GDP38" s="624"/>
      <c r="GDQ38" s="624"/>
      <c r="GDR38" s="624"/>
      <c r="GDS38" s="624"/>
      <c r="GDT38" s="624"/>
      <c r="GDU38" s="624"/>
      <c r="GDV38" s="624"/>
      <c r="GDW38" s="624"/>
      <c r="GDX38" s="624"/>
      <c r="GDY38" s="624"/>
      <c r="GDZ38" s="624"/>
      <c r="GEA38" s="624"/>
      <c r="GEB38" s="624"/>
      <c r="GEC38" s="624"/>
      <c r="GED38" s="624"/>
      <c r="GEE38" s="624"/>
      <c r="GEF38" s="624"/>
      <c r="GEG38" s="624"/>
      <c r="GEH38" s="624"/>
      <c r="GEI38" s="624"/>
      <c r="GEJ38" s="624"/>
      <c r="GEK38" s="624"/>
      <c r="GEL38" s="624"/>
      <c r="GEM38" s="624"/>
      <c r="GEN38" s="624"/>
      <c r="GEO38" s="624"/>
      <c r="GEP38" s="624"/>
      <c r="GEQ38" s="624"/>
      <c r="GER38" s="624"/>
      <c r="GES38" s="624"/>
      <c r="GET38" s="624"/>
      <c r="GEU38" s="624"/>
      <c r="GEV38" s="624"/>
      <c r="GEW38" s="624"/>
      <c r="GEX38" s="624"/>
      <c r="GEY38" s="624"/>
      <c r="GEZ38" s="624"/>
      <c r="GFA38" s="624"/>
      <c r="GFB38" s="624"/>
      <c r="GFC38" s="624"/>
      <c r="GFD38" s="624"/>
      <c r="GFE38" s="624"/>
      <c r="GFF38" s="624"/>
      <c r="GFG38" s="624"/>
      <c r="GFH38" s="624"/>
      <c r="GFI38" s="624"/>
      <c r="GFJ38" s="624"/>
      <c r="GFK38" s="624"/>
      <c r="GFL38" s="624"/>
      <c r="GFM38" s="624"/>
      <c r="GFN38" s="624"/>
      <c r="GFO38" s="624"/>
      <c r="GFP38" s="624"/>
      <c r="GFQ38" s="624"/>
      <c r="GFR38" s="624"/>
      <c r="GFS38" s="624"/>
      <c r="GFT38" s="624"/>
      <c r="GFU38" s="624"/>
      <c r="GFV38" s="624"/>
      <c r="GFW38" s="624"/>
      <c r="GFX38" s="624"/>
      <c r="GFY38" s="624"/>
      <c r="GFZ38" s="624"/>
      <c r="GGA38" s="624"/>
      <c r="GGB38" s="624"/>
      <c r="GGC38" s="624"/>
      <c r="GGD38" s="624"/>
      <c r="GGE38" s="624"/>
      <c r="GGF38" s="624"/>
      <c r="GGG38" s="624"/>
      <c r="GGH38" s="624"/>
      <c r="GGI38" s="624"/>
      <c r="GGJ38" s="624"/>
      <c r="GGK38" s="624"/>
      <c r="GGL38" s="624"/>
      <c r="GGM38" s="624"/>
      <c r="GGN38" s="624"/>
      <c r="GGO38" s="624"/>
      <c r="GGP38" s="624"/>
      <c r="GGQ38" s="624"/>
      <c r="GGR38" s="624"/>
      <c r="GGS38" s="624"/>
      <c r="GGT38" s="624"/>
      <c r="GGU38" s="624"/>
      <c r="GGV38" s="624"/>
      <c r="GGW38" s="624"/>
      <c r="GGX38" s="624"/>
      <c r="GGY38" s="624"/>
      <c r="GGZ38" s="624"/>
      <c r="GHA38" s="624"/>
      <c r="GHB38" s="624"/>
      <c r="GHC38" s="624"/>
      <c r="GHD38" s="624"/>
      <c r="GHE38" s="624"/>
      <c r="GHF38" s="624"/>
      <c r="GHG38" s="624"/>
      <c r="GHH38" s="624"/>
      <c r="GHI38" s="624"/>
      <c r="GHJ38" s="624"/>
      <c r="GHK38" s="624"/>
      <c r="GHL38" s="624"/>
      <c r="GHM38" s="624"/>
      <c r="GHN38" s="624"/>
      <c r="GHO38" s="624"/>
      <c r="GHP38" s="624"/>
      <c r="GHQ38" s="624"/>
      <c r="GHR38" s="624"/>
      <c r="GHS38" s="624"/>
      <c r="GHT38" s="624"/>
      <c r="GHU38" s="624"/>
      <c r="GHV38" s="624"/>
      <c r="GHW38" s="624"/>
      <c r="GHX38" s="624"/>
      <c r="GHY38" s="624"/>
      <c r="GHZ38" s="624"/>
      <c r="GIA38" s="624"/>
      <c r="GIB38" s="624"/>
      <c r="GIC38" s="624"/>
      <c r="GID38" s="624"/>
      <c r="GIE38" s="624"/>
      <c r="GIF38" s="624"/>
      <c r="GIG38" s="624"/>
      <c r="GIH38" s="624"/>
      <c r="GII38" s="624"/>
      <c r="GIJ38" s="624"/>
      <c r="GIK38" s="624"/>
      <c r="GIL38" s="624"/>
      <c r="GIM38" s="624"/>
      <c r="GIN38" s="624"/>
      <c r="GIO38" s="624"/>
      <c r="GIP38" s="624"/>
      <c r="GIQ38" s="624"/>
      <c r="GIR38" s="624"/>
      <c r="GIS38" s="624"/>
      <c r="GIT38" s="624"/>
      <c r="GIU38" s="624"/>
      <c r="GIV38" s="624"/>
      <c r="GIW38" s="624"/>
      <c r="GIX38" s="624"/>
      <c r="GIY38" s="624"/>
      <c r="GIZ38" s="624"/>
      <c r="GJA38" s="624"/>
      <c r="GJB38" s="624"/>
      <c r="GJC38" s="624"/>
      <c r="GJD38" s="624"/>
      <c r="GJE38" s="624"/>
      <c r="GJF38" s="624"/>
      <c r="GJG38" s="624"/>
      <c r="GJH38" s="624"/>
      <c r="GJI38" s="624"/>
      <c r="GJJ38" s="624"/>
      <c r="GJK38" s="624"/>
      <c r="GJL38" s="624"/>
      <c r="GJM38" s="624"/>
      <c r="GJN38" s="624"/>
      <c r="GJO38" s="624"/>
      <c r="GJP38" s="624"/>
      <c r="GJQ38" s="624"/>
      <c r="GJR38" s="624"/>
      <c r="GJS38" s="624"/>
      <c r="GJT38" s="624"/>
      <c r="GJU38" s="624"/>
      <c r="GJV38" s="624"/>
      <c r="GJW38" s="624"/>
      <c r="GJX38" s="624"/>
      <c r="GJY38" s="624"/>
      <c r="GJZ38" s="624"/>
      <c r="GKA38" s="624"/>
      <c r="GKB38" s="624"/>
      <c r="GKC38" s="624"/>
      <c r="GKD38" s="624"/>
      <c r="GKE38" s="624"/>
      <c r="GKF38" s="624"/>
      <c r="GKG38" s="624"/>
      <c r="GKH38" s="624"/>
      <c r="GKI38" s="624"/>
      <c r="GKJ38" s="624"/>
      <c r="GKK38" s="624"/>
      <c r="GKL38" s="624"/>
      <c r="GKM38" s="624"/>
      <c r="GKN38" s="624"/>
      <c r="GKO38" s="624"/>
      <c r="GKP38" s="624"/>
      <c r="GKQ38" s="624"/>
      <c r="GKR38" s="624"/>
      <c r="GKS38" s="624"/>
      <c r="GKT38" s="624"/>
      <c r="GKU38" s="624"/>
      <c r="GKV38" s="624"/>
      <c r="GKW38" s="624"/>
      <c r="GKX38" s="624"/>
      <c r="GKY38" s="624"/>
      <c r="GKZ38" s="624"/>
      <c r="GLA38" s="624"/>
      <c r="GLB38" s="624"/>
      <c r="GLC38" s="624"/>
      <c r="GLD38" s="624"/>
      <c r="GLE38" s="624"/>
      <c r="GLF38" s="624"/>
      <c r="GLG38" s="624"/>
      <c r="GLH38" s="624"/>
      <c r="GLI38" s="624"/>
      <c r="GLJ38" s="624"/>
      <c r="GLK38" s="624"/>
      <c r="GLL38" s="624"/>
      <c r="GLM38" s="624"/>
      <c r="GLN38" s="624"/>
      <c r="GLO38" s="624"/>
      <c r="GLP38" s="624"/>
      <c r="GLQ38" s="624"/>
      <c r="GLR38" s="624"/>
      <c r="GLS38" s="624"/>
      <c r="GLT38" s="624"/>
      <c r="GLU38" s="624"/>
      <c r="GLV38" s="624"/>
      <c r="GLW38" s="624"/>
      <c r="GLX38" s="624"/>
      <c r="GLY38" s="624"/>
      <c r="GLZ38" s="624"/>
      <c r="GMA38" s="624"/>
      <c r="GMB38" s="624"/>
      <c r="GMC38" s="624"/>
      <c r="GMD38" s="624"/>
      <c r="GME38" s="624"/>
      <c r="GMF38" s="624"/>
      <c r="GMG38" s="624"/>
      <c r="GMH38" s="624"/>
      <c r="GMI38" s="624"/>
      <c r="GMJ38" s="624"/>
      <c r="GMK38" s="624"/>
      <c r="GML38" s="624"/>
      <c r="GMM38" s="624"/>
      <c r="GMN38" s="624"/>
      <c r="GMO38" s="624"/>
      <c r="GMP38" s="624"/>
      <c r="GMQ38" s="624"/>
      <c r="GMR38" s="624"/>
      <c r="GMS38" s="624"/>
      <c r="GMT38" s="624"/>
      <c r="GMU38" s="624"/>
      <c r="GMV38" s="624"/>
      <c r="GMW38" s="624"/>
      <c r="GMX38" s="624"/>
      <c r="GMY38" s="624"/>
      <c r="GMZ38" s="624"/>
      <c r="GNA38" s="624"/>
      <c r="GNB38" s="624"/>
      <c r="GNC38" s="624"/>
      <c r="GND38" s="624"/>
      <c r="GNE38" s="624"/>
      <c r="GNF38" s="624"/>
      <c r="GNG38" s="624"/>
      <c r="GNH38" s="624"/>
      <c r="GNI38" s="624"/>
      <c r="GNJ38" s="624"/>
      <c r="GNK38" s="624"/>
      <c r="GNL38" s="624"/>
      <c r="GNM38" s="624"/>
      <c r="GNN38" s="624"/>
      <c r="GNO38" s="624"/>
      <c r="GNP38" s="624"/>
      <c r="GNQ38" s="624"/>
      <c r="GNR38" s="624"/>
      <c r="GNS38" s="624"/>
      <c r="GNT38" s="624"/>
      <c r="GNU38" s="624"/>
      <c r="GNV38" s="624"/>
      <c r="GNW38" s="624"/>
      <c r="GNX38" s="624"/>
      <c r="GNY38" s="624"/>
      <c r="GNZ38" s="624"/>
      <c r="GOA38" s="624"/>
      <c r="GOB38" s="624"/>
      <c r="GOC38" s="624"/>
      <c r="GOD38" s="624"/>
      <c r="GOE38" s="624"/>
      <c r="GOF38" s="624"/>
      <c r="GOG38" s="624"/>
      <c r="GOH38" s="624"/>
      <c r="GOI38" s="624"/>
      <c r="GOJ38" s="624"/>
      <c r="GOK38" s="624"/>
      <c r="GOL38" s="624"/>
      <c r="GOM38" s="624"/>
      <c r="GON38" s="624"/>
      <c r="GOO38" s="624"/>
      <c r="GOP38" s="624"/>
      <c r="GOQ38" s="624"/>
      <c r="GOR38" s="624"/>
      <c r="GOS38" s="624"/>
      <c r="GOT38" s="624"/>
      <c r="GOU38" s="624"/>
      <c r="GOV38" s="624"/>
      <c r="GOW38" s="624"/>
      <c r="GOX38" s="624"/>
      <c r="GOY38" s="624"/>
      <c r="GOZ38" s="624"/>
      <c r="GPA38" s="624"/>
      <c r="GPB38" s="624"/>
      <c r="GPC38" s="624"/>
      <c r="GPD38" s="624"/>
      <c r="GPE38" s="624"/>
      <c r="GPF38" s="624"/>
      <c r="GPG38" s="624"/>
      <c r="GPH38" s="624"/>
      <c r="GPI38" s="624"/>
      <c r="GPJ38" s="624"/>
      <c r="GPK38" s="624"/>
      <c r="GPL38" s="624"/>
      <c r="GPM38" s="624"/>
      <c r="GPN38" s="624"/>
      <c r="GPO38" s="624"/>
      <c r="GPP38" s="624"/>
      <c r="GPQ38" s="624"/>
      <c r="GPR38" s="624"/>
      <c r="GPS38" s="624"/>
      <c r="GPT38" s="624"/>
      <c r="GPU38" s="624"/>
      <c r="GPV38" s="624"/>
      <c r="GPW38" s="624"/>
      <c r="GPX38" s="624"/>
      <c r="GPY38" s="624"/>
      <c r="GPZ38" s="624"/>
      <c r="GQA38" s="624"/>
      <c r="GQB38" s="624"/>
      <c r="GQC38" s="624"/>
      <c r="GQD38" s="624"/>
      <c r="GQE38" s="624"/>
      <c r="GQF38" s="624"/>
      <c r="GQG38" s="624"/>
      <c r="GQH38" s="624"/>
      <c r="GQI38" s="624"/>
      <c r="GQJ38" s="624"/>
      <c r="GQK38" s="624"/>
      <c r="GQL38" s="624"/>
      <c r="GQM38" s="624"/>
      <c r="GQN38" s="624"/>
      <c r="GQO38" s="624"/>
      <c r="GQP38" s="624"/>
      <c r="GQQ38" s="624"/>
      <c r="GQR38" s="624"/>
      <c r="GQS38" s="624"/>
      <c r="GQT38" s="624"/>
      <c r="GQU38" s="624"/>
      <c r="GQV38" s="624"/>
      <c r="GQW38" s="624"/>
      <c r="GQX38" s="624"/>
      <c r="GQY38" s="624"/>
      <c r="GQZ38" s="624"/>
      <c r="GRA38" s="624"/>
      <c r="GRB38" s="624"/>
      <c r="GRC38" s="624"/>
      <c r="GRD38" s="624"/>
      <c r="GRE38" s="624"/>
      <c r="GRF38" s="624"/>
      <c r="GRG38" s="624"/>
      <c r="GRH38" s="624"/>
      <c r="GRI38" s="624"/>
      <c r="GRJ38" s="624"/>
      <c r="GRK38" s="624"/>
      <c r="GRL38" s="624"/>
      <c r="GRM38" s="624"/>
      <c r="GRN38" s="624"/>
      <c r="GRO38" s="624"/>
      <c r="GRP38" s="624"/>
      <c r="GRQ38" s="624"/>
      <c r="GRR38" s="624"/>
      <c r="GRS38" s="624"/>
      <c r="GRT38" s="624"/>
      <c r="GRU38" s="624"/>
      <c r="GRV38" s="624"/>
      <c r="GRW38" s="624"/>
      <c r="GRX38" s="624"/>
      <c r="GRY38" s="624"/>
      <c r="GRZ38" s="624"/>
      <c r="GSA38" s="624"/>
      <c r="GSB38" s="624"/>
      <c r="GSC38" s="624"/>
      <c r="GSD38" s="624"/>
      <c r="GSE38" s="624"/>
      <c r="GSF38" s="624"/>
      <c r="GSG38" s="624"/>
      <c r="GSH38" s="624"/>
      <c r="GSI38" s="624"/>
      <c r="GSJ38" s="624"/>
      <c r="GSK38" s="624"/>
      <c r="GSL38" s="624"/>
      <c r="GSM38" s="624"/>
      <c r="GSN38" s="624"/>
      <c r="GSO38" s="624"/>
      <c r="GSP38" s="624"/>
      <c r="GSQ38" s="624"/>
      <c r="GSR38" s="624"/>
      <c r="GSS38" s="624"/>
      <c r="GST38" s="624"/>
      <c r="GSU38" s="624"/>
      <c r="GSV38" s="624"/>
      <c r="GSW38" s="624"/>
      <c r="GSX38" s="624"/>
      <c r="GSY38" s="624"/>
      <c r="GSZ38" s="624"/>
      <c r="GTA38" s="624"/>
      <c r="GTB38" s="624"/>
      <c r="GTC38" s="624"/>
      <c r="GTD38" s="624"/>
      <c r="GTE38" s="624"/>
      <c r="GTF38" s="624"/>
      <c r="GTG38" s="624"/>
      <c r="GTH38" s="624"/>
      <c r="GTI38" s="624"/>
      <c r="GTJ38" s="624"/>
      <c r="GTK38" s="624"/>
      <c r="GTL38" s="624"/>
      <c r="GTM38" s="624"/>
      <c r="GTN38" s="624"/>
      <c r="GTO38" s="624"/>
      <c r="GTP38" s="624"/>
      <c r="GTQ38" s="624"/>
      <c r="GTR38" s="624"/>
      <c r="GTS38" s="624"/>
      <c r="GTT38" s="624"/>
      <c r="GTU38" s="624"/>
      <c r="GTV38" s="624"/>
      <c r="GTW38" s="624"/>
      <c r="GTX38" s="624"/>
      <c r="GTY38" s="624"/>
      <c r="GTZ38" s="624"/>
      <c r="GUA38" s="624"/>
      <c r="GUB38" s="624"/>
      <c r="GUC38" s="624"/>
      <c r="GUD38" s="624"/>
      <c r="GUE38" s="624"/>
      <c r="GUF38" s="624"/>
      <c r="GUG38" s="624"/>
      <c r="GUH38" s="624"/>
      <c r="GUI38" s="624"/>
      <c r="GUJ38" s="624"/>
      <c r="GUK38" s="624"/>
      <c r="GUL38" s="624"/>
      <c r="GUM38" s="624"/>
      <c r="GUN38" s="624"/>
      <c r="GUO38" s="624"/>
      <c r="GUP38" s="624"/>
      <c r="GUQ38" s="624"/>
      <c r="GUR38" s="624"/>
      <c r="GUS38" s="624"/>
      <c r="GUT38" s="624"/>
      <c r="GUU38" s="624"/>
      <c r="GUV38" s="624"/>
      <c r="GUW38" s="624"/>
      <c r="GUX38" s="624"/>
      <c r="GUY38" s="624"/>
      <c r="GUZ38" s="624"/>
      <c r="GVA38" s="624"/>
      <c r="GVB38" s="624"/>
      <c r="GVC38" s="624"/>
      <c r="GVD38" s="624"/>
      <c r="GVE38" s="624"/>
      <c r="GVF38" s="624"/>
      <c r="GVG38" s="624"/>
      <c r="GVH38" s="624"/>
      <c r="GVI38" s="624"/>
      <c r="GVJ38" s="624"/>
      <c r="GVK38" s="624"/>
      <c r="GVL38" s="624"/>
      <c r="GVM38" s="624"/>
      <c r="GVN38" s="624"/>
      <c r="GVO38" s="624"/>
      <c r="GVP38" s="624"/>
      <c r="GVQ38" s="624"/>
      <c r="GVR38" s="624"/>
      <c r="GVS38" s="624"/>
      <c r="GVT38" s="624"/>
      <c r="GVU38" s="624"/>
      <c r="GVV38" s="624"/>
      <c r="GVW38" s="624"/>
      <c r="GVX38" s="624"/>
      <c r="GVY38" s="624"/>
      <c r="GVZ38" s="624"/>
      <c r="GWA38" s="624"/>
      <c r="GWB38" s="624"/>
      <c r="GWC38" s="624"/>
      <c r="GWD38" s="624"/>
      <c r="GWE38" s="624"/>
      <c r="GWF38" s="624"/>
      <c r="GWG38" s="624"/>
      <c r="GWH38" s="624"/>
      <c r="GWI38" s="624"/>
      <c r="GWJ38" s="624"/>
      <c r="GWK38" s="624"/>
      <c r="GWL38" s="624"/>
      <c r="GWM38" s="624"/>
      <c r="GWN38" s="624"/>
      <c r="GWO38" s="624"/>
      <c r="GWP38" s="624"/>
      <c r="GWQ38" s="624"/>
      <c r="GWR38" s="624"/>
      <c r="GWS38" s="624"/>
      <c r="GWT38" s="624"/>
      <c r="GWU38" s="624"/>
      <c r="GWV38" s="624"/>
      <c r="GWW38" s="624"/>
      <c r="GWX38" s="624"/>
      <c r="GWY38" s="624"/>
      <c r="GWZ38" s="624"/>
      <c r="GXA38" s="624"/>
      <c r="GXB38" s="624"/>
      <c r="GXC38" s="624"/>
      <c r="GXD38" s="624"/>
      <c r="GXE38" s="624"/>
      <c r="GXF38" s="624"/>
      <c r="GXG38" s="624"/>
      <c r="GXH38" s="624"/>
      <c r="GXI38" s="624"/>
      <c r="GXJ38" s="624"/>
      <c r="GXK38" s="624"/>
      <c r="GXL38" s="624"/>
      <c r="GXM38" s="624"/>
      <c r="GXN38" s="624"/>
      <c r="GXO38" s="624"/>
      <c r="GXP38" s="624"/>
      <c r="GXQ38" s="624"/>
      <c r="GXR38" s="624"/>
      <c r="GXS38" s="624"/>
      <c r="GXT38" s="624"/>
      <c r="GXU38" s="624"/>
      <c r="GXV38" s="624"/>
      <c r="GXW38" s="624"/>
      <c r="GXX38" s="624"/>
      <c r="GXY38" s="624"/>
      <c r="GXZ38" s="624"/>
      <c r="GYA38" s="624"/>
      <c r="GYB38" s="624"/>
      <c r="GYC38" s="624"/>
      <c r="GYD38" s="624"/>
      <c r="GYE38" s="624"/>
      <c r="GYF38" s="624"/>
      <c r="GYG38" s="624"/>
      <c r="GYH38" s="624"/>
      <c r="GYI38" s="624"/>
      <c r="GYJ38" s="624"/>
      <c r="GYK38" s="624"/>
      <c r="GYL38" s="624"/>
      <c r="GYM38" s="624"/>
      <c r="GYN38" s="624"/>
      <c r="GYO38" s="624"/>
      <c r="GYP38" s="624"/>
      <c r="GYQ38" s="624"/>
      <c r="GYR38" s="624"/>
      <c r="GYS38" s="624"/>
      <c r="GYT38" s="624"/>
      <c r="GYU38" s="624"/>
      <c r="GYV38" s="624"/>
      <c r="GYW38" s="624"/>
      <c r="GYX38" s="624"/>
      <c r="GYY38" s="624"/>
      <c r="GYZ38" s="624"/>
      <c r="GZA38" s="624"/>
      <c r="GZB38" s="624"/>
      <c r="GZC38" s="624"/>
      <c r="GZD38" s="624"/>
      <c r="GZE38" s="624"/>
      <c r="GZF38" s="624"/>
      <c r="GZG38" s="624"/>
      <c r="GZH38" s="624"/>
      <c r="GZI38" s="624"/>
      <c r="GZJ38" s="624"/>
      <c r="GZK38" s="624"/>
      <c r="GZL38" s="624"/>
      <c r="GZM38" s="624"/>
      <c r="GZN38" s="624"/>
      <c r="GZO38" s="624"/>
      <c r="GZP38" s="624"/>
      <c r="GZQ38" s="624"/>
      <c r="GZR38" s="624"/>
      <c r="GZS38" s="624"/>
      <c r="GZT38" s="624"/>
      <c r="GZU38" s="624"/>
      <c r="GZV38" s="624"/>
      <c r="GZW38" s="624"/>
      <c r="GZX38" s="624"/>
      <c r="GZY38" s="624"/>
      <c r="GZZ38" s="624"/>
      <c r="HAA38" s="624"/>
      <c r="HAB38" s="624"/>
      <c r="HAC38" s="624"/>
      <c r="HAD38" s="624"/>
      <c r="HAE38" s="624"/>
      <c r="HAF38" s="624"/>
      <c r="HAG38" s="624"/>
      <c r="HAH38" s="624"/>
      <c r="HAI38" s="624"/>
      <c r="HAJ38" s="624"/>
      <c r="HAK38" s="624"/>
      <c r="HAL38" s="624"/>
      <c r="HAM38" s="624"/>
      <c r="HAN38" s="624"/>
      <c r="HAO38" s="624"/>
      <c r="HAP38" s="624"/>
      <c r="HAQ38" s="624"/>
      <c r="HAR38" s="624"/>
      <c r="HAS38" s="624"/>
      <c r="HAT38" s="624"/>
      <c r="HAU38" s="624"/>
      <c r="HAV38" s="624"/>
      <c r="HAW38" s="624"/>
      <c r="HAX38" s="624"/>
      <c r="HAY38" s="624"/>
      <c r="HAZ38" s="624"/>
      <c r="HBA38" s="624"/>
      <c r="HBB38" s="624"/>
      <c r="HBC38" s="624"/>
      <c r="HBD38" s="624"/>
      <c r="HBE38" s="624"/>
      <c r="HBF38" s="624"/>
      <c r="HBG38" s="624"/>
      <c r="HBH38" s="624"/>
      <c r="HBI38" s="624"/>
      <c r="HBJ38" s="624"/>
      <c r="HBK38" s="624"/>
      <c r="HBL38" s="624"/>
      <c r="HBM38" s="624"/>
      <c r="HBN38" s="624"/>
      <c r="HBO38" s="624"/>
      <c r="HBP38" s="624"/>
      <c r="HBQ38" s="624"/>
      <c r="HBR38" s="624"/>
      <c r="HBS38" s="624"/>
      <c r="HBT38" s="624"/>
      <c r="HBU38" s="624"/>
      <c r="HBV38" s="624"/>
      <c r="HBW38" s="624"/>
      <c r="HBX38" s="624"/>
      <c r="HBY38" s="624"/>
      <c r="HBZ38" s="624"/>
      <c r="HCA38" s="624"/>
      <c r="HCB38" s="624"/>
      <c r="HCC38" s="624"/>
      <c r="HCD38" s="624"/>
      <c r="HCE38" s="624"/>
      <c r="HCF38" s="624"/>
      <c r="HCG38" s="624"/>
      <c r="HCH38" s="624"/>
      <c r="HCI38" s="624"/>
      <c r="HCJ38" s="624"/>
      <c r="HCK38" s="624"/>
      <c r="HCL38" s="624"/>
      <c r="HCM38" s="624"/>
      <c r="HCN38" s="624"/>
      <c r="HCO38" s="624"/>
      <c r="HCP38" s="624"/>
      <c r="HCQ38" s="624"/>
      <c r="HCR38" s="624"/>
      <c r="HCS38" s="624"/>
      <c r="HCT38" s="624"/>
      <c r="HCU38" s="624"/>
      <c r="HCV38" s="624"/>
      <c r="HCW38" s="624"/>
      <c r="HCX38" s="624"/>
      <c r="HCY38" s="624"/>
      <c r="HCZ38" s="624"/>
      <c r="HDA38" s="624"/>
      <c r="HDB38" s="624"/>
      <c r="HDC38" s="624"/>
      <c r="HDD38" s="624"/>
      <c r="HDE38" s="624"/>
      <c r="HDF38" s="624"/>
      <c r="HDG38" s="624"/>
      <c r="HDH38" s="624"/>
      <c r="HDI38" s="624"/>
      <c r="HDJ38" s="624"/>
      <c r="HDK38" s="624"/>
      <c r="HDL38" s="624"/>
      <c r="HDM38" s="624"/>
      <c r="HDN38" s="624"/>
      <c r="HDO38" s="624"/>
      <c r="HDP38" s="624"/>
      <c r="HDQ38" s="624"/>
      <c r="HDR38" s="624"/>
      <c r="HDS38" s="624"/>
      <c r="HDT38" s="624"/>
      <c r="HDU38" s="624"/>
      <c r="HDV38" s="624"/>
      <c r="HDW38" s="624"/>
      <c r="HDX38" s="624"/>
      <c r="HDY38" s="624"/>
      <c r="HDZ38" s="624"/>
      <c r="HEA38" s="624"/>
      <c r="HEB38" s="624"/>
      <c r="HEC38" s="624"/>
      <c r="HED38" s="624"/>
      <c r="HEE38" s="624"/>
      <c r="HEF38" s="624"/>
      <c r="HEG38" s="624"/>
      <c r="HEH38" s="624"/>
      <c r="HEI38" s="624"/>
      <c r="HEJ38" s="624"/>
      <c r="HEK38" s="624"/>
      <c r="HEL38" s="624"/>
      <c r="HEM38" s="624"/>
      <c r="HEN38" s="624"/>
      <c r="HEO38" s="624"/>
      <c r="HEP38" s="624"/>
      <c r="HEQ38" s="624"/>
      <c r="HER38" s="624"/>
      <c r="HES38" s="624"/>
      <c r="HET38" s="624"/>
      <c r="HEU38" s="624"/>
      <c r="HEV38" s="624"/>
      <c r="HEW38" s="624"/>
      <c r="HEX38" s="624"/>
      <c r="HEY38" s="624"/>
      <c r="HEZ38" s="624"/>
      <c r="HFA38" s="624"/>
      <c r="HFB38" s="624"/>
      <c r="HFC38" s="624"/>
      <c r="HFD38" s="624"/>
      <c r="HFE38" s="624"/>
      <c r="HFF38" s="624"/>
      <c r="HFG38" s="624"/>
      <c r="HFH38" s="624"/>
      <c r="HFI38" s="624"/>
      <c r="HFJ38" s="624"/>
      <c r="HFK38" s="624"/>
      <c r="HFL38" s="624"/>
      <c r="HFM38" s="624"/>
      <c r="HFN38" s="624"/>
      <c r="HFO38" s="624"/>
      <c r="HFP38" s="624"/>
      <c r="HFQ38" s="624"/>
      <c r="HFR38" s="624"/>
      <c r="HFS38" s="624"/>
      <c r="HFT38" s="624"/>
      <c r="HFU38" s="624"/>
      <c r="HFV38" s="624"/>
      <c r="HFW38" s="624"/>
      <c r="HFX38" s="624"/>
      <c r="HFY38" s="624"/>
      <c r="HFZ38" s="624"/>
      <c r="HGA38" s="624"/>
      <c r="HGB38" s="624"/>
      <c r="HGC38" s="624"/>
      <c r="HGD38" s="624"/>
      <c r="HGE38" s="624"/>
      <c r="HGF38" s="624"/>
      <c r="HGG38" s="624"/>
      <c r="HGH38" s="624"/>
      <c r="HGI38" s="624"/>
      <c r="HGJ38" s="624"/>
      <c r="HGK38" s="624"/>
      <c r="HGL38" s="624"/>
      <c r="HGM38" s="624"/>
      <c r="HGN38" s="624"/>
      <c r="HGO38" s="624"/>
      <c r="HGP38" s="624"/>
      <c r="HGQ38" s="624"/>
      <c r="HGR38" s="624"/>
      <c r="HGS38" s="624"/>
      <c r="HGT38" s="624"/>
      <c r="HGU38" s="624"/>
      <c r="HGV38" s="624"/>
      <c r="HGW38" s="624"/>
      <c r="HGX38" s="624"/>
      <c r="HGY38" s="624"/>
      <c r="HGZ38" s="624"/>
      <c r="HHA38" s="624"/>
      <c r="HHB38" s="624"/>
      <c r="HHC38" s="624"/>
      <c r="HHD38" s="624"/>
      <c r="HHE38" s="624"/>
      <c r="HHF38" s="624"/>
      <c r="HHG38" s="624"/>
      <c r="HHH38" s="624"/>
      <c r="HHI38" s="624"/>
      <c r="HHJ38" s="624"/>
      <c r="HHK38" s="624"/>
      <c r="HHL38" s="624"/>
      <c r="HHM38" s="624"/>
      <c r="HHN38" s="624"/>
      <c r="HHO38" s="624"/>
      <c r="HHP38" s="624"/>
      <c r="HHQ38" s="624"/>
      <c r="HHR38" s="624"/>
      <c r="HHS38" s="624"/>
      <c r="HHT38" s="624"/>
      <c r="HHU38" s="624"/>
      <c r="HHV38" s="624"/>
      <c r="HHW38" s="624"/>
      <c r="HHX38" s="624"/>
      <c r="HHY38" s="624"/>
      <c r="HHZ38" s="624"/>
      <c r="HIA38" s="624"/>
      <c r="HIB38" s="624"/>
      <c r="HIC38" s="624"/>
      <c r="HID38" s="624"/>
      <c r="HIE38" s="624"/>
      <c r="HIF38" s="624"/>
      <c r="HIG38" s="624"/>
      <c r="HIH38" s="624"/>
      <c r="HII38" s="624"/>
      <c r="HIJ38" s="624"/>
      <c r="HIK38" s="624"/>
      <c r="HIL38" s="624"/>
      <c r="HIM38" s="624"/>
      <c r="HIN38" s="624"/>
      <c r="HIO38" s="624"/>
      <c r="HIP38" s="624"/>
      <c r="HIQ38" s="624"/>
      <c r="HIR38" s="624"/>
      <c r="HIS38" s="624"/>
      <c r="HIT38" s="624"/>
      <c r="HIU38" s="624"/>
      <c r="HIV38" s="624"/>
      <c r="HIW38" s="624"/>
      <c r="HIX38" s="624"/>
      <c r="HIY38" s="624"/>
      <c r="HIZ38" s="624"/>
      <c r="HJA38" s="624"/>
      <c r="HJB38" s="624"/>
      <c r="HJC38" s="624"/>
      <c r="HJD38" s="624"/>
      <c r="HJE38" s="624"/>
      <c r="HJF38" s="624"/>
      <c r="HJG38" s="624"/>
      <c r="HJH38" s="624"/>
      <c r="HJI38" s="624"/>
      <c r="HJJ38" s="624"/>
      <c r="HJK38" s="624"/>
      <c r="HJL38" s="624"/>
      <c r="HJM38" s="624"/>
      <c r="HJN38" s="624"/>
      <c r="HJO38" s="624"/>
      <c r="HJP38" s="624"/>
      <c r="HJQ38" s="624"/>
      <c r="HJR38" s="624"/>
      <c r="HJS38" s="624"/>
      <c r="HJT38" s="624"/>
      <c r="HJU38" s="624"/>
      <c r="HJV38" s="624"/>
      <c r="HJW38" s="624"/>
      <c r="HJX38" s="624"/>
      <c r="HJY38" s="624"/>
      <c r="HJZ38" s="624"/>
      <c r="HKA38" s="624"/>
      <c r="HKB38" s="624"/>
      <c r="HKC38" s="624"/>
      <c r="HKD38" s="624"/>
      <c r="HKE38" s="624"/>
      <c r="HKF38" s="624"/>
      <c r="HKG38" s="624"/>
      <c r="HKH38" s="624"/>
      <c r="HKI38" s="624"/>
      <c r="HKJ38" s="624"/>
      <c r="HKK38" s="624"/>
      <c r="HKL38" s="624"/>
      <c r="HKM38" s="624"/>
      <c r="HKN38" s="624"/>
      <c r="HKO38" s="624"/>
      <c r="HKP38" s="624"/>
      <c r="HKQ38" s="624"/>
      <c r="HKR38" s="624"/>
      <c r="HKS38" s="624"/>
      <c r="HKT38" s="624"/>
      <c r="HKU38" s="624"/>
      <c r="HKV38" s="624"/>
      <c r="HKW38" s="624"/>
      <c r="HKX38" s="624"/>
      <c r="HKY38" s="624"/>
      <c r="HKZ38" s="624"/>
      <c r="HLA38" s="624"/>
      <c r="HLB38" s="624"/>
      <c r="HLC38" s="624"/>
      <c r="HLD38" s="624"/>
      <c r="HLE38" s="624"/>
      <c r="HLF38" s="624"/>
      <c r="HLG38" s="624"/>
      <c r="HLH38" s="624"/>
      <c r="HLI38" s="624"/>
      <c r="HLJ38" s="624"/>
      <c r="HLK38" s="624"/>
      <c r="HLL38" s="624"/>
      <c r="HLM38" s="624"/>
      <c r="HLN38" s="624"/>
      <c r="HLO38" s="624"/>
      <c r="HLP38" s="624"/>
      <c r="HLQ38" s="624"/>
      <c r="HLR38" s="624"/>
      <c r="HLS38" s="624"/>
      <c r="HLT38" s="624"/>
      <c r="HLU38" s="624"/>
      <c r="HLV38" s="624"/>
      <c r="HLW38" s="624"/>
      <c r="HLX38" s="624"/>
      <c r="HLY38" s="624"/>
      <c r="HLZ38" s="624"/>
      <c r="HMA38" s="624"/>
      <c r="HMB38" s="624"/>
      <c r="HMC38" s="624"/>
      <c r="HMD38" s="624"/>
      <c r="HME38" s="624"/>
      <c r="HMF38" s="624"/>
      <c r="HMG38" s="624"/>
      <c r="HMH38" s="624"/>
      <c r="HMI38" s="624"/>
      <c r="HMJ38" s="624"/>
      <c r="HMK38" s="624"/>
      <c r="HML38" s="624"/>
      <c r="HMM38" s="624"/>
      <c r="HMN38" s="624"/>
      <c r="HMO38" s="624"/>
      <c r="HMP38" s="624"/>
      <c r="HMQ38" s="624"/>
      <c r="HMR38" s="624"/>
      <c r="HMS38" s="624"/>
      <c r="HMT38" s="624"/>
      <c r="HMU38" s="624"/>
      <c r="HMV38" s="624"/>
      <c r="HMW38" s="624"/>
      <c r="HMX38" s="624"/>
      <c r="HMY38" s="624"/>
      <c r="HMZ38" s="624"/>
      <c r="HNA38" s="624"/>
      <c r="HNB38" s="624"/>
      <c r="HNC38" s="624"/>
      <c r="HND38" s="624"/>
      <c r="HNE38" s="624"/>
      <c r="HNF38" s="624"/>
      <c r="HNG38" s="624"/>
      <c r="HNH38" s="624"/>
      <c r="HNI38" s="624"/>
      <c r="HNJ38" s="624"/>
      <c r="HNK38" s="624"/>
      <c r="HNL38" s="624"/>
      <c r="HNM38" s="624"/>
      <c r="HNN38" s="624"/>
      <c r="HNO38" s="624"/>
      <c r="HNP38" s="624"/>
      <c r="HNQ38" s="624"/>
      <c r="HNR38" s="624"/>
      <c r="HNS38" s="624"/>
      <c r="HNT38" s="624"/>
      <c r="HNU38" s="624"/>
      <c r="HNV38" s="624"/>
      <c r="HNW38" s="624"/>
      <c r="HNX38" s="624"/>
      <c r="HNY38" s="624"/>
      <c r="HNZ38" s="624"/>
      <c r="HOA38" s="624"/>
      <c r="HOB38" s="624"/>
      <c r="HOC38" s="624"/>
      <c r="HOD38" s="624"/>
      <c r="HOE38" s="624"/>
      <c r="HOF38" s="624"/>
      <c r="HOG38" s="624"/>
      <c r="HOH38" s="624"/>
      <c r="HOI38" s="624"/>
      <c r="HOJ38" s="624"/>
      <c r="HOK38" s="624"/>
      <c r="HOL38" s="624"/>
      <c r="HOM38" s="624"/>
      <c r="HON38" s="624"/>
      <c r="HOO38" s="624"/>
      <c r="HOP38" s="624"/>
      <c r="HOQ38" s="624"/>
      <c r="HOR38" s="624"/>
      <c r="HOS38" s="624"/>
      <c r="HOT38" s="624"/>
      <c r="HOU38" s="624"/>
      <c r="HOV38" s="624"/>
      <c r="HOW38" s="624"/>
      <c r="HOX38" s="624"/>
      <c r="HOY38" s="624"/>
      <c r="HOZ38" s="624"/>
      <c r="HPA38" s="624"/>
      <c r="HPB38" s="624"/>
      <c r="HPC38" s="624"/>
      <c r="HPD38" s="624"/>
      <c r="HPE38" s="624"/>
      <c r="HPF38" s="624"/>
      <c r="HPG38" s="624"/>
      <c r="HPH38" s="624"/>
      <c r="HPI38" s="624"/>
      <c r="HPJ38" s="624"/>
      <c r="HPK38" s="624"/>
      <c r="HPL38" s="624"/>
      <c r="HPM38" s="624"/>
      <c r="HPN38" s="624"/>
      <c r="HPO38" s="624"/>
      <c r="HPP38" s="624"/>
      <c r="HPQ38" s="624"/>
      <c r="HPR38" s="624"/>
      <c r="HPS38" s="624"/>
      <c r="HPT38" s="624"/>
      <c r="HPU38" s="624"/>
      <c r="HPV38" s="624"/>
      <c r="HPW38" s="624"/>
      <c r="HPX38" s="624"/>
      <c r="HPY38" s="624"/>
      <c r="HPZ38" s="624"/>
      <c r="HQA38" s="624"/>
      <c r="HQB38" s="624"/>
      <c r="HQC38" s="624"/>
      <c r="HQD38" s="624"/>
      <c r="HQE38" s="624"/>
      <c r="HQF38" s="624"/>
      <c r="HQG38" s="624"/>
      <c r="HQH38" s="624"/>
      <c r="HQI38" s="624"/>
      <c r="HQJ38" s="624"/>
      <c r="HQK38" s="624"/>
      <c r="HQL38" s="624"/>
      <c r="HQM38" s="624"/>
      <c r="HQN38" s="624"/>
      <c r="HQO38" s="624"/>
      <c r="HQP38" s="624"/>
      <c r="HQQ38" s="624"/>
      <c r="HQR38" s="624"/>
      <c r="HQS38" s="624"/>
      <c r="HQT38" s="624"/>
      <c r="HQU38" s="624"/>
      <c r="HQV38" s="624"/>
      <c r="HQW38" s="624"/>
      <c r="HQX38" s="624"/>
      <c r="HQY38" s="624"/>
      <c r="HQZ38" s="624"/>
      <c r="HRA38" s="624"/>
      <c r="HRB38" s="624"/>
      <c r="HRC38" s="624"/>
      <c r="HRD38" s="624"/>
      <c r="HRE38" s="624"/>
      <c r="HRF38" s="624"/>
      <c r="HRG38" s="624"/>
      <c r="HRH38" s="624"/>
      <c r="HRI38" s="624"/>
      <c r="HRJ38" s="624"/>
      <c r="HRK38" s="624"/>
      <c r="HRL38" s="624"/>
      <c r="HRM38" s="624"/>
      <c r="HRN38" s="624"/>
      <c r="HRO38" s="624"/>
      <c r="HRP38" s="624"/>
      <c r="HRQ38" s="624"/>
      <c r="HRR38" s="624"/>
      <c r="HRS38" s="624"/>
      <c r="HRT38" s="624"/>
      <c r="HRU38" s="624"/>
      <c r="HRV38" s="624"/>
      <c r="HRW38" s="624"/>
      <c r="HRX38" s="624"/>
      <c r="HRY38" s="624"/>
      <c r="HRZ38" s="624"/>
      <c r="HSA38" s="624"/>
      <c r="HSB38" s="624"/>
      <c r="HSC38" s="624"/>
      <c r="HSD38" s="624"/>
      <c r="HSE38" s="624"/>
      <c r="HSF38" s="624"/>
      <c r="HSG38" s="624"/>
      <c r="HSH38" s="624"/>
      <c r="HSI38" s="624"/>
      <c r="HSJ38" s="624"/>
      <c r="HSK38" s="624"/>
      <c r="HSL38" s="624"/>
      <c r="HSM38" s="624"/>
      <c r="HSN38" s="624"/>
      <c r="HSO38" s="624"/>
      <c r="HSP38" s="624"/>
      <c r="HSQ38" s="624"/>
      <c r="HSR38" s="624"/>
      <c r="HSS38" s="624"/>
      <c r="HST38" s="624"/>
      <c r="HSU38" s="624"/>
      <c r="HSV38" s="624"/>
      <c r="HSW38" s="624"/>
      <c r="HSX38" s="624"/>
      <c r="HSY38" s="624"/>
      <c r="HSZ38" s="624"/>
      <c r="HTA38" s="624"/>
      <c r="HTB38" s="624"/>
      <c r="HTC38" s="624"/>
      <c r="HTD38" s="624"/>
      <c r="HTE38" s="624"/>
      <c r="HTF38" s="624"/>
      <c r="HTG38" s="624"/>
      <c r="HTH38" s="624"/>
      <c r="HTI38" s="624"/>
      <c r="HTJ38" s="624"/>
      <c r="HTK38" s="624"/>
      <c r="HTL38" s="624"/>
      <c r="HTM38" s="624"/>
      <c r="HTN38" s="624"/>
      <c r="HTO38" s="624"/>
      <c r="HTP38" s="624"/>
      <c r="HTQ38" s="624"/>
      <c r="HTR38" s="624"/>
      <c r="HTS38" s="624"/>
      <c r="HTT38" s="624"/>
      <c r="HTU38" s="624"/>
      <c r="HTV38" s="624"/>
      <c r="HTW38" s="624"/>
      <c r="HTX38" s="624"/>
      <c r="HTY38" s="624"/>
      <c r="HTZ38" s="624"/>
      <c r="HUA38" s="624"/>
      <c r="HUB38" s="624"/>
      <c r="HUC38" s="624"/>
      <c r="HUD38" s="624"/>
      <c r="HUE38" s="624"/>
      <c r="HUF38" s="624"/>
      <c r="HUG38" s="624"/>
      <c r="HUH38" s="624"/>
      <c r="HUI38" s="624"/>
      <c r="HUJ38" s="624"/>
      <c r="HUK38" s="624"/>
      <c r="HUL38" s="624"/>
      <c r="HUM38" s="624"/>
      <c r="HUN38" s="624"/>
      <c r="HUO38" s="624"/>
      <c r="HUP38" s="624"/>
      <c r="HUQ38" s="624"/>
      <c r="HUR38" s="624"/>
      <c r="HUS38" s="624"/>
      <c r="HUT38" s="624"/>
      <c r="HUU38" s="624"/>
      <c r="HUV38" s="624"/>
      <c r="HUW38" s="624"/>
      <c r="HUX38" s="624"/>
      <c r="HUY38" s="624"/>
      <c r="HUZ38" s="624"/>
      <c r="HVA38" s="624"/>
      <c r="HVB38" s="624"/>
      <c r="HVC38" s="624"/>
      <c r="HVD38" s="624"/>
      <c r="HVE38" s="624"/>
      <c r="HVF38" s="624"/>
      <c r="HVG38" s="624"/>
      <c r="HVH38" s="624"/>
      <c r="HVI38" s="624"/>
      <c r="HVJ38" s="624"/>
      <c r="HVK38" s="624"/>
      <c r="HVL38" s="624"/>
      <c r="HVM38" s="624"/>
      <c r="HVN38" s="624"/>
      <c r="HVO38" s="624"/>
      <c r="HVP38" s="624"/>
      <c r="HVQ38" s="624"/>
      <c r="HVR38" s="624"/>
      <c r="HVS38" s="624"/>
      <c r="HVT38" s="624"/>
      <c r="HVU38" s="624"/>
      <c r="HVV38" s="624"/>
      <c r="HVW38" s="624"/>
      <c r="HVX38" s="624"/>
      <c r="HVY38" s="624"/>
      <c r="HVZ38" s="624"/>
      <c r="HWA38" s="624"/>
      <c r="HWB38" s="624"/>
      <c r="HWC38" s="624"/>
      <c r="HWD38" s="624"/>
      <c r="HWE38" s="624"/>
      <c r="HWF38" s="624"/>
      <c r="HWG38" s="624"/>
      <c r="HWH38" s="624"/>
      <c r="HWI38" s="624"/>
      <c r="HWJ38" s="624"/>
      <c r="HWK38" s="624"/>
      <c r="HWL38" s="624"/>
      <c r="HWM38" s="624"/>
      <c r="HWN38" s="624"/>
      <c r="HWO38" s="624"/>
      <c r="HWP38" s="624"/>
      <c r="HWQ38" s="624"/>
      <c r="HWR38" s="624"/>
      <c r="HWS38" s="624"/>
      <c r="HWT38" s="624"/>
      <c r="HWU38" s="624"/>
      <c r="HWV38" s="624"/>
      <c r="HWW38" s="624"/>
      <c r="HWX38" s="624"/>
      <c r="HWY38" s="624"/>
      <c r="HWZ38" s="624"/>
      <c r="HXA38" s="624"/>
      <c r="HXB38" s="624"/>
      <c r="HXC38" s="624"/>
      <c r="HXD38" s="624"/>
      <c r="HXE38" s="624"/>
      <c r="HXF38" s="624"/>
      <c r="HXG38" s="624"/>
      <c r="HXH38" s="624"/>
      <c r="HXI38" s="624"/>
      <c r="HXJ38" s="624"/>
      <c r="HXK38" s="624"/>
      <c r="HXL38" s="624"/>
      <c r="HXM38" s="624"/>
      <c r="HXN38" s="624"/>
      <c r="HXO38" s="624"/>
      <c r="HXP38" s="624"/>
      <c r="HXQ38" s="624"/>
      <c r="HXR38" s="624"/>
      <c r="HXS38" s="624"/>
      <c r="HXT38" s="624"/>
      <c r="HXU38" s="624"/>
      <c r="HXV38" s="624"/>
      <c r="HXW38" s="624"/>
      <c r="HXX38" s="624"/>
      <c r="HXY38" s="624"/>
      <c r="HXZ38" s="624"/>
      <c r="HYA38" s="624"/>
      <c r="HYB38" s="624"/>
      <c r="HYC38" s="624"/>
      <c r="HYD38" s="624"/>
      <c r="HYE38" s="624"/>
      <c r="HYF38" s="624"/>
      <c r="HYG38" s="624"/>
      <c r="HYH38" s="624"/>
      <c r="HYI38" s="624"/>
      <c r="HYJ38" s="624"/>
      <c r="HYK38" s="624"/>
      <c r="HYL38" s="624"/>
      <c r="HYM38" s="624"/>
      <c r="HYN38" s="624"/>
      <c r="HYO38" s="624"/>
      <c r="HYP38" s="624"/>
      <c r="HYQ38" s="624"/>
      <c r="HYR38" s="624"/>
      <c r="HYS38" s="624"/>
      <c r="HYT38" s="624"/>
      <c r="HYU38" s="624"/>
      <c r="HYV38" s="624"/>
      <c r="HYW38" s="624"/>
      <c r="HYX38" s="624"/>
      <c r="HYY38" s="624"/>
      <c r="HYZ38" s="624"/>
      <c r="HZA38" s="624"/>
      <c r="HZB38" s="624"/>
      <c r="HZC38" s="624"/>
      <c r="HZD38" s="624"/>
      <c r="HZE38" s="624"/>
      <c r="HZF38" s="624"/>
      <c r="HZG38" s="624"/>
      <c r="HZH38" s="624"/>
      <c r="HZI38" s="624"/>
      <c r="HZJ38" s="624"/>
      <c r="HZK38" s="624"/>
      <c r="HZL38" s="624"/>
      <c r="HZM38" s="624"/>
      <c r="HZN38" s="624"/>
      <c r="HZO38" s="624"/>
      <c r="HZP38" s="624"/>
      <c r="HZQ38" s="624"/>
      <c r="HZR38" s="624"/>
      <c r="HZS38" s="624"/>
      <c r="HZT38" s="624"/>
      <c r="HZU38" s="624"/>
      <c r="HZV38" s="624"/>
      <c r="HZW38" s="624"/>
      <c r="HZX38" s="624"/>
      <c r="HZY38" s="624"/>
      <c r="HZZ38" s="624"/>
      <c r="IAA38" s="624"/>
      <c r="IAB38" s="624"/>
      <c r="IAC38" s="624"/>
      <c r="IAD38" s="624"/>
      <c r="IAE38" s="624"/>
      <c r="IAF38" s="624"/>
      <c r="IAG38" s="624"/>
      <c r="IAH38" s="624"/>
      <c r="IAI38" s="624"/>
      <c r="IAJ38" s="624"/>
      <c r="IAK38" s="624"/>
      <c r="IAL38" s="624"/>
      <c r="IAM38" s="624"/>
      <c r="IAN38" s="624"/>
      <c r="IAO38" s="624"/>
      <c r="IAP38" s="624"/>
      <c r="IAQ38" s="624"/>
      <c r="IAR38" s="624"/>
      <c r="IAS38" s="624"/>
      <c r="IAT38" s="624"/>
      <c r="IAU38" s="624"/>
      <c r="IAV38" s="624"/>
      <c r="IAW38" s="624"/>
      <c r="IAX38" s="624"/>
      <c r="IAY38" s="624"/>
      <c r="IAZ38" s="624"/>
      <c r="IBA38" s="624"/>
      <c r="IBB38" s="624"/>
      <c r="IBC38" s="624"/>
      <c r="IBD38" s="624"/>
      <c r="IBE38" s="624"/>
      <c r="IBF38" s="624"/>
      <c r="IBG38" s="624"/>
      <c r="IBH38" s="624"/>
      <c r="IBI38" s="624"/>
      <c r="IBJ38" s="624"/>
      <c r="IBK38" s="624"/>
      <c r="IBL38" s="624"/>
      <c r="IBM38" s="624"/>
      <c r="IBN38" s="624"/>
      <c r="IBO38" s="624"/>
      <c r="IBP38" s="624"/>
      <c r="IBQ38" s="624"/>
      <c r="IBR38" s="624"/>
      <c r="IBS38" s="624"/>
      <c r="IBT38" s="624"/>
      <c r="IBU38" s="624"/>
      <c r="IBV38" s="624"/>
      <c r="IBW38" s="624"/>
      <c r="IBX38" s="624"/>
      <c r="IBY38" s="624"/>
      <c r="IBZ38" s="624"/>
      <c r="ICA38" s="624"/>
      <c r="ICB38" s="624"/>
      <c r="ICC38" s="624"/>
      <c r="ICD38" s="624"/>
      <c r="ICE38" s="624"/>
      <c r="ICF38" s="624"/>
      <c r="ICG38" s="624"/>
      <c r="ICH38" s="624"/>
      <c r="ICI38" s="624"/>
      <c r="ICJ38" s="624"/>
      <c r="ICK38" s="624"/>
      <c r="ICL38" s="624"/>
      <c r="ICM38" s="624"/>
      <c r="ICN38" s="624"/>
      <c r="ICO38" s="624"/>
      <c r="ICP38" s="624"/>
      <c r="ICQ38" s="624"/>
      <c r="ICR38" s="624"/>
      <c r="ICS38" s="624"/>
      <c r="ICT38" s="624"/>
      <c r="ICU38" s="624"/>
      <c r="ICV38" s="624"/>
      <c r="ICW38" s="624"/>
      <c r="ICX38" s="624"/>
      <c r="ICY38" s="624"/>
      <c r="ICZ38" s="624"/>
      <c r="IDA38" s="624"/>
      <c r="IDB38" s="624"/>
      <c r="IDC38" s="624"/>
      <c r="IDD38" s="624"/>
      <c r="IDE38" s="624"/>
      <c r="IDF38" s="624"/>
      <c r="IDG38" s="624"/>
      <c r="IDH38" s="624"/>
      <c r="IDI38" s="624"/>
      <c r="IDJ38" s="624"/>
      <c r="IDK38" s="624"/>
      <c r="IDL38" s="624"/>
      <c r="IDM38" s="624"/>
      <c r="IDN38" s="624"/>
      <c r="IDO38" s="624"/>
      <c r="IDP38" s="624"/>
      <c r="IDQ38" s="624"/>
      <c r="IDR38" s="624"/>
      <c r="IDS38" s="624"/>
      <c r="IDT38" s="624"/>
      <c r="IDU38" s="624"/>
      <c r="IDV38" s="624"/>
      <c r="IDW38" s="624"/>
      <c r="IDX38" s="624"/>
      <c r="IDY38" s="624"/>
      <c r="IDZ38" s="624"/>
      <c r="IEA38" s="624"/>
      <c r="IEB38" s="624"/>
      <c r="IEC38" s="624"/>
      <c r="IED38" s="624"/>
      <c r="IEE38" s="624"/>
      <c r="IEF38" s="624"/>
      <c r="IEG38" s="624"/>
      <c r="IEH38" s="624"/>
      <c r="IEI38" s="624"/>
      <c r="IEJ38" s="624"/>
      <c r="IEK38" s="624"/>
      <c r="IEL38" s="624"/>
      <c r="IEM38" s="624"/>
      <c r="IEN38" s="624"/>
      <c r="IEO38" s="624"/>
      <c r="IEP38" s="624"/>
      <c r="IEQ38" s="624"/>
      <c r="IER38" s="624"/>
      <c r="IES38" s="624"/>
      <c r="IET38" s="624"/>
      <c r="IEU38" s="624"/>
      <c r="IEV38" s="624"/>
      <c r="IEW38" s="624"/>
      <c r="IEX38" s="624"/>
      <c r="IEY38" s="624"/>
      <c r="IEZ38" s="624"/>
      <c r="IFA38" s="624"/>
      <c r="IFB38" s="624"/>
      <c r="IFC38" s="624"/>
      <c r="IFD38" s="624"/>
      <c r="IFE38" s="624"/>
      <c r="IFF38" s="624"/>
      <c r="IFG38" s="624"/>
      <c r="IFH38" s="624"/>
      <c r="IFI38" s="624"/>
      <c r="IFJ38" s="624"/>
      <c r="IFK38" s="624"/>
      <c r="IFL38" s="624"/>
      <c r="IFM38" s="624"/>
      <c r="IFN38" s="624"/>
      <c r="IFO38" s="624"/>
      <c r="IFP38" s="624"/>
      <c r="IFQ38" s="624"/>
      <c r="IFR38" s="624"/>
      <c r="IFS38" s="624"/>
      <c r="IFT38" s="624"/>
      <c r="IFU38" s="624"/>
      <c r="IFV38" s="624"/>
      <c r="IFW38" s="624"/>
      <c r="IFX38" s="624"/>
      <c r="IFY38" s="624"/>
      <c r="IFZ38" s="624"/>
      <c r="IGA38" s="624"/>
      <c r="IGB38" s="624"/>
      <c r="IGC38" s="624"/>
      <c r="IGD38" s="624"/>
      <c r="IGE38" s="624"/>
      <c r="IGF38" s="624"/>
      <c r="IGG38" s="624"/>
      <c r="IGH38" s="624"/>
      <c r="IGI38" s="624"/>
      <c r="IGJ38" s="624"/>
      <c r="IGK38" s="624"/>
      <c r="IGL38" s="624"/>
      <c r="IGM38" s="624"/>
      <c r="IGN38" s="624"/>
      <c r="IGO38" s="624"/>
      <c r="IGP38" s="624"/>
      <c r="IGQ38" s="624"/>
      <c r="IGR38" s="624"/>
      <c r="IGS38" s="624"/>
      <c r="IGT38" s="624"/>
      <c r="IGU38" s="624"/>
      <c r="IGV38" s="624"/>
      <c r="IGW38" s="624"/>
      <c r="IGX38" s="624"/>
      <c r="IGY38" s="624"/>
      <c r="IGZ38" s="624"/>
      <c r="IHA38" s="624"/>
      <c r="IHB38" s="624"/>
      <c r="IHC38" s="624"/>
      <c r="IHD38" s="624"/>
      <c r="IHE38" s="624"/>
      <c r="IHF38" s="624"/>
      <c r="IHG38" s="624"/>
      <c r="IHH38" s="624"/>
      <c r="IHI38" s="624"/>
      <c r="IHJ38" s="624"/>
      <c r="IHK38" s="624"/>
      <c r="IHL38" s="624"/>
      <c r="IHM38" s="624"/>
      <c r="IHN38" s="624"/>
      <c r="IHO38" s="624"/>
      <c r="IHP38" s="624"/>
      <c r="IHQ38" s="624"/>
      <c r="IHR38" s="624"/>
      <c r="IHS38" s="624"/>
      <c r="IHT38" s="624"/>
      <c r="IHU38" s="624"/>
      <c r="IHV38" s="624"/>
      <c r="IHW38" s="624"/>
      <c r="IHX38" s="624"/>
      <c r="IHY38" s="624"/>
      <c r="IHZ38" s="624"/>
      <c r="IIA38" s="624"/>
      <c r="IIB38" s="624"/>
      <c r="IIC38" s="624"/>
      <c r="IID38" s="624"/>
      <c r="IIE38" s="624"/>
      <c r="IIF38" s="624"/>
      <c r="IIG38" s="624"/>
      <c r="IIH38" s="624"/>
      <c r="III38" s="624"/>
      <c r="IIJ38" s="624"/>
      <c r="IIK38" s="624"/>
      <c r="IIL38" s="624"/>
      <c r="IIM38" s="624"/>
      <c r="IIN38" s="624"/>
      <c r="IIO38" s="624"/>
      <c r="IIP38" s="624"/>
      <c r="IIQ38" s="624"/>
      <c r="IIR38" s="624"/>
      <c r="IIS38" s="624"/>
      <c r="IIT38" s="624"/>
      <c r="IIU38" s="624"/>
      <c r="IIV38" s="624"/>
      <c r="IIW38" s="624"/>
      <c r="IIX38" s="624"/>
      <c r="IIY38" s="624"/>
      <c r="IIZ38" s="624"/>
      <c r="IJA38" s="624"/>
      <c r="IJB38" s="624"/>
      <c r="IJC38" s="624"/>
      <c r="IJD38" s="624"/>
      <c r="IJE38" s="624"/>
      <c r="IJF38" s="624"/>
      <c r="IJG38" s="624"/>
      <c r="IJH38" s="624"/>
      <c r="IJI38" s="624"/>
      <c r="IJJ38" s="624"/>
      <c r="IJK38" s="624"/>
      <c r="IJL38" s="624"/>
      <c r="IJM38" s="624"/>
      <c r="IJN38" s="624"/>
      <c r="IJO38" s="624"/>
      <c r="IJP38" s="624"/>
      <c r="IJQ38" s="624"/>
      <c r="IJR38" s="624"/>
      <c r="IJS38" s="624"/>
      <c r="IJT38" s="624"/>
      <c r="IJU38" s="624"/>
      <c r="IJV38" s="624"/>
      <c r="IJW38" s="624"/>
      <c r="IJX38" s="624"/>
      <c r="IJY38" s="624"/>
      <c r="IJZ38" s="624"/>
      <c r="IKA38" s="624"/>
      <c r="IKB38" s="624"/>
      <c r="IKC38" s="624"/>
      <c r="IKD38" s="624"/>
      <c r="IKE38" s="624"/>
      <c r="IKF38" s="624"/>
      <c r="IKG38" s="624"/>
      <c r="IKH38" s="624"/>
      <c r="IKI38" s="624"/>
      <c r="IKJ38" s="624"/>
      <c r="IKK38" s="624"/>
      <c r="IKL38" s="624"/>
      <c r="IKM38" s="624"/>
      <c r="IKN38" s="624"/>
      <c r="IKO38" s="624"/>
      <c r="IKP38" s="624"/>
      <c r="IKQ38" s="624"/>
      <c r="IKR38" s="624"/>
      <c r="IKS38" s="624"/>
      <c r="IKT38" s="624"/>
      <c r="IKU38" s="624"/>
      <c r="IKV38" s="624"/>
      <c r="IKW38" s="624"/>
      <c r="IKX38" s="624"/>
      <c r="IKY38" s="624"/>
      <c r="IKZ38" s="624"/>
      <c r="ILA38" s="624"/>
      <c r="ILB38" s="624"/>
      <c r="ILC38" s="624"/>
      <c r="ILD38" s="624"/>
      <c r="ILE38" s="624"/>
      <c r="ILF38" s="624"/>
      <c r="ILG38" s="624"/>
      <c r="ILH38" s="624"/>
      <c r="ILI38" s="624"/>
      <c r="ILJ38" s="624"/>
      <c r="ILK38" s="624"/>
      <c r="ILL38" s="624"/>
      <c r="ILM38" s="624"/>
      <c r="ILN38" s="624"/>
      <c r="ILO38" s="624"/>
      <c r="ILP38" s="624"/>
      <c r="ILQ38" s="624"/>
      <c r="ILR38" s="624"/>
      <c r="ILS38" s="624"/>
      <c r="ILT38" s="624"/>
      <c r="ILU38" s="624"/>
      <c r="ILV38" s="624"/>
      <c r="ILW38" s="624"/>
      <c r="ILX38" s="624"/>
      <c r="ILY38" s="624"/>
      <c r="ILZ38" s="624"/>
      <c r="IMA38" s="624"/>
      <c r="IMB38" s="624"/>
      <c r="IMC38" s="624"/>
      <c r="IMD38" s="624"/>
      <c r="IME38" s="624"/>
      <c r="IMF38" s="624"/>
      <c r="IMG38" s="624"/>
      <c r="IMH38" s="624"/>
      <c r="IMI38" s="624"/>
      <c r="IMJ38" s="624"/>
      <c r="IMK38" s="624"/>
      <c r="IML38" s="624"/>
      <c r="IMM38" s="624"/>
      <c r="IMN38" s="624"/>
      <c r="IMO38" s="624"/>
      <c r="IMP38" s="624"/>
      <c r="IMQ38" s="624"/>
      <c r="IMR38" s="624"/>
      <c r="IMS38" s="624"/>
      <c r="IMT38" s="624"/>
      <c r="IMU38" s="624"/>
      <c r="IMV38" s="624"/>
      <c r="IMW38" s="624"/>
      <c r="IMX38" s="624"/>
      <c r="IMY38" s="624"/>
      <c r="IMZ38" s="624"/>
      <c r="INA38" s="624"/>
      <c r="INB38" s="624"/>
      <c r="INC38" s="624"/>
      <c r="IND38" s="624"/>
      <c r="INE38" s="624"/>
      <c r="INF38" s="624"/>
      <c r="ING38" s="624"/>
      <c r="INH38" s="624"/>
      <c r="INI38" s="624"/>
      <c r="INJ38" s="624"/>
      <c r="INK38" s="624"/>
      <c r="INL38" s="624"/>
      <c r="INM38" s="624"/>
      <c r="INN38" s="624"/>
      <c r="INO38" s="624"/>
      <c r="INP38" s="624"/>
      <c r="INQ38" s="624"/>
      <c r="INR38" s="624"/>
      <c r="INS38" s="624"/>
      <c r="INT38" s="624"/>
      <c r="INU38" s="624"/>
      <c r="INV38" s="624"/>
      <c r="INW38" s="624"/>
      <c r="INX38" s="624"/>
      <c r="INY38" s="624"/>
      <c r="INZ38" s="624"/>
      <c r="IOA38" s="624"/>
      <c r="IOB38" s="624"/>
      <c r="IOC38" s="624"/>
      <c r="IOD38" s="624"/>
      <c r="IOE38" s="624"/>
      <c r="IOF38" s="624"/>
      <c r="IOG38" s="624"/>
      <c r="IOH38" s="624"/>
      <c r="IOI38" s="624"/>
      <c r="IOJ38" s="624"/>
      <c r="IOK38" s="624"/>
      <c r="IOL38" s="624"/>
      <c r="IOM38" s="624"/>
      <c r="ION38" s="624"/>
      <c r="IOO38" s="624"/>
      <c r="IOP38" s="624"/>
      <c r="IOQ38" s="624"/>
      <c r="IOR38" s="624"/>
      <c r="IOS38" s="624"/>
      <c r="IOT38" s="624"/>
      <c r="IOU38" s="624"/>
      <c r="IOV38" s="624"/>
      <c r="IOW38" s="624"/>
      <c r="IOX38" s="624"/>
      <c r="IOY38" s="624"/>
      <c r="IOZ38" s="624"/>
      <c r="IPA38" s="624"/>
      <c r="IPB38" s="624"/>
      <c r="IPC38" s="624"/>
      <c r="IPD38" s="624"/>
      <c r="IPE38" s="624"/>
      <c r="IPF38" s="624"/>
      <c r="IPG38" s="624"/>
      <c r="IPH38" s="624"/>
      <c r="IPI38" s="624"/>
      <c r="IPJ38" s="624"/>
      <c r="IPK38" s="624"/>
      <c r="IPL38" s="624"/>
      <c r="IPM38" s="624"/>
      <c r="IPN38" s="624"/>
      <c r="IPO38" s="624"/>
      <c r="IPP38" s="624"/>
      <c r="IPQ38" s="624"/>
      <c r="IPR38" s="624"/>
      <c r="IPS38" s="624"/>
      <c r="IPT38" s="624"/>
      <c r="IPU38" s="624"/>
      <c r="IPV38" s="624"/>
      <c r="IPW38" s="624"/>
      <c r="IPX38" s="624"/>
      <c r="IPY38" s="624"/>
      <c r="IPZ38" s="624"/>
      <c r="IQA38" s="624"/>
      <c r="IQB38" s="624"/>
      <c r="IQC38" s="624"/>
      <c r="IQD38" s="624"/>
      <c r="IQE38" s="624"/>
      <c r="IQF38" s="624"/>
      <c r="IQG38" s="624"/>
      <c r="IQH38" s="624"/>
      <c r="IQI38" s="624"/>
      <c r="IQJ38" s="624"/>
      <c r="IQK38" s="624"/>
      <c r="IQL38" s="624"/>
      <c r="IQM38" s="624"/>
      <c r="IQN38" s="624"/>
      <c r="IQO38" s="624"/>
      <c r="IQP38" s="624"/>
      <c r="IQQ38" s="624"/>
      <c r="IQR38" s="624"/>
      <c r="IQS38" s="624"/>
      <c r="IQT38" s="624"/>
      <c r="IQU38" s="624"/>
      <c r="IQV38" s="624"/>
      <c r="IQW38" s="624"/>
      <c r="IQX38" s="624"/>
      <c r="IQY38" s="624"/>
      <c r="IQZ38" s="624"/>
      <c r="IRA38" s="624"/>
      <c r="IRB38" s="624"/>
      <c r="IRC38" s="624"/>
      <c r="IRD38" s="624"/>
      <c r="IRE38" s="624"/>
      <c r="IRF38" s="624"/>
      <c r="IRG38" s="624"/>
      <c r="IRH38" s="624"/>
      <c r="IRI38" s="624"/>
      <c r="IRJ38" s="624"/>
      <c r="IRK38" s="624"/>
      <c r="IRL38" s="624"/>
      <c r="IRM38" s="624"/>
      <c r="IRN38" s="624"/>
      <c r="IRO38" s="624"/>
      <c r="IRP38" s="624"/>
      <c r="IRQ38" s="624"/>
      <c r="IRR38" s="624"/>
      <c r="IRS38" s="624"/>
      <c r="IRT38" s="624"/>
      <c r="IRU38" s="624"/>
      <c r="IRV38" s="624"/>
      <c r="IRW38" s="624"/>
      <c r="IRX38" s="624"/>
      <c r="IRY38" s="624"/>
      <c r="IRZ38" s="624"/>
      <c r="ISA38" s="624"/>
      <c r="ISB38" s="624"/>
      <c r="ISC38" s="624"/>
      <c r="ISD38" s="624"/>
      <c r="ISE38" s="624"/>
      <c r="ISF38" s="624"/>
      <c r="ISG38" s="624"/>
      <c r="ISH38" s="624"/>
      <c r="ISI38" s="624"/>
      <c r="ISJ38" s="624"/>
      <c r="ISK38" s="624"/>
      <c r="ISL38" s="624"/>
      <c r="ISM38" s="624"/>
      <c r="ISN38" s="624"/>
      <c r="ISO38" s="624"/>
      <c r="ISP38" s="624"/>
      <c r="ISQ38" s="624"/>
      <c r="ISR38" s="624"/>
      <c r="ISS38" s="624"/>
      <c r="IST38" s="624"/>
      <c r="ISU38" s="624"/>
      <c r="ISV38" s="624"/>
      <c r="ISW38" s="624"/>
      <c r="ISX38" s="624"/>
      <c r="ISY38" s="624"/>
      <c r="ISZ38" s="624"/>
      <c r="ITA38" s="624"/>
      <c r="ITB38" s="624"/>
      <c r="ITC38" s="624"/>
      <c r="ITD38" s="624"/>
      <c r="ITE38" s="624"/>
      <c r="ITF38" s="624"/>
      <c r="ITG38" s="624"/>
      <c r="ITH38" s="624"/>
      <c r="ITI38" s="624"/>
      <c r="ITJ38" s="624"/>
      <c r="ITK38" s="624"/>
      <c r="ITL38" s="624"/>
      <c r="ITM38" s="624"/>
      <c r="ITN38" s="624"/>
      <c r="ITO38" s="624"/>
      <c r="ITP38" s="624"/>
      <c r="ITQ38" s="624"/>
      <c r="ITR38" s="624"/>
      <c r="ITS38" s="624"/>
      <c r="ITT38" s="624"/>
      <c r="ITU38" s="624"/>
      <c r="ITV38" s="624"/>
      <c r="ITW38" s="624"/>
      <c r="ITX38" s="624"/>
      <c r="ITY38" s="624"/>
      <c r="ITZ38" s="624"/>
      <c r="IUA38" s="624"/>
      <c r="IUB38" s="624"/>
      <c r="IUC38" s="624"/>
      <c r="IUD38" s="624"/>
      <c r="IUE38" s="624"/>
      <c r="IUF38" s="624"/>
      <c r="IUG38" s="624"/>
      <c r="IUH38" s="624"/>
      <c r="IUI38" s="624"/>
      <c r="IUJ38" s="624"/>
      <c r="IUK38" s="624"/>
      <c r="IUL38" s="624"/>
      <c r="IUM38" s="624"/>
      <c r="IUN38" s="624"/>
      <c r="IUO38" s="624"/>
      <c r="IUP38" s="624"/>
      <c r="IUQ38" s="624"/>
      <c r="IUR38" s="624"/>
      <c r="IUS38" s="624"/>
      <c r="IUT38" s="624"/>
      <c r="IUU38" s="624"/>
      <c r="IUV38" s="624"/>
      <c r="IUW38" s="624"/>
      <c r="IUX38" s="624"/>
      <c r="IUY38" s="624"/>
      <c r="IUZ38" s="624"/>
      <c r="IVA38" s="624"/>
      <c r="IVB38" s="624"/>
      <c r="IVC38" s="624"/>
      <c r="IVD38" s="624"/>
      <c r="IVE38" s="624"/>
      <c r="IVF38" s="624"/>
      <c r="IVG38" s="624"/>
      <c r="IVH38" s="624"/>
      <c r="IVI38" s="624"/>
      <c r="IVJ38" s="624"/>
      <c r="IVK38" s="624"/>
      <c r="IVL38" s="624"/>
      <c r="IVM38" s="624"/>
      <c r="IVN38" s="624"/>
      <c r="IVO38" s="624"/>
      <c r="IVP38" s="624"/>
      <c r="IVQ38" s="624"/>
      <c r="IVR38" s="624"/>
      <c r="IVS38" s="624"/>
      <c r="IVT38" s="624"/>
      <c r="IVU38" s="624"/>
      <c r="IVV38" s="624"/>
      <c r="IVW38" s="624"/>
      <c r="IVX38" s="624"/>
      <c r="IVY38" s="624"/>
      <c r="IVZ38" s="624"/>
      <c r="IWA38" s="624"/>
      <c r="IWB38" s="624"/>
      <c r="IWC38" s="624"/>
      <c r="IWD38" s="624"/>
      <c r="IWE38" s="624"/>
      <c r="IWF38" s="624"/>
      <c r="IWG38" s="624"/>
      <c r="IWH38" s="624"/>
      <c r="IWI38" s="624"/>
      <c r="IWJ38" s="624"/>
      <c r="IWK38" s="624"/>
      <c r="IWL38" s="624"/>
      <c r="IWM38" s="624"/>
      <c r="IWN38" s="624"/>
      <c r="IWO38" s="624"/>
      <c r="IWP38" s="624"/>
      <c r="IWQ38" s="624"/>
      <c r="IWR38" s="624"/>
      <c r="IWS38" s="624"/>
      <c r="IWT38" s="624"/>
      <c r="IWU38" s="624"/>
      <c r="IWV38" s="624"/>
      <c r="IWW38" s="624"/>
      <c r="IWX38" s="624"/>
      <c r="IWY38" s="624"/>
      <c r="IWZ38" s="624"/>
      <c r="IXA38" s="624"/>
      <c r="IXB38" s="624"/>
      <c r="IXC38" s="624"/>
      <c r="IXD38" s="624"/>
      <c r="IXE38" s="624"/>
      <c r="IXF38" s="624"/>
      <c r="IXG38" s="624"/>
      <c r="IXH38" s="624"/>
      <c r="IXI38" s="624"/>
      <c r="IXJ38" s="624"/>
      <c r="IXK38" s="624"/>
      <c r="IXL38" s="624"/>
      <c r="IXM38" s="624"/>
      <c r="IXN38" s="624"/>
      <c r="IXO38" s="624"/>
      <c r="IXP38" s="624"/>
      <c r="IXQ38" s="624"/>
      <c r="IXR38" s="624"/>
      <c r="IXS38" s="624"/>
      <c r="IXT38" s="624"/>
      <c r="IXU38" s="624"/>
      <c r="IXV38" s="624"/>
      <c r="IXW38" s="624"/>
      <c r="IXX38" s="624"/>
      <c r="IXY38" s="624"/>
      <c r="IXZ38" s="624"/>
      <c r="IYA38" s="624"/>
      <c r="IYB38" s="624"/>
      <c r="IYC38" s="624"/>
      <c r="IYD38" s="624"/>
      <c r="IYE38" s="624"/>
      <c r="IYF38" s="624"/>
      <c r="IYG38" s="624"/>
      <c r="IYH38" s="624"/>
      <c r="IYI38" s="624"/>
      <c r="IYJ38" s="624"/>
      <c r="IYK38" s="624"/>
      <c r="IYL38" s="624"/>
      <c r="IYM38" s="624"/>
      <c r="IYN38" s="624"/>
      <c r="IYO38" s="624"/>
      <c r="IYP38" s="624"/>
      <c r="IYQ38" s="624"/>
      <c r="IYR38" s="624"/>
      <c r="IYS38" s="624"/>
      <c r="IYT38" s="624"/>
      <c r="IYU38" s="624"/>
      <c r="IYV38" s="624"/>
      <c r="IYW38" s="624"/>
      <c r="IYX38" s="624"/>
      <c r="IYY38" s="624"/>
      <c r="IYZ38" s="624"/>
      <c r="IZA38" s="624"/>
      <c r="IZB38" s="624"/>
      <c r="IZC38" s="624"/>
      <c r="IZD38" s="624"/>
      <c r="IZE38" s="624"/>
      <c r="IZF38" s="624"/>
      <c r="IZG38" s="624"/>
      <c r="IZH38" s="624"/>
      <c r="IZI38" s="624"/>
      <c r="IZJ38" s="624"/>
      <c r="IZK38" s="624"/>
      <c r="IZL38" s="624"/>
      <c r="IZM38" s="624"/>
      <c r="IZN38" s="624"/>
      <c r="IZO38" s="624"/>
      <c r="IZP38" s="624"/>
      <c r="IZQ38" s="624"/>
      <c r="IZR38" s="624"/>
      <c r="IZS38" s="624"/>
      <c r="IZT38" s="624"/>
      <c r="IZU38" s="624"/>
      <c r="IZV38" s="624"/>
      <c r="IZW38" s="624"/>
      <c r="IZX38" s="624"/>
      <c r="IZY38" s="624"/>
      <c r="IZZ38" s="624"/>
      <c r="JAA38" s="624"/>
      <c r="JAB38" s="624"/>
      <c r="JAC38" s="624"/>
      <c r="JAD38" s="624"/>
      <c r="JAE38" s="624"/>
      <c r="JAF38" s="624"/>
      <c r="JAG38" s="624"/>
      <c r="JAH38" s="624"/>
      <c r="JAI38" s="624"/>
      <c r="JAJ38" s="624"/>
      <c r="JAK38" s="624"/>
      <c r="JAL38" s="624"/>
      <c r="JAM38" s="624"/>
      <c r="JAN38" s="624"/>
      <c r="JAO38" s="624"/>
      <c r="JAP38" s="624"/>
      <c r="JAQ38" s="624"/>
      <c r="JAR38" s="624"/>
      <c r="JAS38" s="624"/>
      <c r="JAT38" s="624"/>
      <c r="JAU38" s="624"/>
      <c r="JAV38" s="624"/>
      <c r="JAW38" s="624"/>
      <c r="JAX38" s="624"/>
      <c r="JAY38" s="624"/>
      <c r="JAZ38" s="624"/>
      <c r="JBA38" s="624"/>
      <c r="JBB38" s="624"/>
      <c r="JBC38" s="624"/>
      <c r="JBD38" s="624"/>
      <c r="JBE38" s="624"/>
      <c r="JBF38" s="624"/>
      <c r="JBG38" s="624"/>
      <c r="JBH38" s="624"/>
      <c r="JBI38" s="624"/>
      <c r="JBJ38" s="624"/>
      <c r="JBK38" s="624"/>
      <c r="JBL38" s="624"/>
      <c r="JBM38" s="624"/>
      <c r="JBN38" s="624"/>
      <c r="JBO38" s="624"/>
      <c r="JBP38" s="624"/>
      <c r="JBQ38" s="624"/>
      <c r="JBR38" s="624"/>
      <c r="JBS38" s="624"/>
      <c r="JBT38" s="624"/>
      <c r="JBU38" s="624"/>
      <c r="JBV38" s="624"/>
      <c r="JBW38" s="624"/>
      <c r="JBX38" s="624"/>
      <c r="JBY38" s="624"/>
      <c r="JBZ38" s="624"/>
      <c r="JCA38" s="624"/>
      <c r="JCB38" s="624"/>
      <c r="JCC38" s="624"/>
      <c r="JCD38" s="624"/>
      <c r="JCE38" s="624"/>
      <c r="JCF38" s="624"/>
      <c r="JCG38" s="624"/>
      <c r="JCH38" s="624"/>
      <c r="JCI38" s="624"/>
      <c r="JCJ38" s="624"/>
      <c r="JCK38" s="624"/>
      <c r="JCL38" s="624"/>
      <c r="JCM38" s="624"/>
      <c r="JCN38" s="624"/>
      <c r="JCO38" s="624"/>
      <c r="JCP38" s="624"/>
      <c r="JCQ38" s="624"/>
      <c r="JCR38" s="624"/>
      <c r="JCS38" s="624"/>
      <c r="JCT38" s="624"/>
      <c r="JCU38" s="624"/>
      <c r="JCV38" s="624"/>
      <c r="JCW38" s="624"/>
      <c r="JCX38" s="624"/>
      <c r="JCY38" s="624"/>
      <c r="JCZ38" s="624"/>
      <c r="JDA38" s="624"/>
      <c r="JDB38" s="624"/>
      <c r="JDC38" s="624"/>
      <c r="JDD38" s="624"/>
      <c r="JDE38" s="624"/>
      <c r="JDF38" s="624"/>
      <c r="JDG38" s="624"/>
      <c r="JDH38" s="624"/>
      <c r="JDI38" s="624"/>
      <c r="JDJ38" s="624"/>
      <c r="JDK38" s="624"/>
      <c r="JDL38" s="624"/>
      <c r="JDM38" s="624"/>
      <c r="JDN38" s="624"/>
      <c r="JDO38" s="624"/>
      <c r="JDP38" s="624"/>
      <c r="JDQ38" s="624"/>
      <c r="JDR38" s="624"/>
      <c r="JDS38" s="624"/>
      <c r="JDT38" s="624"/>
      <c r="JDU38" s="624"/>
      <c r="JDV38" s="624"/>
      <c r="JDW38" s="624"/>
      <c r="JDX38" s="624"/>
      <c r="JDY38" s="624"/>
      <c r="JDZ38" s="624"/>
      <c r="JEA38" s="624"/>
      <c r="JEB38" s="624"/>
      <c r="JEC38" s="624"/>
      <c r="JED38" s="624"/>
      <c r="JEE38" s="624"/>
      <c r="JEF38" s="624"/>
      <c r="JEG38" s="624"/>
      <c r="JEH38" s="624"/>
      <c r="JEI38" s="624"/>
      <c r="JEJ38" s="624"/>
      <c r="JEK38" s="624"/>
      <c r="JEL38" s="624"/>
      <c r="JEM38" s="624"/>
      <c r="JEN38" s="624"/>
      <c r="JEO38" s="624"/>
      <c r="JEP38" s="624"/>
      <c r="JEQ38" s="624"/>
      <c r="JER38" s="624"/>
      <c r="JES38" s="624"/>
      <c r="JET38" s="624"/>
      <c r="JEU38" s="624"/>
      <c r="JEV38" s="624"/>
      <c r="JEW38" s="624"/>
      <c r="JEX38" s="624"/>
      <c r="JEY38" s="624"/>
      <c r="JEZ38" s="624"/>
      <c r="JFA38" s="624"/>
      <c r="JFB38" s="624"/>
      <c r="JFC38" s="624"/>
      <c r="JFD38" s="624"/>
      <c r="JFE38" s="624"/>
      <c r="JFF38" s="624"/>
      <c r="JFG38" s="624"/>
      <c r="JFH38" s="624"/>
      <c r="JFI38" s="624"/>
      <c r="JFJ38" s="624"/>
      <c r="JFK38" s="624"/>
      <c r="JFL38" s="624"/>
      <c r="JFM38" s="624"/>
      <c r="JFN38" s="624"/>
      <c r="JFO38" s="624"/>
      <c r="JFP38" s="624"/>
      <c r="JFQ38" s="624"/>
      <c r="JFR38" s="624"/>
      <c r="JFS38" s="624"/>
      <c r="JFT38" s="624"/>
      <c r="JFU38" s="624"/>
      <c r="JFV38" s="624"/>
      <c r="JFW38" s="624"/>
      <c r="JFX38" s="624"/>
      <c r="JFY38" s="624"/>
      <c r="JFZ38" s="624"/>
      <c r="JGA38" s="624"/>
      <c r="JGB38" s="624"/>
      <c r="JGC38" s="624"/>
      <c r="JGD38" s="624"/>
      <c r="JGE38" s="624"/>
      <c r="JGF38" s="624"/>
      <c r="JGG38" s="624"/>
      <c r="JGH38" s="624"/>
      <c r="JGI38" s="624"/>
      <c r="JGJ38" s="624"/>
      <c r="JGK38" s="624"/>
      <c r="JGL38" s="624"/>
      <c r="JGM38" s="624"/>
      <c r="JGN38" s="624"/>
      <c r="JGO38" s="624"/>
      <c r="JGP38" s="624"/>
      <c r="JGQ38" s="624"/>
      <c r="JGR38" s="624"/>
      <c r="JGS38" s="624"/>
      <c r="JGT38" s="624"/>
      <c r="JGU38" s="624"/>
      <c r="JGV38" s="624"/>
      <c r="JGW38" s="624"/>
      <c r="JGX38" s="624"/>
      <c r="JGY38" s="624"/>
      <c r="JGZ38" s="624"/>
      <c r="JHA38" s="624"/>
      <c r="JHB38" s="624"/>
      <c r="JHC38" s="624"/>
      <c r="JHD38" s="624"/>
      <c r="JHE38" s="624"/>
      <c r="JHF38" s="624"/>
      <c r="JHG38" s="624"/>
      <c r="JHH38" s="624"/>
      <c r="JHI38" s="624"/>
      <c r="JHJ38" s="624"/>
      <c r="JHK38" s="624"/>
      <c r="JHL38" s="624"/>
      <c r="JHM38" s="624"/>
      <c r="JHN38" s="624"/>
      <c r="JHO38" s="624"/>
      <c r="JHP38" s="624"/>
      <c r="JHQ38" s="624"/>
      <c r="JHR38" s="624"/>
      <c r="JHS38" s="624"/>
      <c r="JHT38" s="624"/>
      <c r="JHU38" s="624"/>
      <c r="JHV38" s="624"/>
      <c r="JHW38" s="624"/>
      <c r="JHX38" s="624"/>
      <c r="JHY38" s="624"/>
      <c r="JHZ38" s="624"/>
      <c r="JIA38" s="624"/>
      <c r="JIB38" s="624"/>
      <c r="JIC38" s="624"/>
      <c r="JID38" s="624"/>
      <c r="JIE38" s="624"/>
      <c r="JIF38" s="624"/>
      <c r="JIG38" s="624"/>
      <c r="JIH38" s="624"/>
      <c r="JII38" s="624"/>
      <c r="JIJ38" s="624"/>
      <c r="JIK38" s="624"/>
      <c r="JIL38" s="624"/>
      <c r="JIM38" s="624"/>
      <c r="JIN38" s="624"/>
      <c r="JIO38" s="624"/>
      <c r="JIP38" s="624"/>
      <c r="JIQ38" s="624"/>
      <c r="JIR38" s="624"/>
      <c r="JIS38" s="624"/>
      <c r="JIT38" s="624"/>
      <c r="JIU38" s="624"/>
      <c r="JIV38" s="624"/>
      <c r="JIW38" s="624"/>
      <c r="JIX38" s="624"/>
      <c r="JIY38" s="624"/>
      <c r="JIZ38" s="624"/>
      <c r="JJA38" s="624"/>
      <c r="JJB38" s="624"/>
      <c r="JJC38" s="624"/>
      <c r="JJD38" s="624"/>
      <c r="JJE38" s="624"/>
      <c r="JJF38" s="624"/>
      <c r="JJG38" s="624"/>
      <c r="JJH38" s="624"/>
      <c r="JJI38" s="624"/>
      <c r="JJJ38" s="624"/>
      <c r="JJK38" s="624"/>
      <c r="JJL38" s="624"/>
      <c r="JJM38" s="624"/>
      <c r="JJN38" s="624"/>
      <c r="JJO38" s="624"/>
      <c r="JJP38" s="624"/>
      <c r="JJQ38" s="624"/>
      <c r="JJR38" s="624"/>
      <c r="JJS38" s="624"/>
      <c r="JJT38" s="624"/>
      <c r="JJU38" s="624"/>
      <c r="JJV38" s="624"/>
      <c r="JJW38" s="624"/>
      <c r="JJX38" s="624"/>
      <c r="JJY38" s="624"/>
      <c r="JJZ38" s="624"/>
      <c r="JKA38" s="624"/>
      <c r="JKB38" s="624"/>
      <c r="JKC38" s="624"/>
      <c r="JKD38" s="624"/>
      <c r="JKE38" s="624"/>
      <c r="JKF38" s="624"/>
      <c r="JKG38" s="624"/>
      <c r="JKH38" s="624"/>
      <c r="JKI38" s="624"/>
      <c r="JKJ38" s="624"/>
      <c r="JKK38" s="624"/>
      <c r="JKL38" s="624"/>
      <c r="JKM38" s="624"/>
      <c r="JKN38" s="624"/>
      <c r="JKO38" s="624"/>
      <c r="JKP38" s="624"/>
      <c r="JKQ38" s="624"/>
      <c r="JKR38" s="624"/>
      <c r="JKS38" s="624"/>
      <c r="JKT38" s="624"/>
      <c r="JKU38" s="624"/>
      <c r="JKV38" s="624"/>
      <c r="JKW38" s="624"/>
      <c r="JKX38" s="624"/>
      <c r="JKY38" s="624"/>
      <c r="JKZ38" s="624"/>
      <c r="JLA38" s="624"/>
      <c r="JLB38" s="624"/>
      <c r="JLC38" s="624"/>
      <c r="JLD38" s="624"/>
      <c r="JLE38" s="624"/>
      <c r="JLF38" s="624"/>
      <c r="JLG38" s="624"/>
      <c r="JLH38" s="624"/>
      <c r="JLI38" s="624"/>
      <c r="JLJ38" s="624"/>
      <c r="JLK38" s="624"/>
      <c r="JLL38" s="624"/>
      <c r="JLM38" s="624"/>
      <c r="JLN38" s="624"/>
      <c r="JLO38" s="624"/>
      <c r="JLP38" s="624"/>
      <c r="JLQ38" s="624"/>
      <c r="JLR38" s="624"/>
      <c r="JLS38" s="624"/>
      <c r="JLT38" s="624"/>
      <c r="JLU38" s="624"/>
      <c r="JLV38" s="624"/>
      <c r="JLW38" s="624"/>
      <c r="JLX38" s="624"/>
      <c r="JLY38" s="624"/>
      <c r="JLZ38" s="624"/>
      <c r="JMA38" s="624"/>
      <c r="JMB38" s="624"/>
      <c r="JMC38" s="624"/>
      <c r="JMD38" s="624"/>
      <c r="JME38" s="624"/>
      <c r="JMF38" s="624"/>
      <c r="JMG38" s="624"/>
      <c r="JMH38" s="624"/>
      <c r="JMI38" s="624"/>
      <c r="JMJ38" s="624"/>
      <c r="JMK38" s="624"/>
      <c r="JML38" s="624"/>
      <c r="JMM38" s="624"/>
      <c r="JMN38" s="624"/>
      <c r="JMO38" s="624"/>
      <c r="JMP38" s="624"/>
      <c r="JMQ38" s="624"/>
      <c r="JMR38" s="624"/>
      <c r="JMS38" s="624"/>
      <c r="JMT38" s="624"/>
      <c r="JMU38" s="624"/>
      <c r="JMV38" s="624"/>
      <c r="JMW38" s="624"/>
      <c r="JMX38" s="624"/>
      <c r="JMY38" s="624"/>
      <c r="JMZ38" s="624"/>
      <c r="JNA38" s="624"/>
      <c r="JNB38" s="624"/>
      <c r="JNC38" s="624"/>
      <c r="JND38" s="624"/>
      <c r="JNE38" s="624"/>
      <c r="JNF38" s="624"/>
      <c r="JNG38" s="624"/>
      <c r="JNH38" s="624"/>
      <c r="JNI38" s="624"/>
      <c r="JNJ38" s="624"/>
      <c r="JNK38" s="624"/>
      <c r="JNL38" s="624"/>
      <c r="JNM38" s="624"/>
      <c r="JNN38" s="624"/>
      <c r="JNO38" s="624"/>
      <c r="JNP38" s="624"/>
      <c r="JNQ38" s="624"/>
      <c r="JNR38" s="624"/>
      <c r="JNS38" s="624"/>
      <c r="JNT38" s="624"/>
      <c r="JNU38" s="624"/>
      <c r="JNV38" s="624"/>
      <c r="JNW38" s="624"/>
      <c r="JNX38" s="624"/>
      <c r="JNY38" s="624"/>
      <c r="JNZ38" s="624"/>
      <c r="JOA38" s="624"/>
      <c r="JOB38" s="624"/>
      <c r="JOC38" s="624"/>
      <c r="JOD38" s="624"/>
      <c r="JOE38" s="624"/>
      <c r="JOF38" s="624"/>
      <c r="JOG38" s="624"/>
      <c r="JOH38" s="624"/>
      <c r="JOI38" s="624"/>
      <c r="JOJ38" s="624"/>
      <c r="JOK38" s="624"/>
      <c r="JOL38" s="624"/>
      <c r="JOM38" s="624"/>
      <c r="JON38" s="624"/>
      <c r="JOO38" s="624"/>
      <c r="JOP38" s="624"/>
      <c r="JOQ38" s="624"/>
      <c r="JOR38" s="624"/>
      <c r="JOS38" s="624"/>
      <c r="JOT38" s="624"/>
      <c r="JOU38" s="624"/>
      <c r="JOV38" s="624"/>
      <c r="JOW38" s="624"/>
      <c r="JOX38" s="624"/>
      <c r="JOY38" s="624"/>
      <c r="JOZ38" s="624"/>
      <c r="JPA38" s="624"/>
      <c r="JPB38" s="624"/>
      <c r="JPC38" s="624"/>
      <c r="JPD38" s="624"/>
      <c r="JPE38" s="624"/>
      <c r="JPF38" s="624"/>
      <c r="JPG38" s="624"/>
      <c r="JPH38" s="624"/>
      <c r="JPI38" s="624"/>
      <c r="JPJ38" s="624"/>
      <c r="JPK38" s="624"/>
      <c r="JPL38" s="624"/>
      <c r="JPM38" s="624"/>
      <c r="JPN38" s="624"/>
      <c r="JPO38" s="624"/>
      <c r="JPP38" s="624"/>
      <c r="JPQ38" s="624"/>
      <c r="JPR38" s="624"/>
      <c r="JPS38" s="624"/>
      <c r="JPT38" s="624"/>
      <c r="JPU38" s="624"/>
      <c r="JPV38" s="624"/>
      <c r="JPW38" s="624"/>
      <c r="JPX38" s="624"/>
      <c r="JPY38" s="624"/>
      <c r="JPZ38" s="624"/>
      <c r="JQA38" s="624"/>
      <c r="JQB38" s="624"/>
      <c r="JQC38" s="624"/>
      <c r="JQD38" s="624"/>
      <c r="JQE38" s="624"/>
      <c r="JQF38" s="624"/>
      <c r="JQG38" s="624"/>
      <c r="JQH38" s="624"/>
      <c r="JQI38" s="624"/>
      <c r="JQJ38" s="624"/>
      <c r="JQK38" s="624"/>
      <c r="JQL38" s="624"/>
      <c r="JQM38" s="624"/>
      <c r="JQN38" s="624"/>
      <c r="JQO38" s="624"/>
      <c r="JQP38" s="624"/>
      <c r="JQQ38" s="624"/>
      <c r="JQR38" s="624"/>
      <c r="JQS38" s="624"/>
      <c r="JQT38" s="624"/>
      <c r="JQU38" s="624"/>
      <c r="JQV38" s="624"/>
      <c r="JQW38" s="624"/>
      <c r="JQX38" s="624"/>
      <c r="JQY38" s="624"/>
      <c r="JQZ38" s="624"/>
      <c r="JRA38" s="624"/>
      <c r="JRB38" s="624"/>
      <c r="JRC38" s="624"/>
      <c r="JRD38" s="624"/>
      <c r="JRE38" s="624"/>
      <c r="JRF38" s="624"/>
      <c r="JRG38" s="624"/>
      <c r="JRH38" s="624"/>
      <c r="JRI38" s="624"/>
      <c r="JRJ38" s="624"/>
      <c r="JRK38" s="624"/>
      <c r="JRL38" s="624"/>
      <c r="JRM38" s="624"/>
      <c r="JRN38" s="624"/>
      <c r="JRO38" s="624"/>
      <c r="JRP38" s="624"/>
      <c r="JRQ38" s="624"/>
      <c r="JRR38" s="624"/>
      <c r="JRS38" s="624"/>
      <c r="JRT38" s="624"/>
      <c r="JRU38" s="624"/>
      <c r="JRV38" s="624"/>
      <c r="JRW38" s="624"/>
      <c r="JRX38" s="624"/>
      <c r="JRY38" s="624"/>
      <c r="JRZ38" s="624"/>
      <c r="JSA38" s="624"/>
      <c r="JSB38" s="624"/>
      <c r="JSC38" s="624"/>
      <c r="JSD38" s="624"/>
      <c r="JSE38" s="624"/>
      <c r="JSF38" s="624"/>
      <c r="JSG38" s="624"/>
      <c r="JSH38" s="624"/>
      <c r="JSI38" s="624"/>
      <c r="JSJ38" s="624"/>
      <c r="JSK38" s="624"/>
      <c r="JSL38" s="624"/>
      <c r="JSM38" s="624"/>
      <c r="JSN38" s="624"/>
      <c r="JSO38" s="624"/>
      <c r="JSP38" s="624"/>
      <c r="JSQ38" s="624"/>
      <c r="JSR38" s="624"/>
      <c r="JSS38" s="624"/>
      <c r="JST38" s="624"/>
      <c r="JSU38" s="624"/>
      <c r="JSV38" s="624"/>
      <c r="JSW38" s="624"/>
      <c r="JSX38" s="624"/>
      <c r="JSY38" s="624"/>
      <c r="JSZ38" s="624"/>
      <c r="JTA38" s="624"/>
      <c r="JTB38" s="624"/>
      <c r="JTC38" s="624"/>
      <c r="JTD38" s="624"/>
      <c r="JTE38" s="624"/>
      <c r="JTF38" s="624"/>
      <c r="JTG38" s="624"/>
      <c r="JTH38" s="624"/>
      <c r="JTI38" s="624"/>
      <c r="JTJ38" s="624"/>
      <c r="JTK38" s="624"/>
      <c r="JTL38" s="624"/>
      <c r="JTM38" s="624"/>
      <c r="JTN38" s="624"/>
      <c r="JTO38" s="624"/>
      <c r="JTP38" s="624"/>
      <c r="JTQ38" s="624"/>
      <c r="JTR38" s="624"/>
      <c r="JTS38" s="624"/>
      <c r="JTT38" s="624"/>
      <c r="JTU38" s="624"/>
      <c r="JTV38" s="624"/>
      <c r="JTW38" s="624"/>
      <c r="JTX38" s="624"/>
      <c r="JTY38" s="624"/>
      <c r="JTZ38" s="624"/>
      <c r="JUA38" s="624"/>
      <c r="JUB38" s="624"/>
      <c r="JUC38" s="624"/>
      <c r="JUD38" s="624"/>
      <c r="JUE38" s="624"/>
      <c r="JUF38" s="624"/>
      <c r="JUG38" s="624"/>
      <c r="JUH38" s="624"/>
      <c r="JUI38" s="624"/>
      <c r="JUJ38" s="624"/>
      <c r="JUK38" s="624"/>
      <c r="JUL38" s="624"/>
      <c r="JUM38" s="624"/>
      <c r="JUN38" s="624"/>
      <c r="JUO38" s="624"/>
      <c r="JUP38" s="624"/>
      <c r="JUQ38" s="624"/>
      <c r="JUR38" s="624"/>
      <c r="JUS38" s="624"/>
      <c r="JUT38" s="624"/>
      <c r="JUU38" s="624"/>
      <c r="JUV38" s="624"/>
      <c r="JUW38" s="624"/>
      <c r="JUX38" s="624"/>
      <c r="JUY38" s="624"/>
      <c r="JUZ38" s="624"/>
      <c r="JVA38" s="624"/>
      <c r="JVB38" s="624"/>
      <c r="JVC38" s="624"/>
      <c r="JVD38" s="624"/>
      <c r="JVE38" s="624"/>
      <c r="JVF38" s="624"/>
      <c r="JVG38" s="624"/>
      <c r="JVH38" s="624"/>
      <c r="JVI38" s="624"/>
      <c r="JVJ38" s="624"/>
      <c r="JVK38" s="624"/>
      <c r="JVL38" s="624"/>
      <c r="JVM38" s="624"/>
      <c r="JVN38" s="624"/>
      <c r="JVO38" s="624"/>
      <c r="JVP38" s="624"/>
      <c r="JVQ38" s="624"/>
      <c r="JVR38" s="624"/>
      <c r="JVS38" s="624"/>
      <c r="JVT38" s="624"/>
      <c r="JVU38" s="624"/>
      <c r="JVV38" s="624"/>
      <c r="JVW38" s="624"/>
      <c r="JVX38" s="624"/>
      <c r="JVY38" s="624"/>
      <c r="JVZ38" s="624"/>
      <c r="JWA38" s="624"/>
      <c r="JWB38" s="624"/>
      <c r="JWC38" s="624"/>
      <c r="JWD38" s="624"/>
      <c r="JWE38" s="624"/>
      <c r="JWF38" s="624"/>
      <c r="JWG38" s="624"/>
      <c r="JWH38" s="624"/>
      <c r="JWI38" s="624"/>
      <c r="JWJ38" s="624"/>
      <c r="JWK38" s="624"/>
      <c r="JWL38" s="624"/>
      <c r="JWM38" s="624"/>
      <c r="JWN38" s="624"/>
      <c r="JWO38" s="624"/>
      <c r="JWP38" s="624"/>
      <c r="JWQ38" s="624"/>
      <c r="JWR38" s="624"/>
      <c r="JWS38" s="624"/>
      <c r="JWT38" s="624"/>
      <c r="JWU38" s="624"/>
      <c r="JWV38" s="624"/>
      <c r="JWW38" s="624"/>
      <c r="JWX38" s="624"/>
      <c r="JWY38" s="624"/>
      <c r="JWZ38" s="624"/>
      <c r="JXA38" s="624"/>
      <c r="JXB38" s="624"/>
      <c r="JXC38" s="624"/>
      <c r="JXD38" s="624"/>
      <c r="JXE38" s="624"/>
      <c r="JXF38" s="624"/>
      <c r="JXG38" s="624"/>
      <c r="JXH38" s="624"/>
      <c r="JXI38" s="624"/>
      <c r="JXJ38" s="624"/>
      <c r="JXK38" s="624"/>
      <c r="JXL38" s="624"/>
      <c r="JXM38" s="624"/>
      <c r="JXN38" s="624"/>
      <c r="JXO38" s="624"/>
      <c r="JXP38" s="624"/>
      <c r="JXQ38" s="624"/>
      <c r="JXR38" s="624"/>
      <c r="JXS38" s="624"/>
      <c r="JXT38" s="624"/>
      <c r="JXU38" s="624"/>
      <c r="JXV38" s="624"/>
      <c r="JXW38" s="624"/>
      <c r="JXX38" s="624"/>
      <c r="JXY38" s="624"/>
      <c r="JXZ38" s="624"/>
      <c r="JYA38" s="624"/>
      <c r="JYB38" s="624"/>
      <c r="JYC38" s="624"/>
      <c r="JYD38" s="624"/>
      <c r="JYE38" s="624"/>
      <c r="JYF38" s="624"/>
      <c r="JYG38" s="624"/>
      <c r="JYH38" s="624"/>
      <c r="JYI38" s="624"/>
      <c r="JYJ38" s="624"/>
      <c r="JYK38" s="624"/>
      <c r="JYL38" s="624"/>
      <c r="JYM38" s="624"/>
      <c r="JYN38" s="624"/>
      <c r="JYO38" s="624"/>
      <c r="JYP38" s="624"/>
      <c r="JYQ38" s="624"/>
      <c r="JYR38" s="624"/>
      <c r="JYS38" s="624"/>
      <c r="JYT38" s="624"/>
      <c r="JYU38" s="624"/>
      <c r="JYV38" s="624"/>
      <c r="JYW38" s="624"/>
      <c r="JYX38" s="624"/>
      <c r="JYY38" s="624"/>
      <c r="JYZ38" s="624"/>
      <c r="JZA38" s="624"/>
      <c r="JZB38" s="624"/>
      <c r="JZC38" s="624"/>
      <c r="JZD38" s="624"/>
      <c r="JZE38" s="624"/>
      <c r="JZF38" s="624"/>
      <c r="JZG38" s="624"/>
      <c r="JZH38" s="624"/>
      <c r="JZI38" s="624"/>
      <c r="JZJ38" s="624"/>
      <c r="JZK38" s="624"/>
      <c r="JZL38" s="624"/>
      <c r="JZM38" s="624"/>
      <c r="JZN38" s="624"/>
      <c r="JZO38" s="624"/>
      <c r="JZP38" s="624"/>
      <c r="JZQ38" s="624"/>
      <c r="JZR38" s="624"/>
      <c r="JZS38" s="624"/>
      <c r="JZT38" s="624"/>
      <c r="JZU38" s="624"/>
      <c r="JZV38" s="624"/>
      <c r="JZW38" s="624"/>
      <c r="JZX38" s="624"/>
      <c r="JZY38" s="624"/>
      <c r="JZZ38" s="624"/>
      <c r="KAA38" s="624"/>
      <c r="KAB38" s="624"/>
      <c r="KAC38" s="624"/>
      <c r="KAD38" s="624"/>
      <c r="KAE38" s="624"/>
      <c r="KAF38" s="624"/>
      <c r="KAG38" s="624"/>
      <c r="KAH38" s="624"/>
      <c r="KAI38" s="624"/>
      <c r="KAJ38" s="624"/>
      <c r="KAK38" s="624"/>
      <c r="KAL38" s="624"/>
      <c r="KAM38" s="624"/>
      <c r="KAN38" s="624"/>
      <c r="KAO38" s="624"/>
      <c r="KAP38" s="624"/>
      <c r="KAQ38" s="624"/>
      <c r="KAR38" s="624"/>
      <c r="KAS38" s="624"/>
      <c r="KAT38" s="624"/>
      <c r="KAU38" s="624"/>
      <c r="KAV38" s="624"/>
      <c r="KAW38" s="624"/>
      <c r="KAX38" s="624"/>
      <c r="KAY38" s="624"/>
      <c r="KAZ38" s="624"/>
      <c r="KBA38" s="624"/>
      <c r="KBB38" s="624"/>
      <c r="KBC38" s="624"/>
      <c r="KBD38" s="624"/>
      <c r="KBE38" s="624"/>
      <c r="KBF38" s="624"/>
      <c r="KBG38" s="624"/>
      <c r="KBH38" s="624"/>
      <c r="KBI38" s="624"/>
      <c r="KBJ38" s="624"/>
      <c r="KBK38" s="624"/>
      <c r="KBL38" s="624"/>
      <c r="KBM38" s="624"/>
      <c r="KBN38" s="624"/>
      <c r="KBO38" s="624"/>
      <c r="KBP38" s="624"/>
      <c r="KBQ38" s="624"/>
      <c r="KBR38" s="624"/>
      <c r="KBS38" s="624"/>
      <c r="KBT38" s="624"/>
      <c r="KBU38" s="624"/>
      <c r="KBV38" s="624"/>
      <c r="KBW38" s="624"/>
      <c r="KBX38" s="624"/>
      <c r="KBY38" s="624"/>
      <c r="KBZ38" s="624"/>
      <c r="KCA38" s="624"/>
      <c r="KCB38" s="624"/>
      <c r="KCC38" s="624"/>
      <c r="KCD38" s="624"/>
      <c r="KCE38" s="624"/>
      <c r="KCF38" s="624"/>
      <c r="KCG38" s="624"/>
      <c r="KCH38" s="624"/>
      <c r="KCI38" s="624"/>
      <c r="KCJ38" s="624"/>
      <c r="KCK38" s="624"/>
      <c r="KCL38" s="624"/>
      <c r="KCM38" s="624"/>
      <c r="KCN38" s="624"/>
      <c r="KCO38" s="624"/>
      <c r="KCP38" s="624"/>
      <c r="KCQ38" s="624"/>
      <c r="KCR38" s="624"/>
      <c r="KCS38" s="624"/>
      <c r="KCT38" s="624"/>
      <c r="KCU38" s="624"/>
      <c r="KCV38" s="624"/>
      <c r="KCW38" s="624"/>
      <c r="KCX38" s="624"/>
      <c r="KCY38" s="624"/>
      <c r="KCZ38" s="624"/>
      <c r="KDA38" s="624"/>
      <c r="KDB38" s="624"/>
      <c r="KDC38" s="624"/>
      <c r="KDD38" s="624"/>
      <c r="KDE38" s="624"/>
      <c r="KDF38" s="624"/>
      <c r="KDG38" s="624"/>
      <c r="KDH38" s="624"/>
      <c r="KDI38" s="624"/>
      <c r="KDJ38" s="624"/>
      <c r="KDK38" s="624"/>
      <c r="KDL38" s="624"/>
      <c r="KDM38" s="624"/>
      <c r="KDN38" s="624"/>
      <c r="KDO38" s="624"/>
      <c r="KDP38" s="624"/>
      <c r="KDQ38" s="624"/>
      <c r="KDR38" s="624"/>
      <c r="KDS38" s="624"/>
      <c r="KDT38" s="624"/>
      <c r="KDU38" s="624"/>
      <c r="KDV38" s="624"/>
      <c r="KDW38" s="624"/>
      <c r="KDX38" s="624"/>
      <c r="KDY38" s="624"/>
      <c r="KDZ38" s="624"/>
      <c r="KEA38" s="624"/>
      <c r="KEB38" s="624"/>
      <c r="KEC38" s="624"/>
      <c r="KED38" s="624"/>
      <c r="KEE38" s="624"/>
      <c r="KEF38" s="624"/>
      <c r="KEG38" s="624"/>
      <c r="KEH38" s="624"/>
      <c r="KEI38" s="624"/>
      <c r="KEJ38" s="624"/>
      <c r="KEK38" s="624"/>
      <c r="KEL38" s="624"/>
      <c r="KEM38" s="624"/>
      <c r="KEN38" s="624"/>
      <c r="KEO38" s="624"/>
      <c r="KEP38" s="624"/>
      <c r="KEQ38" s="624"/>
      <c r="KER38" s="624"/>
      <c r="KES38" s="624"/>
      <c r="KET38" s="624"/>
      <c r="KEU38" s="624"/>
      <c r="KEV38" s="624"/>
      <c r="KEW38" s="624"/>
      <c r="KEX38" s="624"/>
      <c r="KEY38" s="624"/>
      <c r="KEZ38" s="624"/>
      <c r="KFA38" s="624"/>
      <c r="KFB38" s="624"/>
      <c r="KFC38" s="624"/>
      <c r="KFD38" s="624"/>
      <c r="KFE38" s="624"/>
      <c r="KFF38" s="624"/>
      <c r="KFG38" s="624"/>
      <c r="KFH38" s="624"/>
      <c r="KFI38" s="624"/>
      <c r="KFJ38" s="624"/>
      <c r="KFK38" s="624"/>
      <c r="KFL38" s="624"/>
      <c r="KFM38" s="624"/>
      <c r="KFN38" s="624"/>
      <c r="KFO38" s="624"/>
      <c r="KFP38" s="624"/>
      <c r="KFQ38" s="624"/>
      <c r="KFR38" s="624"/>
      <c r="KFS38" s="624"/>
      <c r="KFT38" s="624"/>
      <c r="KFU38" s="624"/>
      <c r="KFV38" s="624"/>
      <c r="KFW38" s="624"/>
      <c r="KFX38" s="624"/>
      <c r="KFY38" s="624"/>
      <c r="KFZ38" s="624"/>
      <c r="KGA38" s="624"/>
      <c r="KGB38" s="624"/>
      <c r="KGC38" s="624"/>
      <c r="KGD38" s="624"/>
      <c r="KGE38" s="624"/>
      <c r="KGF38" s="624"/>
      <c r="KGG38" s="624"/>
      <c r="KGH38" s="624"/>
      <c r="KGI38" s="624"/>
      <c r="KGJ38" s="624"/>
      <c r="KGK38" s="624"/>
      <c r="KGL38" s="624"/>
      <c r="KGM38" s="624"/>
      <c r="KGN38" s="624"/>
      <c r="KGO38" s="624"/>
      <c r="KGP38" s="624"/>
      <c r="KGQ38" s="624"/>
      <c r="KGR38" s="624"/>
      <c r="KGS38" s="624"/>
      <c r="KGT38" s="624"/>
      <c r="KGU38" s="624"/>
      <c r="KGV38" s="624"/>
      <c r="KGW38" s="624"/>
      <c r="KGX38" s="624"/>
      <c r="KGY38" s="624"/>
      <c r="KGZ38" s="624"/>
      <c r="KHA38" s="624"/>
      <c r="KHB38" s="624"/>
      <c r="KHC38" s="624"/>
      <c r="KHD38" s="624"/>
      <c r="KHE38" s="624"/>
      <c r="KHF38" s="624"/>
      <c r="KHG38" s="624"/>
      <c r="KHH38" s="624"/>
      <c r="KHI38" s="624"/>
      <c r="KHJ38" s="624"/>
      <c r="KHK38" s="624"/>
      <c r="KHL38" s="624"/>
      <c r="KHM38" s="624"/>
      <c r="KHN38" s="624"/>
      <c r="KHO38" s="624"/>
      <c r="KHP38" s="624"/>
      <c r="KHQ38" s="624"/>
      <c r="KHR38" s="624"/>
      <c r="KHS38" s="624"/>
      <c r="KHT38" s="624"/>
      <c r="KHU38" s="624"/>
      <c r="KHV38" s="624"/>
      <c r="KHW38" s="624"/>
      <c r="KHX38" s="624"/>
      <c r="KHY38" s="624"/>
      <c r="KHZ38" s="624"/>
      <c r="KIA38" s="624"/>
      <c r="KIB38" s="624"/>
      <c r="KIC38" s="624"/>
      <c r="KID38" s="624"/>
      <c r="KIE38" s="624"/>
      <c r="KIF38" s="624"/>
      <c r="KIG38" s="624"/>
      <c r="KIH38" s="624"/>
      <c r="KII38" s="624"/>
      <c r="KIJ38" s="624"/>
      <c r="KIK38" s="624"/>
      <c r="KIL38" s="624"/>
      <c r="KIM38" s="624"/>
      <c r="KIN38" s="624"/>
      <c r="KIO38" s="624"/>
      <c r="KIP38" s="624"/>
      <c r="KIQ38" s="624"/>
      <c r="KIR38" s="624"/>
      <c r="KIS38" s="624"/>
      <c r="KIT38" s="624"/>
      <c r="KIU38" s="624"/>
      <c r="KIV38" s="624"/>
      <c r="KIW38" s="624"/>
      <c r="KIX38" s="624"/>
      <c r="KIY38" s="624"/>
      <c r="KIZ38" s="624"/>
      <c r="KJA38" s="624"/>
      <c r="KJB38" s="624"/>
      <c r="KJC38" s="624"/>
      <c r="KJD38" s="624"/>
      <c r="KJE38" s="624"/>
      <c r="KJF38" s="624"/>
      <c r="KJG38" s="624"/>
      <c r="KJH38" s="624"/>
      <c r="KJI38" s="624"/>
      <c r="KJJ38" s="624"/>
      <c r="KJK38" s="624"/>
      <c r="KJL38" s="624"/>
      <c r="KJM38" s="624"/>
      <c r="KJN38" s="624"/>
      <c r="KJO38" s="624"/>
      <c r="KJP38" s="624"/>
      <c r="KJQ38" s="624"/>
      <c r="KJR38" s="624"/>
      <c r="KJS38" s="624"/>
      <c r="KJT38" s="624"/>
      <c r="KJU38" s="624"/>
      <c r="KJV38" s="624"/>
      <c r="KJW38" s="624"/>
      <c r="KJX38" s="624"/>
      <c r="KJY38" s="624"/>
      <c r="KJZ38" s="624"/>
      <c r="KKA38" s="624"/>
      <c r="KKB38" s="624"/>
      <c r="KKC38" s="624"/>
      <c r="KKD38" s="624"/>
      <c r="KKE38" s="624"/>
      <c r="KKF38" s="624"/>
      <c r="KKG38" s="624"/>
      <c r="KKH38" s="624"/>
      <c r="KKI38" s="624"/>
      <c r="KKJ38" s="624"/>
      <c r="KKK38" s="624"/>
      <c r="KKL38" s="624"/>
      <c r="KKM38" s="624"/>
      <c r="KKN38" s="624"/>
      <c r="KKO38" s="624"/>
      <c r="KKP38" s="624"/>
      <c r="KKQ38" s="624"/>
      <c r="KKR38" s="624"/>
      <c r="KKS38" s="624"/>
      <c r="KKT38" s="624"/>
      <c r="KKU38" s="624"/>
      <c r="KKV38" s="624"/>
      <c r="KKW38" s="624"/>
      <c r="KKX38" s="624"/>
      <c r="KKY38" s="624"/>
      <c r="KKZ38" s="624"/>
      <c r="KLA38" s="624"/>
      <c r="KLB38" s="624"/>
      <c r="KLC38" s="624"/>
      <c r="KLD38" s="624"/>
      <c r="KLE38" s="624"/>
      <c r="KLF38" s="624"/>
      <c r="KLG38" s="624"/>
      <c r="KLH38" s="624"/>
      <c r="KLI38" s="624"/>
      <c r="KLJ38" s="624"/>
      <c r="KLK38" s="624"/>
      <c r="KLL38" s="624"/>
      <c r="KLM38" s="624"/>
      <c r="KLN38" s="624"/>
      <c r="KLO38" s="624"/>
      <c r="KLP38" s="624"/>
      <c r="KLQ38" s="624"/>
      <c r="KLR38" s="624"/>
      <c r="KLS38" s="624"/>
      <c r="KLT38" s="624"/>
      <c r="KLU38" s="624"/>
      <c r="KLV38" s="624"/>
      <c r="KLW38" s="624"/>
      <c r="KLX38" s="624"/>
      <c r="KLY38" s="624"/>
      <c r="KLZ38" s="624"/>
      <c r="KMA38" s="624"/>
      <c r="KMB38" s="624"/>
      <c r="KMC38" s="624"/>
      <c r="KMD38" s="624"/>
      <c r="KME38" s="624"/>
      <c r="KMF38" s="624"/>
      <c r="KMG38" s="624"/>
      <c r="KMH38" s="624"/>
      <c r="KMI38" s="624"/>
      <c r="KMJ38" s="624"/>
      <c r="KMK38" s="624"/>
      <c r="KML38" s="624"/>
      <c r="KMM38" s="624"/>
      <c r="KMN38" s="624"/>
      <c r="KMO38" s="624"/>
      <c r="KMP38" s="624"/>
      <c r="KMQ38" s="624"/>
      <c r="KMR38" s="624"/>
      <c r="KMS38" s="624"/>
      <c r="KMT38" s="624"/>
      <c r="KMU38" s="624"/>
      <c r="KMV38" s="624"/>
      <c r="KMW38" s="624"/>
      <c r="KMX38" s="624"/>
      <c r="KMY38" s="624"/>
      <c r="KMZ38" s="624"/>
      <c r="KNA38" s="624"/>
      <c r="KNB38" s="624"/>
      <c r="KNC38" s="624"/>
      <c r="KND38" s="624"/>
      <c r="KNE38" s="624"/>
      <c r="KNF38" s="624"/>
      <c r="KNG38" s="624"/>
      <c r="KNH38" s="624"/>
      <c r="KNI38" s="624"/>
      <c r="KNJ38" s="624"/>
      <c r="KNK38" s="624"/>
      <c r="KNL38" s="624"/>
      <c r="KNM38" s="624"/>
      <c r="KNN38" s="624"/>
      <c r="KNO38" s="624"/>
      <c r="KNP38" s="624"/>
      <c r="KNQ38" s="624"/>
      <c r="KNR38" s="624"/>
      <c r="KNS38" s="624"/>
      <c r="KNT38" s="624"/>
      <c r="KNU38" s="624"/>
      <c r="KNV38" s="624"/>
      <c r="KNW38" s="624"/>
      <c r="KNX38" s="624"/>
      <c r="KNY38" s="624"/>
      <c r="KNZ38" s="624"/>
      <c r="KOA38" s="624"/>
      <c r="KOB38" s="624"/>
      <c r="KOC38" s="624"/>
      <c r="KOD38" s="624"/>
      <c r="KOE38" s="624"/>
      <c r="KOF38" s="624"/>
      <c r="KOG38" s="624"/>
      <c r="KOH38" s="624"/>
      <c r="KOI38" s="624"/>
      <c r="KOJ38" s="624"/>
      <c r="KOK38" s="624"/>
      <c r="KOL38" s="624"/>
      <c r="KOM38" s="624"/>
      <c r="KON38" s="624"/>
      <c r="KOO38" s="624"/>
      <c r="KOP38" s="624"/>
      <c r="KOQ38" s="624"/>
      <c r="KOR38" s="624"/>
      <c r="KOS38" s="624"/>
      <c r="KOT38" s="624"/>
      <c r="KOU38" s="624"/>
      <c r="KOV38" s="624"/>
      <c r="KOW38" s="624"/>
      <c r="KOX38" s="624"/>
      <c r="KOY38" s="624"/>
      <c r="KOZ38" s="624"/>
      <c r="KPA38" s="624"/>
      <c r="KPB38" s="624"/>
      <c r="KPC38" s="624"/>
      <c r="KPD38" s="624"/>
      <c r="KPE38" s="624"/>
      <c r="KPF38" s="624"/>
      <c r="KPG38" s="624"/>
      <c r="KPH38" s="624"/>
      <c r="KPI38" s="624"/>
      <c r="KPJ38" s="624"/>
      <c r="KPK38" s="624"/>
      <c r="KPL38" s="624"/>
      <c r="KPM38" s="624"/>
      <c r="KPN38" s="624"/>
      <c r="KPO38" s="624"/>
      <c r="KPP38" s="624"/>
      <c r="KPQ38" s="624"/>
      <c r="KPR38" s="624"/>
      <c r="KPS38" s="624"/>
      <c r="KPT38" s="624"/>
      <c r="KPU38" s="624"/>
      <c r="KPV38" s="624"/>
      <c r="KPW38" s="624"/>
      <c r="KPX38" s="624"/>
      <c r="KPY38" s="624"/>
      <c r="KPZ38" s="624"/>
      <c r="KQA38" s="624"/>
      <c r="KQB38" s="624"/>
      <c r="KQC38" s="624"/>
      <c r="KQD38" s="624"/>
      <c r="KQE38" s="624"/>
      <c r="KQF38" s="624"/>
      <c r="KQG38" s="624"/>
      <c r="KQH38" s="624"/>
      <c r="KQI38" s="624"/>
      <c r="KQJ38" s="624"/>
      <c r="KQK38" s="624"/>
      <c r="KQL38" s="624"/>
      <c r="KQM38" s="624"/>
      <c r="KQN38" s="624"/>
      <c r="KQO38" s="624"/>
      <c r="KQP38" s="624"/>
      <c r="KQQ38" s="624"/>
      <c r="KQR38" s="624"/>
      <c r="KQS38" s="624"/>
      <c r="KQT38" s="624"/>
      <c r="KQU38" s="624"/>
      <c r="KQV38" s="624"/>
      <c r="KQW38" s="624"/>
      <c r="KQX38" s="624"/>
      <c r="KQY38" s="624"/>
      <c r="KQZ38" s="624"/>
      <c r="KRA38" s="624"/>
      <c r="KRB38" s="624"/>
      <c r="KRC38" s="624"/>
      <c r="KRD38" s="624"/>
      <c r="KRE38" s="624"/>
      <c r="KRF38" s="624"/>
      <c r="KRG38" s="624"/>
      <c r="KRH38" s="624"/>
      <c r="KRI38" s="624"/>
      <c r="KRJ38" s="624"/>
      <c r="KRK38" s="624"/>
      <c r="KRL38" s="624"/>
      <c r="KRM38" s="624"/>
      <c r="KRN38" s="624"/>
      <c r="KRO38" s="624"/>
      <c r="KRP38" s="624"/>
      <c r="KRQ38" s="624"/>
      <c r="KRR38" s="624"/>
      <c r="KRS38" s="624"/>
      <c r="KRT38" s="624"/>
      <c r="KRU38" s="624"/>
      <c r="KRV38" s="624"/>
      <c r="KRW38" s="624"/>
      <c r="KRX38" s="624"/>
      <c r="KRY38" s="624"/>
      <c r="KRZ38" s="624"/>
      <c r="KSA38" s="624"/>
      <c r="KSB38" s="624"/>
      <c r="KSC38" s="624"/>
      <c r="KSD38" s="624"/>
      <c r="KSE38" s="624"/>
      <c r="KSF38" s="624"/>
      <c r="KSG38" s="624"/>
      <c r="KSH38" s="624"/>
      <c r="KSI38" s="624"/>
      <c r="KSJ38" s="624"/>
      <c r="KSK38" s="624"/>
      <c r="KSL38" s="624"/>
      <c r="KSM38" s="624"/>
      <c r="KSN38" s="624"/>
      <c r="KSO38" s="624"/>
      <c r="KSP38" s="624"/>
      <c r="KSQ38" s="624"/>
      <c r="KSR38" s="624"/>
      <c r="KSS38" s="624"/>
      <c r="KST38" s="624"/>
      <c r="KSU38" s="624"/>
      <c r="KSV38" s="624"/>
      <c r="KSW38" s="624"/>
      <c r="KSX38" s="624"/>
      <c r="KSY38" s="624"/>
      <c r="KSZ38" s="624"/>
      <c r="KTA38" s="624"/>
      <c r="KTB38" s="624"/>
      <c r="KTC38" s="624"/>
      <c r="KTD38" s="624"/>
      <c r="KTE38" s="624"/>
      <c r="KTF38" s="624"/>
      <c r="KTG38" s="624"/>
      <c r="KTH38" s="624"/>
      <c r="KTI38" s="624"/>
      <c r="KTJ38" s="624"/>
      <c r="KTK38" s="624"/>
      <c r="KTL38" s="624"/>
      <c r="KTM38" s="624"/>
      <c r="KTN38" s="624"/>
      <c r="KTO38" s="624"/>
      <c r="KTP38" s="624"/>
      <c r="KTQ38" s="624"/>
      <c r="KTR38" s="624"/>
      <c r="KTS38" s="624"/>
      <c r="KTT38" s="624"/>
      <c r="KTU38" s="624"/>
      <c r="KTV38" s="624"/>
      <c r="KTW38" s="624"/>
      <c r="KTX38" s="624"/>
      <c r="KTY38" s="624"/>
      <c r="KTZ38" s="624"/>
      <c r="KUA38" s="624"/>
      <c r="KUB38" s="624"/>
      <c r="KUC38" s="624"/>
      <c r="KUD38" s="624"/>
      <c r="KUE38" s="624"/>
      <c r="KUF38" s="624"/>
      <c r="KUG38" s="624"/>
      <c r="KUH38" s="624"/>
      <c r="KUI38" s="624"/>
      <c r="KUJ38" s="624"/>
      <c r="KUK38" s="624"/>
      <c r="KUL38" s="624"/>
      <c r="KUM38" s="624"/>
      <c r="KUN38" s="624"/>
      <c r="KUO38" s="624"/>
      <c r="KUP38" s="624"/>
      <c r="KUQ38" s="624"/>
      <c r="KUR38" s="624"/>
      <c r="KUS38" s="624"/>
      <c r="KUT38" s="624"/>
      <c r="KUU38" s="624"/>
      <c r="KUV38" s="624"/>
      <c r="KUW38" s="624"/>
      <c r="KUX38" s="624"/>
      <c r="KUY38" s="624"/>
      <c r="KUZ38" s="624"/>
      <c r="KVA38" s="624"/>
      <c r="KVB38" s="624"/>
      <c r="KVC38" s="624"/>
      <c r="KVD38" s="624"/>
      <c r="KVE38" s="624"/>
      <c r="KVF38" s="624"/>
      <c r="KVG38" s="624"/>
      <c r="KVH38" s="624"/>
      <c r="KVI38" s="624"/>
      <c r="KVJ38" s="624"/>
      <c r="KVK38" s="624"/>
      <c r="KVL38" s="624"/>
      <c r="KVM38" s="624"/>
      <c r="KVN38" s="624"/>
      <c r="KVO38" s="624"/>
      <c r="KVP38" s="624"/>
      <c r="KVQ38" s="624"/>
      <c r="KVR38" s="624"/>
      <c r="KVS38" s="624"/>
      <c r="KVT38" s="624"/>
      <c r="KVU38" s="624"/>
      <c r="KVV38" s="624"/>
      <c r="KVW38" s="624"/>
      <c r="KVX38" s="624"/>
      <c r="KVY38" s="624"/>
      <c r="KVZ38" s="624"/>
      <c r="KWA38" s="624"/>
      <c r="KWB38" s="624"/>
      <c r="KWC38" s="624"/>
      <c r="KWD38" s="624"/>
      <c r="KWE38" s="624"/>
      <c r="KWF38" s="624"/>
      <c r="KWG38" s="624"/>
      <c r="KWH38" s="624"/>
      <c r="KWI38" s="624"/>
      <c r="KWJ38" s="624"/>
      <c r="KWK38" s="624"/>
      <c r="KWL38" s="624"/>
      <c r="KWM38" s="624"/>
      <c r="KWN38" s="624"/>
      <c r="KWO38" s="624"/>
      <c r="KWP38" s="624"/>
      <c r="KWQ38" s="624"/>
      <c r="KWR38" s="624"/>
      <c r="KWS38" s="624"/>
      <c r="KWT38" s="624"/>
      <c r="KWU38" s="624"/>
      <c r="KWV38" s="624"/>
      <c r="KWW38" s="624"/>
      <c r="KWX38" s="624"/>
      <c r="KWY38" s="624"/>
      <c r="KWZ38" s="624"/>
      <c r="KXA38" s="624"/>
      <c r="KXB38" s="624"/>
      <c r="KXC38" s="624"/>
      <c r="KXD38" s="624"/>
      <c r="KXE38" s="624"/>
      <c r="KXF38" s="624"/>
      <c r="KXG38" s="624"/>
      <c r="KXH38" s="624"/>
      <c r="KXI38" s="624"/>
      <c r="KXJ38" s="624"/>
      <c r="KXK38" s="624"/>
      <c r="KXL38" s="624"/>
      <c r="KXM38" s="624"/>
      <c r="KXN38" s="624"/>
      <c r="KXO38" s="624"/>
      <c r="KXP38" s="624"/>
      <c r="KXQ38" s="624"/>
      <c r="KXR38" s="624"/>
      <c r="KXS38" s="624"/>
      <c r="KXT38" s="624"/>
      <c r="KXU38" s="624"/>
      <c r="KXV38" s="624"/>
      <c r="KXW38" s="624"/>
      <c r="KXX38" s="624"/>
      <c r="KXY38" s="624"/>
      <c r="KXZ38" s="624"/>
      <c r="KYA38" s="624"/>
      <c r="KYB38" s="624"/>
      <c r="KYC38" s="624"/>
      <c r="KYD38" s="624"/>
      <c r="KYE38" s="624"/>
      <c r="KYF38" s="624"/>
      <c r="KYG38" s="624"/>
      <c r="KYH38" s="624"/>
      <c r="KYI38" s="624"/>
      <c r="KYJ38" s="624"/>
      <c r="KYK38" s="624"/>
      <c r="KYL38" s="624"/>
      <c r="KYM38" s="624"/>
      <c r="KYN38" s="624"/>
      <c r="KYO38" s="624"/>
      <c r="KYP38" s="624"/>
      <c r="KYQ38" s="624"/>
      <c r="KYR38" s="624"/>
      <c r="KYS38" s="624"/>
      <c r="KYT38" s="624"/>
      <c r="KYU38" s="624"/>
      <c r="KYV38" s="624"/>
      <c r="KYW38" s="624"/>
      <c r="KYX38" s="624"/>
      <c r="KYY38" s="624"/>
      <c r="KYZ38" s="624"/>
      <c r="KZA38" s="624"/>
      <c r="KZB38" s="624"/>
      <c r="KZC38" s="624"/>
      <c r="KZD38" s="624"/>
      <c r="KZE38" s="624"/>
      <c r="KZF38" s="624"/>
      <c r="KZG38" s="624"/>
      <c r="KZH38" s="624"/>
      <c r="KZI38" s="624"/>
      <c r="KZJ38" s="624"/>
      <c r="KZK38" s="624"/>
      <c r="KZL38" s="624"/>
      <c r="KZM38" s="624"/>
      <c r="KZN38" s="624"/>
      <c r="KZO38" s="624"/>
      <c r="KZP38" s="624"/>
      <c r="KZQ38" s="624"/>
      <c r="KZR38" s="624"/>
      <c r="KZS38" s="624"/>
      <c r="KZT38" s="624"/>
      <c r="KZU38" s="624"/>
      <c r="KZV38" s="624"/>
      <c r="KZW38" s="624"/>
      <c r="KZX38" s="624"/>
      <c r="KZY38" s="624"/>
      <c r="KZZ38" s="624"/>
      <c r="LAA38" s="624"/>
      <c r="LAB38" s="624"/>
      <c r="LAC38" s="624"/>
      <c r="LAD38" s="624"/>
      <c r="LAE38" s="624"/>
      <c r="LAF38" s="624"/>
      <c r="LAG38" s="624"/>
      <c r="LAH38" s="624"/>
      <c r="LAI38" s="624"/>
      <c r="LAJ38" s="624"/>
      <c r="LAK38" s="624"/>
      <c r="LAL38" s="624"/>
      <c r="LAM38" s="624"/>
      <c r="LAN38" s="624"/>
      <c r="LAO38" s="624"/>
      <c r="LAP38" s="624"/>
      <c r="LAQ38" s="624"/>
      <c r="LAR38" s="624"/>
      <c r="LAS38" s="624"/>
      <c r="LAT38" s="624"/>
      <c r="LAU38" s="624"/>
      <c r="LAV38" s="624"/>
      <c r="LAW38" s="624"/>
      <c r="LAX38" s="624"/>
      <c r="LAY38" s="624"/>
      <c r="LAZ38" s="624"/>
      <c r="LBA38" s="624"/>
      <c r="LBB38" s="624"/>
      <c r="LBC38" s="624"/>
      <c r="LBD38" s="624"/>
      <c r="LBE38" s="624"/>
      <c r="LBF38" s="624"/>
      <c r="LBG38" s="624"/>
      <c r="LBH38" s="624"/>
      <c r="LBI38" s="624"/>
      <c r="LBJ38" s="624"/>
      <c r="LBK38" s="624"/>
      <c r="LBL38" s="624"/>
      <c r="LBM38" s="624"/>
      <c r="LBN38" s="624"/>
      <c r="LBO38" s="624"/>
      <c r="LBP38" s="624"/>
      <c r="LBQ38" s="624"/>
      <c r="LBR38" s="624"/>
      <c r="LBS38" s="624"/>
      <c r="LBT38" s="624"/>
      <c r="LBU38" s="624"/>
      <c r="LBV38" s="624"/>
      <c r="LBW38" s="624"/>
      <c r="LBX38" s="624"/>
      <c r="LBY38" s="624"/>
      <c r="LBZ38" s="624"/>
      <c r="LCA38" s="624"/>
      <c r="LCB38" s="624"/>
      <c r="LCC38" s="624"/>
      <c r="LCD38" s="624"/>
      <c r="LCE38" s="624"/>
      <c r="LCF38" s="624"/>
      <c r="LCG38" s="624"/>
      <c r="LCH38" s="624"/>
      <c r="LCI38" s="624"/>
      <c r="LCJ38" s="624"/>
      <c r="LCK38" s="624"/>
      <c r="LCL38" s="624"/>
      <c r="LCM38" s="624"/>
      <c r="LCN38" s="624"/>
      <c r="LCO38" s="624"/>
      <c r="LCP38" s="624"/>
      <c r="LCQ38" s="624"/>
      <c r="LCR38" s="624"/>
      <c r="LCS38" s="624"/>
      <c r="LCT38" s="624"/>
      <c r="LCU38" s="624"/>
      <c r="LCV38" s="624"/>
      <c r="LCW38" s="624"/>
      <c r="LCX38" s="624"/>
      <c r="LCY38" s="624"/>
      <c r="LCZ38" s="624"/>
      <c r="LDA38" s="624"/>
      <c r="LDB38" s="624"/>
      <c r="LDC38" s="624"/>
      <c r="LDD38" s="624"/>
      <c r="LDE38" s="624"/>
      <c r="LDF38" s="624"/>
      <c r="LDG38" s="624"/>
      <c r="LDH38" s="624"/>
      <c r="LDI38" s="624"/>
      <c r="LDJ38" s="624"/>
      <c r="LDK38" s="624"/>
      <c r="LDL38" s="624"/>
      <c r="LDM38" s="624"/>
      <c r="LDN38" s="624"/>
      <c r="LDO38" s="624"/>
      <c r="LDP38" s="624"/>
      <c r="LDQ38" s="624"/>
      <c r="LDR38" s="624"/>
      <c r="LDS38" s="624"/>
      <c r="LDT38" s="624"/>
      <c r="LDU38" s="624"/>
      <c r="LDV38" s="624"/>
      <c r="LDW38" s="624"/>
      <c r="LDX38" s="624"/>
      <c r="LDY38" s="624"/>
      <c r="LDZ38" s="624"/>
      <c r="LEA38" s="624"/>
      <c r="LEB38" s="624"/>
      <c r="LEC38" s="624"/>
      <c r="LED38" s="624"/>
      <c r="LEE38" s="624"/>
      <c r="LEF38" s="624"/>
      <c r="LEG38" s="624"/>
      <c r="LEH38" s="624"/>
      <c r="LEI38" s="624"/>
      <c r="LEJ38" s="624"/>
      <c r="LEK38" s="624"/>
      <c r="LEL38" s="624"/>
      <c r="LEM38" s="624"/>
      <c r="LEN38" s="624"/>
      <c r="LEO38" s="624"/>
      <c r="LEP38" s="624"/>
      <c r="LEQ38" s="624"/>
      <c r="LER38" s="624"/>
      <c r="LES38" s="624"/>
      <c r="LET38" s="624"/>
      <c r="LEU38" s="624"/>
      <c r="LEV38" s="624"/>
      <c r="LEW38" s="624"/>
      <c r="LEX38" s="624"/>
      <c r="LEY38" s="624"/>
      <c r="LEZ38" s="624"/>
      <c r="LFA38" s="624"/>
      <c r="LFB38" s="624"/>
      <c r="LFC38" s="624"/>
      <c r="LFD38" s="624"/>
      <c r="LFE38" s="624"/>
      <c r="LFF38" s="624"/>
      <c r="LFG38" s="624"/>
      <c r="LFH38" s="624"/>
      <c r="LFI38" s="624"/>
      <c r="LFJ38" s="624"/>
      <c r="LFK38" s="624"/>
      <c r="LFL38" s="624"/>
      <c r="LFM38" s="624"/>
      <c r="LFN38" s="624"/>
      <c r="LFO38" s="624"/>
      <c r="LFP38" s="624"/>
      <c r="LFQ38" s="624"/>
      <c r="LFR38" s="624"/>
      <c r="LFS38" s="624"/>
      <c r="LFT38" s="624"/>
      <c r="LFU38" s="624"/>
      <c r="LFV38" s="624"/>
      <c r="LFW38" s="624"/>
      <c r="LFX38" s="624"/>
      <c r="LFY38" s="624"/>
      <c r="LFZ38" s="624"/>
      <c r="LGA38" s="624"/>
      <c r="LGB38" s="624"/>
      <c r="LGC38" s="624"/>
      <c r="LGD38" s="624"/>
      <c r="LGE38" s="624"/>
      <c r="LGF38" s="624"/>
      <c r="LGG38" s="624"/>
      <c r="LGH38" s="624"/>
      <c r="LGI38" s="624"/>
      <c r="LGJ38" s="624"/>
      <c r="LGK38" s="624"/>
      <c r="LGL38" s="624"/>
      <c r="LGM38" s="624"/>
      <c r="LGN38" s="624"/>
      <c r="LGO38" s="624"/>
      <c r="LGP38" s="624"/>
      <c r="LGQ38" s="624"/>
      <c r="LGR38" s="624"/>
      <c r="LGS38" s="624"/>
      <c r="LGT38" s="624"/>
      <c r="LGU38" s="624"/>
      <c r="LGV38" s="624"/>
      <c r="LGW38" s="624"/>
      <c r="LGX38" s="624"/>
      <c r="LGY38" s="624"/>
      <c r="LGZ38" s="624"/>
      <c r="LHA38" s="624"/>
      <c r="LHB38" s="624"/>
      <c r="LHC38" s="624"/>
      <c r="LHD38" s="624"/>
      <c r="LHE38" s="624"/>
      <c r="LHF38" s="624"/>
      <c r="LHG38" s="624"/>
      <c r="LHH38" s="624"/>
      <c r="LHI38" s="624"/>
      <c r="LHJ38" s="624"/>
      <c r="LHK38" s="624"/>
      <c r="LHL38" s="624"/>
      <c r="LHM38" s="624"/>
      <c r="LHN38" s="624"/>
      <c r="LHO38" s="624"/>
      <c r="LHP38" s="624"/>
      <c r="LHQ38" s="624"/>
      <c r="LHR38" s="624"/>
      <c r="LHS38" s="624"/>
      <c r="LHT38" s="624"/>
      <c r="LHU38" s="624"/>
      <c r="LHV38" s="624"/>
      <c r="LHW38" s="624"/>
      <c r="LHX38" s="624"/>
      <c r="LHY38" s="624"/>
      <c r="LHZ38" s="624"/>
      <c r="LIA38" s="624"/>
      <c r="LIB38" s="624"/>
      <c r="LIC38" s="624"/>
      <c r="LID38" s="624"/>
      <c r="LIE38" s="624"/>
      <c r="LIF38" s="624"/>
      <c r="LIG38" s="624"/>
      <c r="LIH38" s="624"/>
      <c r="LII38" s="624"/>
      <c r="LIJ38" s="624"/>
      <c r="LIK38" s="624"/>
      <c r="LIL38" s="624"/>
      <c r="LIM38" s="624"/>
      <c r="LIN38" s="624"/>
      <c r="LIO38" s="624"/>
      <c r="LIP38" s="624"/>
      <c r="LIQ38" s="624"/>
      <c r="LIR38" s="624"/>
      <c r="LIS38" s="624"/>
      <c r="LIT38" s="624"/>
      <c r="LIU38" s="624"/>
      <c r="LIV38" s="624"/>
      <c r="LIW38" s="624"/>
      <c r="LIX38" s="624"/>
      <c r="LIY38" s="624"/>
      <c r="LIZ38" s="624"/>
      <c r="LJA38" s="624"/>
      <c r="LJB38" s="624"/>
      <c r="LJC38" s="624"/>
      <c r="LJD38" s="624"/>
      <c r="LJE38" s="624"/>
      <c r="LJF38" s="624"/>
      <c r="LJG38" s="624"/>
      <c r="LJH38" s="624"/>
      <c r="LJI38" s="624"/>
      <c r="LJJ38" s="624"/>
      <c r="LJK38" s="624"/>
      <c r="LJL38" s="624"/>
      <c r="LJM38" s="624"/>
      <c r="LJN38" s="624"/>
      <c r="LJO38" s="624"/>
      <c r="LJP38" s="624"/>
      <c r="LJQ38" s="624"/>
      <c r="LJR38" s="624"/>
      <c r="LJS38" s="624"/>
      <c r="LJT38" s="624"/>
      <c r="LJU38" s="624"/>
      <c r="LJV38" s="624"/>
      <c r="LJW38" s="624"/>
      <c r="LJX38" s="624"/>
      <c r="LJY38" s="624"/>
      <c r="LJZ38" s="624"/>
      <c r="LKA38" s="624"/>
      <c r="LKB38" s="624"/>
      <c r="LKC38" s="624"/>
      <c r="LKD38" s="624"/>
      <c r="LKE38" s="624"/>
      <c r="LKF38" s="624"/>
      <c r="LKG38" s="624"/>
      <c r="LKH38" s="624"/>
      <c r="LKI38" s="624"/>
      <c r="LKJ38" s="624"/>
      <c r="LKK38" s="624"/>
      <c r="LKL38" s="624"/>
      <c r="LKM38" s="624"/>
      <c r="LKN38" s="624"/>
      <c r="LKO38" s="624"/>
      <c r="LKP38" s="624"/>
      <c r="LKQ38" s="624"/>
      <c r="LKR38" s="624"/>
      <c r="LKS38" s="624"/>
      <c r="LKT38" s="624"/>
      <c r="LKU38" s="624"/>
      <c r="LKV38" s="624"/>
      <c r="LKW38" s="624"/>
      <c r="LKX38" s="624"/>
      <c r="LKY38" s="624"/>
      <c r="LKZ38" s="624"/>
      <c r="LLA38" s="624"/>
      <c r="LLB38" s="624"/>
      <c r="LLC38" s="624"/>
      <c r="LLD38" s="624"/>
      <c r="LLE38" s="624"/>
      <c r="LLF38" s="624"/>
      <c r="LLG38" s="624"/>
      <c r="LLH38" s="624"/>
      <c r="LLI38" s="624"/>
      <c r="LLJ38" s="624"/>
      <c r="LLK38" s="624"/>
      <c r="LLL38" s="624"/>
      <c r="LLM38" s="624"/>
      <c r="LLN38" s="624"/>
      <c r="LLO38" s="624"/>
      <c r="LLP38" s="624"/>
      <c r="LLQ38" s="624"/>
      <c r="LLR38" s="624"/>
      <c r="LLS38" s="624"/>
      <c r="LLT38" s="624"/>
      <c r="LLU38" s="624"/>
      <c r="LLV38" s="624"/>
      <c r="LLW38" s="624"/>
      <c r="LLX38" s="624"/>
      <c r="LLY38" s="624"/>
      <c r="LLZ38" s="624"/>
      <c r="LMA38" s="624"/>
      <c r="LMB38" s="624"/>
      <c r="LMC38" s="624"/>
      <c r="LMD38" s="624"/>
      <c r="LME38" s="624"/>
      <c r="LMF38" s="624"/>
      <c r="LMG38" s="624"/>
      <c r="LMH38" s="624"/>
      <c r="LMI38" s="624"/>
      <c r="LMJ38" s="624"/>
      <c r="LMK38" s="624"/>
      <c r="LML38" s="624"/>
      <c r="LMM38" s="624"/>
      <c r="LMN38" s="624"/>
      <c r="LMO38" s="624"/>
      <c r="LMP38" s="624"/>
      <c r="LMQ38" s="624"/>
      <c r="LMR38" s="624"/>
      <c r="LMS38" s="624"/>
      <c r="LMT38" s="624"/>
      <c r="LMU38" s="624"/>
      <c r="LMV38" s="624"/>
      <c r="LMW38" s="624"/>
      <c r="LMX38" s="624"/>
      <c r="LMY38" s="624"/>
      <c r="LMZ38" s="624"/>
      <c r="LNA38" s="624"/>
      <c r="LNB38" s="624"/>
      <c r="LNC38" s="624"/>
      <c r="LND38" s="624"/>
      <c r="LNE38" s="624"/>
      <c r="LNF38" s="624"/>
      <c r="LNG38" s="624"/>
      <c r="LNH38" s="624"/>
      <c r="LNI38" s="624"/>
      <c r="LNJ38" s="624"/>
      <c r="LNK38" s="624"/>
      <c r="LNL38" s="624"/>
      <c r="LNM38" s="624"/>
      <c r="LNN38" s="624"/>
      <c r="LNO38" s="624"/>
      <c r="LNP38" s="624"/>
      <c r="LNQ38" s="624"/>
      <c r="LNR38" s="624"/>
      <c r="LNS38" s="624"/>
      <c r="LNT38" s="624"/>
      <c r="LNU38" s="624"/>
      <c r="LNV38" s="624"/>
      <c r="LNW38" s="624"/>
      <c r="LNX38" s="624"/>
      <c r="LNY38" s="624"/>
      <c r="LNZ38" s="624"/>
      <c r="LOA38" s="624"/>
      <c r="LOB38" s="624"/>
      <c r="LOC38" s="624"/>
      <c r="LOD38" s="624"/>
      <c r="LOE38" s="624"/>
      <c r="LOF38" s="624"/>
      <c r="LOG38" s="624"/>
      <c r="LOH38" s="624"/>
      <c r="LOI38" s="624"/>
      <c r="LOJ38" s="624"/>
      <c r="LOK38" s="624"/>
      <c r="LOL38" s="624"/>
      <c r="LOM38" s="624"/>
      <c r="LON38" s="624"/>
      <c r="LOO38" s="624"/>
      <c r="LOP38" s="624"/>
      <c r="LOQ38" s="624"/>
      <c r="LOR38" s="624"/>
      <c r="LOS38" s="624"/>
      <c r="LOT38" s="624"/>
      <c r="LOU38" s="624"/>
      <c r="LOV38" s="624"/>
      <c r="LOW38" s="624"/>
      <c r="LOX38" s="624"/>
      <c r="LOY38" s="624"/>
      <c r="LOZ38" s="624"/>
      <c r="LPA38" s="624"/>
      <c r="LPB38" s="624"/>
      <c r="LPC38" s="624"/>
      <c r="LPD38" s="624"/>
      <c r="LPE38" s="624"/>
      <c r="LPF38" s="624"/>
      <c r="LPG38" s="624"/>
      <c r="LPH38" s="624"/>
      <c r="LPI38" s="624"/>
      <c r="LPJ38" s="624"/>
      <c r="LPK38" s="624"/>
      <c r="LPL38" s="624"/>
      <c r="LPM38" s="624"/>
      <c r="LPN38" s="624"/>
      <c r="LPO38" s="624"/>
      <c r="LPP38" s="624"/>
      <c r="LPQ38" s="624"/>
      <c r="LPR38" s="624"/>
      <c r="LPS38" s="624"/>
      <c r="LPT38" s="624"/>
      <c r="LPU38" s="624"/>
      <c r="LPV38" s="624"/>
      <c r="LPW38" s="624"/>
      <c r="LPX38" s="624"/>
      <c r="LPY38" s="624"/>
      <c r="LPZ38" s="624"/>
      <c r="LQA38" s="624"/>
      <c r="LQB38" s="624"/>
      <c r="LQC38" s="624"/>
      <c r="LQD38" s="624"/>
      <c r="LQE38" s="624"/>
      <c r="LQF38" s="624"/>
      <c r="LQG38" s="624"/>
      <c r="LQH38" s="624"/>
      <c r="LQI38" s="624"/>
      <c r="LQJ38" s="624"/>
      <c r="LQK38" s="624"/>
      <c r="LQL38" s="624"/>
      <c r="LQM38" s="624"/>
      <c r="LQN38" s="624"/>
      <c r="LQO38" s="624"/>
      <c r="LQP38" s="624"/>
      <c r="LQQ38" s="624"/>
      <c r="LQR38" s="624"/>
      <c r="LQS38" s="624"/>
      <c r="LQT38" s="624"/>
      <c r="LQU38" s="624"/>
      <c r="LQV38" s="624"/>
      <c r="LQW38" s="624"/>
      <c r="LQX38" s="624"/>
      <c r="LQY38" s="624"/>
      <c r="LQZ38" s="624"/>
      <c r="LRA38" s="624"/>
      <c r="LRB38" s="624"/>
      <c r="LRC38" s="624"/>
      <c r="LRD38" s="624"/>
      <c r="LRE38" s="624"/>
      <c r="LRF38" s="624"/>
      <c r="LRG38" s="624"/>
      <c r="LRH38" s="624"/>
      <c r="LRI38" s="624"/>
      <c r="LRJ38" s="624"/>
      <c r="LRK38" s="624"/>
      <c r="LRL38" s="624"/>
      <c r="LRM38" s="624"/>
      <c r="LRN38" s="624"/>
      <c r="LRO38" s="624"/>
      <c r="LRP38" s="624"/>
      <c r="LRQ38" s="624"/>
      <c r="LRR38" s="624"/>
      <c r="LRS38" s="624"/>
      <c r="LRT38" s="624"/>
      <c r="LRU38" s="624"/>
      <c r="LRV38" s="624"/>
      <c r="LRW38" s="624"/>
      <c r="LRX38" s="624"/>
      <c r="LRY38" s="624"/>
      <c r="LRZ38" s="624"/>
      <c r="LSA38" s="624"/>
      <c r="LSB38" s="624"/>
      <c r="LSC38" s="624"/>
      <c r="LSD38" s="624"/>
      <c r="LSE38" s="624"/>
      <c r="LSF38" s="624"/>
      <c r="LSG38" s="624"/>
      <c r="LSH38" s="624"/>
      <c r="LSI38" s="624"/>
      <c r="LSJ38" s="624"/>
      <c r="LSK38" s="624"/>
      <c r="LSL38" s="624"/>
      <c r="LSM38" s="624"/>
      <c r="LSN38" s="624"/>
      <c r="LSO38" s="624"/>
      <c r="LSP38" s="624"/>
      <c r="LSQ38" s="624"/>
      <c r="LSR38" s="624"/>
      <c r="LSS38" s="624"/>
      <c r="LST38" s="624"/>
      <c r="LSU38" s="624"/>
      <c r="LSV38" s="624"/>
      <c r="LSW38" s="624"/>
      <c r="LSX38" s="624"/>
      <c r="LSY38" s="624"/>
      <c r="LSZ38" s="624"/>
      <c r="LTA38" s="624"/>
      <c r="LTB38" s="624"/>
      <c r="LTC38" s="624"/>
      <c r="LTD38" s="624"/>
      <c r="LTE38" s="624"/>
      <c r="LTF38" s="624"/>
      <c r="LTG38" s="624"/>
      <c r="LTH38" s="624"/>
      <c r="LTI38" s="624"/>
      <c r="LTJ38" s="624"/>
      <c r="LTK38" s="624"/>
      <c r="LTL38" s="624"/>
      <c r="LTM38" s="624"/>
      <c r="LTN38" s="624"/>
      <c r="LTO38" s="624"/>
      <c r="LTP38" s="624"/>
      <c r="LTQ38" s="624"/>
      <c r="LTR38" s="624"/>
      <c r="LTS38" s="624"/>
      <c r="LTT38" s="624"/>
      <c r="LTU38" s="624"/>
      <c r="LTV38" s="624"/>
      <c r="LTW38" s="624"/>
      <c r="LTX38" s="624"/>
      <c r="LTY38" s="624"/>
      <c r="LTZ38" s="624"/>
      <c r="LUA38" s="624"/>
      <c r="LUB38" s="624"/>
      <c r="LUC38" s="624"/>
      <c r="LUD38" s="624"/>
      <c r="LUE38" s="624"/>
      <c r="LUF38" s="624"/>
      <c r="LUG38" s="624"/>
      <c r="LUH38" s="624"/>
      <c r="LUI38" s="624"/>
      <c r="LUJ38" s="624"/>
      <c r="LUK38" s="624"/>
      <c r="LUL38" s="624"/>
      <c r="LUM38" s="624"/>
      <c r="LUN38" s="624"/>
      <c r="LUO38" s="624"/>
      <c r="LUP38" s="624"/>
      <c r="LUQ38" s="624"/>
      <c r="LUR38" s="624"/>
      <c r="LUS38" s="624"/>
      <c r="LUT38" s="624"/>
      <c r="LUU38" s="624"/>
      <c r="LUV38" s="624"/>
      <c r="LUW38" s="624"/>
      <c r="LUX38" s="624"/>
      <c r="LUY38" s="624"/>
      <c r="LUZ38" s="624"/>
      <c r="LVA38" s="624"/>
      <c r="LVB38" s="624"/>
      <c r="LVC38" s="624"/>
      <c r="LVD38" s="624"/>
      <c r="LVE38" s="624"/>
      <c r="LVF38" s="624"/>
      <c r="LVG38" s="624"/>
      <c r="LVH38" s="624"/>
      <c r="LVI38" s="624"/>
      <c r="LVJ38" s="624"/>
      <c r="LVK38" s="624"/>
      <c r="LVL38" s="624"/>
      <c r="LVM38" s="624"/>
      <c r="LVN38" s="624"/>
      <c r="LVO38" s="624"/>
      <c r="LVP38" s="624"/>
      <c r="LVQ38" s="624"/>
      <c r="LVR38" s="624"/>
      <c r="LVS38" s="624"/>
      <c r="LVT38" s="624"/>
      <c r="LVU38" s="624"/>
      <c r="LVV38" s="624"/>
      <c r="LVW38" s="624"/>
      <c r="LVX38" s="624"/>
      <c r="LVY38" s="624"/>
      <c r="LVZ38" s="624"/>
      <c r="LWA38" s="624"/>
      <c r="LWB38" s="624"/>
      <c r="LWC38" s="624"/>
      <c r="LWD38" s="624"/>
      <c r="LWE38" s="624"/>
      <c r="LWF38" s="624"/>
      <c r="LWG38" s="624"/>
      <c r="LWH38" s="624"/>
      <c r="LWI38" s="624"/>
      <c r="LWJ38" s="624"/>
      <c r="LWK38" s="624"/>
      <c r="LWL38" s="624"/>
      <c r="LWM38" s="624"/>
      <c r="LWN38" s="624"/>
      <c r="LWO38" s="624"/>
      <c r="LWP38" s="624"/>
      <c r="LWQ38" s="624"/>
      <c r="LWR38" s="624"/>
      <c r="LWS38" s="624"/>
      <c r="LWT38" s="624"/>
      <c r="LWU38" s="624"/>
      <c r="LWV38" s="624"/>
      <c r="LWW38" s="624"/>
      <c r="LWX38" s="624"/>
      <c r="LWY38" s="624"/>
      <c r="LWZ38" s="624"/>
      <c r="LXA38" s="624"/>
      <c r="LXB38" s="624"/>
      <c r="LXC38" s="624"/>
      <c r="LXD38" s="624"/>
      <c r="LXE38" s="624"/>
      <c r="LXF38" s="624"/>
      <c r="LXG38" s="624"/>
      <c r="LXH38" s="624"/>
      <c r="LXI38" s="624"/>
      <c r="LXJ38" s="624"/>
      <c r="LXK38" s="624"/>
      <c r="LXL38" s="624"/>
      <c r="LXM38" s="624"/>
      <c r="LXN38" s="624"/>
      <c r="LXO38" s="624"/>
      <c r="LXP38" s="624"/>
      <c r="LXQ38" s="624"/>
      <c r="LXR38" s="624"/>
      <c r="LXS38" s="624"/>
      <c r="LXT38" s="624"/>
      <c r="LXU38" s="624"/>
      <c r="LXV38" s="624"/>
      <c r="LXW38" s="624"/>
      <c r="LXX38" s="624"/>
      <c r="LXY38" s="624"/>
      <c r="LXZ38" s="624"/>
      <c r="LYA38" s="624"/>
      <c r="LYB38" s="624"/>
      <c r="LYC38" s="624"/>
      <c r="LYD38" s="624"/>
      <c r="LYE38" s="624"/>
      <c r="LYF38" s="624"/>
      <c r="LYG38" s="624"/>
      <c r="LYH38" s="624"/>
      <c r="LYI38" s="624"/>
      <c r="LYJ38" s="624"/>
      <c r="LYK38" s="624"/>
      <c r="LYL38" s="624"/>
      <c r="LYM38" s="624"/>
      <c r="LYN38" s="624"/>
      <c r="LYO38" s="624"/>
      <c r="LYP38" s="624"/>
      <c r="LYQ38" s="624"/>
      <c r="LYR38" s="624"/>
      <c r="LYS38" s="624"/>
      <c r="LYT38" s="624"/>
      <c r="LYU38" s="624"/>
      <c r="LYV38" s="624"/>
      <c r="LYW38" s="624"/>
      <c r="LYX38" s="624"/>
      <c r="LYY38" s="624"/>
      <c r="LYZ38" s="624"/>
      <c r="LZA38" s="624"/>
      <c r="LZB38" s="624"/>
      <c r="LZC38" s="624"/>
      <c r="LZD38" s="624"/>
      <c r="LZE38" s="624"/>
      <c r="LZF38" s="624"/>
      <c r="LZG38" s="624"/>
      <c r="LZH38" s="624"/>
      <c r="LZI38" s="624"/>
      <c r="LZJ38" s="624"/>
      <c r="LZK38" s="624"/>
      <c r="LZL38" s="624"/>
      <c r="LZM38" s="624"/>
      <c r="LZN38" s="624"/>
      <c r="LZO38" s="624"/>
      <c r="LZP38" s="624"/>
      <c r="LZQ38" s="624"/>
      <c r="LZR38" s="624"/>
      <c r="LZS38" s="624"/>
      <c r="LZT38" s="624"/>
      <c r="LZU38" s="624"/>
      <c r="LZV38" s="624"/>
      <c r="LZW38" s="624"/>
      <c r="LZX38" s="624"/>
      <c r="LZY38" s="624"/>
      <c r="LZZ38" s="624"/>
      <c r="MAA38" s="624"/>
      <c r="MAB38" s="624"/>
      <c r="MAC38" s="624"/>
      <c r="MAD38" s="624"/>
      <c r="MAE38" s="624"/>
      <c r="MAF38" s="624"/>
      <c r="MAG38" s="624"/>
      <c r="MAH38" s="624"/>
      <c r="MAI38" s="624"/>
      <c r="MAJ38" s="624"/>
      <c r="MAK38" s="624"/>
      <c r="MAL38" s="624"/>
      <c r="MAM38" s="624"/>
      <c r="MAN38" s="624"/>
      <c r="MAO38" s="624"/>
      <c r="MAP38" s="624"/>
      <c r="MAQ38" s="624"/>
      <c r="MAR38" s="624"/>
      <c r="MAS38" s="624"/>
      <c r="MAT38" s="624"/>
      <c r="MAU38" s="624"/>
      <c r="MAV38" s="624"/>
      <c r="MAW38" s="624"/>
      <c r="MAX38" s="624"/>
      <c r="MAY38" s="624"/>
      <c r="MAZ38" s="624"/>
      <c r="MBA38" s="624"/>
      <c r="MBB38" s="624"/>
      <c r="MBC38" s="624"/>
      <c r="MBD38" s="624"/>
      <c r="MBE38" s="624"/>
      <c r="MBF38" s="624"/>
      <c r="MBG38" s="624"/>
      <c r="MBH38" s="624"/>
      <c r="MBI38" s="624"/>
      <c r="MBJ38" s="624"/>
      <c r="MBK38" s="624"/>
      <c r="MBL38" s="624"/>
      <c r="MBM38" s="624"/>
      <c r="MBN38" s="624"/>
      <c r="MBO38" s="624"/>
      <c r="MBP38" s="624"/>
      <c r="MBQ38" s="624"/>
      <c r="MBR38" s="624"/>
      <c r="MBS38" s="624"/>
      <c r="MBT38" s="624"/>
      <c r="MBU38" s="624"/>
      <c r="MBV38" s="624"/>
      <c r="MBW38" s="624"/>
      <c r="MBX38" s="624"/>
      <c r="MBY38" s="624"/>
      <c r="MBZ38" s="624"/>
      <c r="MCA38" s="624"/>
      <c r="MCB38" s="624"/>
      <c r="MCC38" s="624"/>
      <c r="MCD38" s="624"/>
      <c r="MCE38" s="624"/>
      <c r="MCF38" s="624"/>
      <c r="MCG38" s="624"/>
      <c r="MCH38" s="624"/>
      <c r="MCI38" s="624"/>
      <c r="MCJ38" s="624"/>
      <c r="MCK38" s="624"/>
      <c r="MCL38" s="624"/>
      <c r="MCM38" s="624"/>
      <c r="MCN38" s="624"/>
      <c r="MCO38" s="624"/>
      <c r="MCP38" s="624"/>
      <c r="MCQ38" s="624"/>
      <c r="MCR38" s="624"/>
      <c r="MCS38" s="624"/>
      <c r="MCT38" s="624"/>
      <c r="MCU38" s="624"/>
      <c r="MCV38" s="624"/>
      <c r="MCW38" s="624"/>
      <c r="MCX38" s="624"/>
      <c r="MCY38" s="624"/>
      <c r="MCZ38" s="624"/>
      <c r="MDA38" s="624"/>
      <c r="MDB38" s="624"/>
      <c r="MDC38" s="624"/>
      <c r="MDD38" s="624"/>
      <c r="MDE38" s="624"/>
      <c r="MDF38" s="624"/>
      <c r="MDG38" s="624"/>
      <c r="MDH38" s="624"/>
      <c r="MDI38" s="624"/>
      <c r="MDJ38" s="624"/>
      <c r="MDK38" s="624"/>
      <c r="MDL38" s="624"/>
      <c r="MDM38" s="624"/>
      <c r="MDN38" s="624"/>
      <c r="MDO38" s="624"/>
      <c r="MDP38" s="624"/>
      <c r="MDQ38" s="624"/>
      <c r="MDR38" s="624"/>
      <c r="MDS38" s="624"/>
      <c r="MDT38" s="624"/>
      <c r="MDU38" s="624"/>
      <c r="MDV38" s="624"/>
      <c r="MDW38" s="624"/>
      <c r="MDX38" s="624"/>
      <c r="MDY38" s="624"/>
      <c r="MDZ38" s="624"/>
      <c r="MEA38" s="624"/>
      <c r="MEB38" s="624"/>
      <c r="MEC38" s="624"/>
      <c r="MED38" s="624"/>
      <c r="MEE38" s="624"/>
      <c r="MEF38" s="624"/>
      <c r="MEG38" s="624"/>
      <c r="MEH38" s="624"/>
      <c r="MEI38" s="624"/>
      <c r="MEJ38" s="624"/>
      <c r="MEK38" s="624"/>
      <c r="MEL38" s="624"/>
      <c r="MEM38" s="624"/>
      <c r="MEN38" s="624"/>
      <c r="MEO38" s="624"/>
      <c r="MEP38" s="624"/>
      <c r="MEQ38" s="624"/>
      <c r="MER38" s="624"/>
      <c r="MES38" s="624"/>
      <c r="MET38" s="624"/>
      <c r="MEU38" s="624"/>
      <c r="MEV38" s="624"/>
      <c r="MEW38" s="624"/>
      <c r="MEX38" s="624"/>
      <c r="MEY38" s="624"/>
      <c r="MEZ38" s="624"/>
      <c r="MFA38" s="624"/>
      <c r="MFB38" s="624"/>
      <c r="MFC38" s="624"/>
      <c r="MFD38" s="624"/>
      <c r="MFE38" s="624"/>
      <c r="MFF38" s="624"/>
      <c r="MFG38" s="624"/>
      <c r="MFH38" s="624"/>
      <c r="MFI38" s="624"/>
      <c r="MFJ38" s="624"/>
      <c r="MFK38" s="624"/>
      <c r="MFL38" s="624"/>
      <c r="MFM38" s="624"/>
      <c r="MFN38" s="624"/>
      <c r="MFO38" s="624"/>
      <c r="MFP38" s="624"/>
      <c r="MFQ38" s="624"/>
      <c r="MFR38" s="624"/>
      <c r="MFS38" s="624"/>
      <c r="MFT38" s="624"/>
      <c r="MFU38" s="624"/>
      <c r="MFV38" s="624"/>
      <c r="MFW38" s="624"/>
      <c r="MFX38" s="624"/>
      <c r="MFY38" s="624"/>
      <c r="MFZ38" s="624"/>
      <c r="MGA38" s="624"/>
      <c r="MGB38" s="624"/>
      <c r="MGC38" s="624"/>
      <c r="MGD38" s="624"/>
      <c r="MGE38" s="624"/>
      <c r="MGF38" s="624"/>
      <c r="MGG38" s="624"/>
      <c r="MGH38" s="624"/>
      <c r="MGI38" s="624"/>
      <c r="MGJ38" s="624"/>
      <c r="MGK38" s="624"/>
      <c r="MGL38" s="624"/>
      <c r="MGM38" s="624"/>
      <c r="MGN38" s="624"/>
      <c r="MGO38" s="624"/>
      <c r="MGP38" s="624"/>
      <c r="MGQ38" s="624"/>
      <c r="MGR38" s="624"/>
      <c r="MGS38" s="624"/>
      <c r="MGT38" s="624"/>
      <c r="MGU38" s="624"/>
      <c r="MGV38" s="624"/>
      <c r="MGW38" s="624"/>
      <c r="MGX38" s="624"/>
      <c r="MGY38" s="624"/>
      <c r="MGZ38" s="624"/>
      <c r="MHA38" s="624"/>
      <c r="MHB38" s="624"/>
      <c r="MHC38" s="624"/>
      <c r="MHD38" s="624"/>
      <c r="MHE38" s="624"/>
      <c r="MHF38" s="624"/>
      <c r="MHG38" s="624"/>
      <c r="MHH38" s="624"/>
      <c r="MHI38" s="624"/>
      <c r="MHJ38" s="624"/>
      <c r="MHK38" s="624"/>
      <c r="MHL38" s="624"/>
      <c r="MHM38" s="624"/>
      <c r="MHN38" s="624"/>
      <c r="MHO38" s="624"/>
      <c r="MHP38" s="624"/>
      <c r="MHQ38" s="624"/>
      <c r="MHR38" s="624"/>
      <c r="MHS38" s="624"/>
      <c r="MHT38" s="624"/>
      <c r="MHU38" s="624"/>
      <c r="MHV38" s="624"/>
      <c r="MHW38" s="624"/>
      <c r="MHX38" s="624"/>
      <c r="MHY38" s="624"/>
      <c r="MHZ38" s="624"/>
      <c r="MIA38" s="624"/>
      <c r="MIB38" s="624"/>
      <c r="MIC38" s="624"/>
      <c r="MID38" s="624"/>
      <c r="MIE38" s="624"/>
      <c r="MIF38" s="624"/>
      <c r="MIG38" s="624"/>
      <c r="MIH38" s="624"/>
      <c r="MII38" s="624"/>
      <c r="MIJ38" s="624"/>
      <c r="MIK38" s="624"/>
      <c r="MIL38" s="624"/>
      <c r="MIM38" s="624"/>
      <c r="MIN38" s="624"/>
      <c r="MIO38" s="624"/>
      <c r="MIP38" s="624"/>
      <c r="MIQ38" s="624"/>
      <c r="MIR38" s="624"/>
      <c r="MIS38" s="624"/>
      <c r="MIT38" s="624"/>
      <c r="MIU38" s="624"/>
      <c r="MIV38" s="624"/>
      <c r="MIW38" s="624"/>
      <c r="MIX38" s="624"/>
      <c r="MIY38" s="624"/>
      <c r="MIZ38" s="624"/>
      <c r="MJA38" s="624"/>
      <c r="MJB38" s="624"/>
      <c r="MJC38" s="624"/>
      <c r="MJD38" s="624"/>
      <c r="MJE38" s="624"/>
      <c r="MJF38" s="624"/>
      <c r="MJG38" s="624"/>
      <c r="MJH38" s="624"/>
      <c r="MJI38" s="624"/>
      <c r="MJJ38" s="624"/>
      <c r="MJK38" s="624"/>
      <c r="MJL38" s="624"/>
      <c r="MJM38" s="624"/>
      <c r="MJN38" s="624"/>
      <c r="MJO38" s="624"/>
      <c r="MJP38" s="624"/>
      <c r="MJQ38" s="624"/>
      <c r="MJR38" s="624"/>
      <c r="MJS38" s="624"/>
      <c r="MJT38" s="624"/>
      <c r="MJU38" s="624"/>
      <c r="MJV38" s="624"/>
      <c r="MJW38" s="624"/>
      <c r="MJX38" s="624"/>
      <c r="MJY38" s="624"/>
      <c r="MJZ38" s="624"/>
      <c r="MKA38" s="624"/>
      <c r="MKB38" s="624"/>
      <c r="MKC38" s="624"/>
      <c r="MKD38" s="624"/>
      <c r="MKE38" s="624"/>
      <c r="MKF38" s="624"/>
      <c r="MKG38" s="624"/>
      <c r="MKH38" s="624"/>
      <c r="MKI38" s="624"/>
      <c r="MKJ38" s="624"/>
      <c r="MKK38" s="624"/>
      <c r="MKL38" s="624"/>
      <c r="MKM38" s="624"/>
      <c r="MKN38" s="624"/>
      <c r="MKO38" s="624"/>
      <c r="MKP38" s="624"/>
      <c r="MKQ38" s="624"/>
      <c r="MKR38" s="624"/>
      <c r="MKS38" s="624"/>
      <c r="MKT38" s="624"/>
      <c r="MKU38" s="624"/>
      <c r="MKV38" s="624"/>
      <c r="MKW38" s="624"/>
      <c r="MKX38" s="624"/>
      <c r="MKY38" s="624"/>
      <c r="MKZ38" s="624"/>
      <c r="MLA38" s="624"/>
      <c r="MLB38" s="624"/>
      <c r="MLC38" s="624"/>
      <c r="MLD38" s="624"/>
      <c r="MLE38" s="624"/>
      <c r="MLF38" s="624"/>
      <c r="MLG38" s="624"/>
      <c r="MLH38" s="624"/>
      <c r="MLI38" s="624"/>
      <c r="MLJ38" s="624"/>
      <c r="MLK38" s="624"/>
      <c r="MLL38" s="624"/>
      <c r="MLM38" s="624"/>
      <c r="MLN38" s="624"/>
      <c r="MLO38" s="624"/>
      <c r="MLP38" s="624"/>
      <c r="MLQ38" s="624"/>
      <c r="MLR38" s="624"/>
      <c r="MLS38" s="624"/>
      <c r="MLT38" s="624"/>
      <c r="MLU38" s="624"/>
      <c r="MLV38" s="624"/>
      <c r="MLW38" s="624"/>
      <c r="MLX38" s="624"/>
      <c r="MLY38" s="624"/>
      <c r="MLZ38" s="624"/>
      <c r="MMA38" s="624"/>
      <c r="MMB38" s="624"/>
      <c r="MMC38" s="624"/>
      <c r="MMD38" s="624"/>
      <c r="MME38" s="624"/>
      <c r="MMF38" s="624"/>
      <c r="MMG38" s="624"/>
      <c r="MMH38" s="624"/>
      <c r="MMI38" s="624"/>
      <c r="MMJ38" s="624"/>
      <c r="MMK38" s="624"/>
      <c r="MML38" s="624"/>
      <c r="MMM38" s="624"/>
      <c r="MMN38" s="624"/>
      <c r="MMO38" s="624"/>
      <c r="MMP38" s="624"/>
      <c r="MMQ38" s="624"/>
      <c r="MMR38" s="624"/>
      <c r="MMS38" s="624"/>
      <c r="MMT38" s="624"/>
      <c r="MMU38" s="624"/>
      <c r="MMV38" s="624"/>
      <c r="MMW38" s="624"/>
      <c r="MMX38" s="624"/>
      <c r="MMY38" s="624"/>
      <c r="MMZ38" s="624"/>
      <c r="MNA38" s="624"/>
      <c r="MNB38" s="624"/>
      <c r="MNC38" s="624"/>
      <c r="MND38" s="624"/>
      <c r="MNE38" s="624"/>
      <c r="MNF38" s="624"/>
      <c r="MNG38" s="624"/>
      <c r="MNH38" s="624"/>
      <c r="MNI38" s="624"/>
      <c r="MNJ38" s="624"/>
      <c r="MNK38" s="624"/>
      <c r="MNL38" s="624"/>
      <c r="MNM38" s="624"/>
      <c r="MNN38" s="624"/>
      <c r="MNO38" s="624"/>
      <c r="MNP38" s="624"/>
      <c r="MNQ38" s="624"/>
      <c r="MNR38" s="624"/>
      <c r="MNS38" s="624"/>
      <c r="MNT38" s="624"/>
      <c r="MNU38" s="624"/>
      <c r="MNV38" s="624"/>
      <c r="MNW38" s="624"/>
      <c r="MNX38" s="624"/>
      <c r="MNY38" s="624"/>
      <c r="MNZ38" s="624"/>
      <c r="MOA38" s="624"/>
      <c r="MOB38" s="624"/>
      <c r="MOC38" s="624"/>
      <c r="MOD38" s="624"/>
      <c r="MOE38" s="624"/>
      <c r="MOF38" s="624"/>
      <c r="MOG38" s="624"/>
      <c r="MOH38" s="624"/>
      <c r="MOI38" s="624"/>
      <c r="MOJ38" s="624"/>
      <c r="MOK38" s="624"/>
      <c r="MOL38" s="624"/>
      <c r="MOM38" s="624"/>
      <c r="MON38" s="624"/>
      <c r="MOO38" s="624"/>
      <c r="MOP38" s="624"/>
      <c r="MOQ38" s="624"/>
      <c r="MOR38" s="624"/>
      <c r="MOS38" s="624"/>
      <c r="MOT38" s="624"/>
      <c r="MOU38" s="624"/>
      <c r="MOV38" s="624"/>
      <c r="MOW38" s="624"/>
      <c r="MOX38" s="624"/>
      <c r="MOY38" s="624"/>
      <c r="MOZ38" s="624"/>
      <c r="MPA38" s="624"/>
      <c r="MPB38" s="624"/>
      <c r="MPC38" s="624"/>
      <c r="MPD38" s="624"/>
      <c r="MPE38" s="624"/>
      <c r="MPF38" s="624"/>
      <c r="MPG38" s="624"/>
      <c r="MPH38" s="624"/>
      <c r="MPI38" s="624"/>
      <c r="MPJ38" s="624"/>
      <c r="MPK38" s="624"/>
      <c r="MPL38" s="624"/>
      <c r="MPM38" s="624"/>
      <c r="MPN38" s="624"/>
      <c r="MPO38" s="624"/>
      <c r="MPP38" s="624"/>
      <c r="MPQ38" s="624"/>
      <c r="MPR38" s="624"/>
      <c r="MPS38" s="624"/>
      <c r="MPT38" s="624"/>
      <c r="MPU38" s="624"/>
      <c r="MPV38" s="624"/>
      <c r="MPW38" s="624"/>
      <c r="MPX38" s="624"/>
      <c r="MPY38" s="624"/>
      <c r="MPZ38" s="624"/>
      <c r="MQA38" s="624"/>
      <c r="MQB38" s="624"/>
      <c r="MQC38" s="624"/>
      <c r="MQD38" s="624"/>
      <c r="MQE38" s="624"/>
      <c r="MQF38" s="624"/>
      <c r="MQG38" s="624"/>
      <c r="MQH38" s="624"/>
      <c r="MQI38" s="624"/>
      <c r="MQJ38" s="624"/>
      <c r="MQK38" s="624"/>
      <c r="MQL38" s="624"/>
      <c r="MQM38" s="624"/>
      <c r="MQN38" s="624"/>
      <c r="MQO38" s="624"/>
      <c r="MQP38" s="624"/>
      <c r="MQQ38" s="624"/>
      <c r="MQR38" s="624"/>
      <c r="MQS38" s="624"/>
      <c r="MQT38" s="624"/>
      <c r="MQU38" s="624"/>
      <c r="MQV38" s="624"/>
      <c r="MQW38" s="624"/>
      <c r="MQX38" s="624"/>
      <c r="MQY38" s="624"/>
      <c r="MQZ38" s="624"/>
      <c r="MRA38" s="624"/>
      <c r="MRB38" s="624"/>
      <c r="MRC38" s="624"/>
      <c r="MRD38" s="624"/>
      <c r="MRE38" s="624"/>
      <c r="MRF38" s="624"/>
      <c r="MRG38" s="624"/>
      <c r="MRH38" s="624"/>
      <c r="MRI38" s="624"/>
      <c r="MRJ38" s="624"/>
      <c r="MRK38" s="624"/>
      <c r="MRL38" s="624"/>
      <c r="MRM38" s="624"/>
      <c r="MRN38" s="624"/>
      <c r="MRO38" s="624"/>
      <c r="MRP38" s="624"/>
      <c r="MRQ38" s="624"/>
      <c r="MRR38" s="624"/>
      <c r="MRS38" s="624"/>
      <c r="MRT38" s="624"/>
      <c r="MRU38" s="624"/>
      <c r="MRV38" s="624"/>
      <c r="MRW38" s="624"/>
      <c r="MRX38" s="624"/>
      <c r="MRY38" s="624"/>
      <c r="MRZ38" s="624"/>
      <c r="MSA38" s="624"/>
      <c r="MSB38" s="624"/>
      <c r="MSC38" s="624"/>
      <c r="MSD38" s="624"/>
      <c r="MSE38" s="624"/>
      <c r="MSF38" s="624"/>
      <c r="MSG38" s="624"/>
      <c r="MSH38" s="624"/>
      <c r="MSI38" s="624"/>
      <c r="MSJ38" s="624"/>
      <c r="MSK38" s="624"/>
      <c r="MSL38" s="624"/>
      <c r="MSM38" s="624"/>
      <c r="MSN38" s="624"/>
      <c r="MSO38" s="624"/>
      <c r="MSP38" s="624"/>
      <c r="MSQ38" s="624"/>
      <c r="MSR38" s="624"/>
      <c r="MSS38" s="624"/>
      <c r="MST38" s="624"/>
      <c r="MSU38" s="624"/>
      <c r="MSV38" s="624"/>
      <c r="MSW38" s="624"/>
      <c r="MSX38" s="624"/>
      <c r="MSY38" s="624"/>
      <c r="MSZ38" s="624"/>
      <c r="MTA38" s="624"/>
      <c r="MTB38" s="624"/>
      <c r="MTC38" s="624"/>
      <c r="MTD38" s="624"/>
      <c r="MTE38" s="624"/>
      <c r="MTF38" s="624"/>
      <c r="MTG38" s="624"/>
      <c r="MTH38" s="624"/>
      <c r="MTI38" s="624"/>
      <c r="MTJ38" s="624"/>
      <c r="MTK38" s="624"/>
      <c r="MTL38" s="624"/>
      <c r="MTM38" s="624"/>
      <c r="MTN38" s="624"/>
      <c r="MTO38" s="624"/>
      <c r="MTP38" s="624"/>
      <c r="MTQ38" s="624"/>
      <c r="MTR38" s="624"/>
      <c r="MTS38" s="624"/>
      <c r="MTT38" s="624"/>
      <c r="MTU38" s="624"/>
      <c r="MTV38" s="624"/>
      <c r="MTW38" s="624"/>
      <c r="MTX38" s="624"/>
      <c r="MTY38" s="624"/>
      <c r="MTZ38" s="624"/>
      <c r="MUA38" s="624"/>
      <c r="MUB38" s="624"/>
      <c r="MUC38" s="624"/>
      <c r="MUD38" s="624"/>
      <c r="MUE38" s="624"/>
      <c r="MUF38" s="624"/>
      <c r="MUG38" s="624"/>
      <c r="MUH38" s="624"/>
      <c r="MUI38" s="624"/>
      <c r="MUJ38" s="624"/>
      <c r="MUK38" s="624"/>
      <c r="MUL38" s="624"/>
      <c r="MUM38" s="624"/>
      <c r="MUN38" s="624"/>
      <c r="MUO38" s="624"/>
      <c r="MUP38" s="624"/>
      <c r="MUQ38" s="624"/>
      <c r="MUR38" s="624"/>
      <c r="MUS38" s="624"/>
      <c r="MUT38" s="624"/>
      <c r="MUU38" s="624"/>
      <c r="MUV38" s="624"/>
      <c r="MUW38" s="624"/>
      <c r="MUX38" s="624"/>
      <c r="MUY38" s="624"/>
      <c r="MUZ38" s="624"/>
      <c r="MVA38" s="624"/>
      <c r="MVB38" s="624"/>
      <c r="MVC38" s="624"/>
      <c r="MVD38" s="624"/>
      <c r="MVE38" s="624"/>
      <c r="MVF38" s="624"/>
      <c r="MVG38" s="624"/>
      <c r="MVH38" s="624"/>
      <c r="MVI38" s="624"/>
      <c r="MVJ38" s="624"/>
      <c r="MVK38" s="624"/>
      <c r="MVL38" s="624"/>
      <c r="MVM38" s="624"/>
      <c r="MVN38" s="624"/>
      <c r="MVO38" s="624"/>
      <c r="MVP38" s="624"/>
      <c r="MVQ38" s="624"/>
      <c r="MVR38" s="624"/>
      <c r="MVS38" s="624"/>
      <c r="MVT38" s="624"/>
      <c r="MVU38" s="624"/>
      <c r="MVV38" s="624"/>
      <c r="MVW38" s="624"/>
      <c r="MVX38" s="624"/>
      <c r="MVY38" s="624"/>
      <c r="MVZ38" s="624"/>
      <c r="MWA38" s="624"/>
      <c r="MWB38" s="624"/>
      <c r="MWC38" s="624"/>
      <c r="MWD38" s="624"/>
      <c r="MWE38" s="624"/>
      <c r="MWF38" s="624"/>
      <c r="MWG38" s="624"/>
      <c r="MWH38" s="624"/>
      <c r="MWI38" s="624"/>
      <c r="MWJ38" s="624"/>
      <c r="MWK38" s="624"/>
      <c r="MWL38" s="624"/>
      <c r="MWM38" s="624"/>
      <c r="MWN38" s="624"/>
      <c r="MWO38" s="624"/>
      <c r="MWP38" s="624"/>
      <c r="MWQ38" s="624"/>
      <c r="MWR38" s="624"/>
      <c r="MWS38" s="624"/>
      <c r="MWT38" s="624"/>
      <c r="MWU38" s="624"/>
      <c r="MWV38" s="624"/>
      <c r="MWW38" s="624"/>
      <c r="MWX38" s="624"/>
      <c r="MWY38" s="624"/>
      <c r="MWZ38" s="624"/>
      <c r="MXA38" s="624"/>
      <c r="MXB38" s="624"/>
      <c r="MXC38" s="624"/>
      <c r="MXD38" s="624"/>
      <c r="MXE38" s="624"/>
      <c r="MXF38" s="624"/>
      <c r="MXG38" s="624"/>
      <c r="MXH38" s="624"/>
      <c r="MXI38" s="624"/>
      <c r="MXJ38" s="624"/>
      <c r="MXK38" s="624"/>
      <c r="MXL38" s="624"/>
      <c r="MXM38" s="624"/>
      <c r="MXN38" s="624"/>
      <c r="MXO38" s="624"/>
      <c r="MXP38" s="624"/>
      <c r="MXQ38" s="624"/>
      <c r="MXR38" s="624"/>
      <c r="MXS38" s="624"/>
      <c r="MXT38" s="624"/>
      <c r="MXU38" s="624"/>
      <c r="MXV38" s="624"/>
      <c r="MXW38" s="624"/>
      <c r="MXX38" s="624"/>
      <c r="MXY38" s="624"/>
      <c r="MXZ38" s="624"/>
      <c r="MYA38" s="624"/>
      <c r="MYB38" s="624"/>
      <c r="MYC38" s="624"/>
      <c r="MYD38" s="624"/>
      <c r="MYE38" s="624"/>
      <c r="MYF38" s="624"/>
      <c r="MYG38" s="624"/>
      <c r="MYH38" s="624"/>
      <c r="MYI38" s="624"/>
      <c r="MYJ38" s="624"/>
      <c r="MYK38" s="624"/>
      <c r="MYL38" s="624"/>
      <c r="MYM38" s="624"/>
      <c r="MYN38" s="624"/>
      <c r="MYO38" s="624"/>
      <c r="MYP38" s="624"/>
      <c r="MYQ38" s="624"/>
      <c r="MYR38" s="624"/>
      <c r="MYS38" s="624"/>
      <c r="MYT38" s="624"/>
      <c r="MYU38" s="624"/>
      <c r="MYV38" s="624"/>
      <c r="MYW38" s="624"/>
      <c r="MYX38" s="624"/>
      <c r="MYY38" s="624"/>
      <c r="MYZ38" s="624"/>
      <c r="MZA38" s="624"/>
      <c r="MZB38" s="624"/>
      <c r="MZC38" s="624"/>
      <c r="MZD38" s="624"/>
      <c r="MZE38" s="624"/>
      <c r="MZF38" s="624"/>
      <c r="MZG38" s="624"/>
      <c r="MZH38" s="624"/>
      <c r="MZI38" s="624"/>
      <c r="MZJ38" s="624"/>
      <c r="MZK38" s="624"/>
      <c r="MZL38" s="624"/>
      <c r="MZM38" s="624"/>
      <c r="MZN38" s="624"/>
      <c r="MZO38" s="624"/>
      <c r="MZP38" s="624"/>
      <c r="MZQ38" s="624"/>
      <c r="MZR38" s="624"/>
      <c r="MZS38" s="624"/>
      <c r="MZT38" s="624"/>
      <c r="MZU38" s="624"/>
      <c r="MZV38" s="624"/>
      <c r="MZW38" s="624"/>
      <c r="MZX38" s="624"/>
      <c r="MZY38" s="624"/>
      <c r="MZZ38" s="624"/>
      <c r="NAA38" s="624"/>
      <c r="NAB38" s="624"/>
      <c r="NAC38" s="624"/>
      <c r="NAD38" s="624"/>
      <c r="NAE38" s="624"/>
      <c r="NAF38" s="624"/>
      <c r="NAG38" s="624"/>
      <c r="NAH38" s="624"/>
      <c r="NAI38" s="624"/>
      <c r="NAJ38" s="624"/>
      <c r="NAK38" s="624"/>
      <c r="NAL38" s="624"/>
      <c r="NAM38" s="624"/>
      <c r="NAN38" s="624"/>
      <c r="NAO38" s="624"/>
      <c r="NAP38" s="624"/>
      <c r="NAQ38" s="624"/>
      <c r="NAR38" s="624"/>
      <c r="NAS38" s="624"/>
      <c r="NAT38" s="624"/>
      <c r="NAU38" s="624"/>
      <c r="NAV38" s="624"/>
      <c r="NAW38" s="624"/>
      <c r="NAX38" s="624"/>
      <c r="NAY38" s="624"/>
      <c r="NAZ38" s="624"/>
      <c r="NBA38" s="624"/>
      <c r="NBB38" s="624"/>
      <c r="NBC38" s="624"/>
      <c r="NBD38" s="624"/>
      <c r="NBE38" s="624"/>
      <c r="NBF38" s="624"/>
      <c r="NBG38" s="624"/>
      <c r="NBH38" s="624"/>
      <c r="NBI38" s="624"/>
      <c r="NBJ38" s="624"/>
      <c r="NBK38" s="624"/>
      <c r="NBL38" s="624"/>
      <c r="NBM38" s="624"/>
      <c r="NBN38" s="624"/>
      <c r="NBO38" s="624"/>
      <c r="NBP38" s="624"/>
      <c r="NBQ38" s="624"/>
      <c r="NBR38" s="624"/>
      <c r="NBS38" s="624"/>
      <c r="NBT38" s="624"/>
      <c r="NBU38" s="624"/>
      <c r="NBV38" s="624"/>
      <c r="NBW38" s="624"/>
      <c r="NBX38" s="624"/>
      <c r="NBY38" s="624"/>
      <c r="NBZ38" s="624"/>
      <c r="NCA38" s="624"/>
      <c r="NCB38" s="624"/>
      <c r="NCC38" s="624"/>
      <c r="NCD38" s="624"/>
      <c r="NCE38" s="624"/>
      <c r="NCF38" s="624"/>
      <c r="NCG38" s="624"/>
      <c r="NCH38" s="624"/>
      <c r="NCI38" s="624"/>
      <c r="NCJ38" s="624"/>
      <c r="NCK38" s="624"/>
      <c r="NCL38" s="624"/>
      <c r="NCM38" s="624"/>
      <c r="NCN38" s="624"/>
      <c r="NCO38" s="624"/>
      <c r="NCP38" s="624"/>
      <c r="NCQ38" s="624"/>
      <c r="NCR38" s="624"/>
      <c r="NCS38" s="624"/>
      <c r="NCT38" s="624"/>
      <c r="NCU38" s="624"/>
      <c r="NCV38" s="624"/>
      <c r="NCW38" s="624"/>
      <c r="NCX38" s="624"/>
      <c r="NCY38" s="624"/>
      <c r="NCZ38" s="624"/>
      <c r="NDA38" s="624"/>
      <c r="NDB38" s="624"/>
      <c r="NDC38" s="624"/>
      <c r="NDD38" s="624"/>
      <c r="NDE38" s="624"/>
      <c r="NDF38" s="624"/>
      <c r="NDG38" s="624"/>
      <c r="NDH38" s="624"/>
      <c r="NDI38" s="624"/>
      <c r="NDJ38" s="624"/>
      <c r="NDK38" s="624"/>
      <c r="NDL38" s="624"/>
      <c r="NDM38" s="624"/>
      <c r="NDN38" s="624"/>
      <c r="NDO38" s="624"/>
      <c r="NDP38" s="624"/>
      <c r="NDQ38" s="624"/>
      <c r="NDR38" s="624"/>
      <c r="NDS38" s="624"/>
      <c r="NDT38" s="624"/>
      <c r="NDU38" s="624"/>
      <c r="NDV38" s="624"/>
      <c r="NDW38" s="624"/>
      <c r="NDX38" s="624"/>
      <c r="NDY38" s="624"/>
      <c r="NDZ38" s="624"/>
      <c r="NEA38" s="624"/>
      <c r="NEB38" s="624"/>
      <c r="NEC38" s="624"/>
      <c r="NED38" s="624"/>
      <c r="NEE38" s="624"/>
      <c r="NEF38" s="624"/>
      <c r="NEG38" s="624"/>
      <c r="NEH38" s="624"/>
      <c r="NEI38" s="624"/>
      <c r="NEJ38" s="624"/>
      <c r="NEK38" s="624"/>
      <c r="NEL38" s="624"/>
      <c r="NEM38" s="624"/>
      <c r="NEN38" s="624"/>
      <c r="NEO38" s="624"/>
      <c r="NEP38" s="624"/>
      <c r="NEQ38" s="624"/>
      <c r="NER38" s="624"/>
      <c r="NES38" s="624"/>
      <c r="NET38" s="624"/>
      <c r="NEU38" s="624"/>
      <c r="NEV38" s="624"/>
      <c r="NEW38" s="624"/>
      <c r="NEX38" s="624"/>
      <c r="NEY38" s="624"/>
      <c r="NEZ38" s="624"/>
      <c r="NFA38" s="624"/>
      <c r="NFB38" s="624"/>
      <c r="NFC38" s="624"/>
      <c r="NFD38" s="624"/>
      <c r="NFE38" s="624"/>
      <c r="NFF38" s="624"/>
      <c r="NFG38" s="624"/>
      <c r="NFH38" s="624"/>
      <c r="NFI38" s="624"/>
      <c r="NFJ38" s="624"/>
      <c r="NFK38" s="624"/>
      <c r="NFL38" s="624"/>
      <c r="NFM38" s="624"/>
      <c r="NFN38" s="624"/>
      <c r="NFO38" s="624"/>
      <c r="NFP38" s="624"/>
      <c r="NFQ38" s="624"/>
      <c r="NFR38" s="624"/>
      <c r="NFS38" s="624"/>
      <c r="NFT38" s="624"/>
      <c r="NFU38" s="624"/>
      <c r="NFV38" s="624"/>
      <c r="NFW38" s="624"/>
      <c r="NFX38" s="624"/>
      <c r="NFY38" s="624"/>
      <c r="NFZ38" s="624"/>
      <c r="NGA38" s="624"/>
      <c r="NGB38" s="624"/>
      <c r="NGC38" s="624"/>
      <c r="NGD38" s="624"/>
      <c r="NGE38" s="624"/>
      <c r="NGF38" s="624"/>
      <c r="NGG38" s="624"/>
      <c r="NGH38" s="624"/>
      <c r="NGI38" s="624"/>
      <c r="NGJ38" s="624"/>
      <c r="NGK38" s="624"/>
      <c r="NGL38" s="624"/>
      <c r="NGM38" s="624"/>
      <c r="NGN38" s="624"/>
      <c r="NGO38" s="624"/>
      <c r="NGP38" s="624"/>
      <c r="NGQ38" s="624"/>
      <c r="NGR38" s="624"/>
      <c r="NGS38" s="624"/>
      <c r="NGT38" s="624"/>
      <c r="NGU38" s="624"/>
      <c r="NGV38" s="624"/>
      <c r="NGW38" s="624"/>
      <c r="NGX38" s="624"/>
      <c r="NGY38" s="624"/>
      <c r="NGZ38" s="624"/>
      <c r="NHA38" s="624"/>
      <c r="NHB38" s="624"/>
      <c r="NHC38" s="624"/>
      <c r="NHD38" s="624"/>
      <c r="NHE38" s="624"/>
      <c r="NHF38" s="624"/>
      <c r="NHG38" s="624"/>
      <c r="NHH38" s="624"/>
      <c r="NHI38" s="624"/>
      <c r="NHJ38" s="624"/>
      <c r="NHK38" s="624"/>
      <c r="NHL38" s="624"/>
      <c r="NHM38" s="624"/>
      <c r="NHN38" s="624"/>
      <c r="NHO38" s="624"/>
      <c r="NHP38" s="624"/>
      <c r="NHQ38" s="624"/>
      <c r="NHR38" s="624"/>
      <c r="NHS38" s="624"/>
      <c r="NHT38" s="624"/>
      <c r="NHU38" s="624"/>
      <c r="NHV38" s="624"/>
      <c r="NHW38" s="624"/>
      <c r="NHX38" s="624"/>
      <c r="NHY38" s="624"/>
      <c r="NHZ38" s="624"/>
      <c r="NIA38" s="624"/>
      <c r="NIB38" s="624"/>
      <c r="NIC38" s="624"/>
      <c r="NID38" s="624"/>
      <c r="NIE38" s="624"/>
      <c r="NIF38" s="624"/>
      <c r="NIG38" s="624"/>
      <c r="NIH38" s="624"/>
      <c r="NII38" s="624"/>
      <c r="NIJ38" s="624"/>
      <c r="NIK38" s="624"/>
      <c r="NIL38" s="624"/>
      <c r="NIM38" s="624"/>
      <c r="NIN38" s="624"/>
      <c r="NIO38" s="624"/>
      <c r="NIP38" s="624"/>
      <c r="NIQ38" s="624"/>
      <c r="NIR38" s="624"/>
      <c r="NIS38" s="624"/>
      <c r="NIT38" s="624"/>
      <c r="NIU38" s="624"/>
      <c r="NIV38" s="624"/>
      <c r="NIW38" s="624"/>
      <c r="NIX38" s="624"/>
      <c r="NIY38" s="624"/>
      <c r="NIZ38" s="624"/>
      <c r="NJA38" s="624"/>
      <c r="NJB38" s="624"/>
      <c r="NJC38" s="624"/>
      <c r="NJD38" s="624"/>
      <c r="NJE38" s="624"/>
      <c r="NJF38" s="624"/>
      <c r="NJG38" s="624"/>
      <c r="NJH38" s="624"/>
      <c r="NJI38" s="624"/>
      <c r="NJJ38" s="624"/>
      <c r="NJK38" s="624"/>
      <c r="NJL38" s="624"/>
      <c r="NJM38" s="624"/>
      <c r="NJN38" s="624"/>
      <c r="NJO38" s="624"/>
      <c r="NJP38" s="624"/>
      <c r="NJQ38" s="624"/>
      <c r="NJR38" s="624"/>
      <c r="NJS38" s="624"/>
      <c r="NJT38" s="624"/>
      <c r="NJU38" s="624"/>
      <c r="NJV38" s="624"/>
      <c r="NJW38" s="624"/>
      <c r="NJX38" s="624"/>
      <c r="NJY38" s="624"/>
      <c r="NJZ38" s="624"/>
      <c r="NKA38" s="624"/>
      <c r="NKB38" s="624"/>
      <c r="NKC38" s="624"/>
      <c r="NKD38" s="624"/>
      <c r="NKE38" s="624"/>
      <c r="NKF38" s="624"/>
      <c r="NKG38" s="624"/>
      <c r="NKH38" s="624"/>
      <c r="NKI38" s="624"/>
      <c r="NKJ38" s="624"/>
      <c r="NKK38" s="624"/>
      <c r="NKL38" s="624"/>
      <c r="NKM38" s="624"/>
      <c r="NKN38" s="624"/>
      <c r="NKO38" s="624"/>
      <c r="NKP38" s="624"/>
      <c r="NKQ38" s="624"/>
      <c r="NKR38" s="624"/>
      <c r="NKS38" s="624"/>
      <c r="NKT38" s="624"/>
      <c r="NKU38" s="624"/>
      <c r="NKV38" s="624"/>
      <c r="NKW38" s="624"/>
      <c r="NKX38" s="624"/>
      <c r="NKY38" s="624"/>
      <c r="NKZ38" s="624"/>
      <c r="NLA38" s="624"/>
      <c r="NLB38" s="624"/>
      <c r="NLC38" s="624"/>
      <c r="NLD38" s="624"/>
      <c r="NLE38" s="624"/>
      <c r="NLF38" s="624"/>
      <c r="NLG38" s="624"/>
      <c r="NLH38" s="624"/>
      <c r="NLI38" s="624"/>
      <c r="NLJ38" s="624"/>
      <c r="NLK38" s="624"/>
      <c r="NLL38" s="624"/>
      <c r="NLM38" s="624"/>
      <c r="NLN38" s="624"/>
      <c r="NLO38" s="624"/>
      <c r="NLP38" s="624"/>
      <c r="NLQ38" s="624"/>
      <c r="NLR38" s="624"/>
      <c r="NLS38" s="624"/>
      <c r="NLT38" s="624"/>
      <c r="NLU38" s="624"/>
      <c r="NLV38" s="624"/>
      <c r="NLW38" s="624"/>
      <c r="NLX38" s="624"/>
      <c r="NLY38" s="624"/>
      <c r="NLZ38" s="624"/>
      <c r="NMA38" s="624"/>
      <c r="NMB38" s="624"/>
      <c r="NMC38" s="624"/>
      <c r="NMD38" s="624"/>
      <c r="NME38" s="624"/>
      <c r="NMF38" s="624"/>
      <c r="NMG38" s="624"/>
      <c r="NMH38" s="624"/>
      <c r="NMI38" s="624"/>
      <c r="NMJ38" s="624"/>
      <c r="NMK38" s="624"/>
      <c r="NML38" s="624"/>
      <c r="NMM38" s="624"/>
      <c r="NMN38" s="624"/>
      <c r="NMO38" s="624"/>
      <c r="NMP38" s="624"/>
      <c r="NMQ38" s="624"/>
      <c r="NMR38" s="624"/>
      <c r="NMS38" s="624"/>
      <c r="NMT38" s="624"/>
      <c r="NMU38" s="624"/>
      <c r="NMV38" s="624"/>
      <c r="NMW38" s="624"/>
      <c r="NMX38" s="624"/>
      <c r="NMY38" s="624"/>
      <c r="NMZ38" s="624"/>
      <c r="NNA38" s="624"/>
      <c r="NNB38" s="624"/>
      <c r="NNC38" s="624"/>
      <c r="NND38" s="624"/>
      <c r="NNE38" s="624"/>
      <c r="NNF38" s="624"/>
      <c r="NNG38" s="624"/>
      <c r="NNH38" s="624"/>
      <c r="NNI38" s="624"/>
      <c r="NNJ38" s="624"/>
      <c r="NNK38" s="624"/>
      <c r="NNL38" s="624"/>
      <c r="NNM38" s="624"/>
      <c r="NNN38" s="624"/>
      <c r="NNO38" s="624"/>
      <c r="NNP38" s="624"/>
      <c r="NNQ38" s="624"/>
      <c r="NNR38" s="624"/>
      <c r="NNS38" s="624"/>
      <c r="NNT38" s="624"/>
      <c r="NNU38" s="624"/>
      <c r="NNV38" s="624"/>
      <c r="NNW38" s="624"/>
      <c r="NNX38" s="624"/>
      <c r="NNY38" s="624"/>
      <c r="NNZ38" s="624"/>
      <c r="NOA38" s="624"/>
      <c r="NOB38" s="624"/>
      <c r="NOC38" s="624"/>
      <c r="NOD38" s="624"/>
      <c r="NOE38" s="624"/>
      <c r="NOF38" s="624"/>
      <c r="NOG38" s="624"/>
      <c r="NOH38" s="624"/>
      <c r="NOI38" s="624"/>
      <c r="NOJ38" s="624"/>
      <c r="NOK38" s="624"/>
      <c r="NOL38" s="624"/>
      <c r="NOM38" s="624"/>
      <c r="NON38" s="624"/>
      <c r="NOO38" s="624"/>
      <c r="NOP38" s="624"/>
      <c r="NOQ38" s="624"/>
      <c r="NOR38" s="624"/>
      <c r="NOS38" s="624"/>
      <c r="NOT38" s="624"/>
      <c r="NOU38" s="624"/>
      <c r="NOV38" s="624"/>
      <c r="NOW38" s="624"/>
      <c r="NOX38" s="624"/>
      <c r="NOY38" s="624"/>
      <c r="NOZ38" s="624"/>
      <c r="NPA38" s="624"/>
      <c r="NPB38" s="624"/>
      <c r="NPC38" s="624"/>
      <c r="NPD38" s="624"/>
      <c r="NPE38" s="624"/>
      <c r="NPF38" s="624"/>
      <c r="NPG38" s="624"/>
      <c r="NPH38" s="624"/>
      <c r="NPI38" s="624"/>
      <c r="NPJ38" s="624"/>
      <c r="NPK38" s="624"/>
      <c r="NPL38" s="624"/>
      <c r="NPM38" s="624"/>
      <c r="NPN38" s="624"/>
      <c r="NPO38" s="624"/>
      <c r="NPP38" s="624"/>
      <c r="NPQ38" s="624"/>
      <c r="NPR38" s="624"/>
      <c r="NPS38" s="624"/>
      <c r="NPT38" s="624"/>
      <c r="NPU38" s="624"/>
      <c r="NPV38" s="624"/>
      <c r="NPW38" s="624"/>
      <c r="NPX38" s="624"/>
      <c r="NPY38" s="624"/>
      <c r="NPZ38" s="624"/>
      <c r="NQA38" s="624"/>
      <c r="NQB38" s="624"/>
      <c r="NQC38" s="624"/>
      <c r="NQD38" s="624"/>
      <c r="NQE38" s="624"/>
      <c r="NQF38" s="624"/>
      <c r="NQG38" s="624"/>
      <c r="NQH38" s="624"/>
      <c r="NQI38" s="624"/>
      <c r="NQJ38" s="624"/>
      <c r="NQK38" s="624"/>
      <c r="NQL38" s="624"/>
      <c r="NQM38" s="624"/>
      <c r="NQN38" s="624"/>
      <c r="NQO38" s="624"/>
      <c r="NQP38" s="624"/>
      <c r="NQQ38" s="624"/>
      <c r="NQR38" s="624"/>
      <c r="NQS38" s="624"/>
      <c r="NQT38" s="624"/>
      <c r="NQU38" s="624"/>
      <c r="NQV38" s="624"/>
      <c r="NQW38" s="624"/>
      <c r="NQX38" s="624"/>
      <c r="NQY38" s="624"/>
      <c r="NQZ38" s="624"/>
      <c r="NRA38" s="624"/>
      <c r="NRB38" s="624"/>
      <c r="NRC38" s="624"/>
      <c r="NRD38" s="624"/>
      <c r="NRE38" s="624"/>
      <c r="NRF38" s="624"/>
      <c r="NRG38" s="624"/>
      <c r="NRH38" s="624"/>
      <c r="NRI38" s="624"/>
      <c r="NRJ38" s="624"/>
      <c r="NRK38" s="624"/>
      <c r="NRL38" s="624"/>
      <c r="NRM38" s="624"/>
      <c r="NRN38" s="624"/>
      <c r="NRO38" s="624"/>
      <c r="NRP38" s="624"/>
      <c r="NRQ38" s="624"/>
      <c r="NRR38" s="624"/>
      <c r="NRS38" s="624"/>
      <c r="NRT38" s="624"/>
      <c r="NRU38" s="624"/>
      <c r="NRV38" s="624"/>
      <c r="NRW38" s="624"/>
      <c r="NRX38" s="624"/>
      <c r="NRY38" s="624"/>
      <c r="NRZ38" s="624"/>
      <c r="NSA38" s="624"/>
      <c r="NSB38" s="624"/>
      <c r="NSC38" s="624"/>
      <c r="NSD38" s="624"/>
      <c r="NSE38" s="624"/>
      <c r="NSF38" s="624"/>
      <c r="NSG38" s="624"/>
      <c r="NSH38" s="624"/>
      <c r="NSI38" s="624"/>
      <c r="NSJ38" s="624"/>
      <c r="NSK38" s="624"/>
      <c r="NSL38" s="624"/>
      <c r="NSM38" s="624"/>
      <c r="NSN38" s="624"/>
      <c r="NSO38" s="624"/>
      <c r="NSP38" s="624"/>
      <c r="NSQ38" s="624"/>
      <c r="NSR38" s="624"/>
      <c r="NSS38" s="624"/>
      <c r="NST38" s="624"/>
      <c r="NSU38" s="624"/>
      <c r="NSV38" s="624"/>
      <c r="NSW38" s="624"/>
      <c r="NSX38" s="624"/>
      <c r="NSY38" s="624"/>
      <c r="NSZ38" s="624"/>
      <c r="NTA38" s="624"/>
      <c r="NTB38" s="624"/>
      <c r="NTC38" s="624"/>
      <c r="NTD38" s="624"/>
      <c r="NTE38" s="624"/>
      <c r="NTF38" s="624"/>
      <c r="NTG38" s="624"/>
      <c r="NTH38" s="624"/>
      <c r="NTI38" s="624"/>
      <c r="NTJ38" s="624"/>
      <c r="NTK38" s="624"/>
      <c r="NTL38" s="624"/>
      <c r="NTM38" s="624"/>
      <c r="NTN38" s="624"/>
      <c r="NTO38" s="624"/>
      <c r="NTP38" s="624"/>
      <c r="NTQ38" s="624"/>
      <c r="NTR38" s="624"/>
      <c r="NTS38" s="624"/>
      <c r="NTT38" s="624"/>
      <c r="NTU38" s="624"/>
      <c r="NTV38" s="624"/>
      <c r="NTW38" s="624"/>
      <c r="NTX38" s="624"/>
      <c r="NTY38" s="624"/>
      <c r="NTZ38" s="624"/>
      <c r="NUA38" s="624"/>
      <c r="NUB38" s="624"/>
      <c r="NUC38" s="624"/>
      <c r="NUD38" s="624"/>
      <c r="NUE38" s="624"/>
      <c r="NUF38" s="624"/>
      <c r="NUG38" s="624"/>
      <c r="NUH38" s="624"/>
      <c r="NUI38" s="624"/>
      <c r="NUJ38" s="624"/>
      <c r="NUK38" s="624"/>
      <c r="NUL38" s="624"/>
      <c r="NUM38" s="624"/>
      <c r="NUN38" s="624"/>
      <c r="NUO38" s="624"/>
      <c r="NUP38" s="624"/>
      <c r="NUQ38" s="624"/>
      <c r="NUR38" s="624"/>
      <c r="NUS38" s="624"/>
      <c r="NUT38" s="624"/>
      <c r="NUU38" s="624"/>
      <c r="NUV38" s="624"/>
      <c r="NUW38" s="624"/>
      <c r="NUX38" s="624"/>
      <c r="NUY38" s="624"/>
      <c r="NUZ38" s="624"/>
      <c r="NVA38" s="624"/>
      <c r="NVB38" s="624"/>
      <c r="NVC38" s="624"/>
      <c r="NVD38" s="624"/>
      <c r="NVE38" s="624"/>
      <c r="NVF38" s="624"/>
      <c r="NVG38" s="624"/>
      <c r="NVH38" s="624"/>
      <c r="NVI38" s="624"/>
      <c r="NVJ38" s="624"/>
      <c r="NVK38" s="624"/>
      <c r="NVL38" s="624"/>
      <c r="NVM38" s="624"/>
      <c r="NVN38" s="624"/>
      <c r="NVO38" s="624"/>
      <c r="NVP38" s="624"/>
      <c r="NVQ38" s="624"/>
      <c r="NVR38" s="624"/>
      <c r="NVS38" s="624"/>
      <c r="NVT38" s="624"/>
      <c r="NVU38" s="624"/>
      <c r="NVV38" s="624"/>
      <c r="NVW38" s="624"/>
      <c r="NVX38" s="624"/>
      <c r="NVY38" s="624"/>
      <c r="NVZ38" s="624"/>
      <c r="NWA38" s="624"/>
      <c r="NWB38" s="624"/>
      <c r="NWC38" s="624"/>
      <c r="NWD38" s="624"/>
      <c r="NWE38" s="624"/>
      <c r="NWF38" s="624"/>
      <c r="NWG38" s="624"/>
      <c r="NWH38" s="624"/>
      <c r="NWI38" s="624"/>
      <c r="NWJ38" s="624"/>
      <c r="NWK38" s="624"/>
      <c r="NWL38" s="624"/>
      <c r="NWM38" s="624"/>
      <c r="NWN38" s="624"/>
      <c r="NWO38" s="624"/>
      <c r="NWP38" s="624"/>
      <c r="NWQ38" s="624"/>
      <c r="NWR38" s="624"/>
      <c r="NWS38" s="624"/>
      <c r="NWT38" s="624"/>
      <c r="NWU38" s="624"/>
      <c r="NWV38" s="624"/>
      <c r="NWW38" s="624"/>
      <c r="NWX38" s="624"/>
      <c r="NWY38" s="624"/>
      <c r="NWZ38" s="624"/>
      <c r="NXA38" s="624"/>
      <c r="NXB38" s="624"/>
      <c r="NXC38" s="624"/>
      <c r="NXD38" s="624"/>
      <c r="NXE38" s="624"/>
      <c r="NXF38" s="624"/>
      <c r="NXG38" s="624"/>
      <c r="NXH38" s="624"/>
      <c r="NXI38" s="624"/>
      <c r="NXJ38" s="624"/>
      <c r="NXK38" s="624"/>
      <c r="NXL38" s="624"/>
      <c r="NXM38" s="624"/>
      <c r="NXN38" s="624"/>
      <c r="NXO38" s="624"/>
      <c r="NXP38" s="624"/>
      <c r="NXQ38" s="624"/>
      <c r="NXR38" s="624"/>
      <c r="NXS38" s="624"/>
      <c r="NXT38" s="624"/>
      <c r="NXU38" s="624"/>
      <c r="NXV38" s="624"/>
      <c r="NXW38" s="624"/>
      <c r="NXX38" s="624"/>
      <c r="NXY38" s="624"/>
      <c r="NXZ38" s="624"/>
      <c r="NYA38" s="624"/>
      <c r="NYB38" s="624"/>
      <c r="NYC38" s="624"/>
      <c r="NYD38" s="624"/>
      <c r="NYE38" s="624"/>
      <c r="NYF38" s="624"/>
      <c r="NYG38" s="624"/>
      <c r="NYH38" s="624"/>
      <c r="NYI38" s="624"/>
      <c r="NYJ38" s="624"/>
      <c r="NYK38" s="624"/>
      <c r="NYL38" s="624"/>
      <c r="NYM38" s="624"/>
      <c r="NYN38" s="624"/>
      <c r="NYO38" s="624"/>
      <c r="NYP38" s="624"/>
      <c r="NYQ38" s="624"/>
      <c r="NYR38" s="624"/>
      <c r="NYS38" s="624"/>
      <c r="NYT38" s="624"/>
      <c r="NYU38" s="624"/>
      <c r="NYV38" s="624"/>
      <c r="NYW38" s="624"/>
      <c r="NYX38" s="624"/>
      <c r="NYY38" s="624"/>
      <c r="NYZ38" s="624"/>
      <c r="NZA38" s="624"/>
      <c r="NZB38" s="624"/>
      <c r="NZC38" s="624"/>
      <c r="NZD38" s="624"/>
      <c r="NZE38" s="624"/>
      <c r="NZF38" s="624"/>
      <c r="NZG38" s="624"/>
      <c r="NZH38" s="624"/>
      <c r="NZI38" s="624"/>
      <c r="NZJ38" s="624"/>
      <c r="NZK38" s="624"/>
      <c r="NZL38" s="624"/>
      <c r="NZM38" s="624"/>
      <c r="NZN38" s="624"/>
      <c r="NZO38" s="624"/>
      <c r="NZP38" s="624"/>
      <c r="NZQ38" s="624"/>
      <c r="NZR38" s="624"/>
      <c r="NZS38" s="624"/>
      <c r="NZT38" s="624"/>
      <c r="NZU38" s="624"/>
      <c r="NZV38" s="624"/>
      <c r="NZW38" s="624"/>
      <c r="NZX38" s="624"/>
      <c r="NZY38" s="624"/>
      <c r="NZZ38" s="624"/>
      <c r="OAA38" s="624"/>
      <c r="OAB38" s="624"/>
      <c r="OAC38" s="624"/>
      <c r="OAD38" s="624"/>
      <c r="OAE38" s="624"/>
      <c r="OAF38" s="624"/>
      <c r="OAG38" s="624"/>
      <c r="OAH38" s="624"/>
      <c r="OAI38" s="624"/>
      <c r="OAJ38" s="624"/>
      <c r="OAK38" s="624"/>
      <c r="OAL38" s="624"/>
      <c r="OAM38" s="624"/>
      <c r="OAN38" s="624"/>
      <c r="OAO38" s="624"/>
      <c r="OAP38" s="624"/>
      <c r="OAQ38" s="624"/>
      <c r="OAR38" s="624"/>
      <c r="OAS38" s="624"/>
      <c r="OAT38" s="624"/>
      <c r="OAU38" s="624"/>
      <c r="OAV38" s="624"/>
      <c r="OAW38" s="624"/>
      <c r="OAX38" s="624"/>
      <c r="OAY38" s="624"/>
      <c r="OAZ38" s="624"/>
      <c r="OBA38" s="624"/>
      <c r="OBB38" s="624"/>
      <c r="OBC38" s="624"/>
      <c r="OBD38" s="624"/>
      <c r="OBE38" s="624"/>
      <c r="OBF38" s="624"/>
      <c r="OBG38" s="624"/>
      <c r="OBH38" s="624"/>
      <c r="OBI38" s="624"/>
      <c r="OBJ38" s="624"/>
      <c r="OBK38" s="624"/>
      <c r="OBL38" s="624"/>
      <c r="OBM38" s="624"/>
      <c r="OBN38" s="624"/>
      <c r="OBO38" s="624"/>
      <c r="OBP38" s="624"/>
      <c r="OBQ38" s="624"/>
      <c r="OBR38" s="624"/>
      <c r="OBS38" s="624"/>
      <c r="OBT38" s="624"/>
      <c r="OBU38" s="624"/>
      <c r="OBV38" s="624"/>
      <c r="OBW38" s="624"/>
      <c r="OBX38" s="624"/>
      <c r="OBY38" s="624"/>
      <c r="OBZ38" s="624"/>
      <c r="OCA38" s="624"/>
      <c r="OCB38" s="624"/>
      <c r="OCC38" s="624"/>
      <c r="OCD38" s="624"/>
      <c r="OCE38" s="624"/>
      <c r="OCF38" s="624"/>
      <c r="OCG38" s="624"/>
      <c r="OCH38" s="624"/>
      <c r="OCI38" s="624"/>
      <c r="OCJ38" s="624"/>
      <c r="OCK38" s="624"/>
      <c r="OCL38" s="624"/>
      <c r="OCM38" s="624"/>
      <c r="OCN38" s="624"/>
      <c r="OCO38" s="624"/>
      <c r="OCP38" s="624"/>
      <c r="OCQ38" s="624"/>
      <c r="OCR38" s="624"/>
      <c r="OCS38" s="624"/>
      <c r="OCT38" s="624"/>
      <c r="OCU38" s="624"/>
      <c r="OCV38" s="624"/>
      <c r="OCW38" s="624"/>
      <c r="OCX38" s="624"/>
      <c r="OCY38" s="624"/>
      <c r="OCZ38" s="624"/>
      <c r="ODA38" s="624"/>
      <c r="ODB38" s="624"/>
      <c r="ODC38" s="624"/>
      <c r="ODD38" s="624"/>
      <c r="ODE38" s="624"/>
      <c r="ODF38" s="624"/>
      <c r="ODG38" s="624"/>
      <c r="ODH38" s="624"/>
      <c r="ODI38" s="624"/>
      <c r="ODJ38" s="624"/>
      <c r="ODK38" s="624"/>
      <c r="ODL38" s="624"/>
      <c r="ODM38" s="624"/>
      <c r="ODN38" s="624"/>
      <c r="ODO38" s="624"/>
      <c r="ODP38" s="624"/>
      <c r="ODQ38" s="624"/>
      <c r="ODR38" s="624"/>
      <c r="ODS38" s="624"/>
      <c r="ODT38" s="624"/>
      <c r="ODU38" s="624"/>
      <c r="ODV38" s="624"/>
      <c r="ODW38" s="624"/>
      <c r="ODX38" s="624"/>
      <c r="ODY38" s="624"/>
      <c r="ODZ38" s="624"/>
      <c r="OEA38" s="624"/>
      <c r="OEB38" s="624"/>
      <c r="OEC38" s="624"/>
      <c r="OED38" s="624"/>
      <c r="OEE38" s="624"/>
      <c r="OEF38" s="624"/>
      <c r="OEG38" s="624"/>
      <c r="OEH38" s="624"/>
      <c r="OEI38" s="624"/>
      <c r="OEJ38" s="624"/>
      <c r="OEK38" s="624"/>
      <c r="OEL38" s="624"/>
      <c r="OEM38" s="624"/>
      <c r="OEN38" s="624"/>
      <c r="OEO38" s="624"/>
      <c r="OEP38" s="624"/>
      <c r="OEQ38" s="624"/>
      <c r="OER38" s="624"/>
      <c r="OES38" s="624"/>
      <c r="OET38" s="624"/>
      <c r="OEU38" s="624"/>
      <c r="OEV38" s="624"/>
      <c r="OEW38" s="624"/>
      <c r="OEX38" s="624"/>
      <c r="OEY38" s="624"/>
      <c r="OEZ38" s="624"/>
      <c r="OFA38" s="624"/>
      <c r="OFB38" s="624"/>
      <c r="OFC38" s="624"/>
      <c r="OFD38" s="624"/>
      <c r="OFE38" s="624"/>
      <c r="OFF38" s="624"/>
      <c r="OFG38" s="624"/>
      <c r="OFH38" s="624"/>
      <c r="OFI38" s="624"/>
      <c r="OFJ38" s="624"/>
      <c r="OFK38" s="624"/>
      <c r="OFL38" s="624"/>
      <c r="OFM38" s="624"/>
      <c r="OFN38" s="624"/>
      <c r="OFO38" s="624"/>
      <c r="OFP38" s="624"/>
      <c r="OFQ38" s="624"/>
      <c r="OFR38" s="624"/>
      <c r="OFS38" s="624"/>
      <c r="OFT38" s="624"/>
      <c r="OFU38" s="624"/>
      <c r="OFV38" s="624"/>
      <c r="OFW38" s="624"/>
      <c r="OFX38" s="624"/>
      <c r="OFY38" s="624"/>
      <c r="OFZ38" s="624"/>
      <c r="OGA38" s="624"/>
      <c r="OGB38" s="624"/>
      <c r="OGC38" s="624"/>
      <c r="OGD38" s="624"/>
      <c r="OGE38" s="624"/>
      <c r="OGF38" s="624"/>
      <c r="OGG38" s="624"/>
      <c r="OGH38" s="624"/>
      <c r="OGI38" s="624"/>
      <c r="OGJ38" s="624"/>
      <c r="OGK38" s="624"/>
      <c r="OGL38" s="624"/>
      <c r="OGM38" s="624"/>
      <c r="OGN38" s="624"/>
      <c r="OGO38" s="624"/>
      <c r="OGP38" s="624"/>
      <c r="OGQ38" s="624"/>
      <c r="OGR38" s="624"/>
      <c r="OGS38" s="624"/>
      <c r="OGT38" s="624"/>
      <c r="OGU38" s="624"/>
      <c r="OGV38" s="624"/>
      <c r="OGW38" s="624"/>
      <c r="OGX38" s="624"/>
      <c r="OGY38" s="624"/>
      <c r="OGZ38" s="624"/>
      <c r="OHA38" s="624"/>
      <c r="OHB38" s="624"/>
      <c r="OHC38" s="624"/>
      <c r="OHD38" s="624"/>
      <c r="OHE38" s="624"/>
      <c r="OHF38" s="624"/>
      <c r="OHG38" s="624"/>
      <c r="OHH38" s="624"/>
      <c r="OHI38" s="624"/>
      <c r="OHJ38" s="624"/>
      <c r="OHK38" s="624"/>
      <c r="OHL38" s="624"/>
      <c r="OHM38" s="624"/>
      <c r="OHN38" s="624"/>
      <c r="OHO38" s="624"/>
      <c r="OHP38" s="624"/>
      <c r="OHQ38" s="624"/>
      <c r="OHR38" s="624"/>
      <c r="OHS38" s="624"/>
      <c r="OHT38" s="624"/>
      <c r="OHU38" s="624"/>
      <c r="OHV38" s="624"/>
      <c r="OHW38" s="624"/>
      <c r="OHX38" s="624"/>
      <c r="OHY38" s="624"/>
      <c r="OHZ38" s="624"/>
      <c r="OIA38" s="624"/>
      <c r="OIB38" s="624"/>
      <c r="OIC38" s="624"/>
      <c r="OID38" s="624"/>
      <c r="OIE38" s="624"/>
      <c r="OIF38" s="624"/>
      <c r="OIG38" s="624"/>
      <c r="OIH38" s="624"/>
      <c r="OII38" s="624"/>
      <c r="OIJ38" s="624"/>
      <c r="OIK38" s="624"/>
      <c r="OIL38" s="624"/>
      <c r="OIM38" s="624"/>
      <c r="OIN38" s="624"/>
      <c r="OIO38" s="624"/>
      <c r="OIP38" s="624"/>
      <c r="OIQ38" s="624"/>
      <c r="OIR38" s="624"/>
      <c r="OIS38" s="624"/>
      <c r="OIT38" s="624"/>
      <c r="OIU38" s="624"/>
      <c r="OIV38" s="624"/>
      <c r="OIW38" s="624"/>
      <c r="OIX38" s="624"/>
      <c r="OIY38" s="624"/>
      <c r="OIZ38" s="624"/>
      <c r="OJA38" s="624"/>
      <c r="OJB38" s="624"/>
      <c r="OJC38" s="624"/>
      <c r="OJD38" s="624"/>
      <c r="OJE38" s="624"/>
      <c r="OJF38" s="624"/>
      <c r="OJG38" s="624"/>
      <c r="OJH38" s="624"/>
      <c r="OJI38" s="624"/>
      <c r="OJJ38" s="624"/>
      <c r="OJK38" s="624"/>
      <c r="OJL38" s="624"/>
      <c r="OJM38" s="624"/>
      <c r="OJN38" s="624"/>
      <c r="OJO38" s="624"/>
      <c r="OJP38" s="624"/>
      <c r="OJQ38" s="624"/>
      <c r="OJR38" s="624"/>
      <c r="OJS38" s="624"/>
      <c r="OJT38" s="624"/>
      <c r="OJU38" s="624"/>
      <c r="OJV38" s="624"/>
      <c r="OJW38" s="624"/>
      <c r="OJX38" s="624"/>
      <c r="OJY38" s="624"/>
      <c r="OJZ38" s="624"/>
      <c r="OKA38" s="624"/>
      <c r="OKB38" s="624"/>
      <c r="OKC38" s="624"/>
      <c r="OKD38" s="624"/>
      <c r="OKE38" s="624"/>
      <c r="OKF38" s="624"/>
      <c r="OKG38" s="624"/>
      <c r="OKH38" s="624"/>
      <c r="OKI38" s="624"/>
      <c r="OKJ38" s="624"/>
      <c r="OKK38" s="624"/>
      <c r="OKL38" s="624"/>
      <c r="OKM38" s="624"/>
      <c r="OKN38" s="624"/>
      <c r="OKO38" s="624"/>
      <c r="OKP38" s="624"/>
      <c r="OKQ38" s="624"/>
      <c r="OKR38" s="624"/>
      <c r="OKS38" s="624"/>
      <c r="OKT38" s="624"/>
      <c r="OKU38" s="624"/>
      <c r="OKV38" s="624"/>
      <c r="OKW38" s="624"/>
      <c r="OKX38" s="624"/>
      <c r="OKY38" s="624"/>
      <c r="OKZ38" s="624"/>
      <c r="OLA38" s="624"/>
      <c r="OLB38" s="624"/>
      <c r="OLC38" s="624"/>
      <c r="OLD38" s="624"/>
      <c r="OLE38" s="624"/>
      <c r="OLF38" s="624"/>
      <c r="OLG38" s="624"/>
      <c r="OLH38" s="624"/>
      <c r="OLI38" s="624"/>
      <c r="OLJ38" s="624"/>
      <c r="OLK38" s="624"/>
      <c r="OLL38" s="624"/>
      <c r="OLM38" s="624"/>
      <c r="OLN38" s="624"/>
      <c r="OLO38" s="624"/>
      <c r="OLP38" s="624"/>
      <c r="OLQ38" s="624"/>
      <c r="OLR38" s="624"/>
      <c r="OLS38" s="624"/>
      <c r="OLT38" s="624"/>
      <c r="OLU38" s="624"/>
      <c r="OLV38" s="624"/>
      <c r="OLW38" s="624"/>
      <c r="OLX38" s="624"/>
      <c r="OLY38" s="624"/>
      <c r="OLZ38" s="624"/>
      <c r="OMA38" s="624"/>
      <c r="OMB38" s="624"/>
      <c r="OMC38" s="624"/>
      <c r="OMD38" s="624"/>
      <c r="OME38" s="624"/>
      <c r="OMF38" s="624"/>
      <c r="OMG38" s="624"/>
      <c r="OMH38" s="624"/>
      <c r="OMI38" s="624"/>
      <c r="OMJ38" s="624"/>
      <c r="OMK38" s="624"/>
      <c r="OML38" s="624"/>
      <c r="OMM38" s="624"/>
      <c r="OMN38" s="624"/>
      <c r="OMO38" s="624"/>
      <c r="OMP38" s="624"/>
      <c r="OMQ38" s="624"/>
      <c r="OMR38" s="624"/>
      <c r="OMS38" s="624"/>
      <c r="OMT38" s="624"/>
      <c r="OMU38" s="624"/>
      <c r="OMV38" s="624"/>
      <c r="OMW38" s="624"/>
      <c r="OMX38" s="624"/>
      <c r="OMY38" s="624"/>
      <c r="OMZ38" s="624"/>
      <c r="ONA38" s="624"/>
      <c r="ONB38" s="624"/>
      <c r="ONC38" s="624"/>
      <c r="OND38" s="624"/>
      <c r="ONE38" s="624"/>
      <c r="ONF38" s="624"/>
      <c r="ONG38" s="624"/>
      <c r="ONH38" s="624"/>
      <c r="ONI38" s="624"/>
      <c r="ONJ38" s="624"/>
      <c r="ONK38" s="624"/>
      <c r="ONL38" s="624"/>
      <c r="ONM38" s="624"/>
      <c r="ONN38" s="624"/>
      <c r="ONO38" s="624"/>
      <c r="ONP38" s="624"/>
      <c r="ONQ38" s="624"/>
      <c r="ONR38" s="624"/>
      <c r="ONS38" s="624"/>
      <c r="ONT38" s="624"/>
      <c r="ONU38" s="624"/>
      <c r="ONV38" s="624"/>
      <c r="ONW38" s="624"/>
      <c r="ONX38" s="624"/>
      <c r="ONY38" s="624"/>
      <c r="ONZ38" s="624"/>
      <c r="OOA38" s="624"/>
      <c r="OOB38" s="624"/>
      <c r="OOC38" s="624"/>
      <c r="OOD38" s="624"/>
      <c r="OOE38" s="624"/>
      <c r="OOF38" s="624"/>
      <c r="OOG38" s="624"/>
      <c r="OOH38" s="624"/>
      <c r="OOI38" s="624"/>
      <c r="OOJ38" s="624"/>
      <c r="OOK38" s="624"/>
      <c r="OOL38" s="624"/>
      <c r="OOM38" s="624"/>
      <c r="OON38" s="624"/>
      <c r="OOO38" s="624"/>
      <c r="OOP38" s="624"/>
      <c r="OOQ38" s="624"/>
      <c r="OOR38" s="624"/>
      <c r="OOS38" s="624"/>
      <c r="OOT38" s="624"/>
      <c r="OOU38" s="624"/>
      <c r="OOV38" s="624"/>
      <c r="OOW38" s="624"/>
      <c r="OOX38" s="624"/>
      <c r="OOY38" s="624"/>
      <c r="OOZ38" s="624"/>
      <c r="OPA38" s="624"/>
      <c r="OPB38" s="624"/>
      <c r="OPC38" s="624"/>
      <c r="OPD38" s="624"/>
      <c r="OPE38" s="624"/>
      <c r="OPF38" s="624"/>
      <c r="OPG38" s="624"/>
      <c r="OPH38" s="624"/>
      <c r="OPI38" s="624"/>
      <c r="OPJ38" s="624"/>
      <c r="OPK38" s="624"/>
      <c r="OPL38" s="624"/>
      <c r="OPM38" s="624"/>
      <c r="OPN38" s="624"/>
      <c r="OPO38" s="624"/>
      <c r="OPP38" s="624"/>
      <c r="OPQ38" s="624"/>
      <c r="OPR38" s="624"/>
      <c r="OPS38" s="624"/>
      <c r="OPT38" s="624"/>
      <c r="OPU38" s="624"/>
      <c r="OPV38" s="624"/>
      <c r="OPW38" s="624"/>
      <c r="OPX38" s="624"/>
      <c r="OPY38" s="624"/>
      <c r="OPZ38" s="624"/>
      <c r="OQA38" s="624"/>
      <c r="OQB38" s="624"/>
      <c r="OQC38" s="624"/>
      <c r="OQD38" s="624"/>
      <c r="OQE38" s="624"/>
      <c r="OQF38" s="624"/>
      <c r="OQG38" s="624"/>
      <c r="OQH38" s="624"/>
      <c r="OQI38" s="624"/>
      <c r="OQJ38" s="624"/>
      <c r="OQK38" s="624"/>
      <c r="OQL38" s="624"/>
      <c r="OQM38" s="624"/>
      <c r="OQN38" s="624"/>
      <c r="OQO38" s="624"/>
      <c r="OQP38" s="624"/>
      <c r="OQQ38" s="624"/>
      <c r="OQR38" s="624"/>
      <c r="OQS38" s="624"/>
      <c r="OQT38" s="624"/>
      <c r="OQU38" s="624"/>
      <c r="OQV38" s="624"/>
      <c r="OQW38" s="624"/>
      <c r="OQX38" s="624"/>
      <c r="OQY38" s="624"/>
      <c r="OQZ38" s="624"/>
      <c r="ORA38" s="624"/>
      <c r="ORB38" s="624"/>
      <c r="ORC38" s="624"/>
      <c r="ORD38" s="624"/>
      <c r="ORE38" s="624"/>
      <c r="ORF38" s="624"/>
      <c r="ORG38" s="624"/>
      <c r="ORH38" s="624"/>
      <c r="ORI38" s="624"/>
      <c r="ORJ38" s="624"/>
      <c r="ORK38" s="624"/>
      <c r="ORL38" s="624"/>
      <c r="ORM38" s="624"/>
      <c r="ORN38" s="624"/>
      <c r="ORO38" s="624"/>
      <c r="ORP38" s="624"/>
      <c r="ORQ38" s="624"/>
      <c r="ORR38" s="624"/>
      <c r="ORS38" s="624"/>
      <c r="ORT38" s="624"/>
      <c r="ORU38" s="624"/>
      <c r="ORV38" s="624"/>
      <c r="ORW38" s="624"/>
      <c r="ORX38" s="624"/>
      <c r="ORY38" s="624"/>
      <c r="ORZ38" s="624"/>
      <c r="OSA38" s="624"/>
      <c r="OSB38" s="624"/>
      <c r="OSC38" s="624"/>
      <c r="OSD38" s="624"/>
      <c r="OSE38" s="624"/>
      <c r="OSF38" s="624"/>
      <c r="OSG38" s="624"/>
      <c r="OSH38" s="624"/>
      <c r="OSI38" s="624"/>
      <c r="OSJ38" s="624"/>
      <c r="OSK38" s="624"/>
      <c r="OSL38" s="624"/>
      <c r="OSM38" s="624"/>
      <c r="OSN38" s="624"/>
      <c r="OSO38" s="624"/>
      <c r="OSP38" s="624"/>
      <c r="OSQ38" s="624"/>
      <c r="OSR38" s="624"/>
      <c r="OSS38" s="624"/>
      <c r="OST38" s="624"/>
      <c r="OSU38" s="624"/>
      <c r="OSV38" s="624"/>
      <c r="OSW38" s="624"/>
      <c r="OSX38" s="624"/>
      <c r="OSY38" s="624"/>
      <c r="OSZ38" s="624"/>
      <c r="OTA38" s="624"/>
      <c r="OTB38" s="624"/>
      <c r="OTC38" s="624"/>
      <c r="OTD38" s="624"/>
      <c r="OTE38" s="624"/>
      <c r="OTF38" s="624"/>
      <c r="OTG38" s="624"/>
      <c r="OTH38" s="624"/>
      <c r="OTI38" s="624"/>
      <c r="OTJ38" s="624"/>
      <c r="OTK38" s="624"/>
      <c r="OTL38" s="624"/>
      <c r="OTM38" s="624"/>
      <c r="OTN38" s="624"/>
      <c r="OTO38" s="624"/>
      <c r="OTP38" s="624"/>
      <c r="OTQ38" s="624"/>
      <c r="OTR38" s="624"/>
      <c r="OTS38" s="624"/>
      <c r="OTT38" s="624"/>
      <c r="OTU38" s="624"/>
      <c r="OTV38" s="624"/>
      <c r="OTW38" s="624"/>
      <c r="OTX38" s="624"/>
      <c r="OTY38" s="624"/>
      <c r="OTZ38" s="624"/>
      <c r="OUA38" s="624"/>
      <c r="OUB38" s="624"/>
      <c r="OUC38" s="624"/>
      <c r="OUD38" s="624"/>
      <c r="OUE38" s="624"/>
      <c r="OUF38" s="624"/>
      <c r="OUG38" s="624"/>
      <c r="OUH38" s="624"/>
      <c r="OUI38" s="624"/>
      <c r="OUJ38" s="624"/>
      <c r="OUK38" s="624"/>
      <c r="OUL38" s="624"/>
      <c r="OUM38" s="624"/>
      <c r="OUN38" s="624"/>
      <c r="OUO38" s="624"/>
      <c r="OUP38" s="624"/>
      <c r="OUQ38" s="624"/>
      <c r="OUR38" s="624"/>
      <c r="OUS38" s="624"/>
      <c r="OUT38" s="624"/>
      <c r="OUU38" s="624"/>
      <c r="OUV38" s="624"/>
      <c r="OUW38" s="624"/>
      <c r="OUX38" s="624"/>
      <c r="OUY38" s="624"/>
      <c r="OUZ38" s="624"/>
      <c r="OVA38" s="624"/>
      <c r="OVB38" s="624"/>
      <c r="OVC38" s="624"/>
      <c r="OVD38" s="624"/>
      <c r="OVE38" s="624"/>
      <c r="OVF38" s="624"/>
      <c r="OVG38" s="624"/>
      <c r="OVH38" s="624"/>
      <c r="OVI38" s="624"/>
      <c r="OVJ38" s="624"/>
      <c r="OVK38" s="624"/>
      <c r="OVL38" s="624"/>
      <c r="OVM38" s="624"/>
      <c r="OVN38" s="624"/>
      <c r="OVO38" s="624"/>
      <c r="OVP38" s="624"/>
      <c r="OVQ38" s="624"/>
      <c r="OVR38" s="624"/>
      <c r="OVS38" s="624"/>
      <c r="OVT38" s="624"/>
      <c r="OVU38" s="624"/>
      <c r="OVV38" s="624"/>
      <c r="OVW38" s="624"/>
      <c r="OVX38" s="624"/>
      <c r="OVY38" s="624"/>
      <c r="OVZ38" s="624"/>
      <c r="OWA38" s="624"/>
      <c r="OWB38" s="624"/>
      <c r="OWC38" s="624"/>
      <c r="OWD38" s="624"/>
      <c r="OWE38" s="624"/>
      <c r="OWF38" s="624"/>
      <c r="OWG38" s="624"/>
      <c r="OWH38" s="624"/>
      <c r="OWI38" s="624"/>
      <c r="OWJ38" s="624"/>
      <c r="OWK38" s="624"/>
      <c r="OWL38" s="624"/>
      <c r="OWM38" s="624"/>
      <c r="OWN38" s="624"/>
      <c r="OWO38" s="624"/>
      <c r="OWP38" s="624"/>
      <c r="OWQ38" s="624"/>
      <c r="OWR38" s="624"/>
      <c r="OWS38" s="624"/>
      <c r="OWT38" s="624"/>
      <c r="OWU38" s="624"/>
      <c r="OWV38" s="624"/>
      <c r="OWW38" s="624"/>
      <c r="OWX38" s="624"/>
      <c r="OWY38" s="624"/>
      <c r="OWZ38" s="624"/>
      <c r="OXA38" s="624"/>
      <c r="OXB38" s="624"/>
      <c r="OXC38" s="624"/>
      <c r="OXD38" s="624"/>
      <c r="OXE38" s="624"/>
      <c r="OXF38" s="624"/>
      <c r="OXG38" s="624"/>
      <c r="OXH38" s="624"/>
      <c r="OXI38" s="624"/>
      <c r="OXJ38" s="624"/>
      <c r="OXK38" s="624"/>
      <c r="OXL38" s="624"/>
      <c r="OXM38" s="624"/>
      <c r="OXN38" s="624"/>
      <c r="OXO38" s="624"/>
      <c r="OXP38" s="624"/>
      <c r="OXQ38" s="624"/>
      <c r="OXR38" s="624"/>
      <c r="OXS38" s="624"/>
      <c r="OXT38" s="624"/>
      <c r="OXU38" s="624"/>
      <c r="OXV38" s="624"/>
      <c r="OXW38" s="624"/>
      <c r="OXX38" s="624"/>
      <c r="OXY38" s="624"/>
      <c r="OXZ38" s="624"/>
      <c r="OYA38" s="624"/>
      <c r="OYB38" s="624"/>
      <c r="OYC38" s="624"/>
      <c r="OYD38" s="624"/>
      <c r="OYE38" s="624"/>
      <c r="OYF38" s="624"/>
      <c r="OYG38" s="624"/>
      <c r="OYH38" s="624"/>
      <c r="OYI38" s="624"/>
      <c r="OYJ38" s="624"/>
      <c r="OYK38" s="624"/>
      <c r="OYL38" s="624"/>
      <c r="OYM38" s="624"/>
      <c r="OYN38" s="624"/>
      <c r="OYO38" s="624"/>
      <c r="OYP38" s="624"/>
      <c r="OYQ38" s="624"/>
      <c r="OYR38" s="624"/>
      <c r="OYS38" s="624"/>
      <c r="OYT38" s="624"/>
      <c r="OYU38" s="624"/>
      <c r="OYV38" s="624"/>
      <c r="OYW38" s="624"/>
      <c r="OYX38" s="624"/>
      <c r="OYY38" s="624"/>
      <c r="OYZ38" s="624"/>
      <c r="OZA38" s="624"/>
      <c r="OZB38" s="624"/>
      <c r="OZC38" s="624"/>
      <c r="OZD38" s="624"/>
      <c r="OZE38" s="624"/>
      <c r="OZF38" s="624"/>
      <c r="OZG38" s="624"/>
      <c r="OZH38" s="624"/>
      <c r="OZI38" s="624"/>
      <c r="OZJ38" s="624"/>
      <c r="OZK38" s="624"/>
      <c r="OZL38" s="624"/>
      <c r="OZM38" s="624"/>
      <c r="OZN38" s="624"/>
      <c r="OZO38" s="624"/>
      <c r="OZP38" s="624"/>
      <c r="OZQ38" s="624"/>
      <c r="OZR38" s="624"/>
      <c r="OZS38" s="624"/>
      <c r="OZT38" s="624"/>
      <c r="OZU38" s="624"/>
      <c r="OZV38" s="624"/>
      <c r="OZW38" s="624"/>
      <c r="OZX38" s="624"/>
      <c r="OZY38" s="624"/>
      <c r="OZZ38" s="624"/>
      <c r="PAA38" s="624"/>
      <c r="PAB38" s="624"/>
      <c r="PAC38" s="624"/>
      <c r="PAD38" s="624"/>
      <c r="PAE38" s="624"/>
      <c r="PAF38" s="624"/>
      <c r="PAG38" s="624"/>
      <c r="PAH38" s="624"/>
      <c r="PAI38" s="624"/>
      <c r="PAJ38" s="624"/>
      <c r="PAK38" s="624"/>
      <c r="PAL38" s="624"/>
      <c r="PAM38" s="624"/>
      <c r="PAN38" s="624"/>
      <c r="PAO38" s="624"/>
      <c r="PAP38" s="624"/>
      <c r="PAQ38" s="624"/>
      <c r="PAR38" s="624"/>
      <c r="PAS38" s="624"/>
      <c r="PAT38" s="624"/>
      <c r="PAU38" s="624"/>
      <c r="PAV38" s="624"/>
      <c r="PAW38" s="624"/>
      <c r="PAX38" s="624"/>
      <c r="PAY38" s="624"/>
      <c r="PAZ38" s="624"/>
      <c r="PBA38" s="624"/>
      <c r="PBB38" s="624"/>
      <c r="PBC38" s="624"/>
      <c r="PBD38" s="624"/>
      <c r="PBE38" s="624"/>
      <c r="PBF38" s="624"/>
      <c r="PBG38" s="624"/>
      <c r="PBH38" s="624"/>
      <c r="PBI38" s="624"/>
      <c r="PBJ38" s="624"/>
      <c r="PBK38" s="624"/>
      <c r="PBL38" s="624"/>
      <c r="PBM38" s="624"/>
      <c r="PBN38" s="624"/>
      <c r="PBO38" s="624"/>
      <c r="PBP38" s="624"/>
      <c r="PBQ38" s="624"/>
      <c r="PBR38" s="624"/>
      <c r="PBS38" s="624"/>
      <c r="PBT38" s="624"/>
      <c r="PBU38" s="624"/>
      <c r="PBV38" s="624"/>
      <c r="PBW38" s="624"/>
      <c r="PBX38" s="624"/>
      <c r="PBY38" s="624"/>
      <c r="PBZ38" s="624"/>
      <c r="PCA38" s="624"/>
      <c r="PCB38" s="624"/>
      <c r="PCC38" s="624"/>
      <c r="PCD38" s="624"/>
      <c r="PCE38" s="624"/>
      <c r="PCF38" s="624"/>
      <c r="PCG38" s="624"/>
      <c r="PCH38" s="624"/>
      <c r="PCI38" s="624"/>
      <c r="PCJ38" s="624"/>
      <c r="PCK38" s="624"/>
      <c r="PCL38" s="624"/>
      <c r="PCM38" s="624"/>
      <c r="PCN38" s="624"/>
      <c r="PCO38" s="624"/>
      <c r="PCP38" s="624"/>
      <c r="PCQ38" s="624"/>
      <c r="PCR38" s="624"/>
      <c r="PCS38" s="624"/>
      <c r="PCT38" s="624"/>
      <c r="PCU38" s="624"/>
      <c r="PCV38" s="624"/>
      <c r="PCW38" s="624"/>
      <c r="PCX38" s="624"/>
      <c r="PCY38" s="624"/>
      <c r="PCZ38" s="624"/>
      <c r="PDA38" s="624"/>
      <c r="PDB38" s="624"/>
      <c r="PDC38" s="624"/>
      <c r="PDD38" s="624"/>
      <c r="PDE38" s="624"/>
      <c r="PDF38" s="624"/>
      <c r="PDG38" s="624"/>
      <c r="PDH38" s="624"/>
      <c r="PDI38" s="624"/>
      <c r="PDJ38" s="624"/>
      <c r="PDK38" s="624"/>
      <c r="PDL38" s="624"/>
      <c r="PDM38" s="624"/>
      <c r="PDN38" s="624"/>
      <c r="PDO38" s="624"/>
      <c r="PDP38" s="624"/>
      <c r="PDQ38" s="624"/>
      <c r="PDR38" s="624"/>
      <c r="PDS38" s="624"/>
      <c r="PDT38" s="624"/>
      <c r="PDU38" s="624"/>
      <c r="PDV38" s="624"/>
      <c r="PDW38" s="624"/>
      <c r="PDX38" s="624"/>
      <c r="PDY38" s="624"/>
      <c r="PDZ38" s="624"/>
      <c r="PEA38" s="624"/>
      <c r="PEB38" s="624"/>
      <c r="PEC38" s="624"/>
      <c r="PED38" s="624"/>
      <c r="PEE38" s="624"/>
      <c r="PEF38" s="624"/>
      <c r="PEG38" s="624"/>
      <c r="PEH38" s="624"/>
      <c r="PEI38" s="624"/>
      <c r="PEJ38" s="624"/>
      <c r="PEK38" s="624"/>
      <c r="PEL38" s="624"/>
      <c r="PEM38" s="624"/>
      <c r="PEN38" s="624"/>
      <c r="PEO38" s="624"/>
      <c r="PEP38" s="624"/>
      <c r="PEQ38" s="624"/>
      <c r="PER38" s="624"/>
      <c r="PES38" s="624"/>
      <c r="PET38" s="624"/>
      <c r="PEU38" s="624"/>
      <c r="PEV38" s="624"/>
      <c r="PEW38" s="624"/>
      <c r="PEX38" s="624"/>
      <c r="PEY38" s="624"/>
      <c r="PEZ38" s="624"/>
      <c r="PFA38" s="624"/>
      <c r="PFB38" s="624"/>
      <c r="PFC38" s="624"/>
      <c r="PFD38" s="624"/>
      <c r="PFE38" s="624"/>
      <c r="PFF38" s="624"/>
      <c r="PFG38" s="624"/>
      <c r="PFH38" s="624"/>
      <c r="PFI38" s="624"/>
      <c r="PFJ38" s="624"/>
      <c r="PFK38" s="624"/>
      <c r="PFL38" s="624"/>
      <c r="PFM38" s="624"/>
      <c r="PFN38" s="624"/>
      <c r="PFO38" s="624"/>
      <c r="PFP38" s="624"/>
      <c r="PFQ38" s="624"/>
      <c r="PFR38" s="624"/>
      <c r="PFS38" s="624"/>
      <c r="PFT38" s="624"/>
      <c r="PFU38" s="624"/>
      <c r="PFV38" s="624"/>
      <c r="PFW38" s="624"/>
      <c r="PFX38" s="624"/>
      <c r="PFY38" s="624"/>
      <c r="PFZ38" s="624"/>
      <c r="PGA38" s="624"/>
      <c r="PGB38" s="624"/>
      <c r="PGC38" s="624"/>
      <c r="PGD38" s="624"/>
      <c r="PGE38" s="624"/>
      <c r="PGF38" s="624"/>
      <c r="PGG38" s="624"/>
      <c r="PGH38" s="624"/>
      <c r="PGI38" s="624"/>
      <c r="PGJ38" s="624"/>
      <c r="PGK38" s="624"/>
      <c r="PGL38" s="624"/>
      <c r="PGM38" s="624"/>
      <c r="PGN38" s="624"/>
      <c r="PGO38" s="624"/>
      <c r="PGP38" s="624"/>
      <c r="PGQ38" s="624"/>
      <c r="PGR38" s="624"/>
      <c r="PGS38" s="624"/>
      <c r="PGT38" s="624"/>
      <c r="PGU38" s="624"/>
      <c r="PGV38" s="624"/>
      <c r="PGW38" s="624"/>
      <c r="PGX38" s="624"/>
      <c r="PGY38" s="624"/>
      <c r="PGZ38" s="624"/>
      <c r="PHA38" s="624"/>
      <c r="PHB38" s="624"/>
      <c r="PHC38" s="624"/>
      <c r="PHD38" s="624"/>
      <c r="PHE38" s="624"/>
      <c r="PHF38" s="624"/>
      <c r="PHG38" s="624"/>
      <c r="PHH38" s="624"/>
      <c r="PHI38" s="624"/>
      <c r="PHJ38" s="624"/>
      <c r="PHK38" s="624"/>
      <c r="PHL38" s="624"/>
      <c r="PHM38" s="624"/>
      <c r="PHN38" s="624"/>
      <c r="PHO38" s="624"/>
      <c r="PHP38" s="624"/>
      <c r="PHQ38" s="624"/>
      <c r="PHR38" s="624"/>
      <c r="PHS38" s="624"/>
      <c r="PHT38" s="624"/>
      <c r="PHU38" s="624"/>
      <c r="PHV38" s="624"/>
      <c r="PHW38" s="624"/>
      <c r="PHX38" s="624"/>
      <c r="PHY38" s="624"/>
      <c r="PHZ38" s="624"/>
      <c r="PIA38" s="624"/>
      <c r="PIB38" s="624"/>
      <c r="PIC38" s="624"/>
      <c r="PID38" s="624"/>
      <c r="PIE38" s="624"/>
      <c r="PIF38" s="624"/>
      <c r="PIG38" s="624"/>
      <c r="PIH38" s="624"/>
      <c r="PII38" s="624"/>
      <c r="PIJ38" s="624"/>
      <c r="PIK38" s="624"/>
      <c r="PIL38" s="624"/>
      <c r="PIM38" s="624"/>
      <c r="PIN38" s="624"/>
      <c r="PIO38" s="624"/>
      <c r="PIP38" s="624"/>
      <c r="PIQ38" s="624"/>
      <c r="PIR38" s="624"/>
      <c r="PIS38" s="624"/>
      <c r="PIT38" s="624"/>
      <c r="PIU38" s="624"/>
      <c r="PIV38" s="624"/>
      <c r="PIW38" s="624"/>
      <c r="PIX38" s="624"/>
      <c r="PIY38" s="624"/>
      <c r="PIZ38" s="624"/>
      <c r="PJA38" s="624"/>
      <c r="PJB38" s="624"/>
      <c r="PJC38" s="624"/>
      <c r="PJD38" s="624"/>
      <c r="PJE38" s="624"/>
      <c r="PJF38" s="624"/>
      <c r="PJG38" s="624"/>
      <c r="PJH38" s="624"/>
      <c r="PJI38" s="624"/>
      <c r="PJJ38" s="624"/>
      <c r="PJK38" s="624"/>
      <c r="PJL38" s="624"/>
      <c r="PJM38" s="624"/>
      <c r="PJN38" s="624"/>
      <c r="PJO38" s="624"/>
      <c r="PJP38" s="624"/>
      <c r="PJQ38" s="624"/>
      <c r="PJR38" s="624"/>
      <c r="PJS38" s="624"/>
      <c r="PJT38" s="624"/>
      <c r="PJU38" s="624"/>
      <c r="PJV38" s="624"/>
      <c r="PJW38" s="624"/>
      <c r="PJX38" s="624"/>
      <c r="PJY38" s="624"/>
      <c r="PJZ38" s="624"/>
      <c r="PKA38" s="624"/>
      <c r="PKB38" s="624"/>
      <c r="PKC38" s="624"/>
      <c r="PKD38" s="624"/>
      <c r="PKE38" s="624"/>
      <c r="PKF38" s="624"/>
      <c r="PKG38" s="624"/>
      <c r="PKH38" s="624"/>
      <c r="PKI38" s="624"/>
      <c r="PKJ38" s="624"/>
      <c r="PKK38" s="624"/>
      <c r="PKL38" s="624"/>
      <c r="PKM38" s="624"/>
      <c r="PKN38" s="624"/>
      <c r="PKO38" s="624"/>
      <c r="PKP38" s="624"/>
      <c r="PKQ38" s="624"/>
      <c r="PKR38" s="624"/>
      <c r="PKS38" s="624"/>
      <c r="PKT38" s="624"/>
      <c r="PKU38" s="624"/>
      <c r="PKV38" s="624"/>
      <c r="PKW38" s="624"/>
      <c r="PKX38" s="624"/>
      <c r="PKY38" s="624"/>
      <c r="PKZ38" s="624"/>
      <c r="PLA38" s="624"/>
      <c r="PLB38" s="624"/>
      <c r="PLC38" s="624"/>
      <c r="PLD38" s="624"/>
      <c r="PLE38" s="624"/>
      <c r="PLF38" s="624"/>
      <c r="PLG38" s="624"/>
      <c r="PLH38" s="624"/>
      <c r="PLI38" s="624"/>
      <c r="PLJ38" s="624"/>
      <c r="PLK38" s="624"/>
      <c r="PLL38" s="624"/>
      <c r="PLM38" s="624"/>
      <c r="PLN38" s="624"/>
      <c r="PLO38" s="624"/>
      <c r="PLP38" s="624"/>
      <c r="PLQ38" s="624"/>
      <c r="PLR38" s="624"/>
      <c r="PLS38" s="624"/>
      <c r="PLT38" s="624"/>
      <c r="PLU38" s="624"/>
      <c r="PLV38" s="624"/>
      <c r="PLW38" s="624"/>
      <c r="PLX38" s="624"/>
      <c r="PLY38" s="624"/>
      <c r="PLZ38" s="624"/>
      <c r="PMA38" s="624"/>
      <c r="PMB38" s="624"/>
      <c r="PMC38" s="624"/>
      <c r="PMD38" s="624"/>
      <c r="PME38" s="624"/>
      <c r="PMF38" s="624"/>
      <c r="PMG38" s="624"/>
      <c r="PMH38" s="624"/>
      <c r="PMI38" s="624"/>
      <c r="PMJ38" s="624"/>
      <c r="PMK38" s="624"/>
      <c r="PML38" s="624"/>
      <c r="PMM38" s="624"/>
      <c r="PMN38" s="624"/>
      <c r="PMO38" s="624"/>
      <c r="PMP38" s="624"/>
      <c r="PMQ38" s="624"/>
      <c r="PMR38" s="624"/>
      <c r="PMS38" s="624"/>
      <c r="PMT38" s="624"/>
      <c r="PMU38" s="624"/>
      <c r="PMV38" s="624"/>
      <c r="PMW38" s="624"/>
      <c r="PMX38" s="624"/>
      <c r="PMY38" s="624"/>
      <c r="PMZ38" s="624"/>
      <c r="PNA38" s="624"/>
      <c r="PNB38" s="624"/>
      <c r="PNC38" s="624"/>
      <c r="PND38" s="624"/>
      <c r="PNE38" s="624"/>
      <c r="PNF38" s="624"/>
      <c r="PNG38" s="624"/>
      <c r="PNH38" s="624"/>
      <c r="PNI38" s="624"/>
      <c r="PNJ38" s="624"/>
      <c r="PNK38" s="624"/>
      <c r="PNL38" s="624"/>
      <c r="PNM38" s="624"/>
      <c r="PNN38" s="624"/>
      <c r="PNO38" s="624"/>
      <c r="PNP38" s="624"/>
      <c r="PNQ38" s="624"/>
      <c r="PNR38" s="624"/>
      <c r="PNS38" s="624"/>
      <c r="PNT38" s="624"/>
      <c r="PNU38" s="624"/>
      <c r="PNV38" s="624"/>
      <c r="PNW38" s="624"/>
      <c r="PNX38" s="624"/>
      <c r="PNY38" s="624"/>
      <c r="PNZ38" s="624"/>
      <c r="POA38" s="624"/>
      <c r="POB38" s="624"/>
      <c r="POC38" s="624"/>
      <c r="POD38" s="624"/>
      <c r="POE38" s="624"/>
      <c r="POF38" s="624"/>
      <c r="POG38" s="624"/>
      <c r="POH38" s="624"/>
      <c r="POI38" s="624"/>
      <c r="POJ38" s="624"/>
      <c r="POK38" s="624"/>
      <c r="POL38" s="624"/>
      <c r="POM38" s="624"/>
      <c r="PON38" s="624"/>
      <c r="POO38" s="624"/>
      <c r="POP38" s="624"/>
      <c r="POQ38" s="624"/>
      <c r="POR38" s="624"/>
      <c r="POS38" s="624"/>
      <c r="POT38" s="624"/>
      <c r="POU38" s="624"/>
      <c r="POV38" s="624"/>
      <c r="POW38" s="624"/>
      <c r="POX38" s="624"/>
      <c r="POY38" s="624"/>
      <c r="POZ38" s="624"/>
      <c r="PPA38" s="624"/>
      <c r="PPB38" s="624"/>
      <c r="PPC38" s="624"/>
      <c r="PPD38" s="624"/>
      <c r="PPE38" s="624"/>
      <c r="PPF38" s="624"/>
      <c r="PPG38" s="624"/>
      <c r="PPH38" s="624"/>
      <c r="PPI38" s="624"/>
      <c r="PPJ38" s="624"/>
      <c r="PPK38" s="624"/>
      <c r="PPL38" s="624"/>
      <c r="PPM38" s="624"/>
      <c r="PPN38" s="624"/>
      <c r="PPO38" s="624"/>
      <c r="PPP38" s="624"/>
      <c r="PPQ38" s="624"/>
      <c r="PPR38" s="624"/>
      <c r="PPS38" s="624"/>
      <c r="PPT38" s="624"/>
      <c r="PPU38" s="624"/>
      <c r="PPV38" s="624"/>
      <c r="PPW38" s="624"/>
      <c r="PPX38" s="624"/>
      <c r="PPY38" s="624"/>
      <c r="PPZ38" s="624"/>
      <c r="PQA38" s="624"/>
      <c r="PQB38" s="624"/>
      <c r="PQC38" s="624"/>
      <c r="PQD38" s="624"/>
      <c r="PQE38" s="624"/>
      <c r="PQF38" s="624"/>
      <c r="PQG38" s="624"/>
      <c r="PQH38" s="624"/>
      <c r="PQI38" s="624"/>
      <c r="PQJ38" s="624"/>
      <c r="PQK38" s="624"/>
      <c r="PQL38" s="624"/>
      <c r="PQM38" s="624"/>
      <c r="PQN38" s="624"/>
      <c r="PQO38" s="624"/>
      <c r="PQP38" s="624"/>
      <c r="PQQ38" s="624"/>
      <c r="PQR38" s="624"/>
      <c r="PQS38" s="624"/>
      <c r="PQT38" s="624"/>
      <c r="PQU38" s="624"/>
      <c r="PQV38" s="624"/>
      <c r="PQW38" s="624"/>
      <c r="PQX38" s="624"/>
      <c r="PQY38" s="624"/>
      <c r="PQZ38" s="624"/>
      <c r="PRA38" s="624"/>
      <c r="PRB38" s="624"/>
      <c r="PRC38" s="624"/>
      <c r="PRD38" s="624"/>
      <c r="PRE38" s="624"/>
      <c r="PRF38" s="624"/>
      <c r="PRG38" s="624"/>
      <c r="PRH38" s="624"/>
      <c r="PRI38" s="624"/>
      <c r="PRJ38" s="624"/>
      <c r="PRK38" s="624"/>
      <c r="PRL38" s="624"/>
      <c r="PRM38" s="624"/>
      <c r="PRN38" s="624"/>
      <c r="PRO38" s="624"/>
      <c r="PRP38" s="624"/>
      <c r="PRQ38" s="624"/>
      <c r="PRR38" s="624"/>
      <c r="PRS38" s="624"/>
      <c r="PRT38" s="624"/>
      <c r="PRU38" s="624"/>
      <c r="PRV38" s="624"/>
      <c r="PRW38" s="624"/>
      <c r="PRX38" s="624"/>
      <c r="PRY38" s="624"/>
      <c r="PRZ38" s="624"/>
      <c r="PSA38" s="624"/>
      <c r="PSB38" s="624"/>
      <c r="PSC38" s="624"/>
      <c r="PSD38" s="624"/>
      <c r="PSE38" s="624"/>
      <c r="PSF38" s="624"/>
      <c r="PSG38" s="624"/>
      <c r="PSH38" s="624"/>
      <c r="PSI38" s="624"/>
      <c r="PSJ38" s="624"/>
      <c r="PSK38" s="624"/>
      <c r="PSL38" s="624"/>
      <c r="PSM38" s="624"/>
      <c r="PSN38" s="624"/>
      <c r="PSO38" s="624"/>
      <c r="PSP38" s="624"/>
      <c r="PSQ38" s="624"/>
      <c r="PSR38" s="624"/>
      <c r="PSS38" s="624"/>
      <c r="PST38" s="624"/>
      <c r="PSU38" s="624"/>
      <c r="PSV38" s="624"/>
      <c r="PSW38" s="624"/>
      <c r="PSX38" s="624"/>
      <c r="PSY38" s="624"/>
      <c r="PSZ38" s="624"/>
      <c r="PTA38" s="624"/>
      <c r="PTB38" s="624"/>
      <c r="PTC38" s="624"/>
      <c r="PTD38" s="624"/>
      <c r="PTE38" s="624"/>
      <c r="PTF38" s="624"/>
      <c r="PTG38" s="624"/>
      <c r="PTH38" s="624"/>
      <c r="PTI38" s="624"/>
      <c r="PTJ38" s="624"/>
      <c r="PTK38" s="624"/>
      <c r="PTL38" s="624"/>
      <c r="PTM38" s="624"/>
      <c r="PTN38" s="624"/>
      <c r="PTO38" s="624"/>
      <c r="PTP38" s="624"/>
      <c r="PTQ38" s="624"/>
      <c r="PTR38" s="624"/>
      <c r="PTS38" s="624"/>
      <c r="PTT38" s="624"/>
      <c r="PTU38" s="624"/>
      <c r="PTV38" s="624"/>
      <c r="PTW38" s="624"/>
      <c r="PTX38" s="624"/>
      <c r="PTY38" s="624"/>
      <c r="PTZ38" s="624"/>
      <c r="PUA38" s="624"/>
      <c r="PUB38" s="624"/>
      <c r="PUC38" s="624"/>
      <c r="PUD38" s="624"/>
      <c r="PUE38" s="624"/>
      <c r="PUF38" s="624"/>
      <c r="PUG38" s="624"/>
      <c r="PUH38" s="624"/>
      <c r="PUI38" s="624"/>
      <c r="PUJ38" s="624"/>
      <c r="PUK38" s="624"/>
      <c r="PUL38" s="624"/>
      <c r="PUM38" s="624"/>
      <c r="PUN38" s="624"/>
      <c r="PUO38" s="624"/>
      <c r="PUP38" s="624"/>
      <c r="PUQ38" s="624"/>
      <c r="PUR38" s="624"/>
      <c r="PUS38" s="624"/>
      <c r="PUT38" s="624"/>
      <c r="PUU38" s="624"/>
      <c r="PUV38" s="624"/>
      <c r="PUW38" s="624"/>
      <c r="PUX38" s="624"/>
      <c r="PUY38" s="624"/>
      <c r="PUZ38" s="624"/>
      <c r="PVA38" s="624"/>
      <c r="PVB38" s="624"/>
      <c r="PVC38" s="624"/>
      <c r="PVD38" s="624"/>
      <c r="PVE38" s="624"/>
      <c r="PVF38" s="624"/>
      <c r="PVG38" s="624"/>
      <c r="PVH38" s="624"/>
      <c r="PVI38" s="624"/>
      <c r="PVJ38" s="624"/>
      <c r="PVK38" s="624"/>
      <c r="PVL38" s="624"/>
      <c r="PVM38" s="624"/>
      <c r="PVN38" s="624"/>
      <c r="PVO38" s="624"/>
      <c r="PVP38" s="624"/>
      <c r="PVQ38" s="624"/>
      <c r="PVR38" s="624"/>
      <c r="PVS38" s="624"/>
      <c r="PVT38" s="624"/>
      <c r="PVU38" s="624"/>
      <c r="PVV38" s="624"/>
      <c r="PVW38" s="624"/>
      <c r="PVX38" s="624"/>
      <c r="PVY38" s="624"/>
      <c r="PVZ38" s="624"/>
      <c r="PWA38" s="624"/>
      <c r="PWB38" s="624"/>
      <c r="PWC38" s="624"/>
      <c r="PWD38" s="624"/>
      <c r="PWE38" s="624"/>
      <c r="PWF38" s="624"/>
      <c r="PWG38" s="624"/>
      <c r="PWH38" s="624"/>
      <c r="PWI38" s="624"/>
      <c r="PWJ38" s="624"/>
      <c r="PWK38" s="624"/>
      <c r="PWL38" s="624"/>
      <c r="PWM38" s="624"/>
      <c r="PWN38" s="624"/>
      <c r="PWO38" s="624"/>
      <c r="PWP38" s="624"/>
      <c r="PWQ38" s="624"/>
      <c r="PWR38" s="624"/>
      <c r="PWS38" s="624"/>
      <c r="PWT38" s="624"/>
      <c r="PWU38" s="624"/>
      <c r="PWV38" s="624"/>
      <c r="PWW38" s="624"/>
      <c r="PWX38" s="624"/>
      <c r="PWY38" s="624"/>
      <c r="PWZ38" s="624"/>
      <c r="PXA38" s="624"/>
      <c r="PXB38" s="624"/>
      <c r="PXC38" s="624"/>
      <c r="PXD38" s="624"/>
      <c r="PXE38" s="624"/>
      <c r="PXF38" s="624"/>
      <c r="PXG38" s="624"/>
      <c r="PXH38" s="624"/>
      <c r="PXI38" s="624"/>
      <c r="PXJ38" s="624"/>
      <c r="PXK38" s="624"/>
      <c r="PXL38" s="624"/>
      <c r="PXM38" s="624"/>
      <c r="PXN38" s="624"/>
      <c r="PXO38" s="624"/>
      <c r="PXP38" s="624"/>
      <c r="PXQ38" s="624"/>
      <c r="PXR38" s="624"/>
      <c r="PXS38" s="624"/>
      <c r="PXT38" s="624"/>
      <c r="PXU38" s="624"/>
      <c r="PXV38" s="624"/>
      <c r="PXW38" s="624"/>
      <c r="PXX38" s="624"/>
      <c r="PXY38" s="624"/>
      <c r="PXZ38" s="624"/>
      <c r="PYA38" s="624"/>
      <c r="PYB38" s="624"/>
      <c r="PYC38" s="624"/>
      <c r="PYD38" s="624"/>
      <c r="PYE38" s="624"/>
      <c r="PYF38" s="624"/>
      <c r="PYG38" s="624"/>
      <c r="PYH38" s="624"/>
      <c r="PYI38" s="624"/>
      <c r="PYJ38" s="624"/>
      <c r="PYK38" s="624"/>
      <c r="PYL38" s="624"/>
      <c r="PYM38" s="624"/>
      <c r="PYN38" s="624"/>
      <c r="PYO38" s="624"/>
      <c r="PYP38" s="624"/>
      <c r="PYQ38" s="624"/>
      <c r="PYR38" s="624"/>
      <c r="PYS38" s="624"/>
      <c r="PYT38" s="624"/>
      <c r="PYU38" s="624"/>
      <c r="PYV38" s="624"/>
      <c r="PYW38" s="624"/>
      <c r="PYX38" s="624"/>
      <c r="PYY38" s="624"/>
      <c r="PYZ38" s="624"/>
      <c r="PZA38" s="624"/>
      <c r="PZB38" s="624"/>
      <c r="PZC38" s="624"/>
      <c r="PZD38" s="624"/>
      <c r="PZE38" s="624"/>
      <c r="PZF38" s="624"/>
      <c r="PZG38" s="624"/>
      <c r="PZH38" s="624"/>
      <c r="PZI38" s="624"/>
      <c r="PZJ38" s="624"/>
      <c r="PZK38" s="624"/>
      <c r="PZL38" s="624"/>
      <c r="PZM38" s="624"/>
      <c r="PZN38" s="624"/>
      <c r="PZO38" s="624"/>
      <c r="PZP38" s="624"/>
      <c r="PZQ38" s="624"/>
      <c r="PZR38" s="624"/>
      <c r="PZS38" s="624"/>
      <c r="PZT38" s="624"/>
      <c r="PZU38" s="624"/>
      <c r="PZV38" s="624"/>
      <c r="PZW38" s="624"/>
      <c r="PZX38" s="624"/>
      <c r="PZY38" s="624"/>
      <c r="PZZ38" s="624"/>
      <c r="QAA38" s="624"/>
      <c r="QAB38" s="624"/>
      <c r="QAC38" s="624"/>
      <c r="QAD38" s="624"/>
      <c r="QAE38" s="624"/>
      <c r="QAF38" s="624"/>
      <c r="QAG38" s="624"/>
      <c r="QAH38" s="624"/>
      <c r="QAI38" s="624"/>
      <c r="QAJ38" s="624"/>
      <c r="QAK38" s="624"/>
      <c r="QAL38" s="624"/>
      <c r="QAM38" s="624"/>
      <c r="QAN38" s="624"/>
      <c r="QAO38" s="624"/>
      <c r="QAP38" s="624"/>
      <c r="QAQ38" s="624"/>
      <c r="QAR38" s="624"/>
      <c r="QAS38" s="624"/>
      <c r="QAT38" s="624"/>
      <c r="QAU38" s="624"/>
      <c r="QAV38" s="624"/>
      <c r="QAW38" s="624"/>
      <c r="QAX38" s="624"/>
      <c r="QAY38" s="624"/>
      <c r="QAZ38" s="624"/>
      <c r="QBA38" s="624"/>
      <c r="QBB38" s="624"/>
      <c r="QBC38" s="624"/>
      <c r="QBD38" s="624"/>
      <c r="QBE38" s="624"/>
      <c r="QBF38" s="624"/>
      <c r="QBG38" s="624"/>
      <c r="QBH38" s="624"/>
      <c r="QBI38" s="624"/>
      <c r="QBJ38" s="624"/>
      <c r="QBK38" s="624"/>
      <c r="QBL38" s="624"/>
      <c r="QBM38" s="624"/>
      <c r="QBN38" s="624"/>
      <c r="QBO38" s="624"/>
      <c r="QBP38" s="624"/>
      <c r="QBQ38" s="624"/>
      <c r="QBR38" s="624"/>
      <c r="QBS38" s="624"/>
      <c r="QBT38" s="624"/>
      <c r="QBU38" s="624"/>
      <c r="QBV38" s="624"/>
      <c r="QBW38" s="624"/>
      <c r="QBX38" s="624"/>
      <c r="QBY38" s="624"/>
      <c r="QBZ38" s="624"/>
      <c r="QCA38" s="624"/>
      <c r="QCB38" s="624"/>
      <c r="QCC38" s="624"/>
      <c r="QCD38" s="624"/>
      <c r="QCE38" s="624"/>
      <c r="QCF38" s="624"/>
      <c r="QCG38" s="624"/>
      <c r="QCH38" s="624"/>
      <c r="QCI38" s="624"/>
      <c r="QCJ38" s="624"/>
      <c r="QCK38" s="624"/>
      <c r="QCL38" s="624"/>
      <c r="QCM38" s="624"/>
      <c r="QCN38" s="624"/>
      <c r="QCO38" s="624"/>
      <c r="QCP38" s="624"/>
      <c r="QCQ38" s="624"/>
      <c r="QCR38" s="624"/>
      <c r="QCS38" s="624"/>
      <c r="QCT38" s="624"/>
      <c r="QCU38" s="624"/>
      <c r="QCV38" s="624"/>
      <c r="QCW38" s="624"/>
      <c r="QCX38" s="624"/>
      <c r="QCY38" s="624"/>
      <c r="QCZ38" s="624"/>
      <c r="QDA38" s="624"/>
      <c r="QDB38" s="624"/>
      <c r="QDC38" s="624"/>
      <c r="QDD38" s="624"/>
      <c r="QDE38" s="624"/>
      <c r="QDF38" s="624"/>
      <c r="QDG38" s="624"/>
      <c r="QDH38" s="624"/>
      <c r="QDI38" s="624"/>
      <c r="QDJ38" s="624"/>
      <c r="QDK38" s="624"/>
      <c r="QDL38" s="624"/>
      <c r="QDM38" s="624"/>
      <c r="QDN38" s="624"/>
      <c r="QDO38" s="624"/>
      <c r="QDP38" s="624"/>
      <c r="QDQ38" s="624"/>
      <c r="QDR38" s="624"/>
      <c r="QDS38" s="624"/>
      <c r="QDT38" s="624"/>
      <c r="QDU38" s="624"/>
      <c r="QDV38" s="624"/>
      <c r="QDW38" s="624"/>
      <c r="QDX38" s="624"/>
      <c r="QDY38" s="624"/>
      <c r="QDZ38" s="624"/>
      <c r="QEA38" s="624"/>
      <c r="QEB38" s="624"/>
      <c r="QEC38" s="624"/>
      <c r="QED38" s="624"/>
      <c r="QEE38" s="624"/>
      <c r="QEF38" s="624"/>
      <c r="QEG38" s="624"/>
      <c r="QEH38" s="624"/>
      <c r="QEI38" s="624"/>
      <c r="QEJ38" s="624"/>
      <c r="QEK38" s="624"/>
      <c r="QEL38" s="624"/>
      <c r="QEM38" s="624"/>
      <c r="QEN38" s="624"/>
      <c r="QEO38" s="624"/>
      <c r="QEP38" s="624"/>
      <c r="QEQ38" s="624"/>
      <c r="QER38" s="624"/>
      <c r="QES38" s="624"/>
      <c r="QET38" s="624"/>
      <c r="QEU38" s="624"/>
      <c r="QEV38" s="624"/>
      <c r="QEW38" s="624"/>
      <c r="QEX38" s="624"/>
      <c r="QEY38" s="624"/>
      <c r="QEZ38" s="624"/>
      <c r="QFA38" s="624"/>
      <c r="QFB38" s="624"/>
      <c r="QFC38" s="624"/>
      <c r="QFD38" s="624"/>
      <c r="QFE38" s="624"/>
      <c r="QFF38" s="624"/>
      <c r="QFG38" s="624"/>
      <c r="QFH38" s="624"/>
      <c r="QFI38" s="624"/>
      <c r="QFJ38" s="624"/>
      <c r="QFK38" s="624"/>
      <c r="QFL38" s="624"/>
      <c r="QFM38" s="624"/>
      <c r="QFN38" s="624"/>
      <c r="QFO38" s="624"/>
      <c r="QFP38" s="624"/>
      <c r="QFQ38" s="624"/>
      <c r="QFR38" s="624"/>
      <c r="QFS38" s="624"/>
      <c r="QFT38" s="624"/>
      <c r="QFU38" s="624"/>
      <c r="QFV38" s="624"/>
      <c r="QFW38" s="624"/>
      <c r="QFX38" s="624"/>
      <c r="QFY38" s="624"/>
      <c r="QFZ38" s="624"/>
      <c r="QGA38" s="624"/>
      <c r="QGB38" s="624"/>
      <c r="QGC38" s="624"/>
      <c r="QGD38" s="624"/>
      <c r="QGE38" s="624"/>
      <c r="QGF38" s="624"/>
      <c r="QGG38" s="624"/>
      <c r="QGH38" s="624"/>
      <c r="QGI38" s="624"/>
      <c r="QGJ38" s="624"/>
      <c r="QGK38" s="624"/>
      <c r="QGL38" s="624"/>
      <c r="QGM38" s="624"/>
      <c r="QGN38" s="624"/>
      <c r="QGO38" s="624"/>
      <c r="QGP38" s="624"/>
      <c r="QGQ38" s="624"/>
      <c r="QGR38" s="624"/>
      <c r="QGS38" s="624"/>
      <c r="QGT38" s="624"/>
      <c r="QGU38" s="624"/>
      <c r="QGV38" s="624"/>
      <c r="QGW38" s="624"/>
      <c r="QGX38" s="624"/>
      <c r="QGY38" s="624"/>
      <c r="QGZ38" s="624"/>
      <c r="QHA38" s="624"/>
      <c r="QHB38" s="624"/>
      <c r="QHC38" s="624"/>
      <c r="QHD38" s="624"/>
      <c r="QHE38" s="624"/>
      <c r="QHF38" s="624"/>
      <c r="QHG38" s="624"/>
      <c r="QHH38" s="624"/>
      <c r="QHI38" s="624"/>
      <c r="QHJ38" s="624"/>
      <c r="QHK38" s="624"/>
      <c r="QHL38" s="624"/>
      <c r="QHM38" s="624"/>
      <c r="QHN38" s="624"/>
      <c r="QHO38" s="624"/>
      <c r="QHP38" s="624"/>
      <c r="QHQ38" s="624"/>
      <c r="QHR38" s="624"/>
      <c r="QHS38" s="624"/>
      <c r="QHT38" s="624"/>
      <c r="QHU38" s="624"/>
      <c r="QHV38" s="624"/>
      <c r="QHW38" s="624"/>
      <c r="QHX38" s="624"/>
      <c r="QHY38" s="624"/>
      <c r="QHZ38" s="624"/>
      <c r="QIA38" s="624"/>
      <c r="QIB38" s="624"/>
      <c r="QIC38" s="624"/>
      <c r="QID38" s="624"/>
      <c r="QIE38" s="624"/>
      <c r="QIF38" s="624"/>
      <c r="QIG38" s="624"/>
      <c r="QIH38" s="624"/>
      <c r="QII38" s="624"/>
      <c r="QIJ38" s="624"/>
      <c r="QIK38" s="624"/>
      <c r="QIL38" s="624"/>
      <c r="QIM38" s="624"/>
      <c r="QIN38" s="624"/>
      <c r="QIO38" s="624"/>
      <c r="QIP38" s="624"/>
      <c r="QIQ38" s="624"/>
      <c r="QIR38" s="624"/>
      <c r="QIS38" s="624"/>
      <c r="QIT38" s="624"/>
      <c r="QIU38" s="624"/>
      <c r="QIV38" s="624"/>
      <c r="QIW38" s="624"/>
      <c r="QIX38" s="624"/>
      <c r="QIY38" s="624"/>
      <c r="QIZ38" s="624"/>
      <c r="QJA38" s="624"/>
      <c r="QJB38" s="624"/>
      <c r="QJC38" s="624"/>
      <c r="QJD38" s="624"/>
      <c r="QJE38" s="624"/>
      <c r="QJF38" s="624"/>
      <c r="QJG38" s="624"/>
      <c r="QJH38" s="624"/>
      <c r="QJI38" s="624"/>
      <c r="QJJ38" s="624"/>
      <c r="QJK38" s="624"/>
      <c r="QJL38" s="624"/>
      <c r="QJM38" s="624"/>
      <c r="QJN38" s="624"/>
      <c r="QJO38" s="624"/>
      <c r="QJP38" s="624"/>
      <c r="QJQ38" s="624"/>
      <c r="QJR38" s="624"/>
      <c r="QJS38" s="624"/>
      <c r="QJT38" s="624"/>
      <c r="QJU38" s="624"/>
      <c r="QJV38" s="624"/>
      <c r="QJW38" s="624"/>
      <c r="QJX38" s="624"/>
      <c r="QJY38" s="624"/>
      <c r="QJZ38" s="624"/>
      <c r="QKA38" s="624"/>
      <c r="QKB38" s="624"/>
      <c r="QKC38" s="624"/>
      <c r="QKD38" s="624"/>
      <c r="QKE38" s="624"/>
      <c r="QKF38" s="624"/>
      <c r="QKG38" s="624"/>
      <c r="QKH38" s="624"/>
      <c r="QKI38" s="624"/>
      <c r="QKJ38" s="624"/>
      <c r="QKK38" s="624"/>
      <c r="QKL38" s="624"/>
      <c r="QKM38" s="624"/>
      <c r="QKN38" s="624"/>
      <c r="QKO38" s="624"/>
      <c r="QKP38" s="624"/>
      <c r="QKQ38" s="624"/>
      <c r="QKR38" s="624"/>
      <c r="QKS38" s="624"/>
      <c r="QKT38" s="624"/>
      <c r="QKU38" s="624"/>
      <c r="QKV38" s="624"/>
      <c r="QKW38" s="624"/>
      <c r="QKX38" s="624"/>
      <c r="QKY38" s="624"/>
      <c r="QKZ38" s="624"/>
      <c r="QLA38" s="624"/>
      <c r="QLB38" s="624"/>
      <c r="QLC38" s="624"/>
      <c r="QLD38" s="624"/>
      <c r="QLE38" s="624"/>
      <c r="QLF38" s="624"/>
      <c r="QLG38" s="624"/>
      <c r="QLH38" s="624"/>
      <c r="QLI38" s="624"/>
      <c r="QLJ38" s="624"/>
      <c r="QLK38" s="624"/>
      <c r="QLL38" s="624"/>
      <c r="QLM38" s="624"/>
      <c r="QLN38" s="624"/>
      <c r="QLO38" s="624"/>
      <c r="QLP38" s="624"/>
      <c r="QLQ38" s="624"/>
      <c r="QLR38" s="624"/>
      <c r="QLS38" s="624"/>
      <c r="QLT38" s="624"/>
      <c r="QLU38" s="624"/>
      <c r="QLV38" s="624"/>
      <c r="QLW38" s="624"/>
      <c r="QLX38" s="624"/>
      <c r="QLY38" s="624"/>
      <c r="QLZ38" s="624"/>
      <c r="QMA38" s="624"/>
      <c r="QMB38" s="624"/>
      <c r="QMC38" s="624"/>
      <c r="QMD38" s="624"/>
      <c r="QME38" s="624"/>
      <c r="QMF38" s="624"/>
      <c r="QMG38" s="624"/>
      <c r="QMH38" s="624"/>
      <c r="QMI38" s="624"/>
      <c r="QMJ38" s="624"/>
      <c r="QMK38" s="624"/>
      <c r="QML38" s="624"/>
      <c r="QMM38" s="624"/>
      <c r="QMN38" s="624"/>
      <c r="QMO38" s="624"/>
      <c r="QMP38" s="624"/>
      <c r="QMQ38" s="624"/>
      <c r="QMR38" s="624"/>
      <c r="QMS38" s="624"/>
      <c r="QMT38" s="624"/>
      <c r="QMU38" s="624"/>
      <c r="QMV38" s="624"/>
      <c r="QMW38" s="624"/>
      <c r="QMX38" s="624"/>
      <c r="QMY38" s="624"/>
      <c r="QMZ38" s="624"/>
      <c r="QNA38" s="624"/>
      <c r="QNB38" s="624"/>
      <c r="QNC38" s="624"/>
      <c r="QND38" s="624"/>
      <c r="QNE38" s="624"/>
      <c r="QNF38" s="624"/>
      <c r="QNG38" s="624"/>
      <c r="QNH38" s="624"/>
      <c r="QNI38" s="624"/>
      <c r="QNJ38" s="624"/>
      <c r="QNK38" s="624"/>
      <c r="QNL38" s="624"/>
      <c r="QNM38" s="624"/>
      <c r="QNN38" s="624"/>
      <c r="QNO38" s="624"/>
      <c r="QNP38" s="624"/>
      <c r="QNQ38" s="624"/>
      <c r="QNR38" s="624"/>
      <c r="QNS38" s="624"/>
      <c r="QNT38" s="624"/>
      <c r="QNU38" s="624"/>
      <c r="QNV38" s="624"/>
      <c r="QNW38" s="624"/>
      <c r="QNX38" s="624"/>
      <c r="QNY38" s="624"/>
      <c r="QNZ38" s="624"/>
      <c r="QOA38" s="624"/>
      <c r="QOB38" s="624"/>
      <c r="QOC38" s="624"/>
      <c r="QOD38" s="624"/>
      <c r="QOE38" s="624"/>
      <c r="QOF38" s="624"/>
      <c r="QOG38" s="624"/>
      <c r="QOH38" s="624"/>
      <c r="QOI38" s="624"/>
      <c r="QOJ38" s="624"/>
      <c r="QOK38" s="624"/>
      <c r="QOL38" s="624"/>
      <c r="QOM38" s="624"/>
      <c r="QON38" s="624"/>
      <c r="QOO38" s="624"/>
      <c r="QOP38" s="624"/>
      <c r="QOQ38" s="624"/>
      <c r="QOR38" s="624"/>
      <c r="QOS38" s="624"/>
      <c r="QOT38" s="624"/>
      <c r="QOU38" s="624"/>
      <c r="QOV38" s="624"/>
      <c r="QOW38" s="624"/>
      <c r="QOX38" s="624"/>
      <c r="QOY38" s="624"/>
      <c r="QOZ38" s="624"/>
      <c r="QPA38" s="624"/>
      <c r="QPB38" s="624"/>
      <c r="QPC38" s="624"/>
      <c r="QPD38" s="624"/>
      <c r="QPE38" s="624"/>
      <c r="QPF38" s="624"/>
      <c r="QPG38" s="624"/>
      <c r="QPH38" s="624"/>
      <c r="QPI38" s="624"/>
      <c r="QPJ38" s="624"/>
      <c r="QPK38" s="624"/>
      <c r="QPL38" s="624"/>
      <c r="QPM38" s="624"/>
      <c r="QPN38" s="624"/>
      <c r="QPO38" s="624"/>
      <c r="QPP38" s="624"/>
      <c r="QPQ38" s="624"/>
      <c r="QPR38" s="624"/>
      <c r="QPS38" s="624"/>
      <c r="QPT38" s="624"/>
      <c r="QPU38" s="624"/>
      <c r="QPV38" s="624"/>
      <c r="QPW38" s="624"/>
      <c r="QPX38" s="624"/>
      <c r="QPY38" s="624"/>
      <c r="QPZ38" s="624"/>
      <c r="QQA38" s="624"/>
      <c r="QQB38" s="624"/>
      <c r="QQC38" s="624"/>
      <c r="QQD38" s="624"/>
      <c r="QQE38" s="624"/>
      <c r="QQF38" s="624"/>
      <c r="QQG38" s="624"/>
      <c r="QQH38" s="624"/>
      <c r="QQI38" s="624"/>
      <c r="QQJ38" s="624"/>
      <c r="QQK38" s="624"/>
      <c r="QQL38" s="624"/>
      <c r="QQM38" s="624"/>
      <c r="QQN38" s="624"/>
      <c r="QQO38" s="624"/>
      <c r="QQP38" s="624"/>
      <c r="QQQ38" s="624"/>
      <c r="QQR38" s="624"/>
      <c r="QQS38" s="624"/>
      <c r="QQT38" s="624"/>
      <c r="QQU38" s="624"/>
      <c r="QQV38" s="624"/>
      <c r="QQW38" s="624"/>
      <c r="QQX38" s="624"/>
      <c r="QQY38" s="624"/>
      <c r="QQZ38" s="624"/>
      <c r="QRA38" s="624"/>
      <c r="QRB38" s="624"/>
      <c r="QRC38" s="624"/>
      <c r="QRD38" s="624"/>
      <c r="QRE38" s="624"/>
      <c r="QRF38" s="624"/>
      <c r="QRG38" s="624"/>
      <c r="QRH38" s="624"/>
      <c r="QRI38" s="624"/>
      <c r="QRJ38" s="624"/>
      <c r="QRK38" s="624"/>
      <c r="QRL38" s="624"/>
      <c r="QRM38" s="624"/>
      <c r="QRN38" s="624"/>
      <c r="QRO38" s="624"/>
      <c r="QRP38" s="624"/>
      <c r="QRQ38" s="624"/>
      <c r="QRR38" s="624"/>
      <c r="QRS38" s="624"/>
      <c r="QRT38" s="624"/>
      <c r="QRU38" s="624"/>
      <c r="QRV38" s="624"/>
      <c r="QRW38" s="624"/>
      <c r="QRX38" s="624"/>
      <c r="QRY38" s="624"/>
      <c r="QRZ38" s="624"/>
      <c r="QSA38" s="624"/>
      <c r="QSB38" s="624"/>
      <c r="QSC38" s="624"/>
      <c r="QSD38" s="624"/>
      <c r="QSE38" s="624"/>
      <c r="QSF38" s="624"/>
      <c r="QSG38" s="624"/>
      <c r="QSH38" s="624"/>
      <c r="QSI38" s="624"/>
      <c r="QSJ38" s="624"/>
      <c r="QSK38" s="624"/>
      <c r="QSL38" s="624"/>
      <c r="QSM38" s="624"/>
      <c r="QSN38" s="624"/>
      <c r="QSO38" s="624"/>
      <c r="QSP38" s="624"/>
      <c r="QSQ38" s="624"/>
      <c r="QSR38" s="624"/>
      <c r="QSS38" s="624"/>
      <c r="QST38" s="624"/>
      <c r="QSU38" s="624"/>
      <c r="QSV38" s="624"/>
      <c r="QSW38" s="624"/>
      <c r="QSX38" s="624"/>
      <c r="QSY38" s="624"/>
      <c r="QSZ38" s="624"/>
      <c r="QTA38" s="624"/>
      <c r="QTB38" s="624"/>
      <c r="QTC38" s="624"/>
      <c r="QTD38" s="624"/>
      <c r="QTE38" s="624"/>
      <c r="QTF38" s="624"/>
      <c r="QTG38" s="624"/>
      <c r="QTH38" s="624"/>
      <c r="QTI38" s="624"/>
      <c r="QTJ38" s="624"/>
      <c r="QTK38" s="624"/>
      <c r="QTL38" s="624"/>
      <c r="QTM38" s="624"/>
      <c r="QTN38" s="624"/>
      <c r="QTO38" s="624"/>
      <c r="QTP38" s="624"/>
      <c r="QTQ38" s="624"/>
      <c r="QTR38" s="624"/>
      <c r="QTS38" s="624"/>
      <c r="QTT38" s="624"/>
      <c r="QTU38" s="624"/>
      <c r="QTV38" s="624"/>
      <c r="QTW38" s="624"/>
      <c r="QTX38" s="624"/>
      <c r="QTY38" s="624"/>
      <c r="QTZ38" s="624"/>
      <c r="QUA38" s="624"/>
      <c r="QUB38" s="624"/>
      <c r="QUC38" s="624"/>
      <c r="QUD38" s="624"/>
      <c r="QUE38" s="624"/>
      <c r="QUF38" s="624"/>
      <c r="QUG38" s="624"/>
      <c r="QUH38" s="624"/>
      <c r="QUI38" s="624"/>
      <c r="QUJ38" s="624"/>
      <c r="QUK38" s="624"/>
      <c r="QUL38" s="624"/>
      <c r="QUM38" s="624"/>
      <c r="QUN38" s="624"/>
      <c r="QUO38" s="624"/>
      <c r="QUP38" s="624"/>
      <c r="QUQ38" s="624"/>
      <c r="QUR38" s="624"/>
      <c r="QUS38" s="624"/>
      <c r="QUT38" s="624"/>
      <c r="QUU38" s="624"/>
      <c r="QUV38" s="624"/>
      <c r="QUW38" s="624"/>
      <c r="QUX38" s="624"/>
      <c r="QUY38" s="624"/>
      <c r="QUZ38" s="624"/>
      <c r="QVA38" s="624"/>
      <c r="QVB38" s="624"/>
      <c r="QVC38" s="624"/>
      <c r="QVD38" s="624"/>
      <c r="QVE38" s="624"/>
      <c r="QVF38" s="624"/>
      <c r="QVG38" s="624"/>
      <c r="QVH38" s="624"/>
      <c r="QVI38" s="624"/>
      <c r="QVJ38" s="624"/>
      <c r="QVK38" s="624"/>
      <c r="QVL38" s="624"/>
      <c r="QVM38" s="624"/>
      <c r="QVN38" s="624"/>
      <c r="QVO38" s="624"/>
      <c r="QVP38" s="624"/>
      <c r="QVQ38" s="624"/>
      <c r="QVR38" s="624"/>
      <c r="QVS38" s="624"/>
      <c r="QVT38" s="624"/>
      <c r="QVU38" s="624"/>
      <c r="QVV38" s="624"/>
      <c r="QVW38" s="624"/>
      <c r="QVX38" s="624"/>
      <c r="QVY38" s="624"/>
      <c r="QVZ38" s="624"/>
      <c r="QWA38" s="624"/>
      <c r="QWB38" s="624"/>
      <c r="QWC38" s="624"/>
      <c r="QWD38" s="624"/>
      <c r="QWE38" s="624"/>
      <c r="QWF38" s="624"/>
      <c r="QWG38" s="624"/>
      <c r="QWH38" s="624"/>
      <c r="QWI38" s="624"/>
      <c r="QWJ38" s="624"/>
      <c r="QWK38" s="624"/>
      <c r="QWL38" s="624"/>
      <c r="QWM38" s="624"/>
      <c r="QWN38" s="624"/>
      <c r="QWO38" s="624"/>
      <c r="QWP38" s="624"/>
      <c r="QWQ38" s="624"/>
      <c r="QWR38" s="624"/>
      <c r="QWS38" s="624"/>
      <c r="QWT38" s="624"/>
      <c r="QWU38" s="624"/>
      <c r="QWV38" s="624"/>
      <c r="QWW38" s="624"/>
      <c r="QWX38" s="624"/>
      <c r="QWY38" s="624"/>
      <c r="QWZ38" s="624"/>
      <c r="QXA38" s="624"/>
      <c r="QXB38" s="624"/>
      <c r="QXC38" s="624"/>
      <c r="QXD38" s="624"/>
      <c r="QXE38" s="624"/>
      <c r="QXF38" s="624"/>
      <c r="QXG38" s="624"/>
      <c r="QXH38" s="624"/>
      <c r="QXI38" s="624"/>
      <c r="QXJ38" s="624"/>
      <c r="QXK38" s="624"/>
      <c r="QXL38" s="624"/>
      <c r="QXM38" s="624"/>
      <c r="QXN38" s="624"/>
      <c r="QXO38" s="624"/>
      <c r="QXP38" s="624"/>
      <c r="QXQ38" s="624"/>
      <c r="QXR38" s="624"/>
      <c r="QXS38" s="624"/>
      <c r="QXT38" s="624"/>
      <c r="QXU38" s="624"/>
      <c r="QXV38" s="624"/>
      <c r="QXW38" s="624"/>
      <c r="QXX38" s="624"/>
      <c r="QXY38" s="624"/>
      <c r="QXZ38" s="624"/>
      <c r="QYA38" s="624"/>
      <c r="QYB38" s="624"/>
      <c r="QYC38" s="624"/>
      <c r="QYD38" s="624"/>
      <c r="QYE38" s="624"/>
      <c r="QYF38" s="624"/>
      <c r="QYG38" s="624"/>
      <c r="QYH38" s="624"/>
      <c r="QYI38" s="624"/>
      <c r="QYJ38" s="624"/>
      <c r="QYK38" s="624"/>
      <c r="QYL38" s="624"/>
      <c r="QYM38" s="624"/>
      <c r="QYN38" s="624"/>
      <c r="QYO38" s="624"/>
      <c r="QYP38" s="624"/>
      <c r="QYQ38" s="624"/>
      <c r="QYR38" s="624"/>
      <c r="QYS38" s="624"/>
      <c r="QYT38" s="624"/>
      <c r="QYU38" s="624"/>
      <c r="QYV38" s="624"/>
      <c r="QYW38" s="624"/>
      <c r="QYX38" s="624"/>
      <c r="QYY38" s="624"/>
      <c r="QYZ38" s="624"/>
      <c r="QZA38" s="624"/>
      <c r="QZB38" s="624"/>
      <c r="QZC38" s="624"/>
      <c r="QZD38" s="624"/>
      <c r="QZE38" s="624"/>
      <c r="QZF38" s="624"/>
      <c r="QZG38" s="624"/>
      <c r="QZH38" s="624"/>
      <c r="QZI38" s="624"/>
      <c r="QZJ38" s="624"/>
      <c r="QZK38" s="624"/>
      <c r="QZL38" s="624"/>
      <c r="QZM38" s="624"/>
      <c r="QZN38" s="624"/>
      <c r="QZO38" s="624"/>
      <c r="QZP38" s="624"/>
      <c r="QZQ38" s="624"/>
      <c r="QZR38" s="624"/>
      <c r="QZS38" s="624"/>
      <c r="QZT38" s="624"/>
      <c r="QZU38" s="624"/>
      <c r="QZV38" s="624"/>
      <c r="QZW38" s="624"/>
      <c r="QZX38" s="624"/>
      <c r="QZY38" s="624"/>
      <c r="QZZ38" s="624"/>
      <c r="RAA38" s="624"/>
      <c r="RAB38" s="624"/>
      <c r="RAC38" s="624"/>
      <c r="RAD38" s="624"/>
      <c r="RAE38" s="624"/>
      <c r="RAF38" s="624"/>
      <c r="RAG38" s="624"/>
      <c r="RAH38" s="624"/>
      <c r="RAI38" s="624"/>
      <c r="RAJ38" s="624"/>
      <c r="RAK38" s="624"/>
      <c r="RAL38" s="624"/>
      <c r="RAM38" s="624"/>
      <c r="RAN38" s="624"/>
      <c r="RAO38" s="624"/>
      <c r="RAP38" s="624"/>
      <c r="RAQ38" s="624"/>
      <c r="RAR38" s="624"/>
      <c r="RAS38" s="624"/>
      <c r="RAT38" s="624"/>
      <c r="RAU38" s="624"/>
      <c r="RAV38" s="624"/>
      <c r="RAW38" s="624"/>
      <c r="RAX38" s="624"/>
      <c r="RAY38" s="624"/>
      <c r="RAZ38" s="624"/>
      <c r="RBA38" s="624"/>
      <c r="RBB38" s="624"/>
      <c r="RBC38" s="624"/>
      <c r="RBD38" s="624"/>
      <c r="RBE38" s="624"/>
      <c r="RBF38" s="624"/>
      <c r="RBG38" s="624"/>
      <c r="RBH38" s="624"/>
      <c r="RBI38" s="624"/>
      <c r="RBJ38" s="624"/>
      <c r="RBK38" s="624"/>
      <c r="RBL38" s="624"/>
      <c r="RBM38" s="624"/>
      <c r="RBN38" s="624"/>
      <c r="RBO38" s="624"/>
      <c r="RBP38" s="624"/>
      <c r="RBQ38" s="624"/>
      <c r="RBR38" s="624"/>
      <c r="RBS38" s="624"/>
      <c r="RBT38" s="624"/>
      <c r="RBU38" s="624"/>
      <c r="RBV38" s="624"/>
      <c r="RBW38" s="624"/>
      <c r="RBX38" s="624"/>
      <c r="RBY38" s="624"/>
      <c r="RBZ38" s="624"/>
      <c r="RCA38" s="624"/>
      <c r="RCB38" s="624"/>
      <c r="RCC38" s="624"/>
      <c r="RCD38" s="624"/>
      <c r="RCE38" s="624"/>
      <c r="RCF38" s="624"/>
      <c r="RCG38" s="624"/>
      <c r="RCH38" s="624"/>
      <c r="RCI38" s="624"/>
      <c r="RCJ38" s="624"/>
      <c r="RCK38" s="624"/>
      <c r="RCL38" s="624"/>
      <c r="RCM38" s="624"/>
      <c r="RCN38" s="624"/>
      <c r="RCO38" s="624"/>
      <c r="RCP38" s="624"/>
      <c r="RCQ38" s="624"/>
      <c r="RCR38" s="624"/>
      <c r="RCS38" s="624"/>
      <c r="RCT38" s="624"/>
      <c r="RCU38" s="624"/>
      <c r="RCV38" s="624"/>
      <c r="RCW38" s="624"/>
      <c r="RCX38" s="624"/>
      <c r="RCY38" s="624"/>
      <c r="RCZ38" s="624"/>
      <c r="RDA38" s="624"/>
      <c r="RDB38" s="624"/>
      <c r="RDC38" s="624"/>
      <c r="RDD38" s="624"/>
      <c r="RDE38" s="624"/>
      <c r="RDF38" s="624"/>
      <c r="RDG38" s="624"/>
      <c r="RDH38" s="624"/>
      <c r="RDI38" s="624"/>
      <c r="RDJ38" s="624"/>
      <c r="RDK38" s="624"/>
      <c r="RDL38" s="624"/>
      <c r="RDM38" s="624"/>
      <c r="RDN38" s="624"/>
      <c r="RDO38" s="624"/>
      <c r="RDP38" s="624"/>
      <c r="RDQ38" s="624"/>
      <c r="RDR38" s="624"/>
      <c r="RDS38" s="624"/>
      <c r="RDT38" s="624"/>
      <c r="RDU38" s="624"/>
      <c r="RDV38" s="624"/>
      <c r="RDW38" s="624"/>
      <c r="RDX38" s="624"/>
      <c r="RDY38" s="624"/>
      <c r="RDZ38" s="624"/>
      <c r="REA38" s="624"/>
      <c r="REB38" s="624"/>
      <c r="REC38" s="624"/>
      <c r="RED38" s="624"/>
      <c r="REE38" s="624"/>
      <c r="REF38" s="624"/>
      <c r="REG38" s="624"/>
      <c r="REH38" s="624"/>
      <c r="REI38" s="624"/>
      <c r="REJ38" s="624"/>
      <c r="REK38" s="624"/>
      <c r="REL38" s="624"/>
      <c r="REM38" s="624"/>
      <c r="REN38" s="624"/>
      <c r="REO38" s="624"/>
      <c r="REP38" s="624"/>
      <c r="REQ38" s="624"/>
      <c r="RER38" s="624"/>
      <c r="RES38" s="624"/>
      <c r="RET38" s="624"/>
      <c r="REU38" s="624"/>
      <c r="REV38" s="624"/>
      <c r="REW38" s="624"/>
      <c r="REX38" s="624"/>
      <c r="REY38" s="624"/>
      <c r="REZ38" s="624"/>
      <c r="RFA38" s="624"/>
      <c r="RFB38" s="624"/>
      <c r="RFC38" s="624"/>
      <c r="RFD38" s="624"/>
      <c r="RFE38" s="624"/>
      <c r="RFF38" s="624"/>
      <c r="RFG38" s="624"/>
      <c r="RFH38" s="624"/>
      <c r="RFI38" s="624"/>
      <c r="RFJ38" s="624"/>
      <c r="RFK38" s="624"/>
      <c r="RFL38" s="624"/>
      <c r="RFM38" s="624"/>
      <c r="RFN38" s="624"/>
      <c r="RFO38" s="624"/>
      <c r="RFP38" s="624"/>
      <c r="RFQ38" s="624"/>
      <c r="RFR38" s="624"/>
      <c r="RFS38" s="624"/>
      <c r="RFT38" s="624"/>
      <c r="RFU38" s="624"/>
      <c r="RFV38" s="624"/>
      <c r="RFW38" s="624"/>
      <c r="RFX38" s="624"/>
      <c r="RFY38" s="624"/>
      <c r="RFZ38" s="624"/>
      <c r="RGA38" s="624"/>
      <c r="RGB38" s="624"/>
      <c r="RGC38" s="624"/>
      <c r="RGD38" s="624"/>
      <c r="RGE38" s="624"/>
      <c r="RGF38" s="624"/>
      <c r="RGG38" s="624"/>
      <c r="RGH38" s="624"/>
      <c r="RGI38" s="624"/>
      <c r="RGJ38" s="624"/>
      <c r="RGK38" s="624"/>
      <c r="RGL38" s="624"/>
      <c r="RGM38" s="624"/>
      <c r="RGN38" s="624"/>
      <c r="RGO38" s="624"/>
      <c r="RGP38" s="624"/>
      <c r="RGQ38" s="624"/>
      <c r="RGR38" s="624"/>
      <c r="RGS38" s="624"/>
      <c r="RGT38" s="624"/>
      <c r="RGU38" s="624"/>
      <c r="RGV38" s="624"/>
      <c r="RGW38" s="624"/>
      <c r="RGX38" s="624"/>
      <c r="RGY38" s="624"/>
      <c r="RGZ38" s="624"/>
      <c r="RHA38" s="624"/>
      <c r="RHB38" s="624"/>
      <c r="RHC38" s="624"/>
      <c r="RHD38" s="624"/>
      <c r="RHE38" s="624"/>
      <c r="RHF38" s="624"/>
      <c r="RHG38" s="624"/>
      <c r="RHH38" s="624"/>
      <c r="RHI38" s="624"/>
      <c r="RHJ38" s="624"/>
      <c r="RHK38" s="624"/>
      <c r="RHL38" s="624"/>
      <c r="RHM38" s="624"/>
      <c r="RHN38" s="624"/>
      <c r="RHO38" s="624"/>
      <c r="RHP38" s="624"/>
      <c r="RHQ38" s="624"/>
      <c r="RHR38" s="624"/>
      <c r="RHS38" s="624"/>
      <c r="RHT38" s="624"/>
      <c r="RHU38" s="624"/>
      <c r="RHV38" s="624"/>
      <c r="RHW38" s="624"/>
      <c r="RHX38" s="624"/>
      <c r="RHY38" s="624"/>
      <c r="RHZ38" s="624"/>
      <c r="RIA38" s="624"/>
      <c r="RIB38" s="624"/>
      <c r="RIC38" s="624"/>
      <c r="RID38" s="624"/>
      <c r="RIE38" s="624"/>
      <c r="RIF38" s="624"/>
      <c r="RIG38" s="624"/>
      <c r="RIH38" s="624"/>
      <c r="RII38" s="624"/>
      <c r="RIJ38" s="624"/>
      <c r="RIK38" s="624"/>
      <c r="RIL38" s="624"/>
      <c r="RIM38" s="624"/>
      <c r="RIN38" s="624"/>
      <c r="RIO38" s="624"/>
      <c r="RIP38" s="624"/>
      <c r="RIQ38" s="624"/>
      <c r="RIR38" s="624"/>
      <c r="RIS38" s="624"/>
      <c r="RIT38" s="624"/>
      <c r="RIU38" s="624"/>
      <c r="RIV38" s="624"/>
      <c r="RIW38" s="624"/>
      <c r="RIX38" s="624"/>
      <c r="RIY38" s="624"/>
      <c r="RIZ38" s="624"/>
      <c r="RJA38" s="624"/>
      <c r="RJB38" s="624"/>
      <c r="RJC38" s="624"/>
      <c r="RJD38" s="624"/>
      <c r="RJE38" s="624"/>
      <c r="RJF38" s="624"/>
      <c r="RJG38" s="624"/>
      <c r="RJH38" s="624"/>
      <c r="RJI38" s="624"/>
      <c r="RJJ38" s="624"/>
      <c r="RJK38" s="624"/>
      <c r="RJL38" s="624"/>
      <c r="RJM38" s="624"/>
      <c r="RJN38" s="624"/>
      <c r="RJO38" s="624"/>
      <c r="RJP38" s="624"/>
      <c r="RJQ38" s="624"/>
      <c r="RJR38" s="624"/>
      <c r="RJS38" s="624"/>
      <c r="RJT38" s="624"/>
      <c r="RJU38" s="624"/>
      <c r="RJV38" s="624"/>
      <c r="RJW38" s="624"/>
      <c r="RJX38" s="624"/>
      <c r="RJY38" s="624"/>
      <c r="RJZ38" s="624"/>
      <c r="RKA38" s="624"/>
      <c r="RKB38" s="624"/>
      <c r="RKC38" s="624"/>
      <c r="RKD38" s="624"/>
      <c r="RKE38" s="624"/>
      <c r="RKF38" s="624"/>
      <c r="RKG38" s="624"/>
      <c r="RKH38" s="624"/>
      <c r="RKI38" s="624"/>
      <c r="RKJ38" s="624"/>
      <c r="RKK38" s="624"/>
      <c r="RKL38" s="624"/>
      <c r="RKM38" s="624"/>
      <c r="RKN38" s="624"/>
      <c r="RKO38" s="624"/>
      <c r="RKP38" s="624"/>
      <c r="RKQ38" s="624"/>
      <c r="RKR38" s="624"/>
      <c r="RKS38" s="624"/>
      <c r="RKT38" s="624"/>
      <c r="RKU38" s="624"/>
      <c r="RKV38" s="624"/>
      <c r="RKW38" s="624"/>
      <c r="RKX38" s="624"/>
      <c r="RKY38" s="624"/>
      <c r="RKZ38" s="624"/>
      <c r="RLA38" s="624"/>
      <c r="RLB38" s="624"/>
      <c r="RLC38" s="624"/>
      <c r="RLD38" s="624"/>
      <c r="RLE38" s="624"/>
      <c r="RLF38" s="624"/>
      <c r="RLG38" s="624"/>
      <c r="RLH38" s="624"/>
      <c r="RLI38" s="624"/>
      <c r="RLJ38" s="624"/>
      <c r="RLK38" s="624"/>
      <c r="RLL38" s="624"/>
      <c r="RLM38" s="624"/>
      <c r="RLN38" s="624"/>
      <c r="RLO38" s="624"/>
      <c r="RLP38" s="624"/>
      <c r="RLQ38" s="624"/>
      <c r="RLR38" s="624"/>
      <c r="RLS38" s="624"/>
      <c r="RLT38" s="624"/>
      <c r="RLU38" s="624"/>
      <c r="RLV38" s="624"/>
      <c r="RLW38" s="624"/>
      <c r="RLX38" s="624"/>
      <c r="RLY38" s="624"/>
      <c r="RLZ38" s="624"/>
      <c r="RMA38" s="624"/>
      <c r="RMB38" s="624"/>
      <c r="RMC38" s="624"/>
      <c r="RMD38" s="624"/>
      <c r="RME38" s="624"/>
      <c r="RMF38" s="624"/>
      <c r="RMG38" s="624"/>
      <c r="RMH38" s="624"/>
      <c r="RMI38" s="624"/>
      <c r="RMJ38" s="624"/>
      <c r="RMK38" s="624"/>
      <c r="RML38" s="624"/>
      <c r="RMM38" s="624"/>
      <c r="RMN38" s="624"/>
      <c r="RMO38" s="624"/>
      <c r="RMP38" s="624"/>
      <c r="RMQ38" s="624"/>
      <c r="RMR38" s="624"/>
      <c r="RMS38" s="624"/>
      <c r="RMT38" s="624"/>
      <c r="RMU38" s="624"/>
      <c r="RMV38" s="624"/>
      <c r="RMW38" s="624"/>
      <c r="RMX38" s="624"/>
      <c r="RMY38" s="624"/>
      <c r="RMZ38" s="624"/>
      <c r="RNA38" s="624"/>
      <c r="RNB38" s="624"/>
      <c r="RNC38" s="624"/>
      <c r="RND38" s="624"/>
      <c r="RNE38" s="624"/>
      <c r="RNF38" s="624"/>
      <c r="RNG38" s="624"/>
      <c r="RNH38" s="624"/>
      <c r="RNI38" s="624"/>
      <c r="RNJ38" s="624"/>
      <c r="RNK38" s="624"/>
      <c r="RNL38" s="624"/>
      <c r="RNM38" s="624"/>
      <c r="RNN38" s="624"/>
      <c r="RNO38" s="624"/>
      <c r="RNP38" s="624"/>
      <c r="RNQ38" s="624"/>
      <c r="RNR38" s="624"/>
      <c r="RNS38" s="624"/>
      <c r="RNT38" s="624"/>
      <c r="RNU38" s="624"/>
      <c r="RNV38" s="624"/>
      <c r="RNW38" s="624"/>
      <c r="RNX38" s="624"/>
      <c r="RNY38" s="624"/>
      <c r="RNZ38" s="624"/>
      <c r="ROA38" s="624"/>
      <c r="ROB38" s="624"/>
      <c r="ROC38" s="624"/>
      <c r="ROD38" s="624"/>
      <c r="ROE38" s="624"/>
      <c r="ROF38" s="624"/>
      <c r="ROG38" s="624"/>
      <c r="ROH38" s="624"/>
      <c r="ROI38" s="624"/>
      <c r="ROJ38" s="624"/>
      <c r="ROK38" s="624"/>
      <c r="ROL38" s="624"/>
      <c r="ROM38" s="624"/>
      <c r="RON38" s="624"/>
      <c r="ROO38" s="624"/>
      <c r="ROP38" s="624"/>
      <c r="ROQ38" s="624"/>
      <c r="ROR38" s="624"/>
      <c r="ROS38" s="624"/>
      <c r="ROT38" s="624"/>
      <c r="ROU38" s="624"/>
      <c r="ROV38" s="624"/>
      <c r="ROW38" s="624"/>
      <c r="ROX38" s="624"/>
      <c r="ROY38" s="624"/>
      <c r="ROZ38" s="624"/>
      <c r="RPA38" s="624"/>
      <c r="RPB38" s="624"/>
      <c r="RPC38" s="624"/>
      <c r="RPD38" s="624"/>
      <c r="RPE38" s="624"/>
      <c r="RPF38" s="624"/>
      <c r="RPG38" s="624"/>
      <c r="RPH38" s="624"/>
      <c r="RPI38" s="624"/>
      <c r="RPJ38" s="624"/>
      <c r="RPK38" s="624"/>
      <c r="RPL38" s="624"/>
      <c r="RPM38" s="624"/>
      <c r="RPN38" s="624"/>
      <c r="RPO38" s="624"/>
      <c r="RPP38" s="624"/>
      <c r="RPQ38" s="624"/>
      <c r="RPR38" s="624"/>
      <c r="RPS38" s="624"/>
      <c r="RPT38" s="624"/>
      <c r="RPU38" s="624"/>
      <c r="RPV38" s="624"/>
      <c r="RPW38" s="624"/>
      <c r="RPX38" s="624"/>
      <c r="RPY38" s="624"/>
      <c r="RPZ38" s="624"/>
      <c r="RQA38" s="624"/>
      <c r="RQB38" s="624"/>
      <c r="RQC38" s="624"/>
      <c r="RQD38" s="624"/>
      <c r="RQE38" s="624"/>
      <c r="RQF38" s="624"/>
      <c r="RQG38" s="624"/>
      <c r="RQH38" s="624"/>
      <c r="RQI38" s="624"/>
      <c r="RQJ38" s="624"/>
      <c r="RQK38" s="624"/>
      <c r="RQL38" s="624"/>
      <c r="RQM38" s="624"/>
      <c r="RQN38" s="624"/>
      <c r="RQO38" s="624"/>
      <c r="RQP38" s="624"/>
      <c r="RQQ38" s="624"/>
      <c r="RQR38" s="624"/>
      <c r="RQS38" s="624"/>
      <c r="RQT38" s="624"/>
      <c r="RQU38" s="624"/>
      <c r="RQV38" s="624"/>
      <c r="RQW38" s="624"/>
      <c r="RQX38" s="624"/>
      <c r="RQY38" s="624"/>
      <c r="RQZ38" s="624"/>
      <c r="RRA38" s="624"/>
      <c r="RRB38" s="624"/>
      <c r="RRC38" s="624"/>
      <c r="RRD38" s="624"/>
      <c r="RRE38" s="624"/>
      <c r="RRF38" s="624"/>
      <c r="RRG38" s="624"/>
      <c r="RRH38" s="624"/>
      <c r="RRI38" s="624"/>
      <c r="RRJ38" s="624"/>
      <c r="RRK38" s="624"/>
      <c r="RRL38" s="624"/>
      <c r="RRM38" s="624"/>
      <c r="RRN38" s="624"/>
      <c r="RRO38" s="624"/>
      <c r="RRP38" s="624"/>
      <c r="RRQ38" s="624"/>
      <c r="RRR38" s="624"/>
      <c r="RRS38" s="624"/>
      <c r="RRT38" s="624"/>
      <c r="RRU38" s="624"/>
      <c r="RRV38" s="624"/>
      <c r="RRW38" s="624"/>
      <c r="RRX38" s="624"/>
      <c r="RRY38" s="624"/>
      <c r="RRZ38" s="624"/>
      <c r="RSA38" s="624"/>
      <c r="RSB38" s="624"/>
      <c r="RSC38" s="624"/>
      <c r="RSD38" s="624"/>
      <c r="RSE38" s="624"/>
      <c r="RSF38" s="624"/>
      <c r="RSG38" s="624"/>
      <c r="RSH38" s="624"/>
      <c r="RSI38" s="624"/>
      <c r="RSJ38" s="624"/>
      <c r="RSK38" s="624"/>
      <c r="RSL38" s="624"/>
      <c r="RSM38" s="624"/>
      <c r="RSN38" s="624"/>
      <c r="RSO38" s="624"/>
      <c r="RSP38" s="624"/>
      <c r="RSQ38" s="624"/>
      <c r="RSR38" s="624"/>
      <c r="RSS38" s="624"/>
      <c r="RST38" s="624"/>
      <c r="RSU38" s="624"/>
      <c r="RSV38" s="624"/>
      <c r="RSW38" s="624"/>
      <c r="RSX38" s="624"/>
      <c r="RSY38" s="624"/>
      <c r="RSZ38" s="624"/>
      <c r="RTA38" s="624"/>
      <c r="RTB38" s="624"/>
      <c r="RTC38" s="624"/>
      <c r="RTD38" s="624"/>
      <c r="RTE38" s="624"/>
      <c r="RTF38" s="624"/>
      <c r="RTG38" s="624"/>
      <c r="RTH38" s="624"/>
      <c r="RTI38" s="624"/>
      <c r="RTJ38" s="624"/>
      <c r="RTK38" s="624"/>
      <c r="RTL38" s="624"/>
      <c r="RTM38" s="624"/>
      <c r="RTN38" s="624"/>
      <c r="RTO38" s="624"/>
      <c r="RTP38" s="624"/>
      <c r="RTQ38" s="624"/>
      <c r="RTR38" s="624"/>
      <c r="RTS38" s="624"/>
      <c r="RTT38" s="624"/>
      <c r="RTU38" s="624"/>
      <c r="RTV38" s="624"/>
      <c r="RTW38" s="624"/>
      <c r="RTX38" s="624"/>
      <c r="RTY38" s="624"/>
      <c r="RTZ38" s="624"/>
      <c r="RUA38" s="624"/>
      <c r="RUB38" s="624"/>
      <c r="RUC38" s="624"/>
      <c r="RUD38" s="624"/>
      <c r="RUE38" s="624"/>
      <c r="RUF38" s="624"/>
      <c r="RUG38" s="624"/>
      <c r="RUH38" s="624"/>
      <c r="RUI38" s="624"/>
      <c r="RUJ38" s="624"/>
      <c r="RUK38" s="624"/>
      <c r="RUL38" s="624"/>
      <c r="RUM38" s="624"/>
      <c r="RUN38" s="624"/>
      <c r="RUO38" s="624"/>
      <c r="RUP38" s="624"/>
      <c r="RUQ38" s="624"/>
      <c r="RUR38" s="624"/>
      <c r="RUS38" s="624"/>
      <c r="RUT38" s="624"/>
      <c r="RUU38" s="624"/>
      <c r="RUV38" s="624"/>
      <c r="RUW38" s="624"/>
      <c r="RUX38" s="624"/>
      <c r="RUY38" s="624"/>
      <c r="RUZ38" s="624"/>
      <c r="RVA38" s="624"/>
      <c r="RVB38" s="624"/>
      <c r="RVC38" s="624"/>
      <c r="RVD38" s="624"/>
      <c r="RVE38" s="624"/>
      <c r="RVF38" s="624"/>
      <c r="RVG38" s="624"/>
      <c r="RVH38" s="624"/>
      <c r="RVI38" s="624"/>
      <c r="RVJ38" s="624"/>
      <c r="RVK38" s="624"/>
      <c r="RVL38" s="624"/>
      <c r="RVM38" s="624"/>
      <c r="RVN38" s="624"/>
      <c r="RVO38" s="624"/>
      <c r="RVP38" s="624"/>
      <c r="RVQ38" s="624"/>
      <c r="RVR38" s="624"/>
      <c r="RVS38" s="624"/>
      <c r="RVT38" s="624"/>
      <c r="RVU38" s="624"/>
      <c r="RVV38" s="624"/>
      <c r="RVW38" s="624"/>
      <c r="RVX38" s="624"/>
      <c r="RVY38" s="624"/>
      <c r="RVZ38" s="624"/>
      <c r="RWA38" s="624"/>
      <c r="RWB38" s="624"/>
      <c r="RWC38" s="624"/>
      <c r="RWD38" s="624"/>
      <c r="RWE38" s="624"/>
      <c r="RWF38" s="624"/>
      <c r="RWG38" s="624"/>
      <c r="RWH38" s="624"/>
      <c r="RWI38" s="624"/>
      <c r="RWJ38" s="624"/>
      <c r="RWK38" s="624"/>
      <c r="RWL38" s="624"/>
      <c r="RWM38" s="624"/>
      <c r="RWN38" s="624"/>
      <c r="RWO38" s="624"/>
      <c r="RWP38" s="624"/>
      <c r="RWQ38" s="624"/>
      <c r="RWR38" s="624"/>
      <c r="RWS38" s="624"/>
      <c r="RWT38" s="624"/>
      <c r="RWU38" s="624"/>
      <c r="RWV38" s="624"/>
      <c r="RWW38" s="624"/>
      <c r="RWX38" s="624"/>
      <c r="RWY38" s="624"/>
      <c r="RWZ38" s="624"/>
      <c r="RXA38" s="624"/>
      <c r="RXB38" s="624"/>
      <c r="RXC38" s="624"/>
      <c r="RXD38" s="624"/>
      <c r="RXE38" s="624"/>
      <c r="RXF38" s="624"/>
      <c r="RXG38" s="624"/>
      <c r="RXH38" s="624"/>
      <c r="RXI38" s="624"/>
      <c r="RXJ38" s="624"/>
      <c r="RXK38" s="624"/>
      <c r="RXL38" s="624"/>
      <c r="RXM38" s="624"/>
      <c r="RXN38" s="624"/>
      <c r="RXO38" s="624"/>
      <c r="RXP38" s="624"/>
      <c r="RXQ38" s="624"/>
      <c r="RXR38" s="624"/>
      <c r="RXS38" s="624"/>
      <c r="RXT38" s="624"/>
      <c r="RXU38" s="624"/>
      <c r="RXV38" s="624"/>
      <c r="RXW38" s="624"/>
      <c r="RXX38" s="624"/>
      <c r="RXY38" s="624"/>
      <c r="RXZ38" s="624"/>
      <c r="RYA38" s="624"/>
      <c r="RYB38" s="624"/>
      <c r="RYC38" s="624"/>
      <c r="RYD38" s="624"/>
      <c r="RYE38" s="624"/>
      <c r="RYF38" s="624"/>
      <c r="RYG38" s="624"/>
      <c r="RYH38" s="624"/>
      <c r="RYI38" s="624"/>
      <c r="RYJ38" s="624"/>
      <c r="RYK38" s="624"/>
      <c r="RYL38" s="624"/>
      <c r="RYM38" s="624"/>
      <c r="RYN38" s="624"/>
      <c r="RYO38" s="624"/>
      <c r="RYP38" s="624"/>
      <c r="RYQ38" s="624"/>
      <c r="RYR38" s="624"/>
      <c r="RYS38" s="624"/>
      <c r="RYT38" s="624"/>
      <c r="RYU38" s="624"/>
      <c r="RYV38" s="624"/>
      <c r="RYW38" s="624"/>
      <c r="RYX38" s="624"/>
      <c r="RYY38" s="624"/>
      <c r="RYZ38" s="624"/>
      <c r="RZA38" s="624"/>
      <c r="RZB38" s="624"/>
      <c r="RZC38" s="624"/>
      <c r="RZD38" s="624"/>
      <c r="RZE38" s="624"/>
      <c r="RZF38" s="624"/>
      <c r="RZG38" s="624"/>
      <c r="RZH38" s="624"/>
      <c r="RZI38" s="624"/>
      <c r="RZJ38" s="624"/>
      <c r="RZK38" s="624"/>
      <c r="RZL38" s="624"/>
      <c r="RZM38" s="624"/>
      <c r="RZN38" s="624"/>
      <c r="RZO38" s="624"/>
      <c r="RZP38" s="624"/>
      <c r="RZQ38" s="624"/>
      <c r="RZR38" s="624"/>
      <c r="RZS38" s="624"/>
      <c r="RZT38" s="624"/>
      <c r="RZU38" s="624"/>
      <c r="RZV38" s="624"/>
      <c r="RZW38" s="624"/>
      <c r="RZX38" s="624"/>
      <c r="RZY38" s="624"/>
      <c r="RZZ38" s="624"/>
      <c r="SAA38" s="624"/>
      <c r="SAB38" s="624"/>
      <c r="SAC38" s="624"/>
      <c r="SAD38" s="624"/>
      <c r="SAE38" s="624"/>
      <c r="SAF38" s="624"/>
      <c r="SAG38" s="624"/>
      <c r="SAH38" s="624"/>
      <c r="SAI38" s="624"/>
      <c r="SAJ38" s="624"/>
      <c r="SAK38" s="624"/>
      <c r="SAL38" s="624"/>
      <c r="SAM38" s="624"/>
      <c r="SAN38" s="624"/>
      <c r="SAO38" s="624"/>
      <c r="SAP38" s="624"/>
      <c r="SAQ38" s="624"/>
      <c r="SAR38" s="624"/>
      <c r="SAS38" s="624"/>
      <c r="SAT38" s="624"/>
      <c r="SAU38" s="624"/>
      <c r="SAV38" s="624"/>
      <c r="SAW38" s="624"/>
      <c r="SAX38" s="624"/>
      <c r="SAY38" s="624"/>
      <c r="SAZ38" s="624"/>
      <c r="SBA38" s="624"/>
      <c r="SBB38" s="624"/>
      <c r="SBC38" s="624"/>
      <c r="SBD38" s="624"/>
      <c r="SBE38" s="624"/>
      <c r="SBF38" s="624"/>
      <c r="SBG38" s="624"/>
      <c r="SBH38" s="624"/>
      <c r="SBI38" s="624"/>
      <c r="SBJ38" s="624"/>
      <c r="SBK38" s="624"/>
      <c r="SBL38" s="624"/>
      <c r="SBM38" s="624"/>
      <c r="SBN38" s="624"/>
      <c r="SBO38" s="624"/>
      <c r="SBP38" s="624"/>
      <c r="SBQ38" s="624"/>
      <c r="SBR38" s="624"/>
      <c r="SBS38" s="624"/>
      <c r="SBT38" s="624"/>
      <c r="SBU38" s="624"/>
      <c r="SBV38" s="624"/>
      <c r="SBW38" s="624"/>
      <c r="SBX38" s="624"/>
      <c r="SBY38" s="624"/>
      <c r="SBZ38" s="624"/>
      <c r="SCA38" s="624"/>
      <c r="SCB38" s="624"/>
      <c r="SCC38" s="624"/>
      <c r="SCD38" s="624"/>
      <c r="SCE38" s="624"/>
      <c r="SCF38" s="624"/>
      <c r="SCG38" s="624"/>
      <c r="SCH38" s="624"/>
      <c r="SCI38" s="624"/>
      <c r="SCJ38" s="624"/>
      <c r="SCK38" s="624"/>
      <c r="SCL38" s="624"/>
      <c r="SCM38" s="624"/>
      <c r="SCN38" s="624"/>
      <c r="SCO38" s="624"/>
      <c r="SCP38" s="624"/>
      <c r="SCQ38" s="624"/>
      <c r="SCR38" s="624"/>
      <c r="SCS38" s="624"/>
      <c r="SCT38" s="624"/>
      <c r="SCU38" s="624"/>
      <c r="SCV38" s="624"/>
      <c r="SCW38" s="624"/>
      <c r="SCX38" s="624"/>
      <c r="SCY38" s="624"/>
      <c r="SCZ38" s="624"/>
      <c r="SDA38" s="624"/>
      <c r="SDB38" s="624"/>
      <c r="SDC38" s="624"/>
      <c r="SDD38" s="624"/>
      <c r="SDE38" s="624"/>
      <c r="SDF38" s="624"/>
      <c r="SDG38" s="624"/>
      <c r="SDH38" s="624"/>
      <c r="SDI38" s="624"/>
      <c r="SDJ38" s="624"/>
      <c r="SDK38" s="624"/>
      <c r="SDL38" s="624"/>
      <c r="SDM38" s="624"/>
      <c r="SDN38" s="624"/>
      <c r="SDO38" s="624"/>
      <c r="SDP38" s="624"/>
      <c r="SDQ38" s="624"/>
      <c r="SDR38" s="624"/>
      <c r="SDS38" s="624"/>
      <c r="SDT38" s="624"/>
      <c r="SDU38" s="624"/>
      <c r="SDV38" s="624"/>
      <c r="SDW38" s="624"/>
      <c r="SDX38" s="624"/>
      <c r="SDY38" s="624"/>
      <c r="SDZ38" s="624"/>
      <c r="SEA38" s="624"/>
      <c r="SEB38" s="624"/>
      <c r="SEC38" s="624"/>
      <c r="SED38" s="624"/>
      <c r="SEE38" s="624"/>
      <c r="SEF38" s="624"/>
      <c r="SEG38" s="624"/>
      <c r="SEH38" s="624"/>
      <c r="SEI38" s="624"/>
      <c r="SEJ38" s="624"/>
      <c r="SEK38" s="624"/>
      <c r="SEL38" s="624"/>
      <c r="SEM38" s="624"/>
      <c r="SEN38" s="624"/>
      <c r="SEO38" s="624"/>
      <c r="SEP38" s="624"/>
      <c r="SEQ38" s="624"/>
      <c r="SER38" s="624"/>
      <c r="SES38" s="624"/>
      <c r="SET38" s="624"/>
      <c r="SEU38" s="624"/>
      <c r="SEV38" s="624"/>
      <c r="SEW38" s="624"/>
      <c r="SEX38" s="624"/>
      <c r="SEY38" s="624"/>
      <c r="SEZ38" s="624"/>
      <c r="SFA38" s="624"/>
      <c r="SFB38" s="624"/>
      <c r="SFC38" s="624"/>
      <c r="SFD38" s="624"/>
      <c r="SFE38" s="624"/>
      <c r="SFF38" s="624"/>
      <c r="SFG38" s="624"/>
      <c r="SFH38" s="624"/>
      <c r="SFI38" s="624"/>
      <c r="SFJ38" s="624"/>
      <c r="SFK38" s="624"/>
      <c r="SFL38" s="624"/>
      <c r="SFM38" s="624"/>
      <c r="SFN38" s="624"/>
      <c r="SFO38" s="624"/>
      <c r="SFP38" s="624"/>
      <c r="SFQ38" s="624"/>
      <c r="SFR38" s="624"/>
      <c r="SFS38" s="624"/>
      <c r="SFT38" s="624"/>
      <c r="SFU38" s="624"/>
      <c r="SFV38" s="624"/>
      <c r="SFW38" s="624"/>
      <c r="SFX38" s="624"/>
      <c r="SFY38" s="624"/>
      <c r="SFZ38" s="624"/>
      <c r="SGA38" s="624"/>
      <c r="SGB38" s="624"/>
      <c r="SGC38" s="624"/>
      <c r="SGD38" s="624"/>
      <c r="SGE38" s="624"/>
      <c r="SGF38" s="624"/>
      <c r="SGG38" s="624"/>
      <c r="SGH38" s="624"/>
      <c r="SGI38" s="624"/>
      <c r="SGJ38" s="624"/>
      <c r="SGK38" s="624"/>
      <c r="SGL38" s="624"/>
      <c r="SGM38" s="624"/>
      <c r="SGN38" s="624"/>
      <c r="SGO38" s="624"/>
      <c r="SGP38" s="624"/>
      <c r="SGQ38" s="624"/>
      <c r="SGR38" s="624"/>
      <c r="SGS38" s="624"/>
      <c r="SGT38" s="624"/>
      <c r="SGU38" s="624"/>
      <c r="SGV38" s="624"/>
      <c r="SGW38" s="624"/>
      <c r="SGX38" s="624"/>
      <c r="SGY38" s="624"/>
      <c r="SGZ38" s="624"/>
      <c r="SHA38" s="624"/>
      <c r="SHB38" s="624"/>
      <c r="SHC38" s="624"/>
      <c r="SHD38" s="624"/>
      <c r="SHE38" s="624"/>
      <c r="SHF38" s="624"/>
      <c r="SHG38" s="624"/>
      <c r="SHH38" s="624"/>
      <c r="SHI38" s="624"/>
      <c r="SHJ38" s="624"/>
      <c r="SHK38" s="624"/>
      <c r="SHL38" s="624"/>
      <c r="SHM38" s="624"/>
      <c r="SHN38" s="624"/>
      <c r="SHO38" s="624"/>
      <c r="SHP38" s="624"/>
      <c r="SHQ38" s="624"/>
      <c r="SHR38" s="624"/>
      <c r="SHS38" s="624"/>
      <c r="SHT38" s="624"/>
      <c r="SHU38" s="624"/>
      <c r="SHV38" s="624"/>
      <c r="SHW38" s="624"/>
      <c r="SHX38" s="624"/>
      <c r="SHY38" s="624"/>
      <c r="SHZ38" s="624"/>
      <c r="SIA38" s="624"/>
      <c r="SIB38" s="624"/>
      <c r="SIC38" s="624"/>
      <c r="SID38" s="624"/>
      <c r="SIE38" s="624"/>
      <c r="SIF38" s="624"/>
      <c r="SIG38" s="624"/>
      <c r="SIH38" s="624"/>
      <c r="SII38" s="624"/>
      <c r="SIJ38" s="624"/>
      <c r="SIK38" s="624"/>
      <c r="SIL38" s="624"/>
      <c r="SIM38" s="624"/>
      <c r="SIN38" s="624"/>
      <c r="SIO38" s="624"/>
      <c r="SIP38" s="624"/>
      <c r="SIQ38" s="624"/>
      <c r="SIR38" s="624"/>
      <c r="SIS38" s="624"/>
      <c r="SIT38" s="624"/>
      <c r="SIU38" s="624"/>
      <c r="SIV38" s="624"/>
      <c r="SIW38" s="624"/>
      <c r="SIX38" s="624"/>
      <c r="SIY38" s="624"/>
      <c r="SIZ38" s="624"/>
      <c r="SJA38" s="624"/>
      <c r="SJB38" s="624"/>
      <c r="SJC38" s="624"/>
      <c r="SJD38" s="624"/>
      <c r="SJE38" s="624"/>
      <c r="SJF38" s="624"/>
      <c r="SJG38" s="624"/>
      <c r="SJH38" s="624"/>
      <c r="SJI38" s="624"/>
      <c r="SJJ38" s="624"/>
      <c r="SJK38" s="624"/>
      <c r="SJL38" s="624"/>
      <c r="SJM38" s="624"/>
      <c r="SJN38" s="624"/>
      <c r="SJO38" s="624"/>
      <c r="SJP38" s="624"/>
      <c r="SJQ38" s="624"/>
      <c r="SJR38" s="624"/>
      <c r="SJS38" s="624"/>
      <c r="SJT38" s="624"/>
      <c r="SJU38" s="624"/>
      <c r="SJV38" s="624"/>
      <c r="SJW38" s="624"/>
      <c r="SJX38" s="624"/>
      <c r="SJY38" s="624"/>
      <c r="SJZ38" s="624"/>
      <c r="SKA38" s="624"/>
      <c r="SKB38" s="624"/>
      <c r="SKC38" s="624"/>
      <c r="SKD38" s="624"/>
      <c r="SKE38" s="624"/>
      <c r="SKF38" s="624"/>
      <c r="SKG38" s="624"/>
      <c r="SKH38" s="624"/>
      <c r="SKI38" s="624"/>
      <c r="SKJ38" s="624"/>
      <c r="SKK38" s="624"/>
      <c r="SKL38" s="624"/>
      <c r="SKM38" s="624"/>
      <c r="SKN38" s="624"/>
      <c r="SKO38" s="624"/>
      <c r="SKP38" s="624"/>
      <c r="SKQ38" s="624"/>
      <c r="SKR38" s="624"/>
      <c r="SKS38" s="624"/>
      <c r="SKT38" s="624"/>
      <c r="SKU38" s="624"/>
      <c r="SKV38" s="624"/>
      <c r="SKW38" s="624"/>
      <c r="SKX38" s="624"/>
      <c r="SKY38" s="624"/>
      <c r="SKZ38" s="624"/>
      <c r="SLA38" s="624"/>
      <c r="SLB38" s="624"/>
      <c r="SLC38" s="624"/>
      <c r="SLD38" s="624"/>
      <c r="SLE38" s="624"/>
      <c r="SLF38" s="624"/>
      <c r="SLG38" s="624"/>
      <c r="SLH38" s="624"/>
      <c r="SLI38" s="624"/>
      <c r="SLJ38" s="624"/>
      <c r="SLK38" s="624"/>
      <c r="SLL38" s="624"/>
      <c r="SLM38" s="624"/>
      <c r="SLN38" s="624"/>
      <c r="SLO38" s="624"/>
      <c r="SLP38" s="624"/>
      <c r="SLQ38" s="624"/>
      <c r="SLR38" s="624"/>
      <c r="SLS38" s="624"/>
      <c r="SLT38" s="624"/>
      <c r="SLU38" s="624"/>
      <c r="SLV38" s="624"/>
      <c r="SLW38" s="624"/>
      <c r="SLX38" s="624"/>
      <c r="SLY38" s="624"/>
      <c r="SLZ38" s="624"/>
      <c r="SMA38" s="624"/>
      <c r="SMB38" s="624"/>
      <c r="SMC38" s="624"/>
      <c r="SMD38" s="624"/>
      <c r="SME38" s="624"/>
      <c r="SMF38" s="624"/>
      <c r="SMG38" s="624"/>
      <c r="SMH38" s="624"/>
      <c r="SMI38" s="624"/>
      <c r="SMJ38" s="624"/>
      <c r="SMK38" s="624"/>
      <c r="SML38" s="624"/>
      <c r="SMM38" s="624"/>
      <c r="SMN38" s="624"/>
      <c r="SMO38" s="624"/>
      <c r="SMP38" s="624"/>
      <c r="SMQ38" s="624"/>
      <c r="SMR38" s="624"/>
      <c r="SMS38" s="624"/>
      <c r="SMT38" s="624"/>
      <c r="SMU38" s="624"/>
      <c r="SMV38" s="624"/>
      <c r="SMW38" s="624"/>
      <c r="SMX38" s="624"/>
      <c r="SMY38" s="624"/>
      <c r="SMZ38" s="624"/>
      <c r="SNA38" s="624"/>
      <c r="SNB38" s="624"/>
      <c r="SNC38" s="624"/>
      <c r="SND38" s="624"/>
      <c r="SNE38" s="624"/>
      <c r="SNF38" s="624"/>
      <c r="SNG38" s="624"/>
      <c r="SNH38" s="624"/>
      <c r="SNI38" s="624"/>
      <c r="SNJ38" s="624"/>
      <c r="SNK38" s="624"/>
      <c r="SNL38" s="624"/>
      <c r="SNM38" s="624"/>
      <c r="SNN38" s="624"/>
      <c r="SNO38" s="624"/>
      <c r="SNP38" s="624"/>
      <c r="SNQ38" s="624"/>
      <c r="SNR38" s="624"/>
      <c r="SNS38" s="624"/>
      <c r="SNT38" s="624"/>
      <c r="SNU38" s="624"/>
      <c r="SNV38" s="624"/>
      <c r="SNW38" s="624"/>
      <c r="SNX38" s="624"/>
      <c r="SNY38" s="624"/>
      <c r="SNZ38" s="624"/>
      <c r="SOA38" s="624"/>
      <c r="SOB38" s="624"/>
      <c r="SOC38" s="624"/>
      <c r="SOD38" s="624"/>
      <c r="SOE38" s="624"/>
      <c r="SOF38" s="624"/>
      <c r="SOG38" s="624"/>
      <c r="SOH38" s="624"/>
      <c r="SOI38" s="624"/>
      <c r="SOJ38" s="624"/>
      <c r="SOK38" s="624"/>
      <c r="SOL38" s="624"/>
      <c r="SOM38" s="624"/>
      <c r="SON38" s="624"/>
      <c r="SOO38" s="624"/>
      <c r="SOP38" s="624"/>
      <c r="SOQ38" s="624"/>
      <c r="SOR38" s="624"/>
      <c r="SOS38" s="624"/>
      <c r="SOT38" s="624"/>
      <c r="SOU38" s="624"/>
      <c r="SOV38" s="624"/>
      <c r="SOW38" s="624"/>
      <c r="SOX38" s="624"/>
      <c r="SOY38" s="624"/>
      <c r="SOZ38" s="624"/>
      <c r="SPA38" s="624"/>
      <c r="SPB38" s="624"/>
      <c r="SPC38" s="624"/>
      <c r="SPD38" s="624"/>
      <c r="SPE38" s="624"/>
      <c r="SPF38" s="624"/>
      <c r="SPG38" s="624"/>
      <c r="SPH38" s="624"/>
      <c r="SPI38" s="624"/>
      <c r="SPJ38" s="624"/>
      <c r="SPK38" s="624"/>
      <c r="SPL38" s="624"/>
      <c r="SPM38" s="624"/>
      <c r="SPN38" s="624"/>
      <c r="SPO38" s="624"/>
      <c r="SPP38" s="624"/>
      <c r="SPQ38" s="624"/>
      <c r="SPR38" s="624"/>
      <c r="SPS38" s="624"/>
      <c r="SPT38" s="624"/>
      <c r="SPU38" s="624"/>
      <c r="SPV38" s="624"/>
      <c r="SPW38" s="624"/>
      <c r="SPX38" s="624"/>
      <c r="SPY38" s="624"/>
      <c r="SPZ38" s="624"/>
      <c r="SQA38" s="624"/>
      <c r="SQB38" s="624"/>
      <c r="SQC38" s="624"/>
      <c r="SQD38" s="624"/>
      <c r="SQE38" s="624"/>
      <c r="SQF38" s="624"/>
      <c r="SQG38" s="624"/>
      <c r="SQH38" s="624"/>
      <c r="SQI38" s="624"/>
      <c r="SQJ38" s="624"/>
      <c r="SQK38" s="624"/>
      <c r="SQL38" s="624"/>
      <c r="SQM38" s="624"/>
      <c r="SQN38" s="624"/>
      <c r="SQO38" s="624"/>
      <c r="SQP38" s="624"/>
      <c r="SQQ38" s="624"/>
      <c r="SQR38" s="624"/>
      <c r="SQS38" s="624"/>
      <c r="SQT38" s="624"/>
      <c r="SQU38" s="624"/>
      <c r="SQV38" s="624"/>
      <c r="SQW38" s="624"/>
      <c r="SQX38" s="624"/>
      <c r="SQY38" s="624"/>
      <c r="SQZ38" s="624"/>
      <c r="SRA38" s="624"/>
      <c r="SRB38" s="624"/>
      <c r="SRC38" s="624"/>
      <c r="SRD38" s="624"/>
      <c r="SRE38" s="624"/>
      <c r="SRF38" s="624"/>
      <c r="SRG38" s="624"/>
      <c r="SRH38" s="624"/>
      <c r="SRI38" s="624"/>
      <c r="SRJ38" s="624"/>
      <c r="SRK38" s="624"/>
      <c r="SRL38" s="624"/>
      <c r="SRM38" s="624"/>
      <c r="SRN38" s="624"/>
      <c r="SRO38" s="624"/>
      <c r="SRP38" s="624"/>
      <c r="SRQ38" s="624"/>
      <c r="SRR38" s="624"/>
      <c r="SRS38" s="624"/>
      <c r="SRT38" s="624"/>
      <c r="SRU38" s="624"/>
      <c r="SRV38" s="624"/>
      <c r="SRW38" s="624"/>
      <c r="SRX38" s="624"/>
      <c r="SRY38" s="624"/>
      <c r="SRZ38" s="624"/>
      <c r="SSA38" s="624"/>
      <c r="SSB38" s="624"/>
      <c r="SSC38" s="624"/>
      <c r="SSD38" s="624"/>
      <c r="SSE38" s="624"/>
      <c r="SSF38" s="624"/>
      <c r="SSG38" s="624"/>
      <c r="SSH38" s="624"/>
      <c r="SSI38" s="624"/>
      <c r="SSJ38" s="624"/>
      <c r="SSK38" s="624"/>
      <c r="SSL38" s="624"/>
      <c r="SSM38" s="624"/>
      <c r="SSN38" s="624"/>
      <c r="SSO38" s="624"/>
      <c r="SSP38" s="624"/>
      <c r="SSQ38" s="624"/>
      <c r="SSR38" s="624"/>
      <c r="SSS38" s="624"/>
      <c r="SST38" s="624"/>
      <c r="SSU38" s="624"/>
      <c r="SSV38" s="624"/>
      <c r="SSW38" s="624"/>
      <c r="SSX38" s="624"/>
      <c r="SSY38" s="624"/>
      <c r="SSZ38" s="624"/>
      <c r="STA38" s="624"/>
      <c r="STB38" s="624"/>
      <c r="STC38" s="624"/>
      <c r="STD38" s="624"/>
      <c r="STE38" s="624"/>
      <c r="STF38" s="624"/>
      <c r="STG38" s="624"/>
      <c r="STH38" s="624"/>
      <c r="STI38" s="624"/>
      <c r="STJ38" s="624"/>
      <c r="STK38" s="624"/>
      <c r="STL38" s="624"/>
      <c r="STM38" s="624"/>
      <c r="STN38" s="624"/>
      <c r="STO38" s="624"/>
      <c r="STP38" s="624"/>
      <c r="STQ38" s="624"/>
      <c r="STR38" s="624"/>
      <c r="STS38" s="624"/>
      <c r="STT38" s="624"/>
      <c r="STU38" s="624"/>
      <c r="STV38" s="624"/>
      <c r="STW38" s="624"/>
      <c r="STX38" s="624"/>
      <c r="STY38" s="624"/>
      <c r="STZ38" s="624"/>
      <c r="SUA38" s="624"/>
      <c r="SUB38" s="624"/>
      <c r="SUC38" s="624"/>
      <c r="SUD38" s="624"/>
      <c r="SUE38" s="624"/>
      <c r="SUF38" s="624"/>
      <c r="SUG38" s="624"/>
      <c r="SUH38" s="624"/>
      <c r="SUI38" s="624"/>
      <c r="SUJ38" s="624"/>
      <c r="SUK38" s="624"/>
      <c r="SUL38" s="624"/>
      <c r="SUM38" s="624"/>
      <c r="SUN38" s="624"/>
      <c r="SUO38" s="624"/>
      <c r="SUP38" s="624"/>
      <c r="SUQ38" s="624"/>
      <c r="SUR38" s="624"/>
      <c r="SUS38" s="624"/>
      <c r="SUT38" s="624"/>
      <c r="SUU38" s="624"/>
      <c r="SUV38" s="624"/>
      <c r="SUW38" s="624"/>
      <c r="SUX38" s="624"/>
      <c r="SUY38" s="624"/>
      <c r="SUZ38" s="624"/>
      <c r="SVA38" s="624"/>
      <c r="SVB38" s="624"/>
      <c r="SVC38" s="624"/>
      <c r="SVD38" s="624"/>
      <c r="SVE38" s="624"/>
      <c r="SVF38" s="624"/>
      <c r="SVG38" s="624"/>
      <c r="SVH38" s="624"/>
      <c r="SVI38" s="624"/>
      <c r="SVJ38" s="624"/>
      <c r="SVK38" s="624"/>
      <c r="SVL38" s="624"/>
      <c r="SVM38" s="624"/>
      <c r="SVN38" s="624"/>
      <c r="SVO38" s="624"/>
      <c r="SVP38" s="624"/>
      <c r="SVQ38" s="624"/>
      <c r="SVR38" s="624"/>
      <c r="SVS38" s="624"/>
      <c r="SVT38" s="624"/>
      <c r="SVU38" s="624"/>
      <c r="SVV38" s="624"/>
      <c r="SVW38" s="624"/>
      <c r="SVX38" s="624"/>
      <c r="SVY38" s="624"/>
      <c r="SVZ38" s="624"/>
      <c r="SWA38" s="624"/>
      <c r="SWB38" s="624"/>
      <c r="SWC38" s="624"/>
      <c r="SWD38" s="624"/>
      <c r="SWE38" s="624"/>
      <c r="SWF38" s="624"/>
      <c r="SWG38" s="624"/>
      <c r="SWH38" s="624"/>
      <c r="SWI38" s="624"/>
      <c r="SWJ38" s="624"/>
      <c r="SWK38" s="624"/>
      <c r="SWL38" s="624"/>
      <c r="SWM38" s="624"/>
      <c r="SWN38" s="624"/>
      <c r="SWO38" s="624"/>
      <c r="SWP38" s="624"/>
      <c r="SWQ38" s="624"/>
      <c r="SWR38" s="624"/>
      <c r="SWS38" s="624"/>
      <c r="SWT38" s="624"/>
      <c r="SWU38" s="624"/>
      <c r="SWV38" s="624"/>
      <c r="SWW38" s="624"/>
      <c r="SWX38" s="624"/>
      <c r="SWY38" s="624"/>
      <c r="SWZ38" s="624"/>
      <c r="SXA38" s="624"/>
      <c r="SXB38" s="624"/>
      <c r="SXC38" s="624"/>
      <c r="SXD38" s="624"/>
      <c r="SXE38" s="624"/>
      <c r="SXF38" s="624"/>
      <c r="SXG38" s="624"/>
      <c r="SXH38" s="624"/>
      <c r="SXI38" s="624"/>
      <c r="SXJ38" s="624"/>
      <c r="SXK38" s="624"/>
      <c r="SXL38" s="624"/>
      <c r="SXM38" s="624"/>
      <c r="SXN38" s="624"/>
      <c r="SXO38" s="624"/>
      <c r="SXP38" s="624"/>
      <c r="SXQ38" s="624"/>
      <c r="SXR38" s="624"/>
      <c r="SXS38" s="624"/>
      <c r="SXT38" s="624"/>
      <c r="SXU38" s="624"/>
      <c r="SXV38" s="624"/>
      <c r="SXW38" s="624"/>
      <c r="SXX38" s="624"/>
      <c r="SXY38" s="624"/>
      <c r="SXZ38" s="624"/>
      <c r="SYA38" s="624"/>
      <c r="SYB38" s="624"/>
      <c r="SYC38" s="624"/>
      <c r="SYD38" s="624"/>
      <c r="SYE38" s="624"/>
      <c r="SYF38" s="624"/>
      <c r="SYG38" s="624"/>
      <c r="SYH38" s="624"/>
      <c r="SYI38" s="624"/>
      <c r="SYJ38" s="624"/>
      <c r="SYK38" s="624"/>
      <c r="SYL38" s="624"/>
      <c r="SYM38" s="624"/>
      <c r="SYN38" s="624"/>
      <c r="SYO38" s="624"/>
      <c r="SYP38" s="624"/>
      <c r="SYQ38" s="624"/>
      <c r="SYR38" s="624"/>
      <c r="SYS38" s="624"/>
      <c r="SYT38" s="624"/>
      <c r="SYU38" s="624"/>
      <c r="SYV38" s="624"/>
      <c r="SYW38" s="624"/>
      <c r="SYX38" s="624"/>
      <c r="SYY38" s="624"/>
      <c r="SYZ38" s="624"/>
      <c r="SZA38" s="624"/>
      <c r="SZB38" s="624"/>
      <c r="SZC38" s="624"/>
      <c r="SZD38" s="624"/>
      <c r="SZE38" s="624"/>
      <c r="SZF38" s="624"/>
      <c r="SZG38" s="624"/>
      <c r="SZH38" s="624"/>
      <c r="SZI38" s="624"/>
      <c r="SZJ38" s="624"/>
      <c r="SZK38" s="624"/>
      <c r="SZL38" s="624"/>
      <c r="SZM38" s="624"/>
      <c r="SZN38" s="624"/>
      <c r="SZO38" s="624"/>
      <c r="SZP38" s="624"/>
      <c r="SZQ38" s="624"/>
      <c r="SZR38" s="624"/>
      <c r="SZS38" s="624"/>
      <c r="SZT38" s="624"/>
      <c r="SZU38" s="624"/>
      <c r="SZV38" s="624"/>
      <c r="SZW38" s="624"/>
      <c r="SZX38" s="624"/>
      <c r="SZY38" s="624"/>
      <c r="SZZ38" s="624"/>
      <c r="TAA38" s="624"/>
      <c r="TAB38" s="624"/>
      <c r="TAC38" s="624"/>
      <c r="TAD38" s="624"/>
      <c r="TAE38" s="624"/>
      <c r="TAF38" s="624"/>
      <c r="TAG38" s="624"/>
      <c r="TAH38" s="624"/>
      <c r="TAI38" s="624"/>
      <c r="TAJ38" s="624"/>
      <c r="TAK38" s="624"/>
      <c r="TAL38" s="624"/>
      <c r="TAM38" s="624"/>
      <c r="TAN38" s="624"/>
      <c r="TAO38" s="624"/>
      <c r="TAP38" s="624"/>
      <c r="TAQ38" s="624"/>
      <c r="TAR38" s="624"/>
      <c r="TAS38" s="624"/>
      <c r="TAT38" s="624"/>
      <c r="TAU38" s="624"/>
      <c r="TAV38" s="624"/>
      <c r="TAW38" s="624"/>
      <c r="TAX38" s="624"/>
      <c r="TAY38" s="624"/>
      <c r="TAZ38" s="624"/>
      <c r="TBA38" s="624"/>
      <c r="TBB38" s="624"/>
      <c r="TBC38" s="624"/>
      <c r="TBD38" s="624"/>
      <c r="TBE38" s="624"/>
      <c r="TBF38" s="624"/>
      <c r="TBG38" s="624"/>
      <c r="TBH38" s="624"/>
      <c r="TBI38" s="624"/>
      <c r="TBJ38" s="624"/>
      <c r="TBK38" s="624"/>
      <c r="TBL38" s="624"/>
      <c r="TBM38" s="624"/>
      <c r="TBN38" s="624"/>
      <c r="TBO38" s="624"/>
      <c r="TBP38" s="624"/>
      <c r="TBQ38" s="624"/>
      <c r="TBR38" s="624"/>
      <c r="TBS38" s="624"/>
      <c r="TBT38" s="624"/>
      <c r="TBU38" s="624"/>
      <c r="TBV38" s="624"/>
      <c r="TBW38" s="624"/>
      <c r="TBX38" s="624"/>
      <c r="TBY38" s="624"/>
      <c r="TBZ38" s="624"/>
      <c r="TCA38" s="624"/>
      <c r="TCB38" s="624"/>
      <c r="TCC38" s="624"/>
      <c r="TCD38" s="624"/>
      <c r="TCE38" s="624"/>
      <c r="TCF38" s="624"/>
      <c r="TCG38" s="624"/>
      <c r="TCH38" s="624"/>
      <c r="TCI38" s="624"/>
      <c r="TCJ38" s="624"/>
      <c r="TCK38" s="624"/>
      <c r="TCL38" s="624"/>
      <c r="TCM38" s="624"/>
      <c r="TCN38" s="624"/>
      <c r="TCO38" s="624"/>
      <c r="TCP38" s="624"/>
      <c r="TCQ38" s="624"/>
      <c r="TCR38" s="624"/>
      <c r="TCS38" s="624"/>
      <c r="TCT38" s="624"/>
      <c r="TCU38" s="624"/>
      <c r="TCV38" s="624"/>
      <c r="TCW38" s="624"/>
      <c r="TCX38" s="624"/>
      <c r="TCY38" s="624"/>
      <c r="TCZ38" s="624"/>
      <c r="TDA38" s="624"/>
      <c r="TDB38" s="624"/>
      <c r="TDC38" s="624"/>
      <c r="TDD38" s="624"/>
      <c r="TDE38" s="624"/>
      <c r="TDF38" s="624"/>
      <c r="TDG38" s="624"/>
      <c r="TDH38" s="624"/>
      <c r="TDI38" s="624"/>
      <c r="TDJ38" s="624"/>
      <c r="TDK38" s="624"/>
      <c r="TDL38" s="624"/>
      <c r="TDM38" s="624"/>
      <c r="TDN38" s="624"/>
      <c r="TDO38" s="624"/>
      <c r="TDP38" s="624"/>
      <c r="TDQ38" s="624"/>
      <c r="TDR38" s="624"/>
      <c r="TDS38" s="624"/>
      <c r="TDT38" s="624"/>
      <c r="TDU38" s="624"/>
      <c r="TDV38" s="624"/>
      <c r="TDW38" s="624"/>
      <c r="TDX38" s="624"/>
      <c r="TDY38" s="624"/>
      <c r="TDZ38" s="624"/>
      <c r="TEA38" s="624"/>
      <c r="TEB38" s="624"/>
      <c r="TEC38" s="624"/>
      <c r="TED38" s="624"/>
      <c r="TEE38" s="624"/>
      <c r="TEF38" s="624"/>
      <c r="TEG38" s="624"/>
      <c r="TEH38" s="624"/>
      <c r="TEI38" s="624"/>
      <c r="TEJ38" s="624"/>
      <c r="TEK38" s="624"/>
      <c r="TEL38" s="624"/>
      <c r="TEM38" s="624"/>
      <c r="TEN38" s="624"/>
      <c r="TEO38" s="624"/>
      <c r="TEP38" s="624"/>
      <c r="TEQ38" s="624"/>
      <c r="TER38" s="624"/>
      <c r="TES38" s="624"/>
      <c r="TET38" s="624"/>
      <c r="TEU38" s="624"/>
      <c r="TEV38" s="624"/>
      <c r="TEW38" s="624"/>
      <c r="TEX38" s="624"/>
      <c r="TEY38" s="624"/>
      <c r="TEZ38" s="624"/>
      <c r="TFA38" s="624"/>
      <c r="TFB38" s="624"/>
      <c r="TFC38" s="624"/>
      <c r="TFD38" s="624"/>
      <c r="TFE38" s="624"/>
      <c r="TFF38" s="624"/>
      <c r="TFG38" s="624"/>
      <c r="TFH38" s="624"/>
      <c r="TFI38" s="624"/>
      <c r="TFJ38" s="624"/>
      <c r="TFK38" s="624"/>
      <c r="TFL38" s="624"/>
      <c r="TFM38" s="624"/>
      <c r="TFN38" s="624"/>
      <c r="TFO38" s="624"/>
      <c r="TFP38" s="624"/>
      <c r="TFQ38" s="624"/>
      <c r="TFR38" s="624"/>
      <c r="TFS38" s="624"/>
      <c r="TFT38" s="624"/>
      <c r="TFU38" s="624"/>
      <c r="TFV38" s="624"/>
      <c r="TFW38" s="624"/>
      <c r="TFX38" s="624"/>
      <c r="TFY38" s="624"/>
      <c r="TFZ38" s="624"/>
      <c r="TGA38" s="624"/>
      <c r="TGB38" s="624"/>
      <c r="TGC38" s="624"/>
      <c r="TGD38" s="624"/>
      <c r="TGE38" s="624"/>
      <c r="TGF38" s="624"/>
      <c r="TGG38" s="624"/>
      <c r="TGH38" s="624"/>
      <c r="TGI38" s="624"/>
      <c r="TGJ38" s="624"/>
      <c r="TGK38" s="624"/>
      <c r="TGL38" s="624"/>
      <c r="TGM38" s="624"/>
      <c r="TGN38" s="624"/>
      <c r="TGO38" s="624"/>
      <c r="TGP38" s="624"/>
      <c r="TGQ38" s="624"/>
      <c r="TGR38" s="624"/>
      <c r="TGS38" s="624"/>
      <c r="TGT38" s="624"/>
      <c r="TGU38" s="624"/>
      <c r="TGV38" s="624"/>
      <c r="TGW38" s="624"/>
      <c r="TGX38" s="624"/>
      <c r="TGY38" s="624"/>
      <c r="TGZ38" s="624"/>
      <c r="THA38" s="624"/>
      <c r="THB38" s="624"/>
      <c r="THC38" s="624"/>
      <c r="THD38" s="624"/>
      <c r="THE38" s="624"/>
      <c r="THF38" s="624"/>
      <c r="THG38" s="624"/>
      <c r="THH38" s="624"/>
      <c r="THI38" s="624"/>
      <c r="THJ38" s="624"/>
      <c r="THK38" s="624"/>
      <c r="THL38" s="624"/>
      <c r="THM38" s="624"/>
      <c r="THN38" s="624"/>
      <c r="THO38" s="624"/>
      <c r="THP38" s="624"/>
      <c r="THQ38" s="624"/>
      <c r="THR38" s="624"/>
      <c r="THS38" s="624"/>
      <c r="THT38" s="624"/>
      <c r="THU38" s="624"/>
      <c r="THV38" s="624"/>
      <c r="THW38" s="624"/>
      <c r="THX38" s="624"/>
      <c r="THY38" s="624"/>
      <c r="THZ38" s="624"/>
      <c r="TIA38" s="624"/>
      <c r="TIB38" s="624"/>
      <c r="TIC38" s="624"/>
      <c r="TID38" s="624"/>
      <c r="TIE38" s="624"/>
      <c r="TIF38" s="624"/>
      <c r="TIG38" s="624"/>
      <c r="TIH38" s="624"/>
      <c r="TII38" s="624"/>
      <c r="TIJ38" s="624"/>
      <c r="TIK38" s="624"/>
      <c r="TIL38" s="624"/>
      <c r="TIM38" s="624"/>
      <c r="TIN38" s="624"/>
      <c r="TIO38" s="624"/>
      <c r="TIP38" s="624"/>
      <c r="TIQ38" s="624"/>
      <c r="TIR38" s="624"/>
      <c r="TIS38" s="624"/>
      <c r="TIT38" s="624"/>
      <c r="TIU38" s="624"/>
      <c r="TIV38" s="624"/>
      <c r="TIW38" s="624"/>
      <c r="TIX38" s="624"/>
      <c r="TIY38" s="624"/>
      <c r="TIZ38" s="624"/>
      <c r="TJA38" s="624"/>
      <c r="TJB38" s="624"/>
      <c r="TJC38" s="624"/>
      <c r="TJD38" s="624"/>
      <c r="TJE38" s="624"/>
      <c r="TJF38" s="624"/>
      <c r="TJG38" s="624"/>
      <c r="TJH38" s="624"/>
      <c r="TJI38" s="624"/>
      <c r="TJJ38" s="624"/>
      <c r="TJK38" s="624"/>
      <c r="TJL38" s="624"/>
      <c r="TJM38" s="624"/>
      <c r="TJN38" s="624"/>
      <c r="TJO38" s="624"/>
      <c r="TJP38" s="624"/>
      <c r="TJQ38" s="624"/>
      <c r="TJR38" s="624"/>
      <c r="TJS38" s="624"/>
      <c r="TJT38" s="624"/>
      <c r="TJU38" s="624"/>
      <c r="TJV38" s="624"/>
      <c r="TJW38" s="624"/>
      <c r="TJX38" s="624"/>
      <c r="TJY38" s="624"/>
      <c r="TJZ38" s="624"/>
      <c r="TKA38" s="624"/>
      <c r="TKB38" s="624"/>
      <c r="TKC38" s="624"/>
      <c r="TKD38" s="624"/>
      <c r="TKE38" s="624"/>
      <c r="TKF38" s="624"/>
      <c r="TKG38" s="624"/>
      <c r="TKH38" s="624"/>
      <c r="TKI38" s="624"/>
      <c r="TKJ38" s="624"/>
      <c r="TKK38" s="624"/>
      <c r="TKL38" s="624"/>
      <c r="TKM38" s="624"/>
      <c r="TKN38" s="624"/>
      <c r="TKO38" s="624"/>
      <c r="TKP38" s="624"/>
      <c r="TKQ38" s="624"/>
      <c r="TKR38" s="624"/>
      <c r="TKS38" s="624"/>
      <c r="TKT38" s="624"/>
      <c r="TKU38" s="624"/>
      <c r="TKV38" s="624"/>
      <c r="TKW38" s="624"/>
      <c r="TKX38" s="624"/>
      <c r="TKY38" s="624"/>
      <c r="TKZ38" s="624"/>
      <c r="TLA38" s="624"/>
      <c r="TLB38" s="624"/>
      <c r="TLC38" s="624"/>
      <c r="TLD38" s="624"/>
      <c r="TLE38" s="624"/>
      <c r="TLF38" s="624"/>
      <c r="TLG38" s="624"/>
      <c r="TLH38" s="624"/>
      <c r="TLI38" s="624"/>
      <c r="TLJ38" s="624"/>
      <c r="TLK38" s="624"/>
      <c r="TLL38" s="624"/>
      <c r="TLM38" s="624"/>
      <c r="TLN38" s="624"/>
      <c r="TLO38" s="624"/>
      <c r="TLP38" s="624"/>
      <c r="TLQ38" s="624"/>
      <c r="TLR38" s="624"/>
      <c r="TLS38" s="624"/>
      <c r="TLT38" s="624"/>
      <c r="TLU38" s="624"/>
      <c r="TLV38" s="624"/>
      <c r="TLW38" s="624"/>
      <c r="TLX38" s="624"/>
      <c r="TLY38" s="624"/>
      <c r="TLZ38" s="624"/>
      <c r="TMA38" s="624"/>
      <c r="TMB38" s="624"/>
      <c r="TMC38" s="624"/>
      <c r="TMD38" s="624"/>
      <c r="TME38" s="624"/>
      <c r="TMF38" s="624"/>
      <c r="TMG38" s="624"/>
      <c r="TMH38" s="624"/>
      <c r="TMI38" s="624"/>
      <c r="TMJ38" s="624"/>
      <c r="TMK38" s="624"/>
      <c r="TML38" s="624"/>
      <c r="TMM38" s="624"/>
      <c r="TMN38" s="624"/>
      <c r="TMO38" s="624"/>
      <c r="TMP38" s="624"/>
      <c r="TMQ38" s="624"/>
      <c r="TMR38" s="624"/>
      <c r="TMS38" s="624"/>
      <c r="TMT38" s="624"/>
      <c r="TMU38" s="624"/>
      <c r="TMV38" s="624"/>
      <c r="TMW38" s="624"/>
      <c r="TMX38" s="624"/>
      <c r="TMY38" s="624"/>
      <c r="TMZ38" s="624"/>
      <c r="TNA38" s="624"/>
      <c r="TNB38" s="624"/>
      <c r="TNC38" s="624"/>
      <c r="TND38" s="624"/>
      <c r="TNE38" s="624"/>
      <c r="TNF38" s="624"/>
      <c r="TNG38" s="624"/>
      <c r="TNH38" s="624"/>
      <c r="TNI38" s="624"/>
      <c r="TNJ38" s="624"/>
      <c r="TNK38" s="624"/>
      <c r="TNL38" s="624"/>
      <c r="TNM38" s="624"/>
      <c r="TNN38" s="624"/>
      <c r="TNO38" s="624"/>
      <c r="TNP38" s="624"/>
      <c r="TNQ38" s="624"/>
      <c r="TNR38" s="624"/>
      <c r="TNS38" s="624"/>
      <c r="TNT38" s="624"/>
      <c r="TNU38" s="624"/>
      <c r="TNV38" s="624"/>
      <c r="TNW38" s="624"/>
      <c r="TNX38" s="624"/>
      <c r="TNY38" s="624"/>
      <c r="TNZ38" s="624"/>
      <c r="TOA38" s="624"/>
      <c r="TOB38" s="624"/>
      <c r="TOC38" s="624"/>
      <c r="TOD38" s="624"/>
      <c r="TOE38" s="624"/>
      <c r="TOF38" s="624"/>
      <c r="TOG38" s="624"/>
      <c r="TOH38" s="624"/>
      <c r="TOI38" s="624"/>
      <c r="TOJ38" s="624"/>
      <c r="TOK38" s="624"/>
      <c r="TOL38" s="624"/>
      <c r="TOM38" s="624"/>
      <c r="TON38" s="624"/>
      <c r="TOO38" s="624"/>
      <c r="TOP38" s="624"/>
      <c r="TOQ38" s="624"/>
      <c r="TOR38" s="624"/>
      <c r="TOS38" s="624"/>
      <c r="TOT38" s="624"/>
      <c r="TOU38" s="624"/>
      <c r="TOV38" s="624"/>
      <c r="TOW38" s="624"/>
      <c r="TOX38" s="624"/>
      <c r="TOY38" s="624"/>
      <c r="TOZ38" s="624"/>
      <c r="TPA38" s="624"/>
      <c r="TPB38" s="624"/>
      <c r="TPC38" s="624"/>
      <c r="TPD38" s="624"/>
      <c r="TPE38" s="624"/>
      <c r="TPF38" s="624"/>
      <c r="TPG38" s="624"/>
      <c r="TPH38" s="624"/>
      <c r="TPI38" s="624"/>
      <c r="TPJ38" s="624"/>
      <c r="TPK38" s="624"/>
      <c r="TPL38" s="624"/>
      <c r="TPM38" s="624"/>
      <c r="TPN38" s="624"/>
      <c r="TPO38" s="624"/>
      <c r="TPP38" s="624"/>
      <c r="TPQ38" s="624"/>
      <c r="TPR38" s="624"/>
      <c r="TPS38" s="624"/>
      <c r="TPT38" s="624"/>
      <c r="TPU38" s="624"/>
      <c r="TPV38" s="624"/>
      <c r="TPW38" s="624"/>
      <c r="TPX38" s="624"/>
      <c r="TPY38" s="624"/>
      <c r="TPZ38" s="624"/>
      <c r="TQA38" s="624"/>
      <c r="TQB38" s="624"/>
      <c r="TQC38" s="624"/>
      <c r="TQD38" s="624"/>
      <c r="TQE38" s="624"/>
      <c r="TQF38" s="624"/>
      <c r="TQG38" s="624"/>
      <c r="TQH38" s="624"/>
      <c r="TQI38" s="624"/>
      <c r="TQJ38" s="624"/>
      <c r="TQK38" s="624"/>
      <c r="TQL38" s="624"/>
      <c r="TQM38" s="624"/>
      <c r="TQN38" s="624"/>
      <c r="TQO38" s="624"/>
      <c r="TQP38" s="624"/>
      <c r="TQQ38" s="624"/>
      <c r="TQR38" s="624"/>
      <c r="TQS38" s="624"/>
      <c r="TQT38" s="624"/>
      <c r="TQU38" s="624"/>
      <c r="TQV38" s="624"/>
      <c r="TQW38" s="624"/>
      <c r="TQX38" s="624"/>
      <c r="TQY38" s="624"/>
      <c r="TQZ38" s="624"/>
      <c r="TRA38" s="624"/>
      <c r="TRB38" s="624"/>
      <c r="TRC38" s="624"/>
      <c r="TRD38" s="624"/>
      <c r="TRE38" s="624"/>
      <c r="TRF38" s="624"/>
      <c r="TRG38" s="624"/>
      <c r="TRH38" s="624"/>
      <c r="TRI38" s="624"/>
      <c r="TRJ38" s="624"/>
      <c r="TRK38" s="624"/>
      <c r="TRL38" s="624"/>
      <c r="TRM38" s="624"/>
      <c r="TRN38" s="624"/>
      <c r="TRO38" s="624"/>
      <c r="TRP38" s="624"/>
      <c r="TRQ38" s="624"/>
      <c r="TRR38" s="624"/>
      <c r="TRS38" s="624"/>
      <c r="TRT38" s="624"/>
      <c r="TRU38" s="624"/>
      <c r="TRV38" s="624"/>
      <c r="TRW38" s="624"/>
      <c r="TRX38" s="624"/>
      <c r="TRY38" s="624"/>
      <c r="TRZ38" s="624"/>
      <c r="TSA38" s="624"/>
      <c r="TSB38" s="624"/>
      <c r="TSC38" s="624"/>
      <c r="TSD38" s="624"/>
      <c r="TSE38" s="624"/>
      <c r="TSF38" s="624"/>
      <c r="TSG38" s="624"/>
      <c r="TSH38" s="624"/>
      <c r="TSI38" s="624"/>
      <c r="TSJ38" s="624"/>
      <c r="TSK38" s="624"/>
      <c r="TSL38" s="624"/>
      <c r="TSM38" s="624"/>
      <c r="TSN38" s="624"/>
      <c r="TSO38" s="624"/>
      <c r="TSP38" s="624"/>
      <c r="TSQ38" s="624"/>
      <c r="TSR38" s="624"/>
      <c r="TSS38" s="624"/>
      <c r="TST38" s="624"/>
      <c r="TSU38" s="624"/>
      <c r="TSV38" s="624"/>
      <c r="TSW38" s="624"/>
      <c r="TSX38" s="624"/>
      <c r="TSY38" s="624"/>
      <c r="TSZ38" s="624"/>
      <c r="TTA38" s="624"/>
      <c r="TTB38" s="624"/>
      <c r="TTC38" s="624"/>
      <c r="TTD38" s="624"/>
      <c r="TTE38" s="624"/>
      <c r="TTF38" s="624"/>
      <c r="TTG38" s="624"/>
      <c r="TTH38" s="624"/>
      <c r="TTI38" s="624"/>
      <c r="TTJ38" s="624"/>
      <c r="TTK38" s="624"/>
      <c r="TTL38" s="624"/>
      <c r="TTM38" s="624"/>
      <c r="TTN38" s="624"/>
      <c r="TTO38" s="624"/>
      <c r="TTP38" s="624"/>
      <c r="TTQ38" s="624"/>
      <c r="TTR38" s="624"/>
      <c r="TTS38" s="624"/>
      <c r="TTT38" s="624"/>
      <c r="TTU38" s="624"/>
      <c r="TTV38" s="624"/>
      <c r="TTW38" s="624"/>
      <c r="TTX38" s="624"/>
      <c r="TTY38" s="624"/>
      <c r="TTZ38" s="624"/>
      <c r="TUA38" s="624"/>
      <c r="TUB38" s="624"/>
      <c r="TUC38" s="624"/>
      <c r="TUD38" s="624"/>
      <c r="TUE38" s="624"/>
      <c r="TUF38" s="624"/>
      <c r="TUG38" s="624"/>
      <c r="TUH38" s="624"/>
      <c r="TUI38" s="624"/>
      <c r="TUJ38" s="624"/>
      <c r="TUK38" s="624"/>
      <c r="TUL38" s="624"/>
      <c r="TUM38" s="624"/>
      <c r="TUN38" s="624"/>
      <c r="TUO38" s="624"/>
      <c r="TUP38" s="624"/>
      <c r="TUQ38" s="624"/>
      <c r="TUR38" s="624"/>
      <c r="TUS38" s="624"/>
      <c r="TUT38" s="624"/>
      <c r="TUU38" s="624"/>
      <c r="TUV38" s="624"/>
      <c r="TUW38" s="624"/>
      <c r="TUX38" s="624"/>
      <c r="TUY38" s="624"/>
      <c r="TUZ38" s="624"/>
      <c r="TVA38" s="624"/>
      <c r="TVB38" s="624"/>
      <c r="TVC38" s="624"/>
      <c r="TVD38" s="624"/>
      <c r="TVE38" s="624"/>
      <c r="TVF38" s="624"/>
      <c r="TVG38" s="624"/>
      <c r="TVH38" s="624"/>
      <c r="TVI38" s="624"/>
      <c r="TVJ38" s="624"/>
      <c r="TVK38" s="624"/>
      <c r="TVL38" s="624"/>
      <c r="TVM38" s="624"/>
      <c r="TVN38" s="624"/>
      <c r="TVO38" s="624"/>
      <c r="TVP38" s="624"/>
      <c r="TVQ38" s="624"/>
      <c r="TVR38" s="624"/>
      <c r="TVS38" s="624"/>
      <c r="TVT38" s="624"/>
      <c r="TVU38" s="624"/>
      <c r="TVV38" s="624"/>
      <c r="TVW38" s="624"/>
      <c r="TVX38" s="624"/>
      <c r="TVY38" s="624"/>
      <c r="TVZ38" s="624"/>
      <c r="TWA38" s="624"/>
      <c r="TWB38" s="624"/>
      <c r="TWC38" s="624"/>
      <c r="TWD38" s="624"/>
      <c r="TWE38" s="624"/>
      <c r="TWF38" s="624"/>
      <c r="TWG38" s="624"/>
      <c r="TWH38" s="624"/>
      <c r="TWI38" s="624"/>
      <c r="TWJ38" s="624"/>
      <c r="TWK38" s="624"/>
      <c r="TWL38" s="624"/>
      <c r="TWM38" s="624"/>
      <c r="TWN38" s="624"/>
      <c r="TWO38" s="624"/>
      <c r="TWP38" s="624"/>
      <c r="TWQ38" s="624"/>
      <c r="TWR38" s="624"/>
      <c r="TWS38" s="624"/>
      <c r="TWT38" s="624"/>
      <c r="TWU38" s="624"/>
      <c r="TWV38" s="624"/>
      <c r="TWW38" s="624"/>
      <c r="TWX38" s="624"/>
      <c r="TWY38" s="624"/>
      <c r="TWZ38" s="624"/>
      <c r="TXA38" s="624"/>
      <c r="TXB38" s="624"/>
      <c r="TXC38" s="624"/>
      <c r="TXD38" s="624"/>
      <c r="TXE38" s="624"/>
      <c r="TXF38" s="624"/>
      <c r="TXG38" s="624"/>
      <c r="TXH38" s="624"/>
      <c r="TXI38" s="624"/>
      <c r="TXJ38" s="624"/>
      <c r="TXK38" s="624"/>
      <c r="TXL38" s="624"/>
      <c r="TXM38" s="624"/>
      <c r="TXN38" s="624"/>
      <c r="TXO38" s="624"/>
      <c r="TXP38" s="624"/>
      <c r="TXQ38" s="624"/>
      <c r="TXR38" s="624"/>
      <c r="TXS38" s="624"/>
      <c r="TXT38" s="624"/>
      <c r="TXU38" s="624"/>
      <c r="TXV38" s="624"/>
      <c r="TXW38" s="624"/>
      <c r="TXX38" s="624"/>
      <c r="TXY38" s="624"/>
      <c r="TXZ38" s="624"/>
      <c r="TYA38" s="624"/>
      <c r="TYB38" s="624"/>
      <c r="TYC38" s="624"/>
      <c r="TYD38" s="624"/>
      <c r="TYE38" s="624"/>
      <c r="TYF38" s="624"/>
      <c r="TYG38" s="624"/>
      <c r="TYH38" s="624"/>
      <c r="TYI38" s="624"/>
      <c r="TYJ38" s="624"/>
      <c r="TYK38" s="624"/>
      <c r="TYL38" s="624"/>
      <c r="TYM38" s="624"/>
      <c r="TYN38" s="624"/>
      <c r="TYO38" s="624"/>
      <c r="TYP38" s="624"/>
      <c r="TYQ38" s="624"/>
      <c r="TYR38" s="624"/>
      <c r="TYS38" s="624"/>
      <c r="TYT38" s="624"/>
      <c r="TYU38" s="624"/>
      <c r="TYV38" s="624"/>
      <c r="TYW38" s="624"/>
      <c r="TYX38" s="624"/>
      <c r="TYY38" s="624"/>
      <c r="TYZ38" s="624"/>
      <c r="TZA38" s="624"/>
      <c r="TZB38" s="624"/>
      <c r="TZC38" s="624"/>
      <c r="TZD38" s="624"/>
      <c r="TZE38" s="624"/>
      <c r="TZF38" s="624"/>
      <c r="TZG38" s="624"/>
      <c r="TZH38" s="624"/>
      <c r="TZI38" s="624"/>
      <c r="TZJ38" s="624"/>
      <c r="TZK38" s="624"/>
      <c r="TZL38" s="624"/>
      <c r="TZM38" s="624"/>
      <c r="TZN38" s="624"/>
      <c r="TZO38" s="624"/>
      <c r="TZP38" s="624"/>
      <c r="TZQ38" s="624"/>
      <c r="TZR38" s="624"/>
      <c r="TZS38" s="624"/>
      <c r="TZT38" s="624"/>
      <c r="TZU38" s="624"/>
      <c r="TZV38" s="624"/>
      <c r="TZW38" s="624"/>
      <c r="TZX38" s="624"/>
      <c r="TZY38" s="624"/>
      <c r="TZZ38" s="624"/>
      <c r="UAA38" s="624"/>
      <c r="UAB38" s="624"/>
      <c r="UAC38" s="624"/>
      <c r="UAD38" s="624"/>
      <c r="UAE38" s="624"/>
      <c r="UAF38" s="624"/>
      <c r="UAG38" s="624"/>
      <c r="UAH38" s="624"/>
      <c r="UAI38" s="624"/>
      <c r="UAJ38" s="624"/>
      <c r="UAK38" s="624"/>
      <c r="UAL38" s="624"/>
      <c r="UAM38" s="624"/>
      <c r="UAN38" s="624"/>
      <c r="UAO38" s="624"/>
      <c r="UAP38" s="624"/>
      <c r="UAQ38" s="624"/>
      <c r="UAR38" s="624"/>
      <c r="UAS38" s="624"/>
      <c r="UAT38" s="624"/>
      <c r="UAU38" s="624"/>
      <c r="UAV38" s="624"/>
      <c r="UAW38" s="624"/>
      <c r="UAX38" s="624"/>
      <c r="UAY38" s="624"/>
      <c r="UAZ38" s="624"/>
      <c r="UBA38" s="624"/>
      <c r="UBB38" s="624"/>
      <c r="UBC38" s="624"/>
      <c r="UBD38" s="624"/>
      <c r="UBE38" s="624"/>
      <c r="UBF38" s="624"/>
      <c r="UBG38" s="624"/>
      <c r="UBH38" s="624"/>
      <c r="UBI38" s="624"/>
      <c r="UBJ38" s="624"/>
      <c r="UBK38" s="624"/>
      <c r="UBL38" s="624"/>
      <c r="UBM38" s="624"/>
      <c r="UBN38" s="624"/>
      <c r="UBO38" s="624"/>
      <c r="UBP38" s="624"/>
      <c r="UBQ38" s="624"/>
      <c r="UBR38" s="624"/>
      <c r="UBS38" s="624"/>
      <c r="UBT38" s="624"/>
      <c r="UBU38" s="624"/>
      <c r="UBV38" s="624"/>
      <c r="UBW38" s="624"/>
      <c r="UBX38" s="624"/>
      <c r="UBY38" s="624"/>
      <c r="UBZ38" s="624"/>
      <c r="UCA38" s="624"/>
      <c r="UCB38" s="624"/>
      <c r="UCC38" s="624"/>
      <c r="UCD38" s="624"/>
      <c r="UCE38" s="624"/>
      <c r="UCF38" s="624"/>
      <c r="UCG38" s="624"/>
      <c r="UCH38" s="624"/>
      <c r="UCI38" s="624"/>
      <c r="UCJ38" s="624"/>
      <c r="UCK38" s="624"/>
      <c r="UCL38" s="624"/>
      <c r="UCM38" s="624"/>
      <c r="UCN38" s="624"/>
      <c r="UCO38" s="624"/>
      <c r="UCP38" s="624"/>
      <c r="UCQ38" s="624"/>
      <c r="UCR38" s="624"/>
      <c r="UCS38" s="624"/>
      <c r="UCT38" s="624"/>
      <c r="UCU38" s="624"/>
      <c r="UCV38" s="624"/>
      <c r="UCW38" s="624"/>
      <c r="UCX38" s="624"/>
      <c r="UCY38" s="624"/>
      <c r="UCZ38" s="624"/>
      <c r="UDA38" s="624"/>
      <c r="UDB38" s="624"/>
      <c r="UDC38" s="624"/>
      <c r="UDD38" s="624"/>
      <c r="UDE38" s="624"/>
      <c r="UDF38" s="624"/>
      <c r="UDG38" s="624"/>
      <c r="UDH38" s="624"/>
      <c r="UDI38" s="624"/>
      <c r="UDJ38" s="624"/>
      <c r="UDK38" s="624"/>
      <c r="UDL38" s="624"/>
      <c r="UDM38" s="624"/>
      <c r="UDN38" s="624"/>
      <c r="UDO38" s="624"/>
      <c r="UDP38" s="624"/>
      <c r="UDQ38" s="624"/>
      <c r="UDR38" s="624"/>
      <c r="UDS38" s="624"/>
      <c r="UDT38" s="624"/>
      <c r="UDU38" s="624"/>
      <c r="UDV38" s="624"/>
      <c r="UDW38" s="624"/>
      <c r="UDX38" s="624"/>
      <c r="UDY38" s="624"/>
      <c r="UDZ38" s="624"/>
      <c r="UEA38" s="624"/>
      <c r="UEB38" s="624"/>
      <c r="UEC38" s="624"/>
      <c r="UED38" s="624"/>
      <c r="UEE38" s="624"/>
      <c r="UEF38" s="624"/>
      <c r="UEG38" s="624"/>
      <c r="UEH38" s="624"/>
      <c r="UEI38" s="624"/>
      <c r="UEJ38" s="624"/>
      <c r="UEK38" s="624"/>
      <c r="UEL38" s="624"/>
      <c r="UEM38" s="624"/>
      <c r="UEN38" s="624"/>
      <c r="UEO38" s="624"/>
      <c r="UEP38" s="624"/>
      <c r="UEQ38" s="624"/>
      <c r="UER38" s="624"/>
      <c r="UES38" s="624"/>
      <c r="UET38" s="624"/>
      <c r="UEU38" s="624"/>
      <c r="UEV38" s="624"/>
      <c r="UEW38" s="624"/>
      <c r="UEX38" s="624"/>
      <c r="UEY38" s="624"/>
      <c r="UEZ38" s="624"/>
      <c r="UFA38" s="624"/>
      <c r="UFB38" s="624"/>
      <c r="UFC38" s="624"/>
      <c r="UFD38" s="624"/>
      <c r="UFE38" s="624"/>
      <c r="UFF38" s="624"/>
      <c r="UFG38" s="624"/>
      <c r="UFH38" s="624"/>
      <c r="UFI38" s="624"/>
      <c r="UFJ38" s="624"/>
      <c r="UFK38" s="624"/>
      <c r="UFL38" s="624"/>
      <c r="UFM38" s="624"/>
      <c r="UFN38" s="624"/>
      <c r="UFO38" s="624"/>
      <c r="UFP38" s="624"/>
      <c r="UFQ38" s="624"/>
      <c r="UFR38" s="624"/>
      <c r="UFS38" s="624"/>
      <c r="UFT38" s="624"/>
      <c r="UFU38" s="624"/>
      <c r="UFV38" s="624"/>
      <c r="UFW38" s="624"/>
      <c r="UFX38" s="624"/>
      <c r="UFY38" s="624"/>
      <c r="UFZ38" s="624"/>
      <c r="UGA38" s="624"/>
      <c r="UGB38" s="624"/>
      <c r="UGC38" s="624"/>
      <c r="UGD38" s="624"/>
      <c r="UGE38" s="624"/>
      <c r="UGF38" s="624"/>
      <c r="UGG38" s="624"/>
      <c r="UGH38" s="624"/>
      <c r="UGI38" s="624"/>
      <c r="UGJ38" s="624"/>
      <c r="UGK38" s="624"/>
      <c r="UGL38" s="624"/>
      <c r="UGM38" s="624"/>
      <c r="UGN38" s="624"/>
      <c r="UGO38" s="624"/>
      <c r="UGP38" s="624"/>
      <c r="UGQ38" s="624"/>
      <c r="UGR38" s="624"/>
      <c r="UGS38" s="624"/>
      <c r="UGT38" s="624"/>
      <c r="UGU38" s="624"/>
      <c r="UGV38" s="624"/>
      <c r="UGW38" s="624"/>
      <c r="UGX38" s="624"/>
      <c r="UGY38" s="624"/>
      <c r="UGZ38" s="624"/>
      <c r="UHA38" s="624"/>
      <c r="UHB38" s="624"/>
      <c r="UHC38" s="624"/>
      <c r="UHD38" s="624"/>
      <c r="UHE38" s="624"/>
      <c r="UHF38" s="624"/>
      <c r="UHG38" s="624"/>
      <c r="UHH38" s="624"/>
      <c r="UHI38" s="624"/>
      <c r="UHJ38" s="624"/>
      <c r="UHK38" s="624"/>
      <c r="UHL38" s="624"/>
      <c r="UHM38" s="624"/>
      <c r="UHN38" s="624"/>
      <c r="UHO38" s="624"/>
      <c r="UHP38" s="624"/>
      <c r="UHQ38" s="624"/>
      <c r="UHR38" s="624"/>
      <c r="UHS38" s="624"/>
      <c r="UHT38" s="624"/>
      <c r="UHU38" s="624"/>
      <c r="UHV38" s="624"/>
      <c r="UHW38" s="624"/>
      <c r="UHX38" s="624"/>
      <c r="UHY38" s="624"/>
      <c r="UHZ38" s="624"/>
      <c r="UIA38" s="624"/>
      <c r="UIB38" s="624"/>
      <c r="UIC38" s="624"/>
      <c r="UID38" s="624"/>
      <c r="UIE38" s="624"/>
      <c r="UIF38" s="624"/>
      <c r="UIG38" s="624"/>
      <c r="UIH38" s="624"/>
      <c r="UII38" s="624"/>
      <c r="UIJ38" s="624"/>
      <c r="UIK38" s="624"/>
      <c r="UIL38" s="624"/>
      <c r="UIM38" s="624"/>
      <c r="UIN38" s="624"/>
      <c r="UIO38" s="624"/>
      <c r="UIP38" s="624"/>
      <c r="UIQ38" s="624"/>
      <c r="UIR38" s="624"/>
      <c r="UIS38" s="624"/>
      <c r="UIT38" s="624"/>
      <c r="UIU38" s="624"/>
      <c r="UIV38" s="624"/>
      <c r="UIW38" s="624"/>
      <c r="UIX38" s="624"/>
      <c r="UIY38" s="624"/>
      <c r="UIZ38" s="624"/>
      <c r="UJA38" s="624"/>
      <c r="UJB38" s="624"/>
      <c r="UJC38" s="624"/>
      <c r="UJD38" s="624"/>
      <c r="UJE38" s="624"/>
      <c r="UJF38" s="624"/>
      <c r="UJG38" s="624"/>
      <c r="UJH38" s="624"/>
      <c r="UJI38" s="624"/>
      <c r="UJJ38" s="624"/>
      <c r="UJK38" s="624"/>
      <c r="UJL38" s="624"/>
      <c r="UJM38" s="624"/>
      <c r="UJN38" s="624"/>
      <c r="UJO38" s="624"/>
      <c r="UJP38" s="624"/>
      <c r="UJQ38" s="624"/>
      <c r="UJR38" s="624"/>
      <c r="UJS38" s="624"/>
      <c r="UJT38" s="624"/>
      <c r="UJU38" s="624"/>
      <c r="UJV38" s="624"/>
      <c r="UJW38" s="624"/>
      <c r="UJX38" s="624"/>
      <c r="UJY38" s="624"/>
      <c r="UJZ38" s="624"/>
      <c r="UKA38" s="624"/>
      <c r="UKB38" s="624"/>
      <c r="UKC38" s="624"/>
      <c r="UKD38" s="624"/>
      <c r="UKE38" s="624"/>
      <c r="UKF38" s="624"/>
      <c r="UKG38" s="624"/>
      <c r="UKH38" s="624"/>
      <c r="UKI38" s="624"/>
      <c r="UKJ38" s="624"/>
      <c r="UKK38" s="624"/>
      <c r="UKL38" s="624"/>
      <c r="UKM38" s="624"/>
      <c r="UKN38" s="624"/>
      <c r="UKO38" s="624"/>
      <c r="UKP38" s="624"/>
      <c r="UKQ38" s="624"/>
      <c r="UKR38" s="624"/>
      <c r="UKS38" s="624"/>
      <c r="UKT38" s="624"/>
      <c r="UKU38" s="624"/>
      <c r="UKV38" s="624"/>
      <c r="UKW38" s="624"/>
      <c r="UKX38" s="624"/>
      <c r="UKY38" s="624"/>
      <c r="UKZ38" s="624"/>
      <c r="ULA38" s="624"/>
      <c r="ULB38" s="624"/>
      <c r="ULC38" s="624"/>
      <c r="ULD38" s="624"/>
      <c r="ULE38" s="624"/>
      <c r="ULF38" s="624"/>
      <c r="ULG38" s="624"/>
      <c r="ULH38" s="624"/>
      <c r="ULI38" s="624"/>
      <c r="ULJ38" s="624"/>
      <c r="ULK38" s="624"/>
      <c r="ULL38" s="624"/>
      <c r="ULM38" s="624"/>
      <c r="ULN38" s="624"/>
      <c r="ULO38" s="624"/>
      <c r="ULP38" s="624"/>
      <c r="ULQ38" s="624"/>
      <c r="ULR38" s="624"/>
      <c r="ULS38" s="624"/>
      <c r="ULT38" s="624"/>
      <c r="ULU38" s="624"/>
      <c r="ULV38" s="624"/>
      <c r="ULW38" s="624"/>
      <c r="ULX38" s="624"/>
      <c r="ULY38" s="624"/>
      <c r="ULZ38" s="624"/>
      <c r="UMA38" s="624"/>
      <c r="UMB38" s="624"/>
      <c r="UMC38" s="624"/>
      <c r="UMD38" s="624"/>
      <c r="UME38" s="624"/>
      <c r="UMF38" s="624"/>
      <c r="UMG38" s="624"/>
      <c r="UMH38" s="624"/>
      <c r="UMI38" s="624"/>
      <c r="UMJ38" s="624"/>
      <c r="UMK38" s="624"/>
      <c r="UML38" s="624"/>
      <c r="UMM38" s="624"/>
      <c r="UMN38" s="624"/>
      <c r="UMO38" s="624"/>
      <c r="UMP38" s="624"/>
      <c r="UMQ38" s="624"/>
      <c r="UMR38" s="624"/>
      <c r="UMS38" s="624"/>
      <c r="UMT38" s="624"/>
      <c r="UMU38" s="624"/>
      <c r="UMV38" s="624"/>
      <c r="UMW38" s="624"/>
      <c r="UMX38" s="624"/>
      <c r="UMY38" s="624"/>
      <c r="UMZ38" s="624"/>
      <c r="UNA38" s="624"/>
      <c r="UNB38" s="624"/>
      <c r="UNC38" s="624"/>
      <c r="UND38" s="624"/>
      <c r="UNE38" s="624"/>
      <c r="UNF38" s="624"/>
      <c r="UNG38" s="624"/>
      <c r="UNH38" s="624"/>
      <c r="UNI38" s="624"/>
      <c r="UNJ38" s="624"/>
      <c r="UNK38" s="624"/>
      <c r="UNL38" s="624"/>
      <c r="UNM38" s="624"/>
      <c r="UNN38" s="624"/>
      <c r="UNO38" s="624"/>
      <c r="UNP38" s="624"/>
      <c r="UNQ38" s="624"/>
      <c r="UNR38" s="624"/>
      <c r="UNS38" s="624"/>
      <c r="UNT38" s="624"/>
      <c r="UNU38" s="624"/>
      <c r="UNV38" s="624"/>
      <c r="UNW38" s="624"/>
      <c r="UNX38" s="624"/>
      <c r="UNY38" s="624"/>
      <c r="UNZ38" s="624"/>
      <c r="UOA38" s="624"/>
      <c r="UOB38" s="624"/>
      <c r="UOC38" s="624"/>
      <c r="UOD38" s="624"/>
      <c r="UOE38" s="624"/>
      <c r="UOF38" s="624"/>
      <c r="UOG38" s="624"/>
      <c r="UOH38" s="624"/>
      <c r="UOI38" s="624"/>
      <c r="UOJ38" s="624"/>
      <c r="UOK38" s="624"/>
      <c r="UOL38" s="624"/>
      <c r="UOM38" s="624"/>
      <c r="UON38" s="624"/>
      <c r="UOO38" s="624"/>
      <c r="UOP38" s="624"/>
      <c r="UOQ38" s="624"/>
      <c r="UOR38" s="624"/>
      <c r="UOS38" s="624"/>
      <c r="UOT38" s="624"/>
      <c r="UOU38" s="624"/>
      <c r="UOV38" s="624"/>
      <c r="UOW38" s="624"/>
      <c r="UOX38" s="624"/>
      <c r="UOY38" s="624"/>
      <c r="UOZ38" s="624"/>
      <c r="UPA38" s="624"/>
      <c r="UPB38" s="624"/>
      <c r="UPC38" s="624"/>
      <c r="UPD38" s="624"/>
      <c r="UPE38" s="624"/>
      <c r="UPF38" s="624"/>
      <c r="UPG38" s="624"/>
      <c r="UPH38" s="624"/>
      <c r="UPI38" s="624"/>
      <c r="UPJ38" s="624"/>
      <c r="UPK38" s="624"/>
      <c r="UPL38" s="624"/>
      <c r="UPM38" s="624"/>
      <c r="UPN38" s="624"/>
      <c r="UPO38" s="624"/>
      <c r="UPP38" s="624"/>
      <c r="UPQ38" s="624"/>
      <c r="UPR38" s="624"/>
      <c r="UPS38" s="624"/>
      <c r="UPT38" s="624"/>
      <c r="UPU38" s="624"/>
      <c r="UPV38" s="624"/>
      <c r="UPW38" s="624"/>
      <c r="UPX38" s="624"/>
      <c r="UPY38" s="624"/>
      <c r="UPZ38" s="624"/>
      <c r="UQA38" s="624"/>
      <c r="UQB38" s="624"/>
      <c r="UQC38" s="624"/>
      <c r="UQD38" s="624"/>
      <c r="UQE38" s="624"/>
      <c r="UQF38" s="624"/>
      <c r="UQG38" s="624"/>
      <c r="UQH38" s="624"/>
      <c r="UQI38" s="624"/>
      <c r="UQJ38" s="624"/>
      <c r="UQK38" s="624"/>
      <c r="UQL38" s="624"/>
      <c r="UQM38" s="624"/>
      <c r="UQN38" s="624"/>
      <c r="UQO38" s="624"/>
      <c r="UQP38" s="624"/>
      <c r="UQQ38" s="624"/>
      <c r="UQR38" s="624"/>
      <c r="UQS38" s="624"/>
      <c r="UQT38" s="624"/>
      <c r="UQU38" s="624"/>
      <c r="UQV38" s="624"/>
      <c r="UQW38" s="624"/>
      <c r="UQX38" s="624"/>
      <c r="UQY38" s="624"/>
      <c r="UQZ38" s="624"/>
      <c r="URA38" s="624"/>
      <c r="URB38" s="624"/>
      <c r="URC38" s="624"/>
      <c r="URD38" s="624"/>
      <c r="URE38" s="624"/>
      <c r="URF38" s="624"/>
      <c r="URG38" s="624"/>
      <c r="URH38" s="624"/>
      <c r="URI38" s="624"/>
      <c r="URJ38" s="624"/>
      <c r="URK38" s="624"/>
      <c r="URL38" s="624"/>
      <c r="URM38" s="624"/>
      <c r="URN38" s="624"/>
      <c r="URO38" s="624"/>
      <c r="URP38" s="624"/>
      <c r="URQ38" s="624"/>
      <c r="URR38" s="624"/>
      <c r="URS38" s="624"/>
      <c r="URT38" s="624"/>
      <c r="URU38" s="624"/>
      <c r="URV38" s="624"/>
      <c r="URW38" s="624"/>
      <c r="URX38" s="624"/>
      <c r="URY38" s="624"/>
      <c r="URZ38" s="624"/>
      <c r="USA38" s="624"/>
      <c r="USB38" s="624"/>
      <c r="USC38" s="624"/>
      <c r="USD38" s="624"/>
      <c r="USE38" s="624"/>
      <c r="USF38" s="624"/>
      <c r="USG38" s="624"/>
      <c r="USH38" s="624"/>
      <c r="USI38" s="624"/>
      <c r="USJ38" s="624"/>
      <c r="USK38" s="624"/>
      <c r="USL38" s="624"/>
      <c r="USM38" s="624"/>
      <c r="USN38" s="624"/>
      <c r="USO38" s="624"/>
      <c r="USP38" s="624"/>
      <c r="USQ38" s="624"/>
      <c r="USR38" s="624"/>
      <c r="USS38" s="624"/>
      <c r="UST38" s="624"/>
      <c r="USU38" s="624"/>
      <c r="USV38" s="624"/>
      <c r="USW38" s="624"/>
      <c r="USX38" s="624"/>
      <c r="USY38" s="624"/>
      <c r="USZ38" s="624"/>
      <c r="UTA38" s="624"/>
      <c r="UTB38" s="624"/>
      <c r="UTC38" s="624"/>
      <c r="UTD38" s="624"/>
      <c r="UTE38" s="624"/>
      <c r="UTF38" s="624"/>
      <c r="UTG38" s="624"/>
      <c r="UTH38" s="624"/>
      <c r="UTI38" s="624"/>
      <c r="UTJ38" s="624"/>
      <c r="UTK38" s="624"/>
      <c r="UTL38" s="624"/>
      <c r="UTM38" s="624"/>
      <c r="UTN38" s="624"/>
      <c r="UTO38" s="624"/>
      <c r="UTP38" s="624"/>
      <c r="UTQ38" s="624"/>
      <c r="UTR38" s="624"/>
      <c r="UTS38" s="624"/>
      <c r="UTT38" s="624"/>
      <c r="UTU38" s="624"/>
      <c r="UTV38" s="624"/>
      <c r="UTW38" s="624"/>
      <c r="UTX38" s="624"/>
      <c r="UTY38" s="624"/>
      <c r="UTZ38" s="624"/>
      <c r="UUA38" s="624"/>
      <c r="UUB38" s="624"/>
      <c r="UUC38" s="624"/>
      <c r="UUD38" s="624"/>
      <c r="UUE38" s="624"/>
      <c r="UUF38" s="624"/>
      <c r="UUG38" s="624"/>
      <c r="UUH38" s="624"/>
      <c r="UUI38" s="624"/>
      <c r="UUJ38" s="624"/>
      <c r="UUK38" s="624"/>
      <c r="UUL38" s="624"/>
      <c r="UUM38" s="624"/>
      <c r="UUN38" s="624"/>
      <c r="UUO38" s="624"/>
      <c r="UUP38" s="624"/>
      <c r="UUQ38" s="624"/>
      <c r="UUR38" s="624"/>
      <c r="UUS38" s="624"/>
      <c r="UUT38" s="624"/>
      <c r="UUU38" s="624"/>
      <c r="UUV38" s="624"/>
      <c r="UUW38" s="624"/>
      <c r="UUX38" s="624"/>
      <c r="UUY38" s="624"/>
      <c r="UUZ38" s="624"/>
      <c r="UVA38" s="624"/>
      <c r="UVB38" s="624"/>
      <c r="UVC38" s="624"/>
      <c r="UVD38" s="624"/>
      <c r="UVE38" s="624"/>
      <c r="UVF38" s="624"/>
      <c r="UVG38" s="624"/>
      <c r="UVH38" s="624"/>
      <c r="UVI38" s="624"/>
      <c r="UVJ38" s="624"/>
      <c r="UVK38" s="624"/>
      <c r="UVL38" s="624"/>
      <c r="UVM38" s="624"/>
      <c r="UVN38" s="624"/>
      <c r="UVO38" s="624"/>
      <c r="UVP38" s="624"/>
      <c r="UVQ38" s="624"/>
      <c r="UVR38" s="624"/>
      <c r="UVS38" s="624"/>
      <c r="UVT38" s="624"/>
      <c r="UVU38" s="624"/>
      <c r="UVV38" s="624"/>
      <c r="UVW38" s="624"/>
      <c r="UVX38" s="624"/>
      <c r="UVY38" s="624"/>
      <c r="UVZ38" s="624"/>
      <c r="UWA38" s="624"/>
      <c r="UWB38" s="624"/>
      <c r="UWC38" s="624"/>
      <c r="UWD38" s="624"/>
      <c r="UWE38" s="624"/>
      <c r="UWF38" s="624"/>
      <c r="UWG38" s="624"/>
      <c r="UWH38" s="624"/>
      <c r="UWI38" s="624"/>
      <c r="UWJ38" s="624"/>
      <c r="UWK38" s="624"/>
      <c r="UWL38" s="624"/>
      <c r="UWM38" s="624"/>
      <c r="UWN38" s="624"/>
      <c r="UWO38" s="624"/>
      <c r="UWP38" s="624"/>
      <c r="UWQ38" s="624"/>
      <c r="UWR38" s="624"/>
      <c r="UWS38" s="624"/>
      <c r="UWT38" s="624"/>
      <c r="UWU38" s="624"/>
      <c r="UWV38" s="624"/>
      <c r="UWW38" s="624"/>
      <c r="UWX38" s="624"/>
      <c r="UWY38" s="624"/>
      <c r="UWZ38" s="624"/>
      <c r="UXA38" s="624"/>
      <c r="UXB38" s="624"/>
      <c r="UXC38" s="624"/>
      <c r="UXD38" s="624"/>
      <c r="UXE38" s="624"/>
      <c r="UXF38" s="624"/>
      <c r="UXG38" s="624"/>
      <c r="UXH38" s="624"/>
      <c r="UXI38" s="624"/>
      <c r="UXJ38" s="624"/>
      <c r="UXK38" s="624"/>
      <c r="UXL38" s="624"/>
      <c r="UXM38" s="624"/>
      <c r="UXN38" s="624"/>
      <c r="UXO38" s="624"/>
      <c r="UXP38" s="624"/>
      <c r="UXQ38" s="624"/>
      <c r="UXR38" s="624"/>
      <c r="UXS38" s="624"/>
      <c r="UXT38" s="624"/>
      <c r="UXU38" s="624"/>
      <c r="UXV38" s="624"/>
      <c r="UXW38" s="624"/>
      <c r="UXX38" s="624"/>
      <c r="UXY38" s="624"/>
      <c r="UXZ38" s="624"/>
      <c r="UYA38" s="624"/>
      <c r="UYB38" s="624"/>
      <c r="UYC38" s="624"/>
      <c r="UYD38" s="624"/>
      <c r="UYE38" s="624"/>
      <c r="UYF38" s="624"/>
      <c r="UYG38" s="624"/>
      <c r="UYH38" s="624"/>
      <c r="UYI38" s="624"/>
      <c r="UYJ38" s="624"/>
      <c r="UYK38" s="624"/>
      <c r="UYL38" s="624"/>
      <c r="UYM38" s="624"/>
      <c r="UYN38" s="624"/>
      <c r="UYO38" s="624"/>
      <c r="UYP38" s="624"/>
      <c r="UYQ38" s="624"/>
      <c r="UYR38" s="624"/>
      <c r="UYS38" s="624"/>
      <c r="UYT38" s="624"/>
      <c r="UYU38" s="624"/>
      <c r="UYV38" s="624"/>
      <c r="UYW38" s="624"/>
      <c r="UYX38" s="624"/>
      <c r="UYY38" s="624"/>
      <c r="UYZ38" s="624"/>
      <c r="UZA38" s="624"/>
      <c r="UZB38" s="624"/>
      <c r="UZC38" s="624"/>
      <c r="UZD38" s="624"/>
      <c r="UZE38" s="624"/>
      <c r="UZF38" s="624"/>
      <c r="UZG38" s="624"/>
      <c r="UZH38" s="624"/>
      <c r="UZI38" s="624"/>
      <c r="UZJ38" s="624"/>
      <c r="UZK38" s="624"/>
      <c r="UZL38" s="624"/>
      <c r="UZM38" s="624"/>
      <c r="UZN38" s="624"/>
      <c r="UZO38" s="624"/>
      <c r="UZP38" s="624"/>
      <c r="UZQ38" s="624"/>
      <c r="UZR38" s="624"/>
      <c r="UZS38" s="624"/>
      <c r="UZT38" s="624"/>
      <c r="UZU38" s="624"/>
      <c r="UZV38" s="624"/>
      <c r="UZW38" s="624"/>
      <c r="UZX38" s="624"/>
      <c r="UZY38" s="624"/>
      <c r="UZZ38" s="624"/>
      <c r="VAA38" s="624"/>
      <c r="VAB38" s="624"/>
      <c r="VAC38" s="624"/>
      <c r="VAD38" s="624"/>
      <c r="VAE38" s="624"/>
      <c r="VAF38" s="624"/>
      <c r="VAG38" s="624"/>
      <c r="VAH38" s="624"/>
      <c r="VAI38" s="624"/>
      <c r="VAJ38" s="624"/>
      <c r="VAK38" s="624"/>
      <c r="VAL38" s="624"/>
      <c r="VAM38" s="624"/>
      <c r="VAN38" s="624"/>
      <c r="VAO38" s="624"/>
      <c r="VAP38" s="624"/>
      <c r="VAQ38" s="624"/>
      <c r="VAR38" s="624"/>
      <c r="VAS38" s="624"/>
      <c r="VAT38" s="624"/>
      <c r="VAU38" s="624"/>
      <c r="VAV38" s="624"/>
      <c r="VAW38" s="624"/>
      <c r="VAX38" s="624"/>
      <c r="VAY38" s="624"/>
      <c r="VAZ38" s="624"/>
      <c r="VBA38" s="624"/>
      <c r="VBB38" s="624"/>
      <c r="VBC38" s="624"/>
      <c r="VBD38" s="624"/>
      <c r="VBE38" s="624"/>
      <c r="VBF38" s="624"/>
      <c r="VBG38" s="624"/>
      <c r="VBH38" s="624"/>
      <c r="VBI38" s="624"/>
      <c r="VBJ38" s="624"/>
      <c r="VBK38" s="624"/>
      <c r="VBL38" s="624"/>
      <c r="VBM38" s="624"/>
      <c r="VBN38" s="624"/>
      <c r="VBO38" s="624"/>
      <c r="VBP38" s="624"/>
      <c r="VBQ38" s="624"/>
      <c r="VBR38" s="624"/>
      <c r="VBS38" s="624"/>
      <c r="VBT38" s="624"/>
      <c r="VBU38" s="624"/>
      <c r="VBV38" s="624"/>
      <c r="VBW38" s="624"/>
      <c r="VBX38" s="624"/>
      <c r="VBY38" s="624"/>
      <c r="VBZ38" s="624"/>
      <c r="VCA38" s="624"/>
      <c r="VCB38" s="624"/>
      <c r="VCC38" s="624"/>
      <c r="VCD38" s="624"/>
      <c r="VCE38" s="624"/>
      <c r="VCF38" s="624"/>
      <c r="VCG38" s="624"/>
      <c r="VCH38" s="624"/>
      <c r="VCI38" s="624"/>
      <c r="VCJ38" s="624"/>
      <c r="VCK38" s="624"/>
      <c r="VCL38" s="624"/>
      <c r="VCM38" s="624"/>
      <c r="VCN38" s="624"/>
      <c r="VCO38" s="624"/>
      <c r="VCP38" s="624"/>
      <c r="VCQ38" s="624"/>
      <c r="VCR38" s="624"/>
      <c r="VCS38" s="624"/>
      <c r="VCT38" s="624"/>
      <c r="VCU38" s="624"/>
      <c r="VCV38" s="624"/>
      <c r="VCW38" s="624"/>
      <c r="VCX38" s="624"/>
      <c r="VCY38" s="624"/>
      <c r="VCZ38" s="624"/>
      <c r="VDA38" s="624"/>
      <c r="VDB38" s="624"/>
      <c r="VDC38" s="624"/>
      <c r="VDD38" s="624"/>
      <c r="VDE38" s="624"/>
      <c r="VDF38" s="624"/>
      <c r="VDG38" s="624"/>
      <c r="VDH38" s="624"/>
      <c r="VDI38" s="624"/>
      <c r="VDJ38" s="624"/>
      <c r="VDK38" s="624"/>
      <c r="VDL38" s="624"/>
      <c r="VDM38" s="624"/>
      <c r="VDN38" s="624"/>
      <c r="VDO38" s="624"/>
      <c r="VDP38" s="624"/>
      <c r="VDQ38" s="624"/>
      <c r="VDR38" s="624"/>
      <c r="VDS38" s="624"/>
      <c r="VDT38" s="624"/>
      <c r="VDU38" s="624"/>
      <c r="VDV38" s="624"/>
      <c r="VDW38" s="624"/>
      <c r="VDX38" s="624"/>
      <c r="VDY38" s="624"/>
      <c r="VDZ38" s="624"/>
      <c r="VEA38" s="624"/>
      <c r="VEB38" s="624"/>
      <c r="VEC38" s="624"/>
      <c r="VED38" s="624"/>
      <c r="VEE38" s="624"/>
      <c r="VEF38" s="624"/>
      <c r="VEG38" s="624"/>
      <c r="VEH38" s="624"/>
      <c r="VEI38" s="624"/>
      <c r="VEJ38" s="624"/>
      <c r="VEK38" s="624"/>
      <c r="VEL38" s="624"/>
      <c r="VEM38" s="624"/>
      <c r="VEN38" s="624"/>
      <c r="VEO38" s="624"/>
      <c r="VEP38" s="624"/>
      <c r="VEQ38" s="624"/>
      <c r="VER38" s="624"/>
      <c r="VES38" s="624"/>
      <c r="VET38" s="624"/>
      <c r="VEU38" s="624"/>
      <c r="VEV38" s="624"/>
      <c r="VEW38" s="624"/>
      <c r="VEX38" s="624"/>
      <c r="VEY38" s="624"/>
      <c r="VEZ38" s="624"/>
      <c r="VFA38" s="624"/>
      <c r="VFB38" s="624"/>
      <c r="VFC38" s="624"/>
      <c r="VFD38" s="624"/>
      <c r="VFE38" s="624"/>
      <c r="VFF38" s="624"/>
      <c r="VFG38" s="624"/>
      <c r="VFH38" s="624"/>
      <c r="VFI38" s="624"/>
      <c r="VFJ38" s="624"/>
      <c r="VFK38" s="624"/>
      <c r="VFL38" s="624"/>
      <c r="VFM38" s="624"/>
      <c r="VFN38" s="624"/>
      <c r="VFO38" s="624"/>
      <c r="VFP38" s="624"/>
      <c r="VFQ38" s="624"/>
      <c r="VFR38" s="624"/>
      <c r="VFS38" s="624"/>
      <c r="VFT38" s="624"/>
      <c r="VFU38" s="624"/>
      <c r="VFV38" s="624"/>
      <c r="VFW38" s="624"/>
      <c r="VFX38" s="624"/>
      <c r="VFY38" s="624"/>
      <c r="VFZ38" s="624"/>
      <c r="VGA38" s="624"/>
      <c r="VGB38" s="624"/>
      <c r="VGC38" s="624"/>
      <c r="VGD38" s="624"/>
      <c r="VGE38" s="624"/>
      <c r="VGF38" s="624"/>
      <c r="VGG38" s="624"/>
      <c r="VGH38" s="624"/>
      <c r="VGI38" s="624"/>
      <c r="VGJ38" s="624"/>
      <c r="VGK38" s="624"/>
      <c r="VGL38" s="624"/>
      <c r="VGM38" s="624"/>
      <c r="VGN38" s="624"/>
      <c r="VGO38" s="624"/>
      <c r="VGP38" s="624"/>
      <c r="VGQ38" s="624"/>
      <c r="VGR38" s="624"/>
      <c r="VGS38" s="624"/>
      <c r="VGT38" s="624"/>
      <c r="VGU38" s="624"/>
      <c r="VGV38" s="624"/>
      <c r="VGW38" s="624"/>
      <c r="VGX38" s="624"/>
      <c r="VGY38" s="624"/>
      <c r="VGZ38" s="624"/>
      <c r="VHA38" s="624"/>
      <c r="VHB38" s="624"/>
      <c r="VHC38" s="624"/>
      <c r="VHD38" s="624"/>
      <c r="VHE38" s="624"/>
      <c r="VHF38" s="624"/>
      <c r="VHG38" s="624"/>
      <c r="VHH38" s="624"/>
      <c r="VHI38" s="624"/>
      <c r="VHJ38" s="624"/>
      <c r="VHK38" s="624"/>
      <c r="VHL38" s="624"/>
      <c r="VHM38" s="624"/>
      <c r="VHN38" s="624"/>
      <c r="VHO38" s="624"/>
      <c r="VHP38" s="624"/>
      <c r="VHQ38" s="624"/>
      <c r="VHR38" s="624"/>
      <c r="VHS38" s="624"/>
      <c r="VHT38" s="624"/>
      <c r="VHU38" s="624"/>
      <c r="VHV38" s="624"/>
      <c r="VHW38" s="624"/>
      <c r="VHX38" s="624"/>
      <c r="VHY38" s="624"/>
      <c r="VHZ38" s="624"/>
      <c r="VIA38" s="624"/>
      <c r="VIB38" s="624"/>
      <c r="VIC38" s="624"/>
      <c r="VID38" s="624"/>
      <c r="VIE38" s="624"/>
      <c r="VIF38" s="624"/>
      <c r="VIG38" s="624"/>
      <c r="VIH38" s="624"/>
      <c r="VII38" s="624"/>
      <c r="VIJ38" s="624"/>
      <c r="VIK38" s="624"/>
      <c r="VIL38" s="624"/>
      <c r="VIM38" s="624"/>
      <c r="VIN38" s="624"/>
      <c r="VIO38" s="624"/>
      <c r="VIP38" s="624"/>
      <c r="VIQ38" s="624"/>
      <c r="VIR38" s="624"/>
      <c r="VIS38" s="624"/>
      <c r="VIT38" s="624"/>
      <c r="VIU38" s="624"/>
      <c r="VIV38" s="624"/>
      <c r="VIW38" s="624"/>
      <c r="VIX38" s="624"/>
      <c r="VIY38" s="624"/>
      <c r="VIZ38" s="624"/>
      <c r="VJA38" s="624"/>
      <c r="VJB38" s="624"/>
      <c r="VJC38" s="624"/>
      <c r="VJD38" s="624"/>
      <c r="VJE38" s="624"/>
      <c r="VJF38" s="624"/>
      <c r="VJG38" s="624"/>
      <c r="VJH38" s="624"/>
      <c r="VJI38" s="624"/>
      <c r="VJJ38" s="624"/>
      <c r="VJK38" s="624"/>
      <c r="VJL38" s="624"/>
      <c r="VJM38" s="624"/>
      <c r="VJN38" s="624"/>
      <c r="VJO38" s="624"/>
      <c r="VJP38" s="624"/>
      <c r="VJQ38" s="624"/>
      <c r="VJR38" s="624"/>
      <c r="VJS38" s="624"/>
      <c r="VJT38" s="624"/>
      <c r="VJU38" s="624"/>
      <c r="VJV38" s="624"/>
      <c r="VJW38" s="624"/>
      <c r="VJX38" s="624"/>
      <c r="VJY38" s="624"/>
      <c r="VJZ38" s="624"/>
      <c r="VKA38" s="624"/>
      <c r="VKB38" s="624"/>
      <c r="VKC38" s="624"/>
      <c r="VKD38" s="624"/>
      <c r="VKE38" s="624"/>
      <c r="VKF38" s="624"/>
      <c r="VKG38" s="624"/>
      <c r="VKH38" s="624"/>
      <c r="VKI38" s="624"/>
      <c r="VKJ38" s="624"/>
      <c r="VKK38" s="624"/>
      <c r="VKL38" s="624"/>
      <c r="VKM38" s="624"/>
      <c r="VKN38" s="624"/>
      <c r="VKO38" s="624"/>
      <c r="VKP38" s="624"/>
      <c r="VKQ38" s="624"/>
      <c r="VKR38" s="624"/>
      <c r="VKS38" s="624"/>
      <c r="VKT38" s="624"/>
      <c r="VKU38" s="624"/>
      <c r="VKV38" s="624"/>
      <c r="VKW38" s="624"/>
      <c r="VKX38" s="624"/>
      <c r="VKY38" s="624"/>
      <c r="VKZ38" s="624"/>
      <c r="VLA38" s="624"/>
      <c r="VLB38" s="624"/>
      <c r="VLC38" s="624"/>
      <c r="VLD38" s="624"/>
      <c r="VLE38" s="624"/>
      <c r="VLF38" s="624"/>
      <c r="VLG38" s="624"/>
      <c r="VLH38" s="624"/>
      <c r="VLI38" s="624"/>
      <c r="VLJ38" s="624"/>
      <c r="VLK38" s="624"/>
      <c r="VLL38" s="624"/>
      <c r="VLM38" s="624"/>
      <c r="VLN38" s="624"/>
      <c r="VLO38" s="624"/>
      <c r="VLP38" s="624"/>
      <c r="VLQ38" s="624"/>
      <c r="VLR38" s="624"/>
      <c r="VLS38" s="624"/>
      <c r="VLT38" s="624"/>
      <c r="VLU38" s="624"/>
      <c r="VLV38" s="624"/>
      <c r="VLW38" s="624"/>
      <c r="VLX38" s="624"/>
      <c r="VLY38" s="624"/>
      <c r="VLZ38" s="624"/>
      <c r="VMA38" s="624"/>
      <c r="VMB38" s="624"/>
      <c r="VMC38" s="624"/>
      <c r="VMD38" s="624"/>
      <c r="VME38" s="624"/>
      <c r="VMF38" s="624"/>
      <c r="VMG38" s="624"/>
      <c r="VMH38" s="624"/>
      <c r="VMI38" s="624"/>
      <c r="VMJ38" s="624"/>
      <c r="VMK38" s="624"/>
      <c r="VML38" s="624"/>
      <c r="VMM38" s="624"/>
      <c r="VMN38" s="624"/>
      <c r="VMO38" s="624"/>
      <c r="VMP38" s="624"/>
      <c r="VMQ38" s="624"/>
      <c r="VMR38" s="624"/>
      <c r="VMS38" s="624"/>
      <c r="VMT38" s="624"/>
      <c r="VMU38" s="624"/>
      <c r="VMV38" s="624"/>
      <c r="VMW38" s="624"/>
      <c r="VMX38" s="624"/>
      <c r="VMY38" s="624"/>
      <c r="VMZ38" s="624"/>
      <c r="VNA38" s="624"/>
      <c r="VNB38" s="624"/>
      <c r="VNC38" s="624"/>
      <c r="VND38" s="624"/>
      <c r="VNE38" s="624"/>
      <c r="VNF38" s="624"/>
      <c r="VNG38" s="624"/>
      <c r="VNH38" s="624"/>
      <c r="VNI38" s="624"/>
      <c r="VNJ38" s="624"/>
      <c r="VNK38" s="624"/>
      <c r="VNL38" s="624"/>
      <c r="VNM38" s="624"/>
      <c r="VNN38" s="624"/>
      <c r="VNO38" s="624"/>
      <c r="VNP38" s="624"/>
      <c r="VNQ38" s="624"/>
      <c r="VNR38" s="624"/>
      <c r="VNS38" s="624"/>
      <c r="VNT38" s="624"/>
      <c r="VNU38" s="624"/>
      <c r="VNV38" s="624"/>
      <c r="VNW38" s="624"/>
      <c r="VNX38" s="624"/>
      <c r="VNY38" s="624"/>
      <c r="VNZ38" s="624"/>
      <c r="VOA38" s="624"/>
      <c r="VOB38" s="624"/>
      <c r="VOC38" s="624"/>
      <c r="VOD38" s="624"/>
      <c r="VOE38" s="624"/>
      <c r="VOF38" s="624"/>
      <c r="VOG38" s="624"/>
      <c r="VOH38" s="624"/>
      <c r="VOI38" s="624"/>
      <c r="VOJ38" s="624"/>
      <c r="VOK38" s="624"/>
      <c r="VOL38" s="624"/>
      <c r="VOM38" s="624"/>
      <c r="VON38" s="624"/>
      <c r="VOO38" s="624"/>
      <c r="VOP38" s="624"/>
      <c r="VOQ38" s="624"/>
      <c r="VOR38" s="624"/>
      <c r="VOS38" s="624"/>
      <c r="VOT38" s="624"/>
      <c r="VOU38" s="624"/>
      <c r="VOV38" s="624"/>
      <c r="VOW38" s="624"/>
      <c r="VOX38" s="624"/>
      <c r="VOY38" s="624"/>
      <c r="VOZ38" s="624"/>
      <c r="VPA38" s="624"/>
      <c r="VPB38" s="624"/>
      <c r="VPC38" s="624"/>
      <c r="VPD38" s="624"/>
      <c r="VPE38" s="624"/>
      <c r="VPF38" s="624"/>
      <c r="VPG38" s="624"/>
      <c r="VPH38" s="624"/>
      <c r="VPI38" s="624"/>
      <c r="VPJ38" s="624"/>
      <c r="VPK38" s="624"/>
      <c r="VPL38" s="624"/>
      <c r="VPM38" s="624"/>
      <c r="VPN38" s="624"/>
      <c r="VPO38" s="624"/>
      <c r="VPP38" s="624"/>
      <c r="VPQ38" s="624"/>
      <c r="VPR38" s="624"/>
      <c r="VPS38" s="624"/>
      <c r="VPT38" s="624"/>
      <c r="VPU38" s="624"/>
      <c r="VPV38" s="624"/>
      <c r="VPW38" s="624"/>
      <c r="VPX38" s="624"/>
      <c r="VPY38" s="624"/>
      <c r="VPZ38" s="624"/>
      <c r="VQA38" s="624"/>
      <c r="VQB38" s="624"/>
      <c r="VQC38" s="624"/>
      <c r="VQD38" s="624"/>
      <c r="VQE38" s="624"/>
      <c r="VQF38" s="624"/>
      <c r="VQG38" s="624"/>
      <c r="VQH38" s="624"/>
      <c r="VQI38" s="624"/>
      <c r="VQJ38" s="624"/>
      <c r="VQK38" s="624"/>
      <c r="VQL38" s="624"/>
      <c r="VQM38" s="624"/>
      <c r="VQN38" s="624"/>
      <c r="VQO38" s="624"/>
      <c r="VQP38" s="624"/>
      <c r="VQQ38" s="624"/>
      <c r="VQR38" s="624"/>
      <c r="VQS38" s="624"/>
      <c r="VQT38" s="624"/>
      <c r="VQU38" s="624"/>
      <c r="VQV38" s="624"/>
      <c r="VQW38" s="624"/>
      <c r="VQX38" s="624"/>
      <c r="VQY38" s="624"/>
      <c r="VQZ38" s="624"/>
      <c r="VRA38" s="624"/>
      <c r="VRB38" s="624"/>
      <c r="VRC38" s="624"/>
      <c r="VRD38" s="624"/>
      <c r="VRE38" s="624"/>
      <c r="VRF38" s="624"/>
      <c r="VRG38" s="624"/>
      <c r="VRH38" s="624"/>
      <c r="VRI38" s="624"/>
      <c r="VRJ38" s="624"/>
      <c r="VRK38" s="624"/>
      <c r="VRL38" s="624"/>
      <c r="VRM38" s="624"/>
      <c r="VRN38" s="624"/>
      <c r="VRO38" s="624"/>
      <c r="VRP38" s="624"/>
      <c r="VRQ38" s="624"/>
      <c r="VRR38" s="624"/>
      <c r="VRS38" s="624"/>
      <c r="VRT38" s="624"/>
      <c r="VRU38" s="624"/>
      <c r="VRV38" s="624"/>
      <c r="VRW38" s="624"/>
      <c r="VRX38" s="624"/>
      <c r="VRY38" s="624"/>
      <c r="VRZ38" s="624"/>
      <c r="VSA38" s="624"/>
      <c r="VSB38" s="624"/>
      <c r="VSC38" s="624"/>
      <c r="VSD38" s="624"/>
      <c r="VSE38" s="624"/>
      <c r="VSF38" s="624"/>
      <c r="VSG38" s="624"/>
      <c r="VSH38" s="624"/>
      <c r="VSI38" s="624"/>
      <c r="VSJ38" s="624"/>
      <c r="VSK38" s="624"/>
      <c r="VSL38" s="624"/>
      <c r="VSM38" s="624"/>
      <c r="VSN38" s="624"/>
      <c r="VSO38" s="624"/>
      <c r="VSP38" s="624"/>
      <c r="VSQ38" s="624"/>
      <c r="VSR38" s="624"/>
      <c r="VSS38" s="624"/>
      <c r="VST38" s="624"/>
      <c r="VSU38" s="624"/>
      <c r="VSV38" s="624"/>
      <c r="VSW38" s="624"/>
      <c r="VSX38" s="624"/>
      <c r="VSY38" s="624"/>
      <c r="VSZ38" s="624"/>
      <c r="VTA38" s="624"/>
      <c r="VTB38" s="624"/>
      <c r="VTC38" s="624"/>
      <c r="VTD38" s="624"/>
      <c r="VTE38" s="624"/>
      <c r="VTF38" s="624"/>
      <c r="VTG38" s="624"/>
      <c r="VTH38" s="624"/>
      <c r="VTI38" s="624"/>
      <c r="VTJ38" s="624"/>
      <c r="VTK38" s="624"/>
      <c r="VTL38" s="624"/>
      <c r="VTM38" s="624"/>
      <c r="VTN38" s="624"/>
      <c r="VTO38" s="624"/>
      <c r="VTP38" s="624"/>
      <c r="VTQ38" s="624"/>
      <c r="VTR38" s="624"/>
      <c r="VTS38" s="624"/>
      <c r="VTT38" s="624"/>
      <c r="VTU38" s="624"/>
      <c r="VTV38" s="624"/>
      <c r="VTW38" s="624"/>
      <c r="VTX38" s="624"/>
      <c r="VTY38" s="624"/>
      <c r="VTZ38" s="624"/>
      <c r="VUA38" s="624"/>
      <c r="VUB38" s="624"/>
      <c r="VUC38" s="624"/>
      <c r="VUD38" s="624"/>
      <c r="VUE38" s="624"/>
      <c r="VUF38" s="624"/>
      <c r="VUG38" s="624"/>
      <c r="VUH38" s="624"/>
      <c r="VUI38" s="624"/>
      <c r="VUJ38" s="624"/>
      <c r="VUK38" s="624"/>
      <c r="VUL38" s="624"/>
      <c r="VUM38" s="624"/>
      <c r="VUN38" s="624"/>
      <c r="VUO38" s="624"/>
      <c r="VUP38" s="624"/>
      <c r="VUQ38" s="624"/>
      <c r="VUR38" s="624"/>
      <c r="VUS38" s="624"/>
      <c r="VUT38" s="624"/>
      <c r="VUU38" s="624"/>
      <c r="VUV38" s="624"/>
      <c r="VUW38" s="624"/>
      <c r="VUX38" s="624"/>
      <c r="VUY38" s="624"/>
      <c r="VUZ38" s="624"/>
      <c r="VVA38" s="624"/>
      <c r="VVB38" s="624"/>
      <c r="VVC38" s="624"/>
      <c r="VVD38" s="624"/>
      <c r="VVE38" s="624"/>
      <c r="VVF38" s="624"/>
      <c r="VVG38" s="624"/>
      <c r="VVH38" s="624"/>
      <c r="VVI38" s="624"/>
      <c r="VVJ38" s="624"/>
      <c r="VVK38" s="624"/>
      <c r="VVL38" s="624"/>
      <c r="VVM38" s="624"/>
      <c r="VVN38" s="624"/>
      <c r="VVO38" s="624"/>
      <c r="VVP38" s="624"/>
      <c r="VVQ38" s="624"/>
      <c r="VVR38" s="624"/>
      <c r="VVS38" s="624"/>
      <c r="VVT38" s="624"/>
      <c r="VVU38" s="624"/>
      <c r="VVV38" s="624"/>
      <c r="VVW38" s="624"/>
      <c r="VVX38" s="624"/>
      <c r="VVY38" s="624"/>
      <c r="VVZ38" s="624"/>
      <c r="VWA38" s="624"/>
      <c r="VWB38" s="624"/>
      <c r="VWC38" s="624"/>
      <c r="VWD38" s="624"/>
      <c r="VWE38" s="624"/>
      <c r="VWF38" s="624"/>
      <c r="VWG38" s="624"/>
      <c r="VWH38" s="624"/>
      <c r="VWI38" s="624"/>
      <c r="VWJ38" s="624"/>
      <c r="VWK38" s="624"/>
      <c r="VWL38" s="624"/>
      <c r="VWM38" s="624"/>
      <c r="VWN38" s="624"/>
      <c r="VWO38" s="624"/>
      <c r="VWP38" s="624"/>
      <c r="VWQ38" s="624"/>
      <c r="VWR38" s="624"/>
      <c r="VWS38" s="624"/>
      <c r="VWT38" s="624"/>
      <c r="VWU38" s="624"/>
      <c r="VWV38" s="624"/>
      <c r="VWW38" s="624"/>
      <c r="VWX38" s="624"/>
      <c r="VWY38" s="624"/>
      <c r="VWZ38" s="624"/>
      <c r="VXA38" s="624"/>
      <c r="VXB38" s="624"/>
      <c r="VXC38" s="624"/>
      <c r="VXD38" s="624"/>
      <c r="VXE38" s="624"/>
      <c r="VXF38" s="624"/>
      <c r="VXG38" s="624"/>
      <c r="VXH38" s="624"/>
      <c r="VXI38" s="624"/>
      <c r="VXJ38" s="624"/>
      <c r="VXK38" s="624"/>
      <c r="VXL38" s="624"/>
      <c r="VXM38" s="624"/>
      <c r="VXN38" s="624"/>
      <c r="VXO38" s="624"/>
      <c r="VXP38" s="624"/>
      <c r="VXQ38" s="624"/>
      <c r="VXR38" s="624"/>
      <c r="VXS38" s="624"/>
      <c r="VXT38" s="624"/>
      <c r="VXU38" s="624"/>
      <c r="VXV38" s="624"/>
      <c r="VXW38" s="624"/>
      <c r="VXX38" s="624"/>
      <c r="VXY38" s="624"/>
      <c r="VXZ38" s="624"/>
      <c r="VYA38" s="624"/>
      <c r="VYB38" s="624"/>
      <c r="VYC38" s="624"/>
      <c r="VYD38" s="624"/>
      <c r="VYE38" s="624"/>
      <c r="VYF38" s="624"/>
      <c r="VYG38" s="624"/>
      <c r="VYH38" s="624"/>
      <c r="VYI38" s="624"/>
      <c r="VYJ38" s="624"/>
      <c r="VYK38" s="624"/>
      <c r="VYL38" s="624"/>
      <c r="VYM38" s="624"/>
      <c r="VYN38" s="624"/>
      <c r="VYO38" s="624"/>
      <c r="VYP38" s="624"/>
      <c r="VYQ38" s="624"/>
      <c r="VYR38" s="624"/>
      <c r="VYS38" s="624"/>
      <c r="VYT38" s="624"/>
      <c r="VYU38" s="624"/>
      <c r="VYV38" s="624"/>
      <c r="VYW38" s="624"/>
      <c r="VYX38" s="624"/>
      <c r="VYY38" s="624"/>
      <c r="VYZ38" s="624"/>
      <c r="VZA38" s="624"/>
      <c r="VZB38" s="624"/>
      <c r="VZC38" s="624"/>
      <c r="VZD38" s="624"/>
      <c r="VZE38" s="624"/>
      <c r="VZF38" s="624"/>
      <c r="VZG38" s="624"/>
      <c r="VZH38" s="624"/>
      <c r="VZI38" s="624"/>
      <c r="VZJ38" s="624"/>
      <c r="VZK38" s="624"/>
      <c r="VZL38" s="624"/>
      <c r="VZM38" s="624"/>
      <c r="VZN38" s="624"/>
      <c r="VZO38" s="624"/>
      <c r="VZP38" s="624"/>
      <c r="VZQ38" s="624"/>
      <c r="VZR38" s="624"/>
      <c r="VZS38" s="624"/>
      <c r="VZT38" s="624"/>
      <c r="VZU38" s="624"/>
      <c r="VZV38" s="624"/>
      <c r="VZW38" s="624"/>
      <c r="VZX38" s="624"/>
      <c r="VZY38" s="624"/>
      <c r="VZZ38" s="624"/>
      <c r="WAA38" s="624"/>
      <c r="WAB38" s="624"/>
      <c r="WAC38" s="624"/>
      <c r="WAD38" s="624"/>
      <c r="WAE38" s="624"/>
      <c r="WAF38" s="624"/>
      <c r="WAG38" s="624"/>
      <c r="WAH38" s="624"/>
      <c r="WAI38" s="624"/>
      <c r="WAJ38" s="624"/>
      <c r="WAK38" s="624"/>
      <c r="WAL38" s="624"/>
      <c r="WAM38" s="624"/>
      <c r="WAN38" s="624"/>
      <c r="WAO38" s="624"/>
      <c r="WAP38" s="624"/>
      <c r="WAQ38" s="624"/>
      <c r="WAR38" s="624"/>
      <c r="WAS38" s="624"/>
      <c r="WAT38" s="624"/>
      <c r="WAU38" s="624"/>
      <c r="WAV38" s="624"/>
      <c r="WAW38" s="624"/>
      <c r="WAX38" s="624"/>
      <c r="WAY38" s="624"/>
      <c r="WAZ38" s="624"/>
      <c r="WBA38" s="624"/>
      <c r="WBB38" s="624"/>
      <c r="WBC38" s="624"/>
      <c r="WBD38" s="624"/>
      <c r="WBE38" s="624"/>
      <c r="WBF38" s="624"/>
      <c r="WBG38" s="624"/>
      <c r="WBH38" s="624"/>
      <c r="WBI38" s="624"/>
      <c r="WBJ38" s="624"/>
      <c r="WBK38" s="624"/>
      <c r="WBL38" s="624"/>
      <c r="WBM38" s="624"/>
      <c r="WBN38" s="624"/>
      <c r="WBO38" s="624"/>
      <c r="WBP38" s="624"/>
      <c r="WBQ38" s="624"/>
      <c r="WBR38" s="624"/>
      <c r="WBS38" s="624"/>
      <c r="WBT38" s="624"/>
      <c r="WBU38" s="624"/>
      <c r="WBV38" s="624"/>
      <c r="WBW38" s="624"/>
      <c r="WBX38" s="624"/>
      <c r="WBY38" s="624"/>
      <c r="WBZ38" s="624"/>
      <c r="WCA38" s="624"/>
      <c r="WCB38" s="624"/>
      <c r="WCC38" s="624"/>
      <c r="WCD38" s="624"/>
      <c r="WCE38" s="624"/>
      <c r="WCF38" s="624"/>
      <c r="WCG38" s="624"/>
      <c r="WCH38" s="624"/>
      <c r="WCI38" s="624"/>
      <c r="WCJ38" s="624"/>
      <c r="WCK38" s="624"/>
      <c r="WCL38" s="624"/>
      <c r="WCM38" s="624"/>
      <c r="WCN38" s="624"/>
      <c r="WCO38" s="624"/>
      <c r="WCP38" s="624"/>
      <c r="WCQ38" s="624"/>
      <c r="WCR38" s="624"/>
      <c r="WCS38" s="624"/>
      <c r="WCT38" s="624"/>
      <c r="WCU38" s="624"/>
      <c r="WCV38" s="624"/>
      <c r="WCW38" s="624"/>
      <c r="WCX38" s="624"/>
      <c r="WCY38" s="624"/>
      <c r="WCZ38" s="624"/>
      <c r="WDA38" s="624"/>
      <c r="WDB38" s="624"/>
      <c r="WDC38" s="624"/>
      <c r="WDD38" s="624"/>
      <c r="WDE38" s="624"/>
      <c r="WDF38" s="624"/>
      <c r="WDG38" s="624"/>
      <c r="WDH38" s="624"/>
      <c r="WDI38" s="624"/>
      <c r="WDJ38" s="624"/>
      <c r="WDK38" s="624"/>
      <c r="WDL38" s="624"/>
      <c r="WDM38" s="624"/>
      <c r="WDN38" s="624"/>
      <c r="WDO38" s="624"/>
      <c r="WDP38" s="624"/>
      <c r="WDQ38" s="624"/>
      <c r="WDR38" s="624"/>
      <c r="WDS38" s="624"/>
      <c r="WDT38" s="624"/>
      <c r="WDU38" s="624"/>
      <c r="WDV38" s="624"/>
      <c r="WDW38" s="624"/>
      <c r="WDX38" s="624"/>
      <c r="WDY38" s="624"/>
      <c r="WDZ38" s="624"/>
      <c r="WEA38" s="624"/>
      <c r="WEB38" s="624"/>
      <c r="WEC38" s="624"/>
      <c r="WED38" s="624"/>
      <c r="WEE38" s="624"/>
      <c r="WEF38" s="624"/>
      <c r="WEG38" s="624"/>
      <c r="WEH38" s="624"/>
      <c r="WEI38" s="624"/>
      <c r="WEJ38" s="624"/>
      <c r="WEK38" s="624"/>
      <c r="WEL38" s="624"/>
      <c r="WEM38" s="624"/>
      <c r="WEN38" s="624"/>
      <c r="WEO38" s="624"/>
      <c r="WEP38" s="624"/>
      <c r="WEQ38" s="624"/>
      <c r="WER38" s="624"/>
      <c r="WES38" s="624"/>
      <c r="WET38" s="624"/>
      <c r="WEU38" s="624"/>
      <c r="WEV38" s="624"/>
      <c r="WEW38" s="624"/>
      <c r="WEX38" s="624"/>
      <c r="WEY38" s="624"/>
      <c r="WEZ38" s="624"/>
      <c r="WFA38" s="624"/>
      <c r="WFB38" s="624"/>
      <c r="WFC38" s="624"/>
      <c r="WFD38" s="624"/>
      <c r="WFE38" s="624"/>
      <c r="WFF38" s="624"/>
      <c r="WFG38" s="624"/>
      <c r="WFH38" s="624"/>
      <c r="WFI38" s="624"/>
      <c r="WFJ38" s="624"/>
      <c r="WFK38" s="624"/>
      <c r="WFL38" s="624"/>
      <c r="WFM38" s="624"/>
      <c r="WFN38" s="624"/>
      <c r="WFO38" s="624"/>
      <c r="WFP38" s="624"/>
      <c r="WFQ38" s="624"/>
      <c r="WFR38" s="624"/>
      <c r="WFS38" s="624"/>
      <c r="WFT38" s="624"/>
      <c r="WFU38" s="624"/>
      <c r="WFV38" s="624"/>
      <c r="WFW38" s="624"/>
      <c r="WFX38" s="624"/>
      <c r="WFY38" s="624"/>
      <c r="WFZ38" s="624"/>
      <c r="WGA38" s="624"/>
      <c r="WGB38" s="624"/>
      <c r="WGC38" s="624"/>
      <c r="WGD38" s="624"/>
      <c r="WGE38" s="624"/>
      <c r="WGF38" s="624"/>
      <c r="WGG38" s="624"/>
      <c r="WGH38" s="624"/>
      <c r="WGI38" s="624"/>
      <c r="WGJ38" s="624"/>
      <c r="WGK38" s="624"/>
      <c r="WGL38" s="624"/>
      <c r="WGM38" s="624"/>
      <c r="WGN38" s="624"/>
      <c r="WGO38" s="624"/>
      <c r="WGP38" s="624"/>
      <c r="WGQ38" s="624"/>
      <c r="WGR38" s="624"/>
      <c r="WGS38" s="624"/>
      <c r="WGT38" s="624"/>
      <c r="WGU38" s="624"/>
      <c r="WGV38" s="624"/>
      <c r="WGW38" s="624"/>
      <c r="WGX38" s="624"/>
      <c r="WGY38" s="624"/>
      <c r="WGZ38" s="624"/>
      <c r="WHA38" s="624"/>
      <c r="WHB38" s="624"/>
      <c r="WHC38" s="624"/>
      <c r="WHD38" s="624"/>
      <c r="WHE38" s="624"/>
      <c r="WHF38" s="624"/>
      <c r="WHG38" s="624"/>
      <c r="WHH38" s="624"/>
      <c r="WHI38" s="624"/>
      <c r="WHJ38" s="624"/>
      <c r="WHK38" s="624"/>
      <c r="WHL38" s="624"/>
      <c r="WHM38" s="624"/>
      <c r="WHN38" s="624"/>
      <c r="WHO38" s="624"/>
      <c r="WHP38" s="624"/>
      <c r="WHQ38" s="624"/>
      <c r="WHR38" s="624"/>
      <c r="WHS38" s="624"/>
      <c r="WHT38" s="624"/>
      <c r="WHU38" s="624"/>
      <c r="WHV38" s="624"/>
      <c r="WHW38" s="624"/>
      <c r="WHX38" s="624"/>
      <c r="WHY38" s="624"/>
      <c r="WHZ38" s="624"/>
      <c r="WIA38" s="624"/>
      <c r="WIB38" s="624"/>
      <c r="WIC38" s="624"/>
      <c r="WID38" s="624"/>
      <c r="WIE38" s="624"/>
      <c r="WIF38" s="624"/>
      <c r="WIG38" s="624"/>
      <c r="WIH38" s="624"/>
      <c r="WII38" s="624"/>
      <c r="WIJ38" s="624"/>
      <c r="WIK38" s="624"/>
      <c r="WIL38" s="624"/>
      <c r="WIM38" s="624"/>
      <c r="WIN38" s="624"/>
      <c r="WIO38" s="624"/>
      <c r="WIP38" s="624"/>
      <c r="WIQ38" s="624"/>
      <c r="WIR38" s="624"/>
      <c r="WIS38" s="624"/>
      <c r="WIT38" s="624"/>
      <c r="WIU38" s="624"/>
      <c r="WIV38" s="624"/>
      <c r="WIW38" s="624"/>
      <c r="WIX38" s="624"/>
      <c r="WIY38" s="624"/>
      <c r="WIZ38" s="624"/>
      <c r="WJA38" s="624"/>
      <c r="WJB38" s="624"/>
      <c r="WJC38" s="624"/>
      <c r="WJD38" s="624"/>
      <c r="WJE38" s="624"/>
      <c r="WJF38" s="624"/>
      <c r="WJG38" s="624"/>
      <c r="WJH38" s="624"/>
      <c r="WJI38" s="624"/>
      <c r="WJJ38" s="624"/>
      <c r="WJK38" s="624"/>
      <c r="WJL38" s="624"/>
      <c r="WJM38" s="624"/>
      <c r="WJN38" s="624"/>
      <c r="WJO38" s="624"/>
      <c r="WJP38" s="624"/>
      <c r="WJQ38" s="624"/>
      <c r="WJR38" s="624"/>
      <c r="WJS38" s="624"/>
      <c r="WJT38" s="624"/>
      <c r="WJU38" s="624"/>
      <c r="WJV38" s="624"/>
      <c r="WJW38" s="624"/>
      <c r="WJX38" s="624"/>
      <c r="WJY38" s="624"/>
      <c r="WJZ38" s="624"/>
      <c r="WKA38" s="624"/>
      <c r="WKB38" s="624"/>
      <c r="WKC38" s="624"/>
      <c r="WKD38" s="624"/>
      <c r="WKE38" s="624"/>
      <c r="WKF38" s="624"/>
      <c r="WKG38" s="624"/>
      <c r="WKH38" s="624"/>
      <c r="WKI38" s="624"/>
      <c r="WKJ38" s="624"/>
      <c r="WKK38" s="624"/>
      <c r="WKL38" s="624"/>
      <c r="WKM38" s="624"/>
      <c r="WKN38" s="624"/>
      <c r="WKO38" s="624"/>
      <c r="WKP38" s="624"/>
      <c r="WKQ38" s="624"/>
      <c r="WKR38" s="624"/>
      <c r="WKS38" s="624"/>
      <c r="WKT38" s="624"/>
      <c r="WKU38" s="624"/>
      <c r="WKV38" s="624"/>
      <c r="WKW38" s="624"/>
      <c r="WKX38" s="624"/>
      <c r="WKY38" s="624"/>
      <c r="WKZ38" s="624"/>
      <c r="WLA38" s="624"/>
      <c r="WLB38" s="624"/>
      <c r="WLC38" s="624"/>
      <c r="WLD38" s="624"/>
      <c r="WLE38" s="624"/>
      <c r="WLF38" s="624"/>
      <c r="WLG38" s="624"/>
      <c r="WLH38" s="624"/>
      <c r="WLI38" s="624"/>
      <c r="WLJ38" s="624"/>
      <c r="WLK38" s="624"/>
      <c r="WLL38" s="624"/>
      <c r="WLM38" s="624"/>
      <c r="WLN38" s="624"/>
      <c r="WLO38" s="624"/>
      <c r="WLP38" s="624"/>
      <c r="WLQ38" s="624"/>
      <c r="WLR38" s="624"/>
      <c r="WLS38" s="624"/>
      <c r="WLT38" s="624"/>
      <c r="WLU38" s="624"/>
      <c r="WLV38" s="624"/>
      <c r="WLW38" s="624"/>
      <c r="WLX38" s="624"/>
      <c r="WLY38" s="624"/>
      <c r="WLZ38" s="624"/>
      <c r="WMA38" s="624"/>
      <c r="WMB38" s="624"/>
      <c r="WMC38" s="624"/>
      <c r="WMD38" s="624"/>
      <c r="WME38" s="624"/>
      <c r="WMF38" s="624"/>
      <c r="WMG38" s="624"/>
      <c r="WMH38" s="624"/>
      <c r="WMI38" s="624"/>
      <c r="WMJ38" s="624"/>
      <c r="WMK38" s="624"/>
      <c r="WML38" s="624"/>
      <c r="WMM38" s="624"/>
      <c r="WMN38" s="624"/>
      <c r="WMO38" s="624"/>
      <c r="WMP38" s="624"/>
      <c r="WMQ38" s="624"/>
      <c r="WMR38" s="624"/>
      <c r="WMS38" s="624"/>
      <c r="WMT38" s="624"/>
      <c r="WMU38" s="624"/>
      <c r="WMV38" s="624"/>
      <c r="WMW38" s="624"/>
      <c r="WMX38" s="624"/>
      <c r="WMY38" s="624"/>
      <c r="WMZ38" s="624"/>
      <c r="WNA38" s="624"/>
      <c r="WNB38" s="624"/>
      <c r="WNC38" s="624"/>
      <c r="WND38" s="624"/>
      <c r="WNE38" s="624"/>
      <c r="WNF38" s="624"/>
      <c r="WNG38" s="624"/>
      <c r="WNH38" s="624"/>
      <c r="WNI38" s="624"/>
      <c r="WNJ38" s="624"/>
      <c r="WNK38" s="624"/>
      <c r="WNL38" s="624"/>
      <c r="WNM38" s="624"/>
      <c r="WNN38" s="624"/>
      <c r="WNO38" s="624"/>
      <c r="WNP38" s="624"/>
      <c r="WNQ38" s="624"/>
      <c r="WNR38" s="624"/>
      <c r="WNS38" s="624"/>
      <c r="WNT38" s="624"/>
      <c r="WNU38" s="624"/>
      <c r="WNV38" s="624"/>
      <c r="WNW38" s="624"/>
      <c r="WNX38" s="624"/>
      <c r="WNY38" s="624"/>
      <c r="WNZ38" s="624"/>
      <c r="WOA38" s="624"/>
      <c r="WOB38" s="624"/>
      <c r="WOC38" s="624"/>
      <c r="WOD38" s="624"/>
      <c r="WOE38" s="624"/>
      <c r="WOF38" s="624"/>
      <c r="WOG38" s="624"/>
      <c r="WOH38" s="624"/>
      <c r="WOI38" s="624"/>
      <c r="WOJ38" s="624"/>
      <c r="WOK38" s="624"/>
      <c r="WOL38" s="624"/>
      <c r="WOM38" s="624"/>
      <c r="WON38" s="624"/>
      <c r="WOO38" s="624"/>
      <c r="WOP38" s="624"/>
      <c r="WOQ38" s="624"/>
      <c r="WOR38" s="624"/>
      <c r="WOS38" s="624"/>
      <c r="WOT38" s="624"/>
      <c r="WOU38" s="624"/>
      <c r="WOV38" s="624"/>
      <c r="WOW38" s="624"/>
      <c r="WOX38" s="624"/>
      <c r="WOY38" s="624"/>
      <c r="WOZ38" s="624"/>
      <c r="WPA38" s="624"/>
      <c r="WPB38" s="624"/>
      <c r="WPC38" s="624"/>
      <c r="WPD38" s="624"/>
      <c r="WPE38" s="624"/>
      <c r="WPF38" s="624"/>
      <c r="WPG38" s="624"/>
      <c r="WPH38" s="624"/>
      <c r="WPI38" s="624"/>
      <c r="WPJ38" s="624"/>
      <c r="WPK38" s="624"/>
      <c r="WPL38" s="624"/>
      <c r="WPM38" s="624"/>
      <c r="WPN38" s="624"/>
      <c r="WPO38" s="624"/>
      <c r="WPP38" s="624"/>
      <c r="WPQ38" s="624"/>
      <c r="WPR38" s="624"/>
      <c r="WPS38" s="624"/>
      <c r="WPT38" s="624"/>
      <c r="WPU38" s="624"/>
      <c r="WPV38" s="624"/>
      <c r="WPW38" s="624"/>
      <c r="WPX38" s="624"/>
      <c r="WPY38" s="624"/>
      <c r="WPZ38" s="624"/>
      <c r="WQA38" s="624"/>
      <c r="WQB38" s="624"/>
      <c r="WQC38" s="624"/>
      <c r="WQD38" s="624"/>
      <c r="WQE38" s="624"/>
      <c r="WQF38" s="624"/>
      <c r="WQG38" s="624"/>
      <c r="WQH38" s="624"/>
      <c r="WQI38" s="624"/>
      <c r="WQJ38" s="624"/>
      <c r="WQK38" s="624"/>
      <c r="WQL38" s="624"/>
      <c r="WQM38" s="624"/>
      <c r="WQN38" s="624"/>
      <c r="WQO38" s="624"/>
      <c r="WQP38" s="624"/>
      <c r="WQQ38" s="624"/>
      <c r="WQR38" s="624"/>
      <c r="WQS38" s="624"/>
      <c r="WQT38" s="624"/>
      <c r="WQU38" s="624"/>
      <c r="WQV38" s="624"/>
      <c r="WQW38" s="624"/>
      <c r="WQX38" s="624"/>
      <c r="WQY38" s="624"/>
      <c r="WQZ38" s="624"/>
      <c r="WRA38" s="624"/>
      <c r="WRB38" s="624"/>
      <c r="WRC38" s="624"/>
      <c r="WRD38" s="624"/>
      <c r="WRE38" s="624"/>
      <c r="WRF38" s="624"/>
      <c r="WRG38" s="624"/>
      <c r="WRH38" s="624"/>
      <c r="WRI38" s="624"/>
      <c r="WRJ38" s="624"/>
      <c r="WRK38" s="624"/>
      <c r="WRL38" s="624"/>
      <c r="WRM38" s="624"/>
      <c r="WRN38" s="624"/>
      <c r="WRO38" s="624"/>
      <c r="WRP38" s="624"/>
      <c r="WRQ38" s="624"/>
      <c r="WRR38" s="624"/>
      <c r="WRS38" s="624"/>
      <c r="WRT38" s="624"/>
      <c r="WRU38" s="624"/>
      <c r="WRV38" s="624"/>
      <c r="WRW38" s="624"/>
      <c r="WRX38" s="624"/>
      <c r="WRY38" s="624"/>
      <c r="WRZ38" s="624"/>
      <c r="WSA38" s="624"/>
      <c r="WSB38" s="624"/>
      <c r="WSC38" s="624"/>
      <c r="WSD38" s="624"/>
      <c r="WSE38" s="624"/>
      <c r="WSF38" s="624"/>
      <c r="WSG38" s="624"/>
      <c r="WSH38" s="624"/>
      <c r="WSI38" s="624"/>
      <c r="WSJ38" s="624"/>
      <c r="WSK38" s="624"/>
      <c r="WSL38" s="624"/>
      <c r="WSM38" s="624"/>
      <c r="WSN38" s="624"/>
      <c r="WSO38" s="624"/>
      <c r="WSP38" s="624"/>
      <c r="WSQ38" s="624"/>
      <c r="WSR38" s="624"/>
      <c r="WSS38" s="624"/>
      <c r="WST38" s="624"/>
      <c r="WSU38" s="624"/>
      <c r="WSV38" s="624"/>
      <c r="WSW38" s="624"/>
      <c r="WSX38" s="624"/>
      <c r="WSY38" s="624"/>
      <c r="WSZ38" s="624"/>
      <c r="WTA38" s="624"/>
      <c r="WTB38" s="624"/>
      <c r="WTC38" s="624"/>
      <c r="WTD38" s="624"/>
      <c r="WTE38" s="624"/>
      <c r="WTF38" s="624"/>
      <c r="WTG38" s="624"/>
      <c r="WTH38" s="624"/>
      <c r="WTI38" s="624"/>
      <c r="WTJ38" s="624"/>
      <c r="WTK38" s="624"/>
      <c r="WTL38" s="624"/>
      <c r="WTM38" s="624"/>
      <c r="WTN38" s="624"/>
      <c r="WTO38" s="624"/>
      <c r="WTP38" s="624"/>
      <c r="WTQ38" s="624"/>
      <c r="WTR38" s="624"/>
      <c r="WTS38" s="624"/>
      <c r="WTT38" s="624"/>
      <c r="WTU38" s="624"/>
      <c r="WTV38" s="624"/>
      <c r="WTW38" s="624"/>
      <c r="WTX38" s="624"/>
      <c r="WTY38" s="624"/>
      <c r="WTZ38" s="624"/>
      <c r="WUA38" s="624"/>
      <c r="WUB38" s="624"/>
      <c r="WUC38" s="624"/>
      <c r="WUD38" s="624"/>
      <c r="WUE38" s="624"/>
      <c r="WUF38" s="624"/>
      <c r="WUG38" s="624"/>
      <c r="WUH38" s="624"/>
      <c r="WUI38" s="624"/>
      <c r="WUJ38" s="624"/>
      <c r="WUK38" s="624"/>
      <c r="WUL38" s="624"/>
      <c r="WUM38" s="624"/>
      <c r="WUN38" s="624"/>
      <c r="WUO38" s="624"/>
      <c r="WUP38" s="624"/>
      <c r="WUQ38" s="624"/>
      <c r="WUR38" s="624"/>
      <c r="WUS38" s="624"/>
      <c r="WUT38" s="624"/>
      <c r="WUU38" s="624"/>
      <c r="WUV38" s="624"/>
      <c r="WUW38" s="624"/>
      <c r="WUX38" s="624"/>
      <c r="WUY38" s="624"/>
      <c r="WUZ38" s="624"/>
      <c r="WVA38" s="624"/>
      <c r="WVB38" s="624"/>
      <c r="WVC38" s="624"/>
      <c r="WVD38" s="624"/>
      <c r="WVE38" s="624"/>
      <c r="WVF38" s="624"/>
      <c r="WVG38" s="624"/>
      <c r="WVH38" s="624"/>
      <c r="WVI38" s="624"/>
      <c r="WVJ38" s="624"/>
      <c r="WVK38" s="624"/>
      <c r="WVL38" s="624"/>
      <c r="WVM38" s="624"/>
      <c r="WVN38" s="624"/>
      <c r="WVO38" s="624"/>
      <c r="WVP38" s="624"/>
      <c r="WVQ38" s="624"/>
      <c r="WVR38" s="624"/>
      <c r="WVS38" s="624"/>
      <c r="WVT38" s="624"/>
      <c r="WVU38" s="624"/>
      <c r="WVV38" s="624"/>
      <c r="WVW38" s="624"/>
      <c r="WVX38" s="624"/>
      <c r="WVY38" s="624"/>
      <c r="WVZ38" s="624"/>
      <c r="WWA38" s="624"/>
      <c r="WWB38" s="624"/>
      <c r="WWC38" s="624"/>
      <c r="WWD38" s="624"/>
      <c r="WWE38" s="624"/>
      <c r="WWF38" s="624"/>
      <c r="WWG38" s="624"/>
      <c r="WWH38" s="624"/>
      <c r="WWI38" s="624"/>
      <c r="WWJ38" s="624"/>
      <c r="WWK38" s="624"/>
      <c r="WWL38" s="624"/>
      <c r="WWM38" s="624"/>
      <c r="WWN38" s="624"/>
      <c r="WWO38" s="624"/>
      <c r="WWP38" s="624"/>
      <c r="WWQ38" s="624"/>
      <c r="WWR38" s="624"/>
      <c r="WWS38" s="624"/>
      <c r="WWT38" s="624"/>
      <c r="WWU38" s="624"/>
      <c r="WWV38" s="624"/>
      <c r="WWW38" s="624"/>
      <c r="WWX38" s="624"/>
      <c r="WWY38" s="624"/>
      <c r="WWZ38" s="624"/>
      <c r="WXA38" s="624"/>
      <c r="WXB38" s="624"/>
      <c r="WXC38" s="624"/>
      <c r="WXD38" s="624"/>
      <c r="WXE38" s="624"/>
      <c r="WXF38" s="624"/>
      <c r="WXG38" s="624"/>
      <c r="WXH38" s="624"/>
      <c r="WXI38" s="624"/>
      <c r="WXJ38" s="624"/>
      <c r="WXK38" s="624"/>
      <c r="WXL38" s="624"/>
      <c r="WXM38" s="624"/>
      <c r="WXN38" s="624"/>
      <c r="WXO38" s="624"/>
      <c r="WXP38" s="624"/>
      <c r="WXQ38" s="624"/>
      <c r="WXR38" s="624"/>
      <c r="WXS38" s="624"/>
      <c r="WXT38" s="624"/>
      <c r="WXU38" s="624"/>
      <c r="WXV38" s="624"/>
      <c r="WXW38" s="624"/>
      <c r="WXX38" s="624"/>
      <c r="WXY38" s="624"/>
      <c r="WXZ38" s="624"/>
      <c r="WYA38" s="624"/>
      <c r="WYB38" s="624"/>
      <c r="WYC38" s="624"/>
      <c r="WYD38" s="624"/>
      <c r="WYE38" s="624"/>
      <c r="WYF38" s="624"/>
      <c r="WYG38" s="624"/>
      <c r="WYH38" s="624"/>
      <c r="WYI38" s="624"/>
      <c r="WYJ38" s="624"/>
      <c r="WYK38" s="624"/>
      <c r="WYL38" s="624"/>
      <c r="WYM38" s="624"/>
      <c r="WYN38" s="624"/>
      <c r="WYO38" s="624"/>
      <c r="WYP38" s="624"/>
      <c r="WYQ38" s="624"/>
      <c r="WYR38" s="624"/>
      <c r="WYS38" s="624"/>
      <c r="WYT38" s="624"/>
      <c r="WYU38" s="624"/>
      <c r="WYV38" s="624"/>
      <c r="WYW38" s="624"/>
      <c r="WYX38" s="624"/>
      <c r="WYY38" s="624"/>
      <c r="WYZ38" s="624"/>
      <c r="WZA38" s="624"/>
      <c r="WZB38" s="624"/>
      <c r="WZC38" s="624"/>
      <c r="WZD38" s="624"/>
      <c r="WZE38" s="624"/>
      <c r="WZF38" s="624"/>
      <c r="WZG38" s="624"/>
      <c r="WZH38" s="624"/>
      <c r="WZI38" s="624"/>
      <c r="WZJ38" s="624"/>
      <c r="WZK38" s="624"/>
      <c r="WZL38" s="624"/>
      <c r="WZM38" s="624"/>
      <c r="WZN38" s="624"/>
      <c r="WZO38" s="624"/>
      <c r="WZP38" s="624"/>
      <c r="WZQ38" s="624"/>
      <c r="WZR38" s="624"/>
      <c r="WZS38" s="624"/>
      <c r="WZT38" s="624"/>
      <c r="WZU38" s="624"/>
      <c r="WZV38" s="624"/>
      <c r="WZW38" s="624"/>
      <c r="WZX38" s="624"/>
      <c r="WZY38" s="624"/>
      <c r="WZZ38" s="624"/>
      <c r="XAA38" s="624"/>
      <c r="XAB38" s="624"/>
      <c r="XAC38" s="624"/>
      <c r="XAD38" s="624"/>
      <c r="XAE38" s="624"/>
      <c r="XAF38" s="624"/>
      <c r="XAG38" s="624"/>
      <c r="XAH38" s="624"/>
      <c r="XAI38" s="624"/>
      <c r="XAJ38" s="624"/>
      <c r="XAK38" s="624"/>
      <c r="XAL38" s="624"/>
      <c r="XAM38" s="624"/>
      <c r="XAN38" s="624"/>
      <c r="XAO38" s="624"/>
      <c r="XAP38" s="624"/>
      <c r="XAQ38" s="624"/>
      <c r="XAR38" s="624"/>
      <c r="XAS38" s="624"/>
      <c r="XAT38" s="624"/>
      <c r="XAU38" s="624"/>
      <c r="XAV38" s="624"/>
      <c r="XAW38" s="624"/>
      <c r="XAX38" s="624"/>
      <c r="XAY38" s="624"/>
      <c r="XAZ38" s="624"/>
      <c r="XBA38" s="624"/>
      <c r="XBB38" s="624"/>
      <c r="XBC38" s="624"/>
      <c r="XBD38" s="624"/>
      <c r="XBE38" s="624"/>
      <c r="XBF38" s="624"/>
      <c r="XBG38" s="624"/>
      <c r="XBH38" s="624"/>
      <c r="XBI38" s="624"/>
      <c r="XBJ38" s="624"/>
      <c r="XBK38" s="624"/>
      <c r="XBL38" s="624"/>
      <c r="XBM38" s="624"/>
      <c r="XBN38" s="624"/>
      <c r="XBO38" s="624"/>
      <c r="XBP38" s="624"/>
      <c r="XBQ38" s="624"/>
      <c r="XBR38" s="624"/>
      <c r="XBS38" s="624"/>
      <c r="XBT38" s="624"/>
      <c r="XBU38" s="624"/>
      <c r="XBV38" s="624"/>
      <c r="XBW38" s="624"/>
      <c r="XBX38" s="624"/>
      <c r="XBY38" s="624"/>
      <c r="XBZ38" s="624"/>
      <c r="XCA38" s="624"/>
      <c r="XCB38" s="624"/>
      <c r="XCC38" s="624"/>
      <c r="XCD38" s="624"/>
      <c r="XCE38" s="624"/>
      <c r="XCF38" s="624"/>
      <c r="XCG38" s="624"/>
      <c r="XCH38" s="624"/>
      <c r="XCI38" s="624"/>
      <c r="XCJ38" s="624"/>
      <c r="XCK38" s="624"/>
      <c r="XCL38" s="624"/>
      <c r="XCM38" s="624"/>
      <c r="XCN38" s="624"/>
      <c r="XCO38" s="624"/>
      <c r="XCP38" s="624"/>
      <c r="XCQ38" s="624"/>
      <c r="XCR38" s="624"/>
      <c r="XCS38" s="624"/>
      <c r="XCT38" s="624"/>
      <c r="XCU38" s="624"/>
      <c r="XCV38" s="624"/>
      <c r="XCW38" s="624"/>
      <c r="XCX38" s="624"/>
      <c r="XCY38" s="624"/>
      <c r="XCZ38" s="624"/>
      <c r="XDA38" s="624"/>
      <c r="XDB38" s="624"/>
      <c r="XDC38" s="624"/>
      <c r="XDD38" s="624"/>
      <c r="XDE38" s="624"/>
      <c r="XDF38" s="624"/>
      <c r="XDG38" s="624"/>
      <c r="XDH38" s="624"/>
      <c r="XDI38" s="624"/>
      <c r="XDJ38" s="624"/>
      <c r="XDK38" s="624"/>
      <c r="XDL38" s="624"/>
      <c r="XDM38" s="624"/>
      <c r="XDN38" s="624"/>
      <c r="XDO38" s="624"/>
      <c r="XDP38" s="624"/>
      <c r="XDQ38" s="624"/>
      <c r="XDR38" s="624"/>
      <c r="XDS38" s="624"/>
      <c r="XDT38" s="624"/>
      <c r="XDU38" s="624"/>
      <c r="XDV38" s="624"/>
      <c r="XDW38" s="624"/>
      <c r="XDX38" s="624"/>
      <c r="XDY38" s="624"/>
      <c r="XDZ38" s="624"/>
      <c r="XEA38" s="624"/>
      <c r="XEB38" s="624"/>
      <c r="XEC38" s="624"/>
      <c r="XED38" s="624"/>
      <c r="XEE38" s="624"/>
      <c r="XEF38" s="624"/>
      <c r="XEG38" s="624"/>
      <c r="XEH38" s="624"/>
      <c r="XEI38" s="624"/>
      <c r="XEJ38" s="624"/>
      <c r="XEK38" s="624"/>
      <c r="XEL38" s="624"/>
      <c r="XEM38" s="624"/>
      <c r="XEN38" s="624"/>
      <c r="XEO38" s="624"/>
      <c r="XEP38" s="624"/>
      <c r="XEQ38" s="624"/>
      <c r="XER38" s="624"/>
      <c r="XES38" s="624"/>
      <c r="XET38" s="624"/>
      <c r="XEU38" s="624"/>
      <c r="XEV38" s="624"/>
      <c r="XEW38" s="624"/>
      <c r="XEX38" s="624"/>
      <c r="XEY38" s="624"/>
      <c r="XEZ38" s="624"/>
      <c r="XFA38" s="624"/>
      <c r="XFB38" s="624"/>
      <c r="XFC38" s="624"/>
      <c r="XFD38" s="624"/>
    </row>
    <row r="39" spans="2:16384" s="618" customFormat="1" hidden="1" outlineLevel="1">
      <c r="B39" s="644"/>
      <c r="D39" s="645"/>
      <c r="E39" s="645"/>
      <c r="F39" s="645"/>
      <c r="G39" s="645"/>
      <c r="H39" s="644"/>
      <c r="I39" s="645"/>
      <c r="J39" s="644"/>
      <c r="K39" s="645"/>
      <c r="L39" s="644"/>
      <c r="M39" s="644"/>
      <c r="N39" s="645"/>
      <c r="O39" s="645"/>
      <c r="P39" s="645"/>
      <c r="Q39" s="645"/>
      <c r="R39" s="644"/>
      <c r="S39" s="645"/>
      <c r="T39" s="644"/>
      <c r="U39" s="645"/>
      <c r="V39" s="645"/>
      <c r="W39" s="644"/>
      <c r="X39" s="645"/>
      <c r="Y39" s="645"/>
      <c r="Z39" s="645"/>
      <c r="AA39" s="645"/>
      <c r="AB39" s="644"/>
      <c r="AC39" s="645"/>
      <c r="AD39" s="645"/>
      <c r="AE39" s="645"/>
      <c r="AF39" s="645"/>
      <c r="AG39" s="644"/>
      <c r="AH39" s="645"/>
      <c r="AI39" s="645"/>
      <c r="AJ39" s="645"/>
      <c r="AK39" s="645"/>
      <c r="AL39" s="644"/>
      <c r="AM39" s="645"/>
      <c r="AN39" s="645"/>
      <c r="AO39" s="645"/>
      <c r="AP39" s="645"/>
      <c r="AQ39" s="644"/>
      <c r="AR39" s="645"/>
      <c r="AS39" s="645"/>
      <c r="AT39" s="645"/>
      <c r="AU39" s="645"/>
      <c r="AV39" s="644"/>
    </row>
    <row r="40" spans="2:16384" s="618" customFormat="1" hidden="1" outlineLevel="1">
      <c r="B40" s="644"/>
      <c r="D40" s="645"/>
      <c r="E40" s="645"/>
      <c r="F40" s="645"/>
      <c r="G40" s="645"/>
      <c r="H40" s="644"/>
      <c r="I40" s="645"/>
      <c r="J40" s="644"/>
      <c r="K40" s="645"/>
      <c r="L40" s="644"/>
      <c r="M40" s="644"/>
      <c r="N40" s="645"/>
      <c r="O40" s="645"/>
      <c r="P40" s="645"/>
      <c r="Q40" s="645"/>
      <c r="R40" s="644"/>
      <c r="S40" s="645"/>
      <c r="T40" s="644"/>
      <c r="U40" s="645"/>
      <c r="V40" s="645"/>
      <c r="W40" s="644"/>
      <c r="X40" s="645"/>
      <c r="Y40" s="645"/>
      <c r="Z40" s="645"/>
      <c r="AA40" s="645"/>
      <c r="AB40" s="644"/>
      <c r="AC40" s="645"/>
      <c r="AD40" s="645"/>
      <c r="AE40" s="645"/>
      <c r="AF40" s="645"/>
      <c r="AG40" s="644"/>
      <c r="AH40" s="645"/>
      <c r="AI40" s="645"/>
      <c r="AJ40" s="645"/>
      <c r="AK40" s="645"/>
      <c r="AL40" s="644"/>
      <c r="AM40" s="645"/>
      <c r="AN40" s="645"/>
      <c r="AO40" s="645"/>
      <c r="AP40" s="645"/>
      <c r="AQ40" s="644"/>
      <c r="AR40" s="645"/>
      <c r="AS40" s="645"/>
      <c r="AT40" s="645"/>
      <c r="AU40" s="645"/>
      <c r="AV40" s="644"/>
    </row>
    <row r="41" spans="2:16384" s="618" customFormat="1" hidden="1" outlineLevel="1">
      <c r="B41" s="644"/>
      <c r="D41" s="645"/>
      <c r="E41" s="645"/>
      <c r="F41" s="645"/>
      <c r="G41" s="645"/>
      <c r="H41" s="624"/>
      <c r="I41" s="624"/>
      <c r="J41" s="624"/>
      <c r="K41" s="624"/>
      <c r="L41" s="644" t="s">
        <v>378</v>
      </c>
      <c r="M41" s="624">
        <v>7</v>
      </c>
      <c r="N41" s="624"/>
      <c r="O41" s="624"/>
      <c r="P41" s="624"/>
      <c r="Q41" s="624"/>
      <c r="R41" s="624"/>
      <c r="S41" s="624"/>
      <c r="T41" s="624"/>
      <c r="U41" s="624"/>
      <c r="V41" s="624">
        <v>30</v>
      </c>
      <c r="W41" s="624"/>
      <c r="X41" s="624"/>
      <c r="Y41" s="624"/>
      <c r="Z41" s="624"/>
      <c r="AA41" s="624"/>
      <c r="AB41" s="624"/>
      <c r="AC41" s="624"/>
      <c r="AD41" s="624"/>
      <c r="AE41" s="624"/>
      <c r="AF41" s="624"/>
      <c r="AG41" s="624"/>
      <c r="AH41" s="624"/>
      <c r="AI41" s="624"/>
      <c r="AJ41" s="624"/>
      <c r="AK41" s="624"/>
      <c r="AL41" s="624"/>
      <c r="AM41" s="624"/>
      <c r="AN41" s="624"/>
      <c r="AO41" s="624"/>
      <c r="AP41" s="624"/>
      <c r="AQ41" s="624"/>
      <c r="AR41" s="624"/>
      <c r="AS41" s="624"/>
      <c r="AT41" s="624"/>
      <c r="AU41" s="624"/>
      <c r="AV41" s="624"/>
      <c r="AW41" s="624"/>
      <c r="AX41" s="624"/>
      <c r="AY41" s="624"/>
      <c r="AZ41" s="624"/>
      <c r="BA41" s="624"/>
      <c r="BB41" s="624"/>
      <c r="BC41" s="624"/>
      <c r="BD41" s="624"/>
      <c r="BE41" s="624"/>
      <c r="BF41" s="624"/>
      <c r="BG41" s="624"/>
      <c r="BH41" s="624"/>
      <c r="BI41" s="624"/>
      <c r="BJ41" s="624"/>
      <c r="BK41" s="624"/>
      <c r="BL41" s="624"/>
      <c r="BM41" s="624"/>
      <c r="BN41" s="624"/>
      <c r="BO41" s="624"/>
      <c r="BP41" s="624"/>
      <c r="BQ41" s="624"/>
      <c r="BR41" s="624"/>
      <c r="BS41" s="624"/>
      <c r="BT41" s="624"/>
      <c r="BU41" s="624"/>
      <c r="BV41" s="624"/>
      <c r="BW41" s="624"/>
      <c r="BX41" s="624"/>
      <c r="BY41" s="624"/>
      <c r="BZ41" s="624"/>
      <c r="CA41" s="624"/>
      <c r="CB41" s="624"/>
      <c r="CC41" s="624"/>
      <c r="CD41" s="624"/>
      <c r="CE41" s="624"/>
      <c r="CF41" s="624"/>
      <c r="CG41" s="624"/>
      <c r="CH41" s="624"/>
      <c r="CI41" s="624"/>
      <c r="CJ41" s="624"/>
      <c r="CK41" s="624"/>
      <c r="CL41" s="624"/>
      <c r="CM41" s="624"/>
      <c r="CN41" s="624"/>
      <c r="CO41" s="624"/>
      <c r="CP41" s="624"/>
      <c r="CQ41" s="624"/>
      <c r="CR41" s="624"/>
      <c r="CS41" s="624"/>
      <c r="CT41" s="624"/>
      <c r="CU41" s="624"/>
      <c r="CV41" s="624"/>
      <c r="CW41" s="624"/>
      <c r="CX41" s="624"/>
      <c r="CY41" s="624"/>
      <c r="CZ41" s="624"/>
      <c r="DA41" s="624"/>
      <c r="DB41" s="624"/>
      <c r="DC41" s="624"/>
      <c r="DD41" s="624"/>
      <c r="DE41" s="624"/>
      <c r="DF41" s="624"/>
      <c r="DG41" s="624"/>
      <c r="DH41" s="624"/>
      <c r="DI41" s="624"/>
      <c r="DJ41" s="624"/>
      <c r="DK41" s="624"/>
      <c r="DL41" s="624"/>
      <c r="DM41" s="624"/>
      <c r="DN41" s="624"/>
      <c r="DO41" s="624"/>
      <c r="DP41" s="624"/>
      <c r="DQ41" s="624"/>
      <c r="DR41" s="624"/>
      <c r="DS41" s="624"/>
      <c r="DT41" s="624"/>
      <c r="DU41" s="624"/>
      <c r="DV41" s="624"/>
      <c r="DW41" s="624"/>
      <c r="DX41" s="624"/>
      <c r="DY41" s="624"/>
      <c r="DZ41" s="624"/>
      <c r="EA41" s="624"/>
      <c r="EB41" s="624"/>
      <c r="EC41" s="624"/>
      <c r="ED41" s="624"/>
      <c r="EE41" s="624"/>
      <c r="EF41" s="624"/>
      <c r="EG41" s="624"/>
      <c r="EH41" s="624"/>
      <c r="EI41" s="624"/>
      <c r="EJ41" s="624"/>
      <c r="EK41" s="624"/>
      <c r="EL41" s="624"/>
      <c r="EM41" s="624"/>
      <c r="EN41" s="624"/>
      <c r="EO41" s="624"/>
      <c r="EP41" s="624"/>
      <c r="EQ41" s="624"/>
      <c r="ER41" s="624"/>
      <c r="ES41" s="624"/>
      <c r="ET41" s="624"/>
      <c r="EU41" s="624"/>
      <c r="EV41" s="624"/>
      <c r="EW41" s="624"/>
      <c r="EX41" s="624"/>
      <c r="EY41" s="624"/>
      <c r="EZ41" s="624"/>
      <c r="FA41" s="624"/>
      <c r="FB41" s="624"/>
      <c r="FC41" s="624"/>
      <c r="FD41" s="624"/>
      <c r="FE41" s="624"/>
      <c r="FF41" s="624"/>
      <c r="FG41" s="624"/>
      <c r="FH41" s="624"/>
      <c r="FI41" s="624"/>
      <c r="FJ41" s="624"/>
      <c r="FK41" s="624"/>
      <c r="FL41" s="624"/>
      <c r="FM41" s="624"/>
      <c r="FN41" s="624"/>
      <c r="FO41" s="624"/>
      <c r="FP41" s="624"/>
      <c r="FQ41" s="624"/>
      <c r="FR41" s="624"/>
      <c r="FS41" s="624"/>
      <c r="FT41" s="624"/>
      <c r="FU41" s="624"/>
      <c r="FV41" s="624"/>
      <c r="FW41" s="624"/>
      <c r="FX41" s="624"/>
      <c r="FY41" s="624"/>
      <c r="FZ41" s="624"/>
      <c r="GA41" s="624"/>
      <c r="GB41" s="624"/>
      <c r="GC41" s="624"/>
      <c r="GD41" s="624"/>
      <c r="GE41" s="624"/>
      <c r="GF41" s="624"/>
      <c r="GG41" s="624"/>
      <c r="GH41" s="624"/>
      <c r="GI41" s="624"/>
      <c r="GJ41" s="624"/>
      <c r="GK41" s="624"/>
      <c r="GL41" s="624"/>
      <c r="GM41" s="624"/>
      <c r="GN41" s="624"/>
      <c r="GO41" s="624"/>
      <c r="GP41" s="624"/>
      <c r="GQ41" s="624"/>
      <c r="GR41" s="624"/>
      <c r="GS41" s="624"/>
      <c r="GT41" s="624"/>
      <c r="GU41" s="624"/>
      <c r="GV41" s="624"/>
      <c r="GW41" s="624"/>
      <c r="GX41" s="624"/>
      <c r="GY41" s="624"/>
      <c r="GZ41" s="624"/>
      <c r="HA41" s="624"/>
      <c r="HB41" s="624"/>
      <c r="HC41" s="624"/>
      <c r="HD41" s="624"/>
      <c r="HE41" s="624"/>
      <c r="HF41" s="624"/>
      <c r="HG41" s="624"/>
      <c r="HH41" s="624"/>
      <c r="HI41" s="624"/>
      <c r="HJ41" s="624"/>
      <c r="HK41" s="624"/>
      <c r="HL41" s="624"/>
      <c r="HM41" s="624"/>
      <c r="HN41" s="624"/>
      <c r="HO41" s="624"/>
      <c r="HP41" s="624"/>
      <c r="HQ41" s="624"/>
      <c r="HR41" s="624"/>
      <c r="HS41" s="624"/>
      <c r="HT41" s="624"/>
      <c r="HU41" s="624"/>
      <c r="HV41" s="624"/>
      <c r="HW41" s="624"/>
      <c r="HX41" s="624"/>
      <c r="HY41" s="624"/>
      <c r="HZ41" s="624"/>
      <c r="IA41" s="624"/>
      <c r="IB41" s="624"/>
      <c r="IC41" s="624"/>
      <c r="ID41" s="624"/>
      <c r="IE41" s="624"/>
      <c r="IF41" s="624"/>
      <c r="IG41" s="624"/>
      <c r="IH41" s="624"/>
      <c r="II41" s="624"/>
      <c r="IJ41" s="624"/>
      <c r="IK41" s="624"/>
      <c r="IL41" s="624"/>
      <c r="IM41" s="624"/>
      <c r="IN41" s="624"/>
      <c r="IO41" s="624"/>
      <c r="IP41" s="624"/>
      <c r="IQ41" s="624"/>
      <c r="IR41" s="624"/>
      <c r="IS41" s="624"/>
      <c r="IT41" s="624"/>
      <c r="IU41" s="624"/>
      <c r="IV41" s="624"/>
      <c r="IW41" s="624"/>
      <c r="IX41" s="624"/>
      <c r="IY41" s="624"/>
      <c r="IZ41" s="624"/>
      <c r="JA41" s="624"/>
      <c r="JB41" s="624"/>
      <c r="JC41" s="624"/>
      <c r="JD41" s="624"/>
      <c r="JE41" s="624"/>
      <c r="JF41" s="624"/>
      <c r="JG41" s="624"/>
      <c r="JH41" s="624"/>
      <c r="JI41" s="624"/>
      <c r="JJ41" s="624"/>
      <c r="JK41" s="624"/>
      <c r="JL41" s="624"/>
      <c r="JM41" s="624"/>
      <c r="JN41" s="624"/>
      <c r="JO41" s="624"/>
      <c r="JP41" s="624"/>
      <c r="JQ41" s="624"/>
      <c r="JR41" s="624"/>
      <c r="JS41" s="624"/>
      <c r="JT41" s="624"/>
      <c r="JU41" s="624"/>
      <c r="JV41" s="624"/>
      <c r="JW41" s="624"/>
      <c r="JX41" s="624"/>
      <c r="JY41" s="624"/>
      <c r="JZ41" s="624"/>
      <c r="KA41" s="624"/>
      <c r="KB41" s="624"/>
      <c r="KC41" s="624"/>
      <c r="KD41" s="624"/>
      <c r="KE41" s="624"/>
      <c r="KF41" s="624"/>
      <c r="KG41" s="624"/>
      <c r="KH41" s="624"/>
      <c r="KI41" s="624"/>
      <c r="KJ41" s="624"/>
      <c r="KK41" s="624"/>
      <c r="KL41" s="624"/>
      <c r="KM41" s="624"/>
      <c r="KN41" s="624"/>
      <c r="KO41" s="624"/>
      <c r="KP41" s="624"/>
      <c r="KQ41" s="624"/>
      <c r="KR41" s="624"/>
      <c r="KS41" s="624"/>
      <c r="KT41" s="624"/>
      <c r="KU41" s="624"/>
      <c r="KV41" s="624"/>
      <c r="KW41" s="624"/>
      <c r="KX41" s="624"/>
      <c r="KY41" s="624"/>
      <c r="KZ41" s="624"/>
      <c r="LA41" s="624"/>
      <c r="LB41" s="624"/>
      <c r="LC41" s="624"/>
      <c r="LD41" s="624"/>
      <c r="LE41" s="624"/>
      <c r="LF41" s="624"/>
      <c r="LG41" s="624"/>
      <c r="LH41" s="624"/>
      <c r="LI41" s="624"/>
      <c r="LJ41" s="624"/>
      <c r="LK41" s="624"/>
      <c r="LL41" s="624"/>
      <c r="LM41" s="624"/>
      <c r="LN41" s="624"/>
      <c r="LO41" s="624"/>
      <c r="LP41" s="624"/>
      <c r="LQ41" s="624"/>
      <c r="LR41" s="624"/>
      <c r="LS41" s="624"/>
      <c r="LT41" s="624"/>
      <c r="LU41" s="624"/>
      <c r="LV41" s="624"/>
      <c r="LW41" s="624"/>
      <c r="LX41" s="624"/>
      <c r="LY41" s="624"/>
      <c r="LZ41" s="624"/>
      <c r="MA41" s="624"/>
      <c r="MB41" s="624"/>
      <c r="MC41" s="624"/>
      <c r="MD41" s="624"/>
      <c r="ME41" s="624"/>
      <c r="MF41" s="624"/>
      <c r="MG41" s="624"/>
      <c r="MH41" s="624"/>
      <c r="MI41" s="624"/>
      <c r="MJ41" s="624"/>
      <c r="MK41" s="624"/>
      <c r="ML41" s="624"/>
      <c r="MM41" s="624"/>
      <c r="MN41" s="624"/>
      <c r="MO41" s="624"/>
      <c r="MP41" s="624"/>
      <c r="MQ41" s="624"/>
      <c r="MR41" s="624"/>
      <c r="MS41" s="624"/>
      <c r="MT41" s="624"/>
      <c r="MU41" s="624"/>
      <c r="MV41" s="624"/>
      <c r="MW41" s="624"/>
      <c r="MX41" s="624"/>
      <c r="MY41" s="624"/>
      <c r="MZ41" s="624"/>
      <c r="NA41" s="624"/>
      <c r="NB41" s="624"/>
      <c r="NC41" s="624"/>
      <c r="ND41" s="624"/>
      <c r="NE41" s="624"/>
      <c r="NF41" s="624"/>
      <c r="NG41" s="624"/>
      <c r="NH41" s="624"/>
      <c r="NI41" s="624"/>
      <c r="NJ41" s="624"/>
      <c r="NK41" s="624"/>
      <c r="NL41" s="624"/>
      <c r="NM41" s="624"/>
      <c r="NN41" s="624"/>
      <c r="NO41" s="624"/>
      <c r="NP41" s="624"/>
      <c r="NQ41" s="624"/>
      <c r="NR41" s="624"/>
      <c r="NS41" s="624"/>
      <c r="NT41" s="624"/>
      <c r="NU41" s="624"/>
      <c r="NV41" s="624"/>
      <c r="NW41" s="624"/>
      <c r="NX41" s="624"/>
      <c r="NY41" s="624"/>
      <c r="NZ41" s="624"/>
      <c r="OA41" s="624"/>
      <c r="OB41" s="624"/>
      <c r="OC41" s="624"/>
      <c r="OD41" s="624"/>
      <c r="OE41" s="624"/>
      <c r="OF41" s="624"/>
      <c r="OG41" s="624"/>
      <c r="OH41" s="624"/>
      <c r="OI41" s="624"/>
      <c r="OJ41" s="624"/>
      <c r="OK41" s="624"/>
      <c r="OL41" s="624"/>
      <c r="OM41" s="624"/>
      <c r="ON41" s="624"/>
      <c r="OO41" s="624"/>
      <c r="OP41" s="624"/>
      <c r="OQ41" s="624"/>
      <c r="OR41" s="624"/>
      <c r="OS41" s="624"/>
      <c r="OT41" s="624"/>
      <c r="OU41" s="624"/>
      <c r="OV41" s="624"/>
      <c r="OW41" s="624"/>
      <c r="OX41" s="624"/>
      <c r="OY41" s="624"/>
      <c r="OZ41" s="624"/>
      <c r="PA41" s="624"/>
      <c r="PB41" s="624"/>
      <c r="PC41" s="624"/>
      <c r="PD41" s="624"/>
      <c r="PE41" s="624"/>
      <c r="PF41" s="624"/>
      <c r="PG41" s="624"/>
      <c r="PH41" s="624"/>
      <c r="PI41" s="624"/>
      <c r="PJ41" s="624"/>
      <c r="PK41" s="624"/>
      <c r="PL41" s="624"/>
      <c r="PM41" s="624"/>
      <c r="PN41" s="624"/>
      <c r="PO41" s="624"/>
      <c r="PP41" s="624"/>
      <c r="PQ41" s="624"/>
      <c r="PR41" s="624"/>
      <c r="PS41" s="624"/>
      <c r="PT41" s="624"/>
      <c r="PU41" s="624"/>
      <c r="PV41" s="624"/>
      <c r="PW41" s="624"/>
      <c r="PX41" s="624"/>
      <c r="PY41" s="624"/>
      <c r="PZ41" s="624"/>
      <c r="QA41" s="624"/>
      <c r="QB41" s="624"/>
      <c r="QC41" s="624"/>
      <c r="QD41" s="624"/>
      <c r="QE41" s="624"/>
      <c r="QF41" s="624"/>
      <c r="QG41" s="624"/>
      <c r="QH41" s="624"/>
      <c r="QI41" s="624"/>
      <c r="QJ41" s="624"/>
      <c r="QK41" s="624"/>
      <c r="QL41" s="624"/>
      <c r="QM41" s="624"/>
      <c r="QN41" s="624"/>
      <c r="QO41" s="624"/>
      <c r="QP41" s="624"/>
      <c r="QQ41" s="624"/>
      <c r="QR41" s="624"/>
      <c r="QS41" s="624"/>
      <c r="QT41" s="624"/>
      <c r="QU41" s="624"/>
      <c r="QV41" s="624"/>
      <c r="QW41" s="624"/>
      <c r="QX41" s="624"/>
      <c r="QY41" s="624"/>
      <c r="QZ41" s="624"/>
      <c r="RA41" s="624"/>
      <c r="RB41" s="624"/>
      <c r="RC41" s="624"/>
      <c r="RD41" s="624"/>
      <c r="RE41" s="624"/>
      <c r="RF41" s="624"/>
      <c r="RG41" s="624"/>
      <c r="RH41" s="624"/>
      <c r="RI41" s="624"/>
      <c r="RJ41" s="624"/>
      <c r="RK41" s="624"/>
      <c r="RL41" s="624"/>
      <c r="RM41" s="624"/>
      <c r="RN41" s="624"/>
      <c r="RO41" s="624"/>
      <c r="RP41" s="624"/>
      <c r="RQ41" s="624"/>
      <c r="RR41" s="624"/>
      <c r="RS41" s="624"/>
      <c r="RT41" s="624"/>
      <c r="RU41" s="624"/>
      <c r="RV41" s="624"/>
      <c r="RW41" s="624"/>
      <c r="RX41" s="624"/>
      <c r="RY41" s="624"/>
      <c r="RZ41" s="624"/>
      <c r="SA41" s="624"/>
      <c r="SB41" s="624"/>
      <c r="SC41" s="624"/>
      <c r="SD41" s="624"/>
      <c r="SE41" s="624"/>
      <c r="SF41" s="624"/>
      <c r="SG41" s="624"/>
      <c r="SH41" s="624"/>
      <c r="SI41" s="624"/>
      <c r="SJ41" s="624"/>
      <c r="SK41" s="624"/>
      <c r="SL41" s="624"/>
      <c r="SM41" s="624"/>
      <c r="SN41" s="624"/>
      <c r="SO41" s="624"/>
      <c r="SP41" s="624"/>
      <c r="SQ41" s="624"/>
      <c r="SR41" s="624"/>
      <c r="SS41" s="624"/>
      <c r="ST41" s="624"/>
      <c r="SU41" s="624"/>
      <c r="SV41" s="624"/>
      <c r="SW41" s="624"/>
      <c r="SX41" s="624"/>
      <c r="SY41" s="624"/>
      <c r="SZ41" s="624"/>
      <c r="TA41" s="624"/>
      <c r="TB41" s="624"/>
      <c r="TC41" s="624"/>
      <c r="TD41" s="624"/>
      <c r="TE41" s="624"/>
      <c r="TF41" s="624"/>
      <c r="TG41" s="624"/>
      <c r="TH41" s="624"/>
      <c r="TI41" s="624"/>
      <c r="TJ41" s="624"/>
      <c r="TK41" s="624"/>
      <c r="TL41" s="624"/>
      <c r="TM41" s="624"/>
      <c r="TN41" s="624"/>
      <c r="TO41" s="624"/>
      <c r="TP41" s="624"/>
      <c r="TQ41" s="624"/>
      <c r="TR41" s="624"/>
      <c r="TS41" s="624"/>
      <c r="TT41" s="624"/>
      <c r="TU41" s="624"/>
      <c r="TV41" s="624"/>
      <c r="TW41" s="624"/>
      <c r="TX41" s="624"/>
      <c r="TY41" s="624"/>
      <c r="TZ41" s="624"/>
      <c r="UA41" s="624"/>
      <c r="UB41" s="624"/>
      <c r="UC41" s="624"/>
      <c r="UD41" s="624"/>
      <c r="UE41" s="624"/>
      <c r="UF41" s="624"/>
      <c r="UG41" s="624"/>
      <c r="UH41" s="624"/>
      <c r="UI41" s="624"/>
      <c r="UJ41" s="624"/>
      <c r="UK41" s="624"/>
      <c r="UL41" s="624"/>
      <c r="UM41" s="624"/>
      <c r="UN41" s="624"/>
      <c r="UO41" s="624"/>
      <c r="UP41" s="624"/>
      <c r="UQ41" s="624"/>
      <c r="UR41" s="624"/>
      <c r="US41" s="624"/>
      <c r="UT41" s="624"/>
      <c r="UU41" s="624"/>
      <c r="UV41" s="624"/>
      <c r="UW41" s="624"/>
      <c r="UX41" s="624"/>
      <c r="UY41" s="624"/>
      <c r="UZ41" s="624"/>
      <c r="VA41" s="624"/>
      <c r="VB41" s="624"/>
      <c r="VC41" s="624"/>
      <c r="VD41" s="624"/>
      <c r="VE41" s="624"/>
      <c r="VF41" s="624"/>
      <c r="VG41" s="624"/>
      <c r="VH41" s="624"/>
      <c r="VI41" s="624"/>
      <c r="VJ41" s="624"/>
      <c r="VK41" s="624"/>
      <c r="VL41" s="624"/>
      <c r="VM41" s="624"/>
      <c r="VN41" s="624"/>
      <c r="VO41" s="624"/>
      <c r="VP41" s="624"/>
      <c r="VQ41" s="624"/>
      <c r="VR41" s="624"/>
      <c r="VS41" s="624"/>
      <c r="VT41" s="624"/>
      <c r="VU41" s="624"/>
      <c r="VV41" s="624"/>
      <c r="VW41" s="624"/>
      <c r="VX41" s="624"/>
      <c r="VY41" s="624"/>
      <c r="VZ41" s="624"/>
      <c r="WA41" s="624"/>
      <c r="WB41" s="624"/>
      <c r="WC41" s="624"/>
      <c r="WD41" s="624"/>
      <c r="WE41" s="624"/>
      <c r="WF41" s="624"/>
      <c r="WG41" s="624"/>
      <c r="WH41" s="624"/>
      <c r="WI41" s="624"/>
      <c r="WJ41" s="624"/>
      <c r="WK41" s="624"/>
      <c r="WL41" s="624"/>
      <c r="WM41" s="624"/>
      <c r="WN41" s="624"/>
      <c r="WO41" s="624"/>
      <c r="WP41" s="624"/>
      <c r="WQ41" s="624"/>
      <c r="WR41" s="624"/>
      <c r="WS41" s="624"/>
      <c r="WT41" s="624"/>
      <c r="WU41" s="624"/>
      <c r="WV41" s="624"/>
      <c r="WW41" s="624"/>
      <c r="WX41" s="624"/>
      <c r="WY41" s="624"/>
      <c r="WZ41" s="624"/>
      <c r="XA41" s="624"/>
      <c r="XB41" s="624"/>
      <c r="XC41" s="624"/>
      <c r="XD41" s="624"/>
      <c r="XE41" s="624"/>
      <c r="XF41" s="624"/>
      <c r="XG41" s="624"/>
      <c r="XH41" s="624"/>
      <c r="XI41" s="624"/>
      <c r="XJ41" s="624"/>
      <c r="XK41" s="624"/>
      <c r="XL41" s="624"/>
      <c r="XM41" s="624"/>
      <c r="XN41" s="624"/>
      <c r="XO41" s="624"/>
      <c r="XP41" s="624"/>
      <c r="XQ41" s="624"/>
      <c r="XR41" s="624"/>
      <c r="XS41" s="624"/>
      <c r="XT41" s="624"/>
      <c r="XU41" s="624"/>
      <c r="XV41" s="624"/>
      <c r="XW41" s="624"/>
      <c r="XX41" s="624"/>
      <c r="XY41" s="624"/>
      <c r="XZ41" s="624"/>
      <c r="YA41" s="624"/>
      <c r="YB41" s="624"/>
      <c r="YC41" s="624"/>
      <c r="YD41" s="624"/>
      <c r="YE41" s="624"/>
      <c r="YF41" s="624"/>
      <c r="YG41" s="624"/>
      <c r="YH41" s="624"/>
      <c r="YI41" s="624"/>
      <c r="YJ41" s="624"/>
      <c r="YK41" s="624"/>
      <c r="YL41" s="624"/>
      <c r="YM41" s="624"/>
      <c r="YN41" s="624"/>
      <c r="YO41" s="624"/>
      <c r="YP41" s="624"/>
      <c r="YQ41" s="624"/>
      <c r="YR41" s="624"/>
      <c r="YS41" s="624"/>
      <c r="YT41" s="624"/>
      <c r="YU41" s="624"/>
      <c r="YV41" s="624"/>
      <c r="YW41" s="624"/>
      <c r="YX41" s="624"/>
      <c r="YY41" s="624"/>
      <c r="YZ41" s="624"/>
      <c r="ZA41" s="624"/>
      <c r="ZB41" s="624"/>
      <c r="ZC41" s="624"/>
      <c r="ZD41" s="624"/>
      <c r="ZE41" s="624"/>
      <c r="ZF41" s="624"/>
      <c r="ZG41" s="624"/>
      <c r="ZH41" s="624"/>
      <c r="ZI41" s="624"/>
      <c r="ZJ41" s="624"/>
      <c r="ZK41" s="624"/>
      <c r="ZL41" s="624"/>
      <c r="ZM41" s="624"/>
      <c r="ZN41" s="624"/>
      <c r="ZO41" s="624"/>
      <c r="ZP41" s="624"/>
      <c r="ZQ41" s="624"/>
      <c r="ZR41" s="624"/>
      <c r="ZS41" s="624"/>
      <c r="ZT41" s="624"/>
      <c r="ZU41" s="624"/>
      <c r="ZV41" s="624"/>
      <c r="ZW41" s="624"/>
      <c r="ZX41" s="624"/>
      <c r="ZY41" s="624"/>
      <c r="ZZ41" s="624"/>
      <c r="AAA41" s="624"/>
      <c r="AAB41" s="624"/>
      <c r="AAC41" s="624"/>
      <c r="AAD41" s="624"/>
      <c r="AAE41" s="624"/>
      <c r="AAF41" s="624"/>
      <c r="AAG41" s="624"/>
      <c r="AAH41" s="624"/>
      <c r="AAI41" s="624"/>
      <c r="AAJ41" s="624"/>
      <c r="AAK41" s="624"/>
      <c r="AAL41" s="624"/>
      <c r="AAM41" s="624"/>
      <c r="AAN41" s="624"/>
      <c r="AAO41" s="624"/>
      <c r="AAP41" s="624"/>
      <c r="AAQ41" s="624"/>
      <c r="AAR41" s="624"/>
      <c r="AAS41" s="624"/>
      <c r="AAT41" s="624"/>
      <c r="AAU41" s="624"/>
      <c r="AAV41" s="624"/>
      <c r="AAW41" s="624"/>
      <c r="AAX41" s="624"/>
      <c r="AAY41" s="624"/>
      <c r="AAZ41" s="624"/>
      <c r="ABA41" s="624"/>
      <c r="ABB41" s="624"/>
      <c r="ABC41" s="624"/>
      <c r="ABD41" s="624"/>
      <c r="ABE41" s="624"/>
      <c r="ABF41" s="624"/>
      <c r="ABG41" s="624"/>
      <c r="ABH41" s="624"/>
      <c r="ABI41" s="624"/>
      <c r="ABJ41" s="624"/>
      <c r="ABK41" s="624"/>
      <c r="ABL41" s="624"/>
      <c r="ABM41" s="624"/>
      <c r="ABN41" s="624"/>
      <c r="ABO41" s="624"/>
      <c r="ABP41" s="624"/>
      <c r="ABQ41" s="624"/>
      <c r="ABR41" s="624"/>
      <c r="ABS41" s="624"/>
      <c r="ABT41" s="624"/>
      <c r="ABU41" s="624"/>
      <c r="ABV41" s="624"/>
      <c r="ABW41" s="624"/>
      <c r="ABX41" s="624"/>
      <c r="ABY41" s="624"/>
      <c r="ABZ41" s="624"/>
      <c r="ACA41" s="624"/>
      <c r="ACB41" s="624"/>
      <c r="ACC41" s="624"/>
      <c r="ACD41" s="624"/>
      <c r="ACE41" s="624"/>
      <c r="ACF41" s="624"/>
      <c r="ACG41" s="624"/>
      <c r="ACH41" s="624"/>
      <c r="ACI41" s="624"/>
      <c r="ACJ41" s="624"/>
      <c r="ACK41" s="624"/>
      <c r="ACL41" s="624"/>
      <c r="ACM41" s="624"/>
      <c r="ACN41" s="624"/>
      <c r="ACO41" s="624"/>
      <c r="ACP41" s="624"/>
      <c r="ACQ41" s="624"/>
      <c r="ACR41" s="624"/>
      <c r="ACS41" s="624"/>
      <c r="ACT41" s="624"/>
      <c r="ACU41" s="624"/>
      <c r="ACV41" s="624"/>
      <c r="ACW41" s="624"/>
      <c r="ACX41" s="624"/>
      <c r="ACY41" s="624"/>
      <c r="ACZ41" s="624"/>
      <c r="ADA41" s="624"/>
      <c r="ADB41" s="624"/>
      <c r="ADC41" s="624"/>
      <c r="ADD41" s="624"/>
      <c r="ADE41" s="624"/>
      <c r="ADF41" s="624"/>
      <c r="ADG41" s="624"/>
      <c r="ADH41" s="624"/>
      <c r="ADI41" s="624"/>
      <c r="ADJ41" s="624"/>
      <c r="ADK41" s="624"/>
      <c r="ADL41" s="624"/>
      <c r="ADM41" s="624"/>
      <c r="ADN41" s="624"/>
      <c r="ADO41" s="624"/>
      <c r="ADP41" s="624"/>
      <c r="ADQ41" s="624"/>
      <c r="ADR41" s="624"/>
      <c r="ADS41" s="624"/>
      <c r="ADT41" s="624"/>
      <c r="ADU41" s="624"/>
      <c r="ADV41" s="624"/>
      <c r="ADW41" s="624"/>
      <c r="ADX41" s="624"/>
      <c r="ADY41" s="624"/>
      <c r="ADZ41" s="624"/>
      <c r="AEA41" s="624"/>
      <c r="AEB41" s="624"/>
      <c r="AEC41" s="624"/>
      <c r="AED41" s="624"/>
      <c r="AEE41" s="624"/>
      <c r="AEF41" s="624"/>
      <c r="AEG41" s="624"/>
      <c r="AEH41" s="624"/>
      <c r="AEI41" s="624"/>
      <c r="AEJ41" s="624"/>
      <c r="AEK41" s="624"/>
      <c r="AEL41" s="624"/>
      <c r="AEM41" s="624"/>
      <c r="AEN41" s="624"/>
      <c r="AEO41" s="624"/>
      <c r="AEP41" s="624"/>
      <c r="AEQ41" s="624"/>
      <c r="AER41" s="624"/>
      <c r="AES41" s="624"/>
      <c r="AET41" s="624"/>
      <c r="AEU41" s="624"/>
      <c r="AEV41" s="624"/>
      <c r="AEW41" s="624"/>
      <c r="AEX41" s="624"/>
      <c r="AEY41" s="624"/>
      <c r="AEZ41" s="624"/>
      <c r="AFA41" s="624"/>
      <c r="AFB41" s="624"/>
      <c r="AFC41" s="624"/>
      <c r="AFD41" s="624"/>
      <c r="AFE41" s="624"/>
      <c r="AFF41" s="624"/>
      <c r="AFG41" s="624"/>
      <c r="AFH41" s="624"/>
      <c r="AFI41" s="624"/>
      <c r="AFJ41" s="624"/>
      <c r="AFK41" s="624"/>
      <c r="AFL41" s="624"/>
      <c r="AFM41" s="624"/>
      <c r="AFN41" s="624"/>
      <c r="AFO41" s="624"/>
      <c r="AFP41" s="624"/>
      <c r="AFQ41" s="624"/>
      <c r="AFR41" s="624"/>
      <c r="AFS41" s="624"/>
      <c r="AFT41" s="624"/>
      <c r="AFU41" s="624"/>
      <c r="AFV41" s="624"/>
      <c r="AFW41" s="624"/>
      <c r="AFX41" s="624"/>
      <c r="AFY41" s="624"/>
      <c r="AFZ41" s="624"/>
      <c r="AGA41" s="624"/>
      <c r="AGB41" s="624"/>
      <c r="AGC41" s="624"/>
      <c r="AGD41" s="624"/>
      <c r="AGE41" s="624"/>
      <c r="AGF41" s="624"/>
      <c r="AGG41" s="624"/>
      <c r="AGH41" s="624"/>
      <c r="AGI41" s="624"/>
      <c r="AGJ41" s="624"/>
      <c r="AGK41" s="624"/>
      <c r="AGL41" s="624"/>
      <c r="AGM41" s="624"/>
      <c r="AGN41" s="624"/>
      <c r="AGO41" s="624"/>
      <c r="AGP41" s="624"/>
      <c r="AGQ41" s="624"/>
      <c r="AGR41" s="624"/>
      <c r="AGS41" s="624"/>
      <c r="AGT41" s="624"/>
      <c r="AGU41" s="624"/>
      <c r="AGV41" s="624"/>
      <c r="AGW41" s="624"/>
      <c r="AGX41" s="624"/>
      <c r="AGY41" s="624"/>
      <c r="AGZ41" s="624"/>
      <c r="AHA41" s="624"/>
      <c r="AHB41" s="624"/>
      <c r="AHC41" s="624"/>
      <c r="AHD41" s="624"/>
      <c r="AHE41" s="624"/>
      <c r="AHF41" s="624"/>
      <c r="AHG41" s="624"/>
      <c r="AHH41" s="624"/>
      <c r="AHI41" s="624"/>
      <c r="AHJ41" s="624"/>
      <c r="AHK41" s="624"/>
      <c r="AHL41" s="624"/>
      <c r="AHM41" s="624"/>
      <c r="AHN41" s="624"/>
      <c r="AHO41" s="624"/>
      <c r="AHP41" s="624"/>
      <c r="AHQ41" s="624"/>
      <c r="AHR41" s="624"/>
      <c r="AHS41" s="624"/>
      <c r="AHT41" s="624"/>
      <c r="AHU41" s="624"/>
      <c r="AHV41" s="624"/>
      <c r="AHW41" s="624"/>
      <c r="AHX41" s="624"/>
      <c r="AHY41" s="624"/>
      <c r="AHZ41" s="624"/>
      <c r="AIA41" s="624"/>
      <c r="AIB41" s="624"/>
      <c r="AIC41" s="624"/>
      <c r="AID41" s="624"/>
      <c r="AIE41" s="624"/>
      <c r="AIF41" s="624"/>
      <c r="AIG41" s="624"/>
      <c r="AIH41" s="624"/>
      <c r="AII41" s="624"/>
      <c r="AIJ41" s="624"/>
      <c r="AIK41" s="624"/>
      <c r="AIL41" s="624"/>
      <c r="AIM41" s="624"/>
      <c r="AIN41" s="624"/>
      <c r="AIO41" s="624"/>
      <c r="AIP41" s="624"/>
      <c r="AIQ41" s="624"/>
      <c r="AIR41" s="624"/>
      <c r="AIS41" s="624"/>
      <c r="AIT41" s="624"/>
      <c r="AIU41" s="624"/>
      <c r="AIV41" s="624"/>
      <c r="AIW41" s="624"/>
      <c r="AIX41" s="624"/>
      <c r="AIY41" s="624"/>
      <c r="AIZ41" s="624"/>
      <c r="AJA41" s="624"/>
      <c r="AJB41" s="624"/>
      <c r="AJC41" s="624"/>
      <c r="AJD41" s="624"/>
      <c r="AJE41" s="624"/>
      <c r="AJF41" s="624"/>
      <c r="AJG41" s="624"/>
      <c r="AJH41" s="624"/>
      <c r="AJI41" s="624"/>
      <c r="AJJ41" s="624"/>
      <c r="AJK41" s="624"/>
      <c r="AJL41" s="624"/>
      <c r="AJM41" s="624"/>
      <c r="AJN41" s="624"/>
      <c r="AJO41" s="624"/>
      <c r="AJP41" s="624"/>
      <c r="AJQ41" s="624"/>
      <c r="AJR41" s="624"/>
      <c r="AJS41" s="624"/>
      <c r="AJT41" s="624"/>
      <c r="AJU41" s="624"/>
      <c r="AJV41" s="624"/>
      <c r="AJW41" s="624"/>
      <c r="AJX41" s="624"/>
      <c r="AJY41" s="624"/>
      <c r="AJZ41" s="624"/>
      <c r="AKA41" s="624"/>
      <c r="AKB41" s="624"/>
      <c r="AKC41" s="624"/>
      <c r="AKD41" s="624"/>
      <c r="AKE41" s="624"/>
      <c r="AKF41" s="624"/>
      <c r="AKG41" s="624"/>
      <c r="AKH41" s="624"/>
      <c r="AKI41" s="624"/>
      <c r="AKJ41" s="624"/>
      <c r="AKK41" s="624"/>
      <c r="AKL41" s="624"/>
      <c r="AKM41" s="624"/>
      <c r="AKN41" s="624"/>
      <c r="AKO41" s="624"/>
      <c r="AKP41" s="624"/>
      <c r="AKQ41" s="624"/>
      <c r="AKR41" s="624"/>
      <c r="AKS41" s="624"/>
      <c r="AKT41" s="624"/>
      <c r="AKU41" s="624"/>
      <c r="AKV41" s="624"/>
      <c r="AKW41" s="624"/>
      <c r="AKX41" s="624"/>
      <c r="AKY41" s="624"/>
      <c r="AKZ41" s="624"/>
      <c r="ALA41" s="624"/>
      <c r="ALB41" s="624"/>
      <c r="ALC41" s="624"/>
      <c r="ALD41" s="624"/>
      <c r="ALE41" s="624"/>
      <c r="ALF41" s="624"/>
      <c r="ALG41" s="624"/>
      <c r="ALH41" s="624"/>
      <c r="ALI41" s="624"/>
      <c r="ALJ41" s="624"/>
      <c r="ALK41" s="624"/>
      <c r="ALL41" s="624"/>
      <c r="ALM41" s="624"/>
      <c r="ALN41" s="624"/>
      <c r="ALO41" s="624"/>
      <c r="ALP41" s="624"/>
      <c r="ALQ41" s="624"/>
      <c r="ALR41" s="624"/>
      <c r="ALS41" s="624"/>
      <c r="ALT41" s="624"/>
      <c r="ALU41" s="624"/>
      <c r="ALV41" s="624"/>
      <c r="ALW41" s="624"/>
      <c r="ALX41" s="624"/>
      <c r="ALY41" s="624"/>
      <c r="ALZ41" s="624"/>
      <c r="AMA41" s="624"/>
      <c r="AMB41" s="624"/>
      <c r="AMC41" s="624"/>
      <c r="AMD41" s="624"/>
      <c r="AME41" s="624"/>
      <c r="AMF41" s="624"/>
      <c r="AMG41" s="624"/>
      <c r="AMH41" s="624"/>
      <c r="AMI41" s="624"/>
      <c r="AMJ41" s="624"/>
      <c r="AMK41" s="624"/>
      <c r="AML41" s="624"/>
      <c r="AMM41" s="624"/>
      <c r="AMN41" s="624"/>
      <c r="AMO41" s="624"/>
      <c r="AMP41" s="624"/>
      <c r="AMQ41" s="624"/>
      <c r="AMR41" s="624"/>
      <c r="AMS41" s="624"/>
      <c r="AMT41" s="624"/>
      <c r="AMU41" s="624"/>
      <c r="AMV41" s="624"/>
      <c r="AMW41" s="624"/>
      <c r="AMX41" s="624"/>
      <c r="AMY41" s="624"/>
      <c r="AMZ41" s="624"/>
      <c r="ANA41" s="624"/>
      <c r="ANB41" s="624"/>
      <c r="ANC41" s="624"/>
      <c r="AND41" s="624"/>
      <c r="ANE41" s="624"/>
      <c r="ANF41" s="624"/>
      <c r="ANG41" s="624"/>
      <c r="ANH41" s="624"/>
      <c r="ANI41" s="624"/>
      <c r="ANJ41" s="624"/>
      <c r="ANK41" s="624"/>
      <c r="ANL41" s="624"/>
      <c r="ANM41" s="624"/>
      <c r="ANN41" s="624"/>
      <c r="ANO41" s="624"/>
      <c r="ANP41" s="624"/>
      <c r="ANQ41" s="624"/>
      <c r="ANR41" s="624"/>
      <c r="ANS41" s="624"/>
      <c r="ANT41" s="624"/>
      <c r="ANU41" s="624"/>
      <c r="ANV41" s="624"/>
      <c r="ANW41" s="624"/>
      <c r="ANX41" s="624"/>
      <c r="ANY41" s="624"/>
      <c r="ANZ41" s="624"/>
      <c r="AOA41" s="624"/>
      <c r="AOB41" s="624"/>
      <c r="AOC41" s="624"/>
      <c r="AOD41" s="624"/>
      <c r="AOE41" s="624"/>
      <c r="AOF41" s="624"/>
      <c r="AOG41" s="624"/>
      <c r="AOH41" s="624"/>
      <c r="AOI41" s="624"/>
      <c r="AOJ41" s="624"/>
      <c r="AOK41" s="624"/>
      <c r="AOL41" s="624"/>
      <c r="AOM41" s="624"/>
      <c r="AON41" s="624"/>
      <c r="AOO41" s="624"/>
      <c r="AOP41" s="624"/>
      <c r="AOQ41" s="624"/>
      <c r="AOR41" s="624"/>
      <c r="AOS41" s="624"/>
      <c r="AOT41" s="624"/>
      <c r="AOU41" s="624"/>
      <c r="AOV41" s="624"/>
      <c r="AOW41" s="624"/>
      <c r="AOX41" s="624"/>
      <c r="AOY41" s="624"/>
      <c r="AOZ41" s="624"/>
      <c r="APA41" s="624"/>
      <c r="APB41" s="624"/>
      <c r="APC41" s="624"/>
      <c r="APD41" s="624"/>
      <c r="APE41" s="624"/>
      <c r="APF41" s="624"/>
      <c r="APG41" s="624"/>
      <c r="APH41" s="624"/>
      <c r="API41" s="624"/>
      <c r="APJ41" s="624"/>
      <c r="APK41" s="624"/>
      <c r="APL41" s="624"/>
      <c r="APM41" s="624"/>
      <c r="APN41" s="624"/>
      <c r="APO41" s="624"/>
      <c r="APP41" s="624"/>
      <c r="APQ41" s="624"/>
      <c r="APR41" s="624"/>
      <c r="APS41" s="624"/>
      <c r="APT41" s="624"/>
      <c r="APU41" s="624"/>
      <c r="APV41" s="624"/>
      <c r="APW41" s="624"/>
      <c r="APX41" s="624"/>
      <c r="APY41" s="624"/>
      <c r="APZ41" s="624"/>
      <c r="AQA41" s="624"/>
      <c r="AQB41" s="624"/>
      <c r="AQC41" s="624"/>
      <c r="AQD41" s="624"/>
      <c r="AQE41" s="624"/>
      <c r="AQF41" s="624"/>
      <c r="AQG41" s="624"/>
      <c r="AQH41" s="624"/>
      <c r="AQI41" s="624"/>
      <c r="AQJ41" s="624"/>
      <c r="AQK41" s="624"/>
      <c r="AQL41" s="624"/>
      <c r="AQM41" s="624"/>
      <c r="AQN41" s="624"/>
      <c r="AQO41" s="624"/>
      <c r="AQP41" s="624"/>
      <c r="AQQ41" s="624"/>
      <c r="AQR41" s="624"/>
      <c r="AQS41" s="624"/>
      <c r="AQT41" s="624"/>
      <c r="AQU41" s="624"/>
      <c r="AQV41" s="624"/>
      <c r="AQW41" s="624"/>
      <c r="AQX41" s="624"/>
      <c r="AQY41" s="624"/>
      <c r="AQZ41" s="624"/>
      <c r="ARA41" s="624"/>
      <c r="ARB41" s="624"/>
      <c r="ARC41" s="624"/>
      <c r="ARD41" s="624"/>
      <c r="ARE41" s="624"/>
      <c r="ARF41" s="624"/>
      <c r="ARG41" s="624"/>
      <c r="ARH41" s="624"/>
      <c r="ARI41" s="624"/>
      <c r="ARJ41" s="624"/>
      <c r="ARK41" s="624"/>
      <c r="ARL41" s="624"/>
      <c r="ARM41" s="624"/>
      <c r="ARN41" s="624"/>
      <c r="ARO41" s="624"/>
      <c r="ARP41" s="624"/>
      <c r="ARQ41" s="624"/>
      <c r="ARR41" s="624"/>
      <c r="ARS41" s="624"/>
      <c r="ART41" s="624"/>
      <c r="ARU41" s="624"/>
      <c r="ARV41" s="624"/>
      <c r="ARW41" s="624"/>
      <c r="ARX41" s="624"/>
      <c r="ARY41" s="624"/>
      <c r="ARZ41" s="624"/>
      <c r="ASA41" s="624"/>
      <c r="ASB41" s="624"/>
      <c r="ASC41" s="624"/>
      <c r="ASD41" s="624"/>
      <c r="ASE41" s="624"/>
      <c r="ASF41" s="624"/>
      <c r="ASG41" s="624"/>
      <c r="ASH41" s="624"/>
      <c r="ASI41" s="624"/>
      <c r="ASJ41" s="624"/>
      <c r="ASK41" s="624"/>
      <c r="ASL41" s="624"/>
      <c r="ASM41" s="624"/>
      <c r="ASN41" s="624"/>
      <c r="ASO41" s="624"/>
      <c r="ASP41" s="624"/>
      <c r="ASQ41" s="624"/>
      <c r="ASR41" s="624"/>
      <c r="ASS41" s="624"/>
      <c r="AST41" s="624"/>
      <c r="ASU41" s="624"/>
      <c r="ASV41" s="624"/>
      <c r="ASW41" s="624"/>
      <c r="ASX41" s="624"/>
      <c r="ASY41" s="624"/>
      <c r="ASZ41" s="624"/>
      <c r="ATA41" s="624"/>
      <c r="ATB41" s="624"/>
      <c r="ATC41" s="624"/>
      <c r="ATD41" s="624"/>
      <c r="ATE41" s="624"/>
      <c r="ATF41" s="624"/>
      <c r="ATG41" s="624"/>
      <c r="ATH41" s="624"/>
      <c r="ATI41" s="624"/>
      <c r="ATJ41" s="624"/>
      <c r="ATK41" s="624"/>
      <c r="ATL41" s="624"/>
      <c r="ATM41" s="624"/>
      <c r="ATN41" s="624"/>
      <c r="ATO41" s="624"/>
      <c r="ATP41" s="624"/>
      <c r="ATQ41" s="624"/>
      <c r="ATR41" s="624"/>
      <c r="ATS41" s="624"/>
      <c r="ATT41" s="624"/>
      <c r="ATU41" s="624"/>
      <c r="ATV41" s="624"/>
      <c r="ATW41" s="624"/>
      <c r="ATX41" s="624"/>
      <c r="ATY41" s="624"/>
      <c r="ATZ41" s="624"/>
      <c r="AUA41" s="624"/>
      <c r="AUB41" s="624"/>
      <c r="AUC41" s="624"/>
      <c r="AUD41" s="624"/>
      <c r="AUE41" s="624"/>
      <c r="AUF41" s="624"/>
      <c r="AUG41" s="624"/>
      <c r="AUH41" s="624"/>
      <c r="AUI41" s="624"/>
      <c r="AUJ41" s="624"/>
      <c r="AUK41" s="624"/>
      <c r="AUL41" s="624"/>
      <c r="AUM41" s="624"/>
      <c r="AUN41" s="624"/>
      <c r="AUO41" s="624"/>
      <c r="AUP41" s="624"/>
      <c r="AUQ41" s="624"/>
      <c r="AUR41" s="624"/>
      <c r="AUS41" s="624"/>
      <c r="AUT41" s="624"/>
      <c r="AUU41" s="624"/>
      <c r="AUV41" s="624"/>
      <c r="AUW41" s="624"/>
      <c r="AUX41" s="624"/>
      <c r="AUY41" s="624"/>
      <c r="AUZ41" s="624"/>
      <c r="AVA41" s="624"/>
      <c r="AVB41" s="624"/>
      <c r="AVC41" s="624"/>
      <c r="AVD41" s="624"/>
      <c r="AVE41" s="624"/>
      <c r="AVF41" s="624"/>
      <c r="AVG41" s="624"/>
      <c r="AVH41" s="624"/>
      <c r="AVI41" s="624"/>
      <c r="AVJ41" s="624"/>
      <c r="AVK41" s="624"/>
      <c r="AVL41" s="624"/>
      <c r="AVM41" s="624"/>
      <c r="AVN41" s="624"/>
      <c r="AVO41" s="624"/>
      <c r="AVP41" s="624"/>
      <c r="AVQ41" s="624"/>
      <c r="AVR41" s="624"/>
      <c r="AVS41" s="624"/>
      <c r="AVT41" s="624"/>
      <c r="AVU41" s="624"/>
      <c r="AVV41" s="624"/>
      <c r="AVW41" s="624"/>
      <c r="AVX41" s="624"/>
      <c r="AVY41" s="624"/>
      <c r="AVZ41" s="624"/>
      <c r="AWA41" s="624"/>
      <c r="AWB41" s="624"/>
      <c r="AWC41" s="624"/>
      <c r="AWD41" s="624"/>
      <c r="AWE41" s="624"/>
      <c r="AWF41" s="624"/>
      <c r="AWG41" s="624"/>
      <c r="AWH41" s="624"/>
      <c r="AWI41" s="624"/>
      <c r="AWJ41" s="624"/>
      <c r="AWK41" s="624"/>
      <c r="AWL41" s="624"/>
      <c r="AWM41" s="624"/>
      <c r="AWN41" s="624"/>
      <c r="AWO41" s="624"/>
      <c r="AWP41" s="624"/>
      <c r="AWQ41" s="624"/>
      <c r="AWR41" s="624"/>
      <c r="AWS41" s="624"/>
      <c r="AWT41" s="624"/>
      <c r="AWU41" s="624"/>
      <c r="AWV41" s="624"/>
      <c r="AWW41" s="624"/>
      <c r="AWX41" s="624"/>
      <c r="AWY41" s="624"/>
      <c r="AWZ41" s="624"/>
      <c r="AXA41" s="624"/>
      <c r="AXB41" s="624"/>
      <c r="AXC41" s="624"/>
      <c r="AXD41" s="624"/>
      <c r="AXE41" s="624"/>
      <c r="AXF41" s="624"/>
      <c r="AXG41" s="624"/>
      <c r="AXH41" s="624"/>
      <c r="AXI41" s="624"/>
      <c r="AXJ41" s="624"/>
      <c r="AXK41" s="624"/>
      <c r="AXL41" s="624"/>
      <c r="AXM41" s="624"/>
      <c r="AXN41" s="624"/>
      <c r="AXO41" s="624"/>
      <c r="AXP41" s="624"/>
      <c r="AXQ41" s="624"/>
      <c r="AXR41" s="624"/>
      <c r="AXS41" s="624"/>
      <c r="AXT41" s="624"/>
      <c r="AXU41" s="624"/>
      <c r="AXV41" s="624"/>
      <c r="AXW41" s="624"/>
      <c r="AXX41" s="624"/>
      <c r="AXY41" s="624"/>
      <c r="AXZ41" s="624"/>
      <c r="AYA41" s="624"/>
      <c r="AYB41" s="624"/>
      <c r="AYC41" s="624"/>
      <c r="AYD41" s="624"/>
      <c r="AYE41" s="624"/>
      <c r="AYF41" s="624"/>
      <c r="AYG41" s="624"/>
      <c r="AYH41" s="624"/>
      <c r="AYI41" s="624"/>
      <c r="AYJ41" s="624"/>
      <c r="AYK41" s="624"/>
      <c r="AYL41" s="624"/>
      <c r="AYM41" s="624"/>
      <c r="AYN41" s="624"/>
      <c r="AYO41" s="624"/>
      <c r="AYP41" s="624"/>
      <c r="AYQ41" s="624"/>
      <c r="AYR41" s="624"/>
      <c r="AYS41" s="624"/>
      <c r="AYT41" s="624"/>
      <c r="AYU41" s="624"/>
      <c r="AYV41" s="624"/>
      <c r="AYW41" s="624"/>
      <c r="AYX41" s="624"/>
      <c r="AYY41" s="624"/>
      <c r="AYZ41" s="624"/>
      <c r="AZA41" s="624"/>
      <c r="AZB41" s="624"/>
      <c r="AZC41" s="624"/>
      <c r="AZD41" s="624"/>
      <c r="AZE41" s="624"/>
      <c r="AZF41" s="624"/>
      <c r="AZG41" s="624"/>
      <c r="AZH41" s="624"/>
      <c r="AZI41" s="624"/>
      <c r="AZJ41" s="624"/>
      <c r="AZK41" s="624"/>
      <c r="AZL41" s="624"/>
      <c r="AZM41" s="624"/>
      <c r="AZN41" s="624"/>
      <c r="AZO41" s="624"/>
      <c r="AZP41" s="624"/>
      <c r="AZQ41" s="624"/>
      <c r="AZR41" s="624"/>
      <c r="AZS41" s="624"/>
      <c r="AZT41" s="624"/>
      <c r="AZU41" s="624"/>
      <c r="AZV41" s="624"/>
      <c r="AZW41" s="624"/>
      <c r="AZX41" s="624"/>
      <c r="AZY41" s="624"/>
      <c r="AZZ41" s="624"/>
      <c r="BAA41" s="624"/>
      <c r="BAB41" s="624"/>
      <c r="BAC41" s="624"/>
      <c r="BAD41" s="624"/>
      <c r="BAE41" s="624"/>
      <c r="BAF41" s="624"/>
      <c r="BAG41" s="624"/>
      <c r="BAH41" s="624"/>
      <c r="BAI41" s="624"/>
      <c r="BAJ41" s="624"/>
      <c r="BAK41" s="624"/>
      <c r="BAL41" s="624"/>
      <c r="BAM41" s="624"/>
      <c r="BAN41" s="624"/>
      <c r="BAO41" s="624"/>
      <c r="BAP41" s="624"/>
      <c r="BAQ41" s="624"/>
      <c r="BAR41" s="624"/>
      <c r="BAS41" s="624"/>
      <c r="BAT41" s="624"/>
      <c r="BAU41" s="624"/>
      <c r="BAV41" s="624"/>
      <c r="BAW41" s="624"/>
      <c r="BAX41" s="624"/>
      <c r="BAY41" s="624"/>
      <c r="BAZ41" s="624"/>
      <c r="BBA41" s="624"/>
      <c r="BBB41" s="624"/>
      <c r="BBC41" s="624"/>
      <c r="BBD41" s="624"/>
      <c r="BBE41" s="624"/>
      <c r="BBF41" s="624"/>
      <c r="BBG41" s="624"/>
      <c r="BBH41" s="624"/>
      <c r="BBI41" s="624"/>
      <c r="BBJ41" s="624"/>
      <c r="BBK41" s="624"/>
      <c r="BBL41" s="624"/>
      <c r="BBM41" s="624"/>
      <c r="BBN41" s="624"/>
      <c r="BBO41" s="624"/>
      <c r="BBP41" s="624"/>
      <c r="BBQ41" s="624"/>
      <c r="BBR41" s="624"/>
      <c r="BBS41" s="624"/>
      <c r="BBT41" s="624"/>
      <c r="BBU41" s="624"/>
      <c r="BBV41" s="624"/>
      <c r="BBW41" s="624"/>
      <c r="BBX41" s="624"/>
      <c r="BBY41" s="624"/>
      <c r="BBZ41" s="624"/>
      <c r="BCA41" s="624"/>
      <c r="BCB41" s="624"/>
      <c r="BCC41" s="624"/>
      <c r="BCD41" s="624"/>
      <c r="BCE41" s="624"/>
      <c r="BCF41" s="624"/>
      <c r="BCG41" s="624"/>
      <c r="BCH41" s="624"/>
      <c r="BCI41" s="624"/>
      <c r="BCJ41" s="624"/>
      <c r="BCK41" s="624"/>
      <c r="BCL41" s="624"/>
      <c r="BCM41" s="624"/>
      <c r="BCN41" s="624"/>
      <c r="BCO41" s="624"/>
      <c r="BCP41" s="624"/>
      <c r="BCQ41" s="624"/>
      <c r="BCR41" s="624"/>
      <c r="BCS41" s="624"/>
      <c r="BCT41" s="624"/>
      <c r="BCU41" s="624"/>
      <c r="BCV41" s="624"/>
      <c r="BCW41" s="624"/>
      <c r="BCX41" s="624"/>
      <c r="BCY41" s="624"/>
      <c r="BCZ41" s="624"/>
      <c r="BDA41" s="624"/>
      <c r="BDB41" s="624"/>
      <c r="BDC41" s="624"/>
      <c r="BDD41" s="624"/>
      <c r="BDE41" s="624"/>
      <c r="BDF41" s="624"/>
      <c r="BDG41" s="624"/>
      <c r="BDH41" s="624"/>
      <c r="BDI41" s="624"/>
      <c r="BDJ41" s="624"/>
      <c r="BDK41" s="624"/>
      <c r="BDL41" s="624"/>
      <c r="BDM41" s="624"/>
      <c r="BDN41" s="624"/>
      <c r="BDO41" s="624"/>
      <c r="BDP41" s="624"/>
      <c r="BDQ41" s="624"/>
      <c r="BDR41" s="624"/>
      <c r="BDS41" s="624"/>
      <c r="BDT41" s="624"/>
      <c r="BDU41" s="624"/>
      <c r="BDV41" s="624"/>
      <c r="BDW41" s="624"/>
      <c r="BDX41" s="624"/>
      <c r="BDY41" s="624"/>
      <c r="BDZ41" s="624"/>
      <c r="BEA41" s="624"/>
      <c r="BEB41" s="624"/>
      <c r="BEC41" s="624"/>
      <c r="BED41" s="624"/>
      <c r="BEE41" s="624"/>
      <c r="BEF41" s="624"/>
      <c r="BEG41" s="624"/>
      <c r="BEH41" s="624"/>
      <c r="BEI41" s="624"/>
      <c r="BEJ41" s="624"/>
      <c r="BEK41" s="624"/>
      <c r="BEL41" s="624"/>
      <c r="BEM41" s="624"/>
      <c r="BEN41" s="624"/>
      <c r="BEO41" s="624"/>
      <c r="BEP41" s="624"/>
      <c r="BEQ41" s="624"/>
      <c r="BER41" s="624"/>
      <c r="BES41" s="624"/>
      <c r="BET41" s="624"/>
      <c r="BEU41" s="624"/>
      <c r="BEV41" s="624"/>
      <c r="BEW41" s="624"/>
      <c r="BEX41" s="624"/>
      <c r="BEY41" s="624"/>
      <c r="BEZ41" s="624"/>
      <c r="BFA41" s="624"/>
      <c r="BFB41" s="624"/>
      <c r="BFC41" s="624"/>
      <c r="BFD41" s="624"/>
      <c r="BFE41" s="624"/>
      <c r="BFF41" s="624"/>
      <c r="BFG41" s="624"/>
      <c r="BFH41" s="624"/>
      <c r="BFI41" s="624"/>
      <c r="BFJ41" s="624"/>
      <c r="BFK41" s="624"/>
      <c r="BFL41" s="624"/>
      <c r="BFM41" s="624"/>
      <c r="BFN41" s="624"/>
      <c r="BFO41" s="624"/>
      <c r="BFP41" s="624"/>
      <c r="BFQ41" s="624"/>
      <c r="BFR41" s="624"/>
      <c r="BFS41" s="624"/>
      <c r="BFT41" s="624"/>
      <c r="BFU41" s="624"/>
      <c r="BFV41" s="624"/>
      <c r="BFW41" s="624"/>
      <c r="BFX41" s="624"/>
      <c r="BFY41" s="624"/>
      <c r="BFZ41" s="624"/>
      <c r="BGA41" s="624"/>
      <c r="BGB41" s="624"/>
      <c r="BGC41" s="624"/>
      <c r="BGD41" s="624"/>
      <c r="BGE41" s="624"/>
      <c r="BGF41" s="624"/>
      <c r="BGG41" s="624"/>
      <c r="BGH41" s="624"/>
      <c r="BGI41" s="624"/>
      <c r="BGJ41" s="624"/>
      <c r="BGK41" s="624"/>
      <c r="BGL41" s="624"/>
      <c r="BGM41" s="624"/>
      <c r="BGN41" s="624"/>
      <c r="BGO41" s="624"/>
      <c r="BGP41" s="624"/>
      <c r="BGQ41" s="624"/>
      <c r="BGR41" s="624"/>
      <c r="BGS41" s="624"/>
      <c r="BGT41" s="624"/>
      <c r="BGU41" s="624"/>
      <c r="BGV41" s="624"/>
      <c r="BGW41" s="624"/>
      <c r="BGX41" s="624"/>
      <c r="BGY41" s="624"/>
      <c r="BGZ41" s="624"/>
      <c r="BHA41" s="624"/>
      <c r="BHB41" s="624"/>
      <c r="BHC41" s="624"/>
      <c r="BHD41" s="624"/>
      <c r="BHE41" s="624"/>
      <c r="BHF41" s="624"/>
      <c r="BHG41" s="624"/>
      <c r="BHH41" s="624"/>
      <c r="BHI41" s="624"/>
      <c r="BHJ41" s="624"/>
      <c r="BHK41" s="624"/>
      <c r="BHL41" s="624"/>
      <c r="BHM41" s="624"/>
      <c r="BHN41" s="624"/>
      <c r="BHO41" s="624"/>
      <c r="BHP41" s="624"/>
      <c r="BHQ41" s="624"/>
      <c r="BHR41" s="624"/>
      <c r="BHS41" s="624"/>
      <c r="BHT41" s="624"/>
      <c r="BHU41" s="624"/>
      <c r="BHV41" s="624"/>
      <c r="BHW41" s="624"/>
      <c r="BHX41" s="624"/>
      <c r="BHY41" s="624"/>
      <c r="BHZ41" s="624"/>
      <c r="BIA41" s="624"/>
      <c r="BIB41" s="624"/>
      <c r="BIC41" s="624"/>
      <c r="BID41" s="624"/>
      <c r="BIE41" s="624"/>
      <c r="BIF41" s="624"/>
      <c r="BIG41" s="624"/>
      <c r="BIH41" s="624"/>
      <c r="BII41" s="624"/>
      <c r="BIJ41" s="624"/>
      <c r="BIK41" s="624"/>
      <c r="BIL41" s="624"/>
      <c r="BIM41" s="624"/>
      <c r="BIN41" s="624"/>
      <c r="BIO41" s="624"/>
      <c r="BIP41" s="624"/>
      <c r="BIQ41" s="624"/>
      <c r="BIR41" s="624"/>
      <c r="BIS41" s="624"/>
      <c r="BIT41" s="624"/>
      <c r="BIU41" s="624"/>
      <c r="BIV41" s="624"/>
      <c r="BIW41" s="624"/>
      <c r="BIX41" s="624"/>
      <c r="BIY41" s="624"/>
      <c r="BIZ41" s="624"/>
      <c r="BJA41" s="624"/>
      <c r="BJB41" s="624"/>
      <c r="BJC41" s="624"/>
      <c r="BJD41" s="624"/>
      <c r="BJE41" s="624"/>
      <c r="BJF41" s="624"/>
      <c r="BJG41" s="624"/>
      <c r="BJH41" s="624"/>
      <c r="BJI41" s="624"/>
      <c r="BJJ41" s="624"/>
      <c r="BJK41" s="624"/>
      <c r="BJL41" s="624"/>
      <c r="BJM41" s="624"/>
      <c r="BJN41" s="624"/>
      <c r="BJO41" s="624"/>
      <c r="BJP41" s="624"/>
      <c r="BJQ41" s="624"/>
      <c r="BJR41" s="624"/>
      <c r="BJS41" s="624"/>
      <c r="BJT41" s="624"/>
      <c r="BJU41" s="624"/>
      <c r="BJV41" s="624"/>
      <c r="BJW41" s="624"/>
      <c r="BJX41" s="624"/>
      <c r="BJY41" s="624"/>
      <c r="BJZ41" s="624"/>
      <c r="BKA41" s="624"/>
      <c r="BKB41" s="624"/>
      <c r="BKC41" s="624"/>
      <c r="BKD41" s="624"/>
      <c r="BKE41" s="624"/>
      <c r="BKF41" s="624"/>
      <c r="BKG41" s="624"/>
      <c r="BKH41" s="624"/>
      <c r="BKI41" s="624"/>
      <c r="BKJ41" s="624"/>
      <c r="BKK41" s="624"/>
      <c r="BKL41" s="624"/>
      <c r="BKM41" s="624"/>
      <c r="BKN41" s="624"/>
      <c r="BKO41" s="624"/>
      <c r="BKP41" s="624"/>
      <c r="BKQ41" s="624"/>
      <c r="BKR41" s="624"/>
      <c r="BKS41" s="624"/>
      <c r="BKT41" s="624"/>
      <c r="BKU41" s="624"/>
      <c r="BKV41" s="624"/>
      <c r="BKW41" s="624"/>
      <c r="BKX41" s="624"/>
      <c r="BKY41" s="624"/>
      <c r="BKZ41" s="624"/>
      <c r="BLA41" s="624"/>
      <c r="BLB41" s="624"/>
      <c r="BLC41" s="624"/>
      <c r="BLD41" s="624"/>
      <c r="BLE41" s="624"/>
      <c r="BLF41" s="624"/>
      <c r="BLG41" s="624"/>
      <c r="BLH41" s="624"/>
      <c r="BLI41" s="624"/>
      <c r="BLJ41" s="624"/>
      <c r="BLK41" s="624"/>
      <c r="BLL41" s="624"/>
      <c r="BLM41" s="624"/>
      <c r="BLN41" s="624"/>
      <c r="BLO41" s="624"/>
      <c r="BLP41" s="624"/>
      <c r="BLQ41" s="624"/>
      <c r="BLR41" s="624"/>
      <c r="BLS41" s="624"/>
      <c r="BLT41" s="624"/>
      <c r="BLU41" s="624"/>
      <c r="BLV41" s="624"/>
      <c r="BLW41" s="624"/>
      <c r="BLX41" s="624"/>
      <c r="BLY41" s="624"/>
      <c r="BLZ41" s="624"/>
      <c r="BMA41" s="624"/>
      <c r="BMB41" s="624"/>
      <c r="BMC41" s="624"/>
      <c r="BMD41" s="624"/>
      <c r="BME41" s="624"/>
      <c r="BMF41" s="624"/>
      <c r="BMG41" s="624"/>
      <c r="BMH41" s="624"/>
      <c r="BMI41" s="624"/>
      <c r="BMJ41" s="624"/>
      <c r="BMK41" s="624"/>
      <c r="BML41" s="624"/>
      <c r="BMM41" s="624"/>
      <c r="BMN41" s="624"/>
      <c r="BMO41" s="624"/>
      <c r="BMP41" s="624"/>
      <c r="BMQ41" s="624"/>
      <c r="BMR41" s="624"/>
      <c r="BMS41" s="624"/>
      <c r="BMT41" s="624"/>
      <c r="BMU41" s="624"/>
      <c r="BMV41" s="624"/>
      <c r="BMW41" s="624"/>
      <c r="BMX41" s="624"/>
      <c r="BMY41" s="624"/>
      <c r="BMZ41" s="624"/>
      <c r="BNA41" s="624"/>
      <c r="BNB41" s="624"/>
      <c r="BNC41" s="624"/>
      <c r="BND41" s="624"/>
      <c r="BNE41" s="624"/>
      <c r="BNF41" s="624"/>
      <c r="BNG41" s="624"/>
      <c r="BNH41" s="624"/>
      <c r="BNI41" s="624"/>
      <c r="BNJ41" s="624"/>
      <c r="BNK41" s="624"/>
      <c r="BNL41" s="624"/>
      <c r="BNM41" s="624"/>
      <c r="BNN41" s="624"/>
      <c r="BNO41" s="624"/>
      <c r="BNP41" s="624"/>
      <c r="BNQ41" s="624"/>
      <c r="BNR41" s="624"/>
      <c r="BNS41" s="624"/>
      <c r="BNT41" s="624"/>
      <c r="BNU41" s="624"/>
      <c r="BNV41" s="624"/>
      <c r="BNW41" s="624"/>
      <c r="BNX41" s="624"/>
      <c r="BNY41" s="624"/>
      <c r="BNZ41" s="624"/>
      <c r="BOA41" s="624"/>
      <c r="BOB41" s="624"/>
      <c r="BOC41" s="624"/>
      <c r="BOD41" s="624"/>
      <c r="BOE41" s="624"/>
      <c r="BOF41" s="624"/>
      <c r="BOG41" s="624"/>
      <c r="BOH41" s="624"/>
      <c r="BOI41" s="624"/>
      <c r="BOJ41" s="624"/>
      <c r="BOK41" s="624"/>
      <c r="BOL41" s="624"/>
      <c r="BOM41" s="624"/>
      <c r="BON41" s="624"/>
      <c r="BOO41" s="624"/>
      <c r="BOP41" s="624"/>
      <c r="BOQ41" s="624"/>
      <c r="BOR41" s="624"/>
      <c r="BOS41" s="624"/>
      <c r="BOT41" s="624"/>
      <c r="BOU41" s="624"/>
      <c r="BOV41" s="624"/>
      <c r="BOW41" s="624"/>
      <c r="BOX41" s="624"/>
      <c r="BOY41" s="624"/>
      <c r="BOZ41" s="624"/>
      <c r="BPA41" s="624"/>
      <c r="BPB41" s="624"/>
      <c r="BPC41" s="624"/>
      <c r="BPD41" s="624"/>
      <c r="BPE41" s="624"/>
      <c r="BPF41" s="624"/>
      <c r="BPG41" s="624"/>
      <c r="BPH41" s="624"/>
      <c r="BPI41" s="624"/>
      <c r="BPJ41" s="624"/>
      <c r="BPK41" s="624"/>
      <c r="BPL41" s="624"/>
      <c r="BPM41" s="624"/>
      <c r="BPN41" s="624"/>
      <c r="BPO41" s="624"/>
      <c r="BPP41" s="624"/>
      <c r="BPQ41" s="624"/>
      <c r="BPR41" s="624"/>
      <c r="BPS41" s="624"/>
      <c r="BPT41" s="624"/>
      <c r="BPU41" s="624"/>
      <c r="BPV41" s="624"/>
      <c r="BPW41" s="624"/>
      <c r="BPX41" s="624"/>
      <c r="BPY41" s="624"/>
      <c r="BPZ41" s="624"/>
      <c r="BQA41" s="624"/>
      <c r="BQB41" s="624"/>
      <c r="BQC41" s="624"/>
      <c r="BQD41" s="624"/>
      <c r="BQE41" s="624"/>
      <c r="BQF41" s="624"/>
      <c r="BQG41" s="624"/>
      <c r="BQH41" s="624"/>
      <c r="BQI41" s="624"/>
      <c r="BQJ41" s="624"/>
      <c r="BQK41" s="624"/>
      <c r="BQL41" s="624"/>
      <c r="BQM41" s="624"/>
      <c r="BQN41" s="624"/>
      <c r="BQO41" s="624"/>
      <c r="BQP41" s="624"/>
      <c r="BQQ41" s="624"/>
      <c r="BQR41" s="624"/>
      <c r="BQS41" s="624"/>
      <c r="BQT41" s="624"/>
      <c r="BQU41" s="624"/>
      <c r="BQV41" s="624"/>
      <c r="BQW41" s="624"/>
      <c r="BQX41" s="624"/>
      <c r="BQY41" s="624"/>
      <c r="BQZ41" s="624"/>
      <c r="BRA41" s="624"/>
      <c r="BRB41" s="624"/>
      <c r="BRC41" s="624"/>
      <c r="BRD41" s="624"/>
      <c r="BRE41" s="624"/>
      <c r="BRF41" s="624"/>
      <c r="BRG41" s="624"/>
      <c r="BRH41" s="624"/>
      <c r="BRI41" s="624"/>
      <c r="BRJ41" s="624"/>
      <c r="BRK41" s="624"/>
      <c r="BRL41" s="624"/>
      <c r="BRM41" s="624"/>
      <c r="BRN41" s="624"/>
      <c r="BRO41" s="624"/>
      <c r="BRP41" s="624"/>
      <c r="BRQ41" s="624"/>
      <c r="BRR41" s="624"/>
      <c r="BRS41" s="624"/>
      <c r="BRT41" s="624"/>
      <c r="BRU41" s="624"/>
      <c r="BRV41" s="624"/>
      <c r="BRW41" s="624"/>
      <c r="BRX41" s="624"/>
      <c r="BRY41" s="624"/>
      <c r="BRZ41" s="624"/>
      <c r="BSA41" s="624"/>
      <c r="BSB41" s="624"/>
      <c r="BSC41" s="624"/>
      <c r="BSD41" s="624"/>
      <c r="BSE41" s="624"/>
      <c r="BSF41" s="624"/>
      <c r="BSG41" s="624"/>
      <c r="BSH41" s="624"/>
      <c r="BSI41" s="624"/>
      <c r="BSJ41" s="624"/>
      <c r="BSK41" s="624"/>
      <c r="BSL41" s="624"/>
      <c r="BSM41" s="624"/>
      <c r="BSN41" s="624"/>
      <c r="BSO41" s="624"/>
      <c r="BSP41" s="624"/>
      <c r="BSQ41" s="624"/>
      <c r="BSR41" s="624"/>
      <c r="BSS41" s="624"/>
      <c r="BST41" s="624"/>
      <c r="BSU41" s="624"/>
      <c r="BSV41" s="624"/>
      <c r="BSW41" s="624"/>
      <c r="BSX41" s="624"/>
      <c r="BSY41" s="624"/>
      <c r="BSZ41" s="624"/>
      <c r="BTA41" s="624"/>
      <c r="BTB41" s="624"/>
      <c r="BTC41" s="624"/>
      <c r="BTD41" s="624"/>
      <c r="BTE41" s="624"/>
      <c r="BTF41" s="624"/>
      <c r="BTG41" s="624"/>
      <c r="BTH41" s="624"/>
      <c r="BTI41" s="624"/>
      <c r="BTJ41" s="624"/>
      <c r="BTK41" s="624"/>
      <c r="BTL41" s="624"/>
      <c r="BTM41" s="624"/>
      <c r="BTN41" s="624"/>
      <c r="BTO41" s="624"/>
      <c r="BTP41" s="624"/>
      <c r="BTQ41" s="624"/>
      <c r="BTR41" s="624"/>
      <c r="BTS41" s="624"/>
      <c r="BTT41" s="624"/>
      <c r="BTU41" s="624"/>
      <c r="BTV41" s="624"/>
      <c r="BTW41" s="624"/>
      <c r="BTX41" s="624"/>
      <c r="BTY41" s="624"/>
      <c r="BTZ41" s="624"/>
      <c r="BUA41" s="624"/>
      <c r="BUB41" s="624"/>
      <c r="BUC41" s="624"/>
      <c r="BUD41" s="624"/>
      <c r="BUE41" s="624"/>
      <c r="BUF41" s="624"/>
      <c r="BUG41" s="624"/>
      <c r="BUH41" s="624"/>
      <c r="BUI41" s="624"/>
      <c r="BUJ41" s="624"/>
      <c r="BUK41" s="624"/>
      <c r="BUL41" s="624"/>
      <c r="BUM41" s="624"/>
      <c r="BUN41" s="624"/>
      <c r="BUO41" s="624"/>
      <c r="BUP41" s="624"/>
      <c r="BUQ41" s="624"/>
      <c r="BUR41" s="624"/>
      <c r="BUS41" s="624"/>
      <c r="BUT41" s="624"/>
      <c r="BUU41" s="624"/>
      <c r="BUV41" s="624"/>
      <c r="BUW41" s="624"/>
      <c r="BUX41" s="624"/>
      <c r="BUY41" s="624"/>
      <c r="BUZ41" s="624"/>
      <c r="BVA41" s="624"/>
      <c r="BVB41" s="624"/>
      <c r="BVC41" s="624"/>
      <c r="BVD41" s="624"/>
      <c r="BVE41" s="624"/>
      <c r="BVF41" s="624"/>
      <c r="BVG41" s="624"/>
      <c r="BVH41" s="624"/>
      <c r="BVI41" s="624"/>
      <c r="BVJ41" s="624"/>
      <c r="BVK41" s="624"/>
      <c r="BVL41" s="624"/>
      <c r="BVM41" s="624"/>
      <c r="BVN41" s="624"/>
      <c r="BVO41" s="624"/>
      <c r="BVP41" s="624"/>
      <c r="BVQ41" s="624"/>
      <c r="BVR41" s="624"/>
      <c r="BVS41" s="624"/>
      <c r="BVT41" s="624"/>
      <c r="BVU41" s="624"/>
      <c r="BVV41" s="624"/>
      <c r="BVW41" s="624"/>
      <c r="BVX41" s="624"/>
      <c r="BVY41" s="624"/>
      <c r="BVZ41" s="624"/>
      <c r="BWA41" s="624"/>
      <c r="BWB41" s="624"/>
      <c r="BWC41" s="624"/>
      <c r="BWD41" s="624"/>
      <c r="BWE41" s="624"/>
      <c r="BWF41" s="624"/>
      <c r="BWG41" s="624"/>
      <c r="BWH41" s="624"/>
      <c r="BWI41" s="624"/>
      <c r="BWJ41" s="624"/>
      <c r="BWK41" s="624"/>
      <c r="BWL41" s="624"/>
      <c r="BWM41" s="624"/>
      <c r="BWN41" s="624"/>
      <c r="BWO41" s="624"/>
      <c r="BWP41" s="624"/>
      <c r="BWQ41" s="624"/>
      <c r="BWR41" s="624"/>
      <c r="BWS41" s="624"/>
      <c r="BWT41" s="624"/>
      <c r="BWU41" s="624"/>
      <c r="BWV41" s="624"/>
      <c r="BWW41" s="624"/>
      <c r="BWX41" s="624"/>
      <c r="BWY41" s="624"/>
      <c r="BWZ41" s="624"/>
      <c r="BXA41" s="624"/>
      <c r="BXB41" s="624"/>
      <c r="BXC41" s="624"/>
      <c r="BXD41" s="624"/>
      <c r="BXE41" s="624"/>
      <c r="BXF41" s="624"/>
      <c r="BXG41" s="624"/>
      <c r="BXH41" s="624"/>
      <c r="BXI41" s="624"/>
      <c r="BXJ41" s="624"/>
      <c r="BXK41" s="624"/>
      <c r="BXL41" s="624"/>
      <c r="BXM41" s="624"/>
      <c r="BXN41" s="624"/>
      <c r="BXO41" s="624"/>
      <c r="BXP41" s="624"/>
      <c r="BXQ41" s="624"/>
      <c r="BXR41" s="624"/>
      <c r="BXS41" s="624"/>
      <c r="BXT41" s="624"/>
      <c r="BXU41" s="624"/>
      <c r="BXV41" s="624"/>
      <c r="BXW41" s="624"/>
      <c r="BXX41" s="624"/>
      <c r="BXY41" s="624"/>
      <c r="BXZ41" s="624"/>
      <c r="BYA41" s="624"/>
      <c r="BYB41" s="624"/>
      <c r="BYC41" s="624"/>
      <c r="BYD41" s="624"/>
      <c r="BYE41" s="624"/>
      <c r="BYF41" s="624"/>
      <c r="BYG41" s="624"/>
      <c r="BYH41" s="624"/>
      <c r="BYI41" s="624"/>
      <c r="BYJ41" s="624"/>
      <c r="BYK41" s="624"/>
      <c r="BYL41" s="624"/>
      <c r="BYM41" s="624"/>
      <c r="BYN41" s="624"/>
      <c r="BYO41" s="624"/>
      <c r="BYP41" s="624"/>
      <c r="BYQ41" s="624"/>
      <c r="BYR41" s="624"/>
      <c r="BYS41" s="624"/>
      <c r="BYT41" s="624"/>
      <c r="BYU41" s="624"/>
      <c r="BYV41" s="624"/>
      <c r="BYW41" s="624"/>
      <c r="BYX41" s="624"/>
      <c r="BYY41" s="624"/>
      <c r="BYZ41" s="624"/>
      <c r="BZA41" s="624"/>
      <c r="BZB41" s="624"/>
      <c r="BZC41" s="624"/>
      <c r="BZD41" s="624"/>
      <c r="BZE41" s="624"/>
      <c r="BZF41" s="624"/>
      <c r="BZG41" s="624"/>
      <c r="BZH41" s="624"/>
      <c r="BZI41" s="624"/>
      <c r="BZJ41" s="624"/>
      <c r="BZK41" s="624"/>
      <c r="BZL41" s="624"/>
      <c r="BZM41" s="624"/>
      <c r="BZN41" s="624"/>
      <c r="BZO41" s="624"/>
      <c r="BZP41" s="624"/>
      <c r="BZQ41" s="624"/>
      <c r="BZR41" s="624"/>
      <c r="BZS41" s="624"/>
      <c r="BZT41" s="624"/>
      <c r="BZU41" s="624"/>
      <c r="BZV41" s="624"/>
      <c r="BZW41" s="624"/>
      <c r="BZX41" s="624"/>
      <c r="BZY41" s="624"/>
      <c r="BZZ41" s="624"/>
      <c r="CAA41" s="624"/>
      <c r="CAB41" s="624"/>
      <c r="CAC41" s="624"/>
      <c r="CAD41" s="624"/>
      <c r="CAE41" s="624"/>
      <c r="CAF41" s="624"/>
      <c r="CAG41" s="624"/>
      <c r="CAH41" s="624"/>
      <c r="CAI41" s="624"/>
      <c r="CAJ41" s="624"/>
      <c r="CAK41" s="624"/>
      <c r="CAL41" s="624"/>
      <c r="CAM41" s="624"/>
      <c r="CAN41" s="624"/>
      <c r="CAO41" s="624"/>
      <c r="CAP41" s="624"/>
      <c r="CAQ41" s="624"/>
      <c r="CAR41" s="624"/>
      <c r="CAS41" s="624"/>
      <c r="CAT41" s="624"/>
      <c r="CAU41" s="624"/>
      <c r="CAV41" s="624"/>
      <c r="CAW41" s="624"/>
      <c r="CAX41" s="624"/>
      <c r="CAY41" s="624"/>
      <c r="CAZ41" s="624"/>
      <c r="CBA41" s="624"/>
      <c r="CBB41" s="624"/>
      <c r="CBC41" s="624"/>
      <c r="CBD41" s="624"/>
      <c r="CBE41" s="624"/>
      <c r="CBF41" s="624"/>
      <c r="CBG41" s="624"/>
      <c r="CBH41" s="624"/>
      <c r="CBI41" s="624"/>
      <c r="CBJ41" s="624"/>
      <c r="CBK41" s="624"/>
      <c r="CBL41" s="624"/>
      <c r="CBM41" s="624"/>
      <c r="CBN41" s="624"/>
      <c r="CBO41" s="624"/>
      <c r="CBP41" s="624"/>
      <c r="CBQ41" s="624"/>
      <c r="CBR41" s="624"/>
      <c r="CBS41" s="624"/>
      <c r="CBT41" s="624"/>
      <c r="CBU41" s="624"/>
      <c r="CBV41" s="624"/>
      <c r="CBW41" s="624"/>
      <c r="CBX41" s="624"/>
      <c r="CBY41" s="624"/>
      <c r="CBZ41" s="624"/>
      <c r="CCA41" s="624"/>
      <c r="CCB41" s="624"/>
      <c r="CCC41" s="624"/>
      <c r="CCD41" s="624"/>
      <c r="CCE41" s="624"/>
      <c r="CCF41" s="624"/>
      <c r="CCG41" s="624"/>
      <c r="CCH41" s="624"/>
      <c r="CCI41" s="624"/>
      <c r="CCJ41" s="624"/>
      <c r="CCK41" s="624"/>
      <c r="CCL41" s="624"/>
      <c r="CCM41" s="624"/>
      <c r="CCN41" s="624"/>
      <c r="CCO41" s="624"/>
      <c r="CCP41" s="624"/>
      <c r="CCQ41" s="624"/>
      <c r="CCR41" s="624"/>
      <c r="CCS41" s="624"/>
      <c r="CCT41" s="624"/>
      <c r="CCU41" s="624"/>
      <c r="CCV41" s="624"/>
      <c r="CCW41" s="624"/>
      <c r="CCX41" s="624"/>
      <c r="CCY41" s="624"/>
      <c r="CCZ41" s="624"/>
      <c r="CDA41" s="624"/>
      <c r="CDB41" s="624"/>
      <c r="CDC41" s="624"/>
      <c r="CDD41" s="624"/>
      <c r="CDE41" s="624"/>
      <c r="CDF41" s="624"/>
      <c r="CDG41" s="624"/>
      <c r="CDH41" s="624"/>
      <c r="CDI41" s="624"/>
      <c r="CDJ41" s="624"/>
      <c r="CDK41" s="624"/>
      <c r="CDL41" s="624"/>
      <c r="CDM41" s="624"/>
      <c r="CDN41" s="624"/>
      <c r="CDO41" s="624"/>
      <c r="CDP41" s="624"/>
      <c r="CDQ41" s="624"/>
      <c r="CDR41" s="624"/>
      <c r="CDS41" s="624"/>
      <c r="CDT41" s="624"/>
      <c r="CDU41" s="624"/>
      <c r="CDV41" s="624"/>
      <c r="CDW41" s="624"/>
      <c r="CDX41" s="624"/>
      <c r="CDY41" s="624"/>
      <c r="CDZ41" s="624"/>
      <c r="CEA41" s="624"/>
      <c r="CEB41" s="624"/>
      <c r="CEC41" s="624"/>
      <c r="CED41" s="624"/>
      <c r="CEE41" s="624"/>
      <c r="CEF41" s="624"/>
      <c r="CEG41" s="624"/>
      <c r="CEH41" s="624"/>
      <c r="CEI41" s="624"/>
      <c r="CEJ41" s="624"/>
      <c r="CEK41" s="624"/>
      <c r="CEL41" s="624"/>
      <c r="CEM41" s="624"/>
      <c r="CEN41" s="624"/>
      <c r="CEO41" s="624"/>
      <c r="CEP41" s="624"/>
      <c r="CEQ41" s="624"/>
      <c r="CER41" s="624"/>
      <c r="CES41" s="624"/>
      <c r="CET41" s="624"/>
      <c r="CEU41" s="624"/>
      <c r="CEV41" s="624"/>
      <c r="CEW41" s="624"/>
      <c r="CEX41" s="624"/>
      <c r="CEY41" s="624"/>
      <c r="CEZ41" s="624"/>
      <c r="CFA41" s="624"/>
      <c r="CFB41" s="624"/>
      <c r="CFC41" s="624"/>
      <c r="CFD41" s="624"/>
      <c r="CFE41" s="624"/>
      <c r="CFF41" s="624"/>
      <c r="CFG41" s="624"/>
      <c r="CFH41" s="624"/>
      <c r="CFI41" s="624"/>
      <c r="CFJ41" s="624"/>
      <c r="CFK41" s="624"/>
      <c r="CFL41" s="624"/>
      <c r="CFM41" s="624"/>
      <c r="CFN41" s="624"/>
      <c r="CFO41" s="624"/>
      <c r="CFP41" s="624"/>
      <c r="CFQ41" s="624"/>
      <c r="CFR41" s="624"/>
      <c r="CFS41" s="624"/>
      <c r="CFT41" s="624"/>
      <c r="CFU41" s="624"/>
      <c r="CFV41" s="624"/>
      <c r="CFW41" s="624"/>
      <c r="CFX41" s="624"/>
      <c r="CFY41" s="624"/>
      <c r="CFZ41" s="624"/>
      <c r="CGA41" s="624"/>
      <c r="CGB41" s="624"/>
      <c r="CGC41" s="624"/>
      <c r="CGD41" s="624"/>
      <c r="CGE41" s="624"/>
      <c r="CGF41" s="624"/>
      <c r="CGG41" s="624"/>
      <c r="CGH41" s="624"/>
      <c r="CGI41" s="624"/>
      <c r="CGJ41" s="624"/>
      <c r="CGK41" s="624"/>
      <c r="CGL41" s="624"/>
      <c r="CGM41" s="624"/>
      <c r="CGN41" s="624"/>
      <c r="CGO41" s="624"/>
      <c r="CGP41" s="624"/>
      <c r="CGQ41" s="624"/>
      <c r="CGR41" s="624"/>
      <c r="CGS41" s="624"/>
      <c r="CGT41" s="624"/>
      <c r="CGU41" s="624"/>
      <c r="CGV41" s="624"/>
      <c r="CGW41" s="624"/>
      <c r="CGX41" s="624"/>
      <c r="CGY41" s="624"/>
      <c r="CGZ41" s="624"/>
      <c r="CHA41" s="624"/>
      <c r="CHB41" s="624"/>
      <c r="CHC41" s="624"/>
      <c r="CHD41" s="624"/>
      <c r="CHE41" s="624"/>
      <c r="CHF41" s="624"/>
      <c r="CHG41" s="624"/>
      <c r="CHH41" s="624"/>
      <c r="CHI41" s="624"/>
      <c r="CHJ41" s="624"/>
      <c r="CHK41" s="624"/>
      <c r="CHL41" s="624"/>
      <c r="CHM41" s="624"/>
      <c r="CHN41" s="624"/>
      <c r="CHO41" s="624"/>
      <c r="CHP41" s="624"/>
      <c r="CHQ41" s="624"/>
      <c r="CHR41" s="624"/>
      <c r="CHS41" s="624"/>
      <c r="CHT41" s="624"/>
      <c r="CHU41" s="624"/>
      <c r="CHV41" s="624"/>
      <c r="CHW41" s="624"/>
      <c r="CHX41" s="624"/>
      <c r="CHY41" s="624"/>
      <c r="CHZ41" s="624"/>
      <c r="CIA41" s="624"/>
      <c r="CIB41" s="624"/>
      <c r="CIC41" s="624"/>
      <c r="CID41" s="624"/>
      <c r="CIE41" s="624"/>
      <c r="CIF41" s="624"/>
      <c r="CIG41" s="624"/>
      <c r="CIH41" s="624"/>
      <c r="CII41" s="624"/>
      <c r="CIJ41" s="624"/>
      <c r="CIK41" s="624"/>
      <c r="CIL41" s="624"/>
      <c r="CIM41" s="624"/>
      <c r="CIN41" s="624"/>
      <c r="CIO41" s="624"/>
      <c r="CIP41" s="624"/>
      <c r="CIQ41" s="624"/>
      <c r="CIR41" s="624"/>
      <c r="CIS41" s="624"/>
      <c r="CIT41" s="624"/>
      <c r="CIU41" s="624"/>
      <c r="CIV41" s="624"/>
      <c r="CIW41" s="624"/>
      <c r="CIX41" s="624"/>
      <c r="CIY41" s="624"/>
      <c r="CIZ41" s="624"/>
      <c r="CJA41" s="624"/>
      <c r="CJB41" s="624"/>
      <c r="CJC41" s="624"/>
      <c r="CJD41" s="624"/>
      <c r="CJE41" s="624"/>
      <c r="CJF41" s="624"/>
      <c r="CJG41" s="624"/>
      <c r="CJH41" s="624"/>
      <c r="CJI41" s="624"/>
      <c r="CJJ41" s="624"/>
      <c r="CJK41" s="624"/>
      <c r="CJL41" s="624"/>
      <c r="CJM41" s="624"/>
      <c r="CJN41" s="624"/>
      <c r="CJO41" s="624"/>
      <c r="CJP41" s="624"/>
      <c r="CJQ41" s="624"/>
      <c r="CJR41" s="624"/>
      <c r="CJS41" s="624"/>
      <c r="CJT41" s="624"/>
      <c r="CJU41" s="624"/>
      <c r="CJV41" s="624"/>
      <c r="CJW41" s="624"/>
      <c r="CJX41" s="624"/>
      <c r="CJY41" s="624"/>
      <c r="CJZ41" s="624"/>
      <c r="CKA41" s="624"/>
      <c r="CKB41" s="624"/>
      <c r="CKC41" s="624"/>
      <c r="CKD41" s="624"/>
      <c r="CKE41" s="624"/>
      <c r="CKF41" s="624"/>
      <c r="CKG41" s="624"/>
      <c r="CKH41" s="624"/>
      <c r="CKI41" s="624"/>
      <c r="CKJ41" s="624"/>
      <c r="CKK41" s="624"/>
      <c r="CKL41" s="624"/>
      <c r="CKM41" s="624"/>
      <c r="CKN41" s="624"/>
      <c r="CKO41" s="624"/>
      <c r="CKP41" s="624"/>
      <c r="CKQ41" s="624"/>
      <c r="CKR41" s="624"/>
      <c r="CKS41" s="624"/>
      <c r="CKT41" s="624"/>
      <c r="CKU41" s="624"/>
      <c r="CKV41" s="624"/>
      <c r="CKW41" s="624"/>
      <c r="CKX41" s="624"/>
      <c r="CKY41" s="624"/>
      <c r="CKZ41" s="624"/>
      <c r="CLA41" s="624"/>
      <c r="CLB41" s="624"/>
      <c r="CLC41" s="624"/>
      <c r="CLD41" s="624"/>
      <c r="CLE41" s="624"/>
      <c r="CLF41" s="624"/>
      <c r="CLG41" s="624"/>
      <c r="CLH41" s="624"/>
      <c r="CLI41" s="624"/>
      <c r="CLJ41" s="624"/>
      <c r="CLK41" s="624"/>
      <c r="CLL41" s="624"/>
      <c r="CLM41" s="624"/>
      <c r="CLN41" s="624"/>
      <c r="CLO41" s="624"/>
      <c r="CLP41" s="624"/>
      <c r="CLQ41" s="624"/>
      <c r="CLR41" s="624"/>
      <c r="CLS41" s="624"/>
      <c r="CLT41" s="624"/>
      <c r="CLU41" s="624"/>
      <c r="CLV41" s="624"/>
      <c r="CLW41" s="624"/>
      <c r="CLX41" s="624"/>
      <c r="CLY41" s="624"/>
      <c r="CLZ41" s="624"/>
      <c r="CMA41" s="624"/>
      <c r="CMB41" s="624"/>
      <c r="CMC41" s="624"/>
      <c r="CMD41" s="624"/>
      <c r="CME41" s="624"/>
      <c r="CMF41" s="624"/>
      <c r="CMG41" s="624"/>
      <c r="CMH41" s="624"/>
      <c r="CMI41" s="624"/>
      <c r="CMJ41" s="624"/>
      <c r="CMK41" s="624"/>
      <c r="CML41" s="624"/>
      <c r="CMM41" s="624"/>
      <c r="CMN41" s="624"/>
      <c r="CMO41" s="624"/>
      <c r="CMP41" s="624"/>
      <c r="CMQ41" s="624"/>
      <c r="CMR41" s="624"/>
      <c r="CMS41" s="624"/>
      <c r="CMT41" s="624"/>
      <c r="CMU41" s="624"/>
      <c r="CMV41" s="624"/>
      <c r="CMW41" s="624"/>
      <c r="CMX41" s="624"/>
      <c r="CMY41" s="624"/>
      <c r="CMZ41" s="624"/>
      <c r="CNA41" s="624"/>
      <c r="CNB41" s="624"/>
      <c r="CNC41" s="624"/>
      <c r="CND41" s="624"/>
      <c r="CNE41" s="624"/>
      <c r="CNF41" s="624"/>
      <c r="CNG41" s="624"/>
      <c r="CNH41" s="624"/>
      <c r="CNI41" s="624"/>
      <c r="CNJ41" s="624"/>
      <c r="CNK41" s="624"/>
      <c r="CNL41" s="624"/>
      <c r="CNM41" s="624"/>
      <c r="CNN41" s="624"/>
      <c r="CNO41" s="624"/>
      <c r="CNP41" s="624"/>
      <c r="CNQ41" s="624"/>
      <c r="CNR41" s="624"/>
      <c r="CNS41" s="624"/>
      <c r="CNT41" s="624"/>
      <c r="CNU41" s="624"/>
      <c r="CNV41" s="624"/>
      <c r="CNW41" s="624"/>
      <c r="CNX41" s="624"/>
      <c r="CNY41" s="624"/>
      <c r="CNZ41" s="624"/>
      <c r="COA41" s="624"/>
      <c r="COB41" s="624"/>
      <c r="COC41" s="624"/>
      <c r="COD41" s="624"/>
      <c r="COE41" s="624"/>
      <c r="COF41" s="624"/>
      <c r="COG41" s="624"/>
      <c r="COH41" s="624"/>
      <c r="COI41" s="624"/>
      <c r="COJ41" s="624"/>
      <c r="COK41" s="624"/>
      <c r="COL41" s="624"/>
      <c r="COM41" s="624"/>
      <c r="CON41" s="624"/>
      <c r="COO41" s="624"/>
      <c r="COP41" s="624"/>
      <c r="COQ41" s="624"/>
      <c r="COR41" s="624"/>
      <c r="COS41" s="624"/>
      <c r="COT41" s="624"/>
      <c r="COU41" s="624"/>
      <c r="COV41" s="624"/>
      <c r="COW41" s="624"/>
      <c r="COX41" s="624"/>
      <c r="COY41" s="624"/>
      <c r="COZ41" s="624"/>
      <c r="CPA41" s="624"/>
      <c r="CPB41" s="624"/>
      <c r="CPC41" s="624"/>
      <c r="CPD41" s="624"/>
      <c r="CPE41" s="624"/>
      <c r="CPF41" s="624"/>
      <c r="CPG41" s="624"/>
      <c r="CPH41" s="624"/>
      <c r="CPI41" s="624"/>
      <c r="CPJ41" s="624"/>
      <c r="CPK41" s="624"/>
      <c r="CPL41" s="624"/>
      <c r="CPM41" s="624"/>
      <c r="CPN41" s="624"/>
      <c r="CPO41" s="624"/>
      <c r="CPP41" s="624"/>
      <c r="CPQ41" s="624"/>
      <c r="CPR41" s="624"/>
      <c r="CPS41" s="624"/>
      <c r="CPT41" s="624"/>
      <c r="CPU41" s="624"/>
      <c r="CPV41" s="624"/>
      <c r="CPW41" s="624"/>
      <c r="CPX41" s="624"/>
      <c r="CPY41" s="624"/>
      <c r="CPZ41" s="624"/>
      <c r="CQA41" s="624"/>
      <c r="CQB41" s="624"/>
      <c r="CQC41" s="624"/>
      <c r="CQD41" s="624"/>
      <c r="CQE41" s="624"/>
      <c r="CQF41" s="624"/>
      <c r="CQG41" s="624"/>
      <c r="CQH41" s="624"/>
      <c r="CQI41" s="624"/>
      <c r="CQJ41" s="624"/>
      <c r="CQK41" s="624"/>
      <c r="CQL41" s="624"/>
      <c r="CQM41" s="624"/>
      <c r="CQN41" s="624"/>
      <c r="CQO41" s="624"/>
      <c r="CQP41" s="624"/>
      <c r="CQQ41" s="624"/>
      <c r="CQR41" s="624"/>
      <c r="CQS41" s="624"/>
      <c r="CQT41" s="624"/>
      <c r="CQU41" s="624"/>
      <c r="CQV41" s="624"/>
      <c r="CQW41" s="624"/>
      <c r="CQX41" s="624"/>
      <c r="CQY41" s="624"/>
      <c r="CQZ41" s="624"/>
      <c r="CRA41" s="624"/>
      <c r="CRB41" s="624"/>
      <c r="CRC41" s="624"/>
      <c r="CRD41" s="624"/>
      <c r="CRE41" s="624"/>
      <c r="CRF41" s="624"/>
      <c r="CRG41" s="624"/>
      <c r="CRH41" s="624"/>
      <c r="CRI41" s="624"/>
      <c r="CRJ41" s="624"/>
      <c r="CRK41" s="624"/>
      <c r="CRL41" s="624"/>
      <c r="CRM41" s="624"/>
      <c r="CRN41" s="624"/>
      <c r="CRO41" s="624"/>
      <c r="CRP41" s="624"/>
      <c r="CRQ41" s="624"/>
      <c r="CRR41" s="624"/>
      <c r="CRS41" s="624"/>
      <c r="CRT41" s="624"/>
      <c r="CRU41" s="624"/>
      <c r="CRV41" s="624"/>
      <c r="CRW41" s="624"/>
      <c r="CRX41" s="624"/>
      <c r="CRY41" s="624"/>
      <c r="CRZ41" s="624"/>
      <c r="CSA41" s="624"/>
      <c r="CSB41" s="624"/>
      <c r="CSC41" s="624"/>
      <c r="CSD41" s="624"/>
      <c r="CSE41" s="624"/>
      <c r="CSF41" s="624"/>
      <c r="CSG41" s="624"/>
      <c r="CSH41" s="624"/>
      <c r="CSI41" s="624"/>
      <c r="CSJ41" s="624"/>
      <c r="CSK41" s="624"/>
      <c r="CSL41" s="624"/>
      <c r="CSM41" s="624"/>
      <c r="CSN41" s="624"/>
      <c r="CSO41" s="624"/>
      <c r="CSP41" s="624"/>
      <c r="CSQ41" s="624"/>
      <c r="CSR41" s="624"/>
      <c r="CSS41" s="624"/>
      <c r="CST41" s="624"/>
      <c r="CSU41" s="624"/>
      <c r="CSV41" s="624"/>
      <c r="CSW41" s="624"/>
      <c r="CSX41" s="624"/>
      <c r="CSY41" s="624"/>
      <c r="CSZ41" s="624"/>
      <c r="CTA41" s="624"/>
      <c r="CTB41" s="624"/>
      <c r="CTC41" s="624"/>
      <c r="CTD41" s="624"/>
      <c r="CTE41" s="624"/>
      <c r="CTF41" s="624"/>
      <c r="CTG41" s="624"/>
      <c r="CTH41" s="624"/>
      <c r="CTI41" s="624"/>
      <c r="CTJ41" s="624"/>
      <c r="CTK41" s="624"/>
      <c r="CTL41" s="624"/>
      <c r="CTM41" s="624"/>
      <c r="CTN41" s="624"/>
      <c r="CTO41" s="624"/>
      <c r="CTP41" s="624"/>
      <c r="CTQ41" s="624"/>
      <c r="CTR41" s="624"/>
      <c r="CTS41" s="624"/>
      <c r="CTT41" s="624"/>
      <c r="CTU41" s="624"/>
      <c r="CTV41" s="624"/>
      <c r="CTW41" s="624"/>
      <c r="CTX41" s="624"/>
      <c r="CTY41" s="624"/>
      <c r="CTZ41" s="624"/>
      <c r="CUA41" s="624"/>
      <c r="CUB41" s="624"/>
      <c r="CUC41" s="624"/>
      <c r="CUD41" s="624"/>
      <c r="CUE41" s="624"/>
      <c r="CUF41" s="624"/>
      <c r="CUG41" s="624"/>
      <c r="CUH41" s="624"/>
      <c r="CUI41" s="624"/>
      <c r="CUJ41" s="624"/>
      <c r="CUK41" s="624"/>
      <c r="CUL41" s="624"/>
      <c r="CUM41" s="624"/>
      <c r="CUN41" s="624"/>
      <c r="CUO41" s="624"/>
      <c r="CUP41" s="624"/>
      <c r="CUQ41" s="624"/>
      <c r="CUR41" s="624"/>
      <c r="CUS41" s="624"/>
      <c r="CUT41" s="624"/>
      <c r="CUU41" s="624"/>
      <c r="CUV41" s="624"/>
      <c r="CUW41" s="624"/>
      <c r="CUX41" s="624"/>
      <c r="CUY41" s="624"/>
      <c r="CUZ41" s="624"/>
      <c r="CVA41" s="624"/>
      <c r="CVB41" s="624"/>
      <c r="CVC41" s="624"/>
      <c r="CVD41" s="624"/>
      <c r="CVE41" s="624"/>
      <c r="CVF41" s="624"/>
      <c r="CVG41" s="624"/>
      <c r="CVH41" s="624"/>
      <c r="CVI41" s="624"/>
      <c r="CVJ41" s="624"/>
      <c r="CVK41" s="624"/>
      <c r="CVL41" s="624"/>
      <c r="CVM41" s="624"/>
      <c r="CVN41" s="624"/>
      <c r="CVO41" s="624"/>
      <c r="CVP41" s="624"/>
      <c r="CVQ41" s="624"/>
      <c r="CVR41" s="624"/>
      <c r="CVS41" s="624"/>
      <c r="CVT41" s="624"/>
      <c r="CVU41" s="624"/>
      <c r="CVV41" s="624"/>
      <c r="CVW41" s="624"/>
      <c r="CVX41" s="624"/>
      <c r="CVY41" s="624"/>
      <c r="CVZ41" s="624"/>
      <c r="CWA41" s="624"/>
      <c r="CWB41" s="624"/>
      <c r="CWC41" s="624"/>
      <c r="CWD41" s="624"/>
      <c r="CWE41" s="624"/>
      <c r="CWF41" s="624"/>
      <c r="CWG41" s="624"/>
      <c r="CWH41" s="624"/>
      <c r="CWI41" s="624"/>
      <c r="CWJ41" s="624"/>
      <c r="CWK41" s="624"/>
      <c r="CWL41" s="624"/>
      <c r="CWM41" s="624"/>
      <c r="CWN41" s="624"/>
      <c r="CWO41" s="624"/>
      <c r="CWP41" s="624"/>
      <c r="CWQ41" s="624"/>
      <c r="CWR41" s="624"/>
      <c r="CWS41" s="624"/>
      <c r="CWT41" s="624"/>
      <c r="CWU41" s="624"/>
      <c r="CWV41" s="624"/>
      <c r="CWW41" s="624"/>
      <c r="CWX41" s="624"/>
      <c r="CWY41" s="624"/>
      <c r="CWZ41" s="624"/>
      <c r="CXA41" s="624"/>
      <c r="CXB41" s="624"/>
      <c r="CXC41" s="624"/>
      <c r="CXD41" s="624"/>
      <c r="CXE41" s="624"/>
      <c r="CXF41" s="624"/>
      <c r="CXG41" s="624"/>
      <c r="CXH41" s="624"/>
      <c r="CXI41" s="624"/>
      <c r="CXJ41" s="624"/>
      <c r="CXK41" s="624"/>
      <c r="CXL41" s="624"/>
      <c r="CXM41" s="624"/>
      <c r="CXN41" s="624"/>
      <c r="CXO41" s="624"/>
      <c r="CXP41" s="624"/>
      <c r="CXQ41" s="624"/>
      <c r="CXR41" s="624"/>
      <c r="CXS41" s="624"/>
      <c r="CXT41" s="624"/>
      <c r="CXU41" s="624"/>
      <c r="CXV41" s="624"/>
      <c r="CXW41" s="624"/>
      <c r="CXX41" s="624"/>
      <c r="CXY41" s="624"/>
      <c r="CXZ41" s="624"/>
      <c r="CYA41" s="624"/>
      <c r="CYB41" s="624"/>
      <c r="CYC41" s="624"/>
      <c r="CYD41" s="624"/>
      <c r="CYE41" s="624"/>
      <c r="CYF41" s="624"/>
      <c r="CYG41" s="624"/>
      <c r="CYH41" s="624"/>
      <c r="CYI41" s="624"/>
      <c r="CYJ41" s="624"/>
      <c r="CYK41" s="624"/>
      <c r="CYL41" s="624"/>
      <c r="CYM41" s="624"/>
      <c r="CYN41" s="624"/>
      <c r="CYO41" s="624"/>
      <c r="CYP41" s="624"/>
      <c r="CYQ41" s="624"/>
      <c r="CYR41" s="624"/>
      <c r="CYS41" s="624"/>
      <c r="CYT41" s="624"/>
      <c r="CYU41" s="624"/>
      <c r="CYV41" s="624"/>
      <c r="CYW41" s="624"/>
      <c r="CYX41" s="624"/>
      <c r="CYY41" s="624"/>
      <c r="CYZ41" s="624"/>
      <c r="CZA41" s="624"/>
      <c r="CZB41" s="624"/>
      <c r="CZC41" s="624"/>
      <c r="CZD41" s="624"/>
      <c r="CZE41" s="624"/>
      <c r="CZF41" s="624"/>
      <c r="CZG41" s="624"/>
      <c r="CZH41" s="624"/>
      <c r="CZI41" s="624"/>
      <c r="CZJ41" s="624"/>
      <c r="CZK41" s="624"/>
      <c r="CZL41" s="624"/>
      <c r="CZM41" s="624"/>
      <c r="CZN41" s="624"/>
      <c r="CZO41" s="624"/>
      <c r="CZP41" s="624"/>
      <c r="CZQ41" s="624"/>
      <c r="CZR41" s="624"/>
      <c r="CZS41" s="624"/>
      <c r="CZT41" s="624"/>
      <c r="CZU41" s="624"/>
      <c r="CZV41" s="624"/>
      <c r="CZW41" s="624"/>
      <c r="CZX41" s="624"/>
      <c r="CZY41" s="624"/>
      <c r="CZZ41" s="624"/>
      <c r="DAA41" s="624"/>
      <c r="DAB41" s="624"/>
      <c r="DAC41" s="624"/>
      <c r="DAD41" s="624"/>
      <c r="DAE41" s="624"/>
      <c r="DAF41" s="624"/>
      <c r="DAG41" s="624"/>
      <c r="DAH41" s="624"/>
      <c r="DAI41" s="624"/>
      <c r="DAJ41" s="624"/>
      <c r="DAK41" s="624"/>
      <c r="DAL41" s="624"/>
      <c r="DAM41" s="624"/>
      <c r="DAN41" s="624"/>
      <c r="DAO41" s="624"/>
      <c r="DAP41" s="624"/>
      <c r="DAQ41" s="624"/>
      <c r="DAR41" s="624"/>
      <c r="DAS41" s="624"/>
      <c r="DAT41" s="624"/>
      <c r="DAU41" s="624"/>
      <c r="DAV41" s="624"/>
      <c r="DAW41" s="624"/>
      <c r="DAX41" s="624"/>
      <c r="DAY41" s="624"/>
      <c r="DAZ41" s="624"/>
      <c r="DBA41" s="624"/>
      <c r="DBB41" s="624"/>
      <c r="DBC41" s="624"/>
      <c r="DBD41" s="624"/>
      <c r="DBE41" s="624"/>
      <c r="DBF41" s="624"/>
      <c r="DBG41" s="624"/>
      <c r="DBH41" s="624"/>
      <c r="DBI41" s="624"/>
      <c r="DBJ41" s="624"/>
      <c r="DBK41" s="624"/>
      <c r="DBL41" s="624"/>
      <c r="DBM41" s="624"/>
      <c r="DBN41" s="624"/>
      <c r="DBO41" s="624"/>
      <c r="DBP41" s="624"/>
      <c r="DBQ41" s="624"/>
      <c r="DBR41" s="624"/>
      <c r="DBS41" s="624"/>
      <c r="DBT41" s="624"/>
      <c r="DBU41" s="624"/>
      <c r="DBV41" s="624"/>
      <c r="DBW41" s="624"/>
      <c r="DBX41" s="624"/>
      <c r="DBY41" s="624"/>
      <c r="DBZ41" s="624"/>
      <c r="DCA41" s="624"/>
      <c r="DCB41" s="624"/>
      <c r="DCC41" s="624"/>
      <c r="DCD41" s="624"/>
      <c r="DCE41" s="624"/>
      <c r="DCF41" s="624"/>
      <c r="DCG41" s="624"/>
      <c r="DCH41" s="624"/>
      <c r="DCI41" s="624"/>
      <c r="DCJ41" s="624"/>
      <c r="DCK41" s="624"/>
      <c r="DCL41" s="624"/>
      <c r="DCM41" s="624"/>
      <c r="DCN41" s="624"/>
      <c r="DCO41" s="624"/>
      <c r="DCP41" s="624"/>
      <c r="DCQ41" s="624"/>
      <c r="DCR41" s="624"/>
      <c r="DCS41" s="624"/>
      <c r="DCT41" s="624"/>
      <c r="DCU41" s="624"/>
      <c r="DCV41" s="624"/>
      <c r="DCW41" s="624"/>
      <c r="DCX41" s="624"/>
      <c r="DCY41" s="624"/>
      <c r="DCZ41" s="624"/>
      <c r="DDA41" s="624"/>
      <c r="DDB41" s="624"/>
      <c r="DDC41" s="624"/>
      <c r="DDD41" s="624"/>
      <c r="DDE41" s="624"/>
      <c r="DDF41" s="624"/>
      <c r="DDG41" s="624"/>
      <c r="DDH41" s="624"/>
      <c r="DDI41" s="624"/>
      <c r="DDJ41" s="624"/>
      <c r="DDK41" s="624"/>
      <c r="DDL41" s="624"/>
      <c r="DDM41" s="624"/>
      <c r="DDN41" s="624"/>
      <c r="DDO41" s="624"/>
      <c r="DDP41" s="624"/>
      <c r="DDQ41" s="624"/>
      <c r="DDR41" s="624"/>
      <c r="DDS41" s="624"/>
      <c r="DDT41" s="624"/>
      <c r="DDU41" s="624"/>
      <c r="DDV41" s="624"/>
      <c r="DDW41" s="624"/>
      <c r="DDX41" s="624"/>
      <c r="DDY41" s="624"/>
      <c r="DDZ41" s="624"/>
      <c r="DEA41" s="624"/>
      <c r="DEB41" s="624"/>
      <c r="DEC41" s="624"/>
      <c r="DED41" s="624"/>
      <c r="DEE41" s="624"/>
      <c r="DEF41" s="624"/>
      <c r="DEG41" s="624"/>
      <c r="DEH41" s="624"/>
      <c r="DEI41" s="624"/>
      <c r="DEJ41" s="624"/>
      <c r="DEK41" s="624"/>
      <c r="DEL41" s="624"/>
      <c r="DEM41" s="624"/>
      <c r="DEN41" s="624"/>
      <c r="DEO41" s="624"/>
      <c r="DEP41" s="624"/>
      <c r="DEQ41" s="624"/>
      <c r="DER41" s="624"/>
      <c r="DES41" s="624"/>
      <c r="DET41" s="624"/>
      <c r="DEU41" s="624"/>
      <c r="DEV41" s="624"/>
      <c r="DEW41" s="624"/>
      <c r="DEX41" s="624"/>
      <c r="DEY41" s="624"/>
      <c r="DEZ41" s="624"/>
      <c r="DFA41" s="624"/>
      <c r="DFB41" s="624"/>
      <c r="DFC41" s="624"/>
      <c r="DFD41" s="624"/>
      <c r="DFE41" s="624"/>
      <c r="DFF41" s="624"/>
      <c r="DFG41" s="624"/>
      <c r="DFH41" s="624"/>
      <c r="DFI41" s="624"/>
      <c r="DFJ41" s="624"/>
      <c r="DFK41" s="624"/>
      <c r="DFL41" s="624"/>
      <c r="DFM41" s="624"/>
      <c r="DFN41" s="624"/>
      <c r="DFO41" s="624"/>
      <c r="DFP41" s="624"/>
      <c r="DFQ41" s="624"/>
      <c r="DFR41" s="624"/>
      <c r="DFS41" s="624"/>
      <c r="DFT41" s="624"/>
      <c r="DFU41" s="624"/>
      <c r="DFV41" s="624"/>
      <c r="DFW41" s="624"/>
      <c r="DFX41" s="624"/>
      <c r="DFY41" s="624"/>
      <c r="DFZ41" s="624"/>
      <c r="DGA41" s="624"/>
      <c r="DGB41" s="624"/>
      <c r="DGC41" s="624"/>
      <c r="DGD41" s="624"/>
      <c r="DGE41" s="624"/>
      <c r="DGF41" s="624"/>
      <c r="DGG41" s="624"/>
      <c r="DGH41" s="624"/>
      <c r="DGI41" s="624"/>
      <c r="DGJ41" s="624"/>
      <c r="DGK41" s="624"/>
      <c r="DGL41" s="624"/>
      <c r="DGM41" s="624"/>
      <c r="DGN41" s="624"/>
      <c r="DGO41" s="624"/>
      <c r="DGP41" s="624"/>
      <c r="DGQ41" s="624"/>
      <c r="DGR41" s="624"/>
      <c r="DGS41" s="624"/>
      <c r="DGT41" s="624"/>
      <c r="DGU41" s="624"/>
      <c r="DGV41" s="624"/>
      <c r="DGW41" s="624"/>
      <c r="DGX41" s="624"/>
      <c r="DGY41" s="624"/>
      <c r="DGZ41" s="624"/>
      <c r="DHA41" s="624"/>
      <c r="DHB41" s="624"/>
      <c r="DHC41" s="624"/>
      <c r="DHD41" s="624"/>
      <c r="DHE41" s="624"/>
      <c r="DHF41" s="624"/>
      <c r="DHG41" s="624"/>
      <c r="DHH41" s="624"/>
      <c r="DHI41" s="624"/>
      <c r="DHJ41" s="624"/>
      <c r="DHK41" s="624"/>
      <c r="DHL41" s="624"/>
      <c r="DHM41" s="624"/>
      <c r="DHN41" s="624"/>
      <c r="DHO41" s="624"/>
      <c r="DHP41" s="624"/>
      <c r="DHQ41" s="624"/>
      <c r="DHR41" s="624"/>
      <c r="DHS41" s="624"/>
      <c r="DHT41" s="624"/>
      <c r="DHU41" s="624"/>
      <c r="DHV41" s="624"/>
      <c r="DHW41" s="624"/>
      <c r="DHX41" s="624"/>
      <c r="DHY41" s="624"/>
      <c r="DHZ41" s="624"/>
      <c r="DIA41" s="624"/>
      <c r="DIB41" s="624"/>
      <c r="DIC41" s="624"/>
      <c r="DID41" s="624"/>
      <c r="DIE41" s="624"/>
      <c r="DIF41" s="624"/>
      <c r="DIG41" s="624"/>
      <c r="DIH41" s="624"/>
      <c r="DII41" s="624"/>
      <c r="DIJ41" s="624"/>
      <c r="DIK41" s="624"/>
      <c r="DIL41" s="624"/>
      <c r="DIM41" s="624"/>
      <c r="DIN41" s="624"/>
      <c r="DIO41" s="624"/>
      <c r="DIP41" s="624"/>
      <c r="DIQ41" s="624"/>
      <c r="DIR41" s="624"/>
      <c r="DIS41" s="624"/>
      <c r="DIT41" s="624"/>
      <c r="DIU41" s="624"/>
      <c r="DIV41" s="624"/>
      <c r="DIW41" s="624"/>
      <c r="DIX41" s="624"/>
      <c r="DIY41" s="624"/>
      <c r="DIZ41" s="624"/>
      <c r="DJA41" s="624"/>
      <c r="DJB41" s="624"/>
      <c r="DJC41" s="624"/>
      <c r="DJD41" s="624"/>
      <c r="DJE41" s="624"/>
      <c r="DJF41" s="624"/>
      <c r="DJG41" s="624"/>
      <c r="DJH41" s="624"/>
      <c r="DJI41" s="624"/>
      <c r="DJJ41" s="624"/>
      <c r="DJK41" s="624"/>
      <c r="DJL41" s="624"/>
      <c r="DJM41" s="624"/>
      <c r="DJN41" s="624"/>
      <c r="DJO41" s="624"/>
      <c r="DJP41" s="624"/>
      <c r="DJQ41" s="624"/>
      <c r="DJR41" s="624"/>
      <c r="DJS41" s="624"/>
      <c r="DJT41" s="624"/>
      <c r="DJU41" s="624"/>
      <c r="DJV41" s="624"/>
      <c r="DJW41" s="624"/>
      <c r="DJX41" s="624"/>
      <c r="DJY41" s="624"/>
      <c r="DJZ41" s="624"/>
      <c r="DKA41" s="624"/>
      <c r="DKB41" s="624"/>
      <c r="DKC41" s="624"/>
      <c r="DKD41" s="624"/>
      <c r="DKE41" s="624"/>
      <c r="DKF41" s="624"/>
      <c r="DKG41" s="624"/>
      <c r="DKH41" s="624"/>
      <c r="DKI41" s="624"/>
      <c r="DKJ41" s="624"/>
      <c r="DKK41" s="624"/>
      <c r="DKL41" s="624"/>
      <c r="DKM41" s="624"/>
      <c r="DKN41" s="624"/>
      <c r="DKO41" s="624"/>
      <c r="DKP41" s="624"/>
      <c r="DKQ41" s="624"/>
      <c r="DKR41" s="624"/>
      <c r="DKS41" s="624"/>
      <c r="DKT41" s="624"/>
      <c r="DKU41" s="624"/>
      <c r="DKV41" s="624"/>
      <c r="DKW41" s="624"/>
      <c r="DKX41" s="624"/>
      <c r="DKY41" s="624"/>
      <c r="DKZ41" s="624"/>
      <c r="DLA41" s="624"/>
      <c r="DLB41" s="624"/>
      <c r="DLC41" s="624"/>
      <c r="DLD41" s="624"/>
      <c r="DLE41" s="624"/>
      <c r="DLF41" s="624"/>
      <c r="DLG41" s="624"/>
      <c r="DLH41" s="624"/>
      <c r="DLI41" s="624"/>
      <c r="DLJ41" s="624"/>
      <c r="DLK41" s="624"/>
      <c r="DLL41" s="624"/>
      <c r="DLM41" s="624"/>
      <c r="DLN41" s="624"/>
      <c r="DLO41" s="624"/>
      <c r="DLP41" s="624"/>
      <c r="DLQ41" s="624"/>
      <c r="DLR41" s="624"/>
      <c r="DLS41" s="624"/>
      <c r="DLT41" s="624"/>
      <c r="DLU41" s="624"/>
      <c r="DLV41" s="624"/>
      <c r="DLW41" s="624"/>
      <c r="DLX41" s="624"/>
      <c r="DLY41" s="624"/>
      <c r="DLZ41" s="624"/>
      <c r="DMA41" s="624"/>
      <c r="DMB41" s="624"/>
      <c r="DMC41" s="624"/>
      <c r="DMD41" s="624"/>
      <c r="DME41" s="624"/>
      <c r="DMF41" s="624"/>
      <c r="DMG41" s="624"/>
      <c r="DMH41" s="624"/>
      <c r="DMI41" s="624"/>
      <c r="DMJ41" s="624"/>
      <c r="DMK41" s="624"/>
      <c r="DML41" s="624"/>
      <c r="DMM41" s="624"/>
      <c r="DMN41" s="624"/>
      <c r="DMO41" s="624"/>
      <c r="DMP41" s="624"/>
      <c r="DMQ41" s="624"/>
      <c r="DMR41" s="624"/>
      <c r="DMS41" s="624"/>
      <c r="DMT41" s="624"/>
      <c r="DMU41" s="624"/>
      <c r="DMV41" s="624"/>
      <c r="DMW41" s="624"/>
      <c r="DMX41" s="624"/>
      <c r="DMY41" s="624"/>
      <c r="DMZ41" s="624"/>
      <c r="DNA41" s="624"/>
      <c r="DNB41" s="624"/>
      <c r="DNC41" s="624"/>
      <c r="DND41" s="624"/>
      <c r="DNE41" s="624"/>
      <c r="DNF41" s="624"/>
      <c r="DNG41" s="624"/>
      <c r="DNH41" s="624"/>
      <c r="DNI41" s="624"/>
      <c r="DNJ41" s="624"/>
      <c r="DNK41" s="624"/>
      <c r="DNL41" s="624"/>
      <c r="DNM41" s="624"/>
      <c r="DNN41" s="624"/>
      <c r="DNO41" s="624"/>
      <c r="DNP41" s="624"/>
      <c r="DNQ41" s="624"/>
      <c r="DNR41" s="624"/>
      <c r="DNS41" s="624"/>
      <c r="DNT41" s="624"/>
      <c r="DNU41" s="624"/>
      <c r="DNV41" s="624"/>
      <c r="DNW41" s="624"/>
      <c r="DNX41" s="624"/>
      <c r="DNY41" s="624"/>
      <c r="DNZ41" s="624"/>
      <c r="DOA41" s="624"/>
      <c r="DOB41" s="624"/>
      <c r="DOC41" s="624"/>
      <c r="DOD41" s="624"/>
      <c r="DOE41" s="624"/>
      <c r="DOF41" s="624"/>
      <c r="DOG41" s="624"/>
      <c r="DOH41" s="624"/>
      <c r="DOI41" s="624"/>
      <c r="DOJ41" s="624"/>
      <c r="DOK41" s="624"/>
      <c r="DOL41" s="624"/>
      <c r="DOM41" s="624"/>
      <c r="DON41" s="624"/>
      <c r="DOO41" s="624"/>
      <c r="DOP41" s="624"/>
      <c r="DOQ41" s="624"/>
      <c r="DOR41" s="624"/>
      <c r="DOS41" s="624"/>
      <c r="DOT41" s="624"/>
      <c r="DOU41" s="624"/>
      <c r="DOV41" s="624"/>
      <c r="DOW41" s="624"/>
      <c r="DOX41" s="624"/>
      <c r="DOY41" s="624"/>
      <c r="DOZ41" s="624"/>
      <c r="DPA41" s="624"/>
      <c r="DPB41" s="624"/>
      <c r="DPC41" s="624"/>
      <c r="DPD41" s="624"/>
      <c r="DPE41" s="624"/>
      <c r="DPF41" s="624"/>
      <c r="DPG41" s="624"/>
      <c r="DPH41" s="624"/>
      <c r="DPI41" s="624"/>
      <c r="DPJ41" s="624"/>
      <c r="DPK41" s="624"/>
      <c r="DPL41" s="624"/>
      <c r="DPM41" s="624"/>
      <c r="DPN41" s="624"/>
      <c r="DPO41" s="624"/>
      <c r="DPP41" s="624"/>
      <c r="DPQ41" s="624"/>
      <c r="DPR41" s="624"/>
      <c r="DPS41" s="624"/>
      <c r="DPT41" s="624"/>
      <c r="DPU41" s="624"/>
      <c r="DPV41" s="624"/>
      <c r="DPW41" s="624"/>
      <c r="DPX41" s="624"/>
      <c r="DPY41" s="624"/>
      <c r="DPZ41" s="624"/>
      <c r="DQA41" s="624"/>
      <c r="DQB41" s="624"/>
      <c r="DQC41" s="624"/>
      <c r="DQD41" s="624"/>
      <c r="DQE41" s="624"/>
      <c r="DQF41" s="624"/>
      <c r="DQG41" s="624"/>
      <c r="DQH41" s="624"/>
      <c r="DQI41" s="624"/>
      <c r="DQJ41" s="624"/>
      <c r="DQK41" s="624"/>
      <c r="DQL41" s="624"/>
      <c r="DQM41" s="624"/>
      <c r="DQN41" s="624"/>
      <c r="DQO41" s="624"/>
      <c r="DQP41" s="624"/>
      <c r="DQQ41" s="624"/>
      <c r="DQR41" s="624"/>
      <c r="DQS41" s="624"/>
      <c r="DQT41" s="624"/>
      <c r="DQU41" s="624"/>
      <c r="DQV41" s="624"/>
      <c r="DQW41" s="624"/>
      <c r="DQX41" s="624"/>
      <c r="DQY41" s="624"/>
      <c r="DQZ41" s="624"/>
      <c r="DRA41" s="624"/>
      <c r="DRB41" s="624"/>
      <c r="DRC41" s="624"/>
      <c r="DRD41" s="624"/>
      <c r="DRE41" s="624"/>
      <c r="DRF41" s="624"/>
      <c r="DRG41" s="624"/>
      <c r="DRH41" s="624"/>
      <c r="DRI41" s="624"/>
      <c r="DRJ41" s="624"/>
      <c r="DRK41" s="624"/>
      <c r="DRL41" s="624"/>
      <c r="DRM41" s="624"/>
      <c r="DRN41" s="624"/>
      <c r="DRO41" s="624"/>
      <c r="DRP41" s="624"/>
      <c r="DRQ41" s="624"/>
      <c r="DRR41" s="624"/>
      <c r="DRS41" s="624"/>
      <c r="DRT41" s="624"/>
      <c r="DRU41" s="624"/>
      <c r="DRV41" s="624"/>
      <c r="DRW41" s="624"/>
      <c r="DRX41" s="624"/>
      <c r="DRY41" s="624"/>
      <c r="DRZ41" s="624"/>
      <c r="DSA41" s="624"/>
      <c r="DSB41" s="624"/>
      <c r="DSC41" s="624"/>
      <c r="DSD41" s="624"/>
      <c r="DSE41" s="624"/>
      <c r="DSF41" s="624"/>
      <c r="DSG41" s="624"/>
      <c r="DSH41" s="624"/>
      <c r="DSI41" s="624"/>
      <c r="DSJ41" s="624"/>
      <c r="DSK41" s="624"/>
      <c r="DSL41" s="624"/>
      <c r="DSM41" s="624"/>
      <c r="DSN41" s="624"/>
      <c r="DSO41" s="624"/>
      <c r="DSP41" s="624"/>
      <c r="DSQ41" s="624"/>
      <c r="DSR41" s="624"/>
      <c r="DSS41" s="624"/>
      <c r="DST41" s="624"/>
      <c r="DSU41" s="624"/>
      <c r="DSV41" s="624"/>
      <c r="DSW41" s="624"/>
      <c r="DSX41" s="624"/>
      <c r="DSY41" s="624"/>
      <c r="DSZ41" s="624"/>
      <c r="DTA41" s="624"/>
      <c r="DTB41" s="624"/>
      <c r="DTC41" s="624"/>
      <c r="DTD41" s="624"/>
      <c r="DTE41" s="624"/>
      <c r="DTF41" s="624"/>
      <c r="DTG41" s="624"/>
      <c r="DTH41" s="624"/>
      <c r="DTI41" s="624"/>
      <c r="DTJ41" s="624"/>
      <c r="DTK41" s="624"/>
      <c r="DTL41" s="624"/>
      <c r="DTM41" s="624"/>
      <c r="DTN41" s="624"/>
      <c r="DTO41" s="624"/>
      <c r="DTP41" s="624"/>
      <c r="DTQ41" s="624"/>
      <c r="DTR41" s="624"/>
      <c r="DTS41" s="624"/>
      <c r="DTT41" s="624"/>
      <c r="DTU41" s="624"/>
      <c r="DTV41" s="624"/>
      <c r="DTW41" s="624"/>
      <c r="DTX41" s="624"/>
      <c r="DTY41" s="624"/>
      <c r="DTZ41" s="624"/>
      <c r="DUA41" s="624"/>
      <c r="DUB41" s="624"/>
      <c r="DUC41" s="624"/>
      <c r="DUD41" s="624"/>
      <c r="DUE41" s="624"/>
      <c r="DUF41" s="624"/>
      <c r="DUG41" s="624"/>
      <c r="DUH41" s="624"/>
      <c r="DUI41" s="624"/>
      <c r="DUJ41" s="624"/>
      <c r="DUK41" s="624"/>
      <c r="DUL41" s="624"/>
      <c r="DUM41" s="624"/>
      <c r="DUN41" s="624"/>
      <c r="DUO41" s="624"/>
      <c r="DUP41" s="624"/>
      <c r="DUQ41" s="624"/>
      <c r="DUR41" s="624"/>
      <c r="DUS41" s="624"/>
      <c r="DUT41" s="624"/>
      <c r="DUU41" s="624"/>
      <c r="DUV41" s="624"/>
      <c r="DUW41" s="624"/>
      <c r="DUX41" s="624"/>
      <c r="DUY41" s="624"/>
      <c r="DUZ41" s="624"/>
      <c r="DVA41" s="624"/>
      <c r="DVB41" s="624"/>
      <c r="DVC41" s="624"/>
      <c r="DVD41" s="624"/>
      <c r="DVE41" s="624"/>
      <c r="DVF41" s="624"/>
      <c r="DVG41" s="624"/>
      <c r="DVH41" s="624"/>
      <c r="DVI41" s="624"/>
      <c r="DVJ41" s="624"/>
      <c r="DVK41" s="624"/>
      <c r="DVL41" s="624"/>
      <c r="DVM41" s="624"/>
      <c r="DVN41" s="624"/>
      <c r="DVO41" s="624"/>
      <c r="DVP41" s="624"/>
      <c r="DVQ41" s="624"/>
      <c r="DVR41" s="624"/>
      <c r="DVS41" s="624"/>
      <c r="DVT41" s="624"/>
      <c r="DVU41" s="624"/>
      <c r="DVV41" s="624"/>
      <c r="DVW41" s="624"/>
      <c r="DVX41" s="624"/>
      <c r="DVY41" s="624"/>
      <c r="DVZ41" s="624"/>
      <c r="DWA41" s="624"/>
      <c r="DWB41" s="624"/>
      <c r="DWC41" s="624"/>
      <c r="DWD41" s="624"/>
      <c r="DWE41" s="624"/>
      <c r="DWF41" s="624"/>
      <c r="DWG41" s="624"/>
      <c r="DWH41" s="624"/>
      <c r="DWI41" s="624"/>
      <c r="DWJ41" s="624"/>
      <c r="DWK41" s="624"/>
      <c r="DWL41" s="624"/>
      <c r="DWM41" s="624"/>
      <c r="DWN41" s="624"/>
      <c r="DWO41" s="624"/>
      <c r="DWP41" s="624"/>
      <c r="DWQ41" s="624"/>
      <c r="DWR41" s="624"/>
      <c r="DWS41" s="624"/>
      <c r="DWT41" s="624"/>
      <c r="DWU41" s="624"/>
      <c r="DWV41" s="624"/>
      <c r="DWW41" s="624"/>
      <c r="DWX41" s="624"/>
      <c r="DWY41" s="624"/>
      <c r="DWZ41" s="624"/>
      <c r="DXA41" s="624"/>
      <c r="DXB41" s="624"/>
      <c r="DXC41" s="624"/>
      <c r="DXD41" s="624"/>
      <c r="DXE41" s="624"/>
      <c r="DXF41" s="624"/>
      <c r="DXG41" s="624"/>
      <c r="DXH41" s="624"/>
      <c r="DXI41" s="624"/>
      <c r="DXJ41" s="624"/>
      <c r="DXK41" s="624"/>
      <c r="DXL41" s="624"/>
      <c r="DXM41" s="624"/>
      <c r="DXN41" s="624"/>
      <c r="DXO41" s="624"/>
      <c r="DXP41" s="624"/>
      <c r="DXQ41" s="624"/>
      <c r="DXR41" s="624"/>
      <c r="DXS41" s="624"/>
      <c r="DXT41" s="624"/>
      <c r="DXU41" s="624"/>
      <c r="DXV41" s="624"/>
      <c r="DXW41" s="624"/>
      <c r="DXX41" s="624"/>
      <c r="DXY41" s="624"/>
      <c r="DXZ41" s="624"/>
      <c r="DYA41" s="624"/>
      <c r="DYB41" s="624"/>
      <c r="DYC41" s="624"/>
      <c r="DYD41" s="624"/>
      <c r="DYE41" s="624"/>
      <c r="DYF41" s="624"/>
      <c r="DYG41" s="624"/>
      <c r="DYH41" s="624"/>
      <c r="DYI41" s="624"/>
      <c r="DYJ41" s="624"/>
      <c r="DYK41" s="624"/>
      <c r="DYL41" s="624"/>
      <c r="DYM41" s="624"/>
      <c r="DYN41" s="624"/>
      <c r="DYO41" s="624"/>
      <c r="DYP41" s="624"/>
      <c r="DYQ41" s="624"/>
      <c r="DYR41" s="624"/>
      <c r="DYS41" s="624"/>
      <c r="DYT41" s="624"/>
      <c r="DYU41" s="624"/>
      <c r="DYV41" s="624"/>
      <c r="DYW41" s="624"/>
      <c r="DYX41" s="624"/>
      <c r="DYY41" s="624"/>
      <c r="DYZ41" s="624"/>
      <c r="DZA41" s="624"/>
      <c r="DZB41" s="624"/>
      <c r="DZC41" s="624"/>
      <c r="DZD41" s="624"/>
      <c r="DZE41" s="624"/>
      <c r="DZF41" s="624"/>
      <c r="DZG41" s="624"/>
      <c r="DZH41" s="624"/>
      <c r="DZI41" s="624"/>
      <c r="DZJ41" s="624"/>
      <c r="DZK41" s="624"/>
      <c r="DZL41" s="624"/>
      <c r="DZM41" s="624"/>
      <c r="DZN41" s="624"/>
      <c r="DZO41" s="624"/>
      <c r="DZP41" s="624"/>
      <c r="DZQ41" s="624"/>
      <c r="DZR41" s="624"/>
      <c r="DZS41" s="624"/>
      <c r="DZT41" s="624"/>
      <c r="DZU41" s="624"/>
      <c r="DZV41" s="624"/>
      <c r="DZW41" s="624"/>
      <c r="DZX41" s="624"/>
      <c r="DZY41" s="624"/>
      <c r="DZZ41" s="624"/>
      <c r="EAA41" s="624"/>
      <c r="EAB41" s="624"/>
      <c r="EAC41" s="624"/>
      <c r="EAD41" s="624"/>
      <c r="EAE41" s="624"/>
      <c r="EAF41" s="624"/>
      <c r="EAG41" s="624"/>
      <c r="EAH41" s="624"/>
      <c r="EAI41" s="624"/>
      <c r="EAJ41" s="624"/>
      <c r="EAK41" s="624"/>
      <c r="EAL41" s="624"/>
      <c r="EAM41" s="624"/>
      <c r="EAN41" s="624"/>
      <c r="EAO41" s="624"/>
      <c r="EAP41" s="624"/>
      <c r="EAQ41" s="624"/>
      <c r="EAR41" s="624"/>
      <c r="EAS41" s="624"/>
      <c r="EAT41" s="624"/>
      <c r="EAU41" s="624"/>
      <c r="EAV41" s="624"/>
      <c r="EAW41" s="624"/>
      <c r="EAX41" s="624"/>
      <c r="EAY41" s="624"/>
      <c r="EAZ41" s="624"/>
      <c r="EBA41" s="624"/>
      <c r="EBB41" s="624"/>
      <c r="EBC41" s="624"/>
      <c r="EBD41" s="624"/>
      <c r="EBE41" s="624"/>
      <c r="EBF41" s="624"/>
      <c r="EBG41" s="624"/>
      <c r="EBH41" s="624"/>
      <c r="EBI41" s="624"/>
      <c r="EBJ41" s="624"/>
      <c r="EBK41" s="624"/>
      <c r="EBL41" s="624"/>
      <c r="EBM41" s="624"/>
      <c r="EBN41" s="624"/>
      <c r="EBO41" s="624"/>
      <c r="EBP41" s="624"/>
      <c r="EBQ41" s="624"/>
      <c r="EBR41" s="624"/>
      <c r="EBS41" s="624"/>
      <c r="EBT41" s="624"/>
      <c r="EBU41" s="624"/>
      <c r="EBV41" s="624"/>
      <c r="EBW41" s="624"/>
      <c r="EBX41" s="624"/>
      <c r="EBY41" s="624"/>
      <c r="EBZ41" s="624"/>
      <c r="ECA41" s="624"/>
      <c r="ECB41" s="624"/>
      <c r="ECC41" s="624"/>
      <c r="ECD41" s="624"/>
      <c r="ECE41" s="624"/>
      <c r="ECF41" s="624"/>
      <c r="ECG41" s="624"/>
      <c r="ECH41" s="624"/>
      <c r="ECI41" s="624"/>
      <c r="ECJ41" s="624"/>
      <c r="ECK41" s="624"/>
      <c r="ECL41" s="624"/>
      <c r="ECM41" s="624"/>
      <c r="ECN41" s="624"/>
      <c r="ECO41" s="624"/>
      <c r="ECP41" s="624"/>
      <c r="ECQ41" s="624"/>
      <c r="ECR41" s="624"/>
      <c r="ECS41" s="624"/>
      <c r="ECT41" s="624"/>
      <c r="ECU41" s="624"/>
      <c r="ECV41" s="624"/>
      <c r="ECW41" s="624"/>
      <c r="ECX41" s="624"/>
      <c r="ECY41" s="624"/>
      <c r="ECZ41" s="624"/>
      <c r="EDA41" s="624"/>
      <c r="EDB41" s="624"/>
      <c r="EDC41" s="624"/>
      <c r="EDD41" s="624"/>
      <c r="EDE41" s="624"/>
      <c r="EDF41" s="624"/>
      <c r="EDG41" s="624"/>
      <c r="EDH41" s="624"/>
      <c r="EDI41" s="624"/>
      <c r="EDJ41" s="624"/>
      <c r="EDK41" s="624"/>
      <c r="EDL41" s="624"/>
      <c r="EDM41" s="624"/>
      <c r="EDN41" s="624"/>
      <c r="EDO41" s="624"/>
      <c r="EDP41" s="624"/>
      <c r="EDQ41" s="624"/>
      <c r="EDR41" s="624"/>
      <c r="EDS41" s="624"/>
      <c r="EDT41" s="624"/>
      <c r="EDU41" s="624"/>
      <c r="EDV41" s="624"/>
      <c r="EDW41" s="624"/>
      <c r="EDX41" s="624"/>
      <c r="EDY41" s="624"/>
      <c r="EDZ41" s="624"/>
      <c r="EEA41" s="624"/>
      <c r="EEB41" s="624"/>
      <c r="EEC41" s="624"/>
      <c r="EED41" s="624"/>
      <c r="EEE41" s="624"/>
      <c r="EEF41" s="624"/>
      <c r="EEG41" s="624"/>
      <c r="EEH41" s="624"/>
      <c r="EEI41" s="624"/>
      <c r="EEJ41" s="624"/>
      <c r="EEK41" s="624"/>
      <c r="EEL41" s="624"/>
      <c r="EEM41" s="624"/>
      <c r="EEN41" s="624"/>
      <c r="EEO41" s="624"/>
      <c r="EEP41" s="624"/>
      <c r="EEQ41" s="624"/>
      <c r="EER41" s="624"/>
      <c r="EES41" s="624"/>
      <c r="EET41" s="624"/>
      <c r="EEU41" s="624"/>
      <c r="EEV41" s="624"/>
      <c r="EEW41" s="624"/>
      <c r="EEX41" s="624"/>
      <c r="EEY41" s="624"/>
      <c r="EEZ41" s="624"/>
      <c r="EFA41" s="624"/>
      <c r="EFB41" s="624"/>
      <c r="EFC41" s="624"/>
      <c r="EFD41" s="624"/>
      <c r="EFE41" s="624"/>
      <c r="EFF41" s="624"/>
      <c r="EFG41" s="624"/>
      <c r="EFH41" s="624"/>
      <c r="EFI41" s="624"/>
      <c r="EFJ41" s="624"/>
      <c r="EFK41" s="624"/>
      <c r="EFL41" s="624"/>
      <c r="EFM41" s="624"/>
      <c r="EFN41" s="624"/>
      <c r="EFO41" s="624"/>
      <c r="EFP41" s="624"/>
      <c r="EFQ41" s="624"/>
      <c r="EFR41" s="624"/>
      <c r="EFS41" s="624"/>
      <c r="EFT41" s="624"/>
      <c r="EFU41" s="624"/>
      <c r="EFV41" s="624"/>
      <c r="EFW41" s="624"/>
      <c r="EFX41" s="624"/>
      <c r="EFY41" s="624"/>
      <c r="EFZ41" s="624"/>
      <c r="EGA41" s="624"/>
      <c r="EGB41" s="624"/>
      <c r="EGC41" s="624"/>
      <c r="EGD41" s="624"/>
      <c r="EGE41" s="624"/>
      <c r="EGF41" s="624"/>
      <c r="EGG41" s="624"/>
      <c r="EGH41" s="624"/>
      <c r="EGI41" s="624"/>
      <c r="EGJ41" s="624"/>
      <c r="EGK41" s="624"/>
      <c r="EGL41" s="624"/>
      <c r="EGM41" s="624"/>
      <c r="EGN41" s="624"/>
      <c r="EGO41" s="624"/>
      <c r="EGP41" s="624"/>
      <c r="EGQ41" s="624"/>
      <c r="EGR41" s="624"/>
      <c r="EGS41" s="624"/>
      <c r="EGT41" s="624"/>
      <c r="EGU41" s="624"/>
      <c r="EGV41" s="624"/>
      <c r="EGW41" s="624"/>
      <c r="EGX41" s="624"/>
      <c r="EGY41" s="624"/>
      <c r="EGZ41" s="624"/>
      <c r="EHA41" s="624"/>
      <c r="EHB41" s="624"/>
      <c r="EHC41" s="624"/>
      <c r="EHD41" s="624"/>
      <c r="EHE41" s="624"/>
      <c r="EHF41" s="624"/>
      <c r="EHG41" s="624"/>
      <c r="EHH41" s="624"/>
      <c r="EHI41" s="624"/>
      <c r="EHJ41" s="624"/>
      <c r="EHK41" s="624"/>
      <c r="EHL41" s="624"/>
      <c r="EHM41" s="624"/>
      <c r="EHN41" s="624"/>
      <c r="EHO41" s="624"/>
      <c r="EHP41" s="624"/>
      <c r="EHQ41" s="624"/>
      <c r="EHR41" s="624"/>
      <c r="EHS41" s="624"/>
      <c r="EHT41" s="624"/>
      <c r="EHU41" s="624"/>
      <c r="EHV41" s="624"/>
      <c r="EHW41" s="624"/>
      <c r="EHX41" s="624"/>
      <c r="EHY41" s="624"/>
      <c r="EHZ41" s="624"/>
      <c r="EIA41" s="624"/>
      <c r="EIB41" s="624"/>
      <c r="EIC41" s="624"/>
      <c r="EID41" s="624"/>
      <c r="EIE41" s="624"/>
      <c r="EIF41" s="624"/>
      <c r="EIG41" s="624"/>
      <c r="EIH41" s="624"/>
      <c r="EII41" s="624"/>
      <c r="EIJ41" s="624"/>
      <c r="EIK41" s="624"/>
      <c r="EIL41" s="624"/>
      <c r="EIM41" s="624"/>
      <c r="EIN41" s="624"/>
      <c r="EIO41" s="624"/>
      <c r="EIP41" s="624"/>
      <c r="EIQ41" s="624"/>
      <c r="EIR41" s="624"/>
      <c r="EIS41" s="624"/>
      <c r="EIT41" s="624"/>
      <c r="EIU41" s="624"/>
      <c r="EIV41" s="624"/>
      <c r="EIW41" s="624"/>
      <c r="EIX41" s="624"/>
      <c r="EIY41" s="624"/>
      <c r="EIZ41" s="624"/>
      <c r="EJA41" s="624"/>
      <c r="EJB41" s="624"/>
      <c r="EJC41" s="624"/>
      <c r="EJD41" s="624"/>
      <c r="EJE41" s="624"/>
      <c r="EJF41" s="624"/>
      <c r="EJG41" s="624"/>
      <c r="EJH41" s="624"/>
      <c r="EJI41" s="624"/>
      <c r="EJJ41" s="624"/>
      <c r="EJK41" s="624"/>
      <c r="EJL41" s="624"/>
      <c r="EJM41" s="624"/>
      <c r="EJN41" s="624"/>
      <c r="EJO41" s="624"/>
      <c r="EJP41" s="624"/>
      <c r="EJQ41" s="624"/>
      <c r="EJR41" s="624"/>
      <c r="EJS41" s="624"/>
      <c r="EJT41" s="624"/>
      <c r="EJU41" s="624"/>
      <c r="EJV41" s="624"/>
      <c r="EJW41" s="624"/>
      <c r="EJX41" s="624"/>
      <c r="EJY41" s="624"/>
      <c r="EJZ41" s="624"/>
      <c r="EKA41" s="624"/>
      <c r="EKB41" s="624"/>
      <c r="EKC41" s="624"/>
      <c r="EKD41" s="624"/>
      <c r="EKE41" s="624"/>
      <c r="EKF41" s="624"/>
      <c r="EKG41" s="624"/>
      <c r="EKH41" s="624"/>
      <c r="EKI41" s="624"/>
      <c r="EKJ41" s="624"/>
      <c r="EKK41" s="624"/>
      <c r="EKL41" s="624"/>
      <c r="EKM41" s="624"/>
      <c r="EKN41" s="624"/>
      <c r="EKO41" s="624"/>
      <c r="EKP41" s="624"/>
      <c r="EKQ41" s="624"/>
      <c r="EKR41" s="624"/>
      <c r="EKS41" s="624"/>
      <c r="EKT41" s="624"/>
      <c r="EKU41" s="624"/>
      <c r="EKV41" s="624"/>
      <c r="EKW41" s="624"/>
      <c r="EKX41" s="624"/>
      <c r="EKY41" s="624"/>
      <c r="EKZ41" s="624"/>
      <c r="ELA41" s="624"/>
      <c r="ELB41" s="624"/>
      <c r="ELC41" s="624"/>
      <c r="ELD41" s="624"/>
      <c r="ELE41" s="624"/>
      <c r="ELF41" s="624"/>
      <c r="ELG41" s="624"/>
      <c r="ELH41" s="624"/>
      <c r="ELI41" s="624"/>
      <c r="ELJ41" s="624"/>
      <c r="ELK41" s="624"/>
      <c r="ELL41" s="624"/>
      <c r="ELM41" s="624"/>
      <c r="ELN41" s="624"/>
      <c r="ELO41" s="624"/>
      <c r="ELP41" s="624"/>
      <c r="ELQ41" s="624"/>
      <c r="ELR41" s="624"/>
      <c r="ELS41" s="624"/>
      <c r="ELT41" s="624"/>
      <c r="ELU41" s="624"/>
      <c r="ELV41" s="624"/>
      <c r="ELW41" s="624"/>
      <c r="ELX41" s="624"/>
      <c r="ELY41" s="624"/>
      <c r="ELZ41" s="624"/>
      <c r="EMA41" s="624"/>
      <c r="EMB41" s="624"/>
      <c r="EMC41" s="624"/>
      <c r="EMD41" s="624"/>
      <c r="EME41" s="624"/>
      <c r="EMF41" s="624"/>
      <c r="EMG41" s="624"/>
      <c r="EMH41" s="624"/>
      <c r="EMI41" s="624"/>
      <c r="EMJ41" s="624"/>
      <c r="EMK41" s="624"/>
      <c r="EML41" s="624"/>
      <c r="EMM41" s="624"/>
      <c r="EMN41" s="624"/>
      <c r="EMO41" s="624"/>
      <c r="EMP41" s="624"/>
      <c r="EMQ41" s="624"/>
      <c r="EMR41" s="624"/>
      <c r="EMS41" s="624"/>
      <c r="EMT41" s="624"/>
      <c r="EMU41" s="624"/>
      <c r="EMV41" s="624"/>
      <c r="EMW41" s="624"/>
      <c r="EMX41" s="624"/>
      <c r="EMY41" s="624"/>
      <c r="EMZ41" s="624"/>
      <c r="ENA41" s="624"/>
      <c r="ENB41" s="624"/>
      <c r="ENC41" s="624"/>
      <c r="END41" s="624"/>
      <c r="ENE41" s="624"/>
      <c r="ENF41" s="624"/>
      <c r="ENG41" s="624"/>
      <c r="ENH41" s="624"/>
      <c r="ENI41" s="624"/>
      <c r="ENJ41" s="624"/>
      <c r="ENK41" s="624"/>
      <c r="ENL41" s="624"/>
      <c r="ENM41" s="624"/>
      <c r="ENN41" s="624"/>
      <c r="ENO41" s="624"/>
      <c r="ENP41" s="624"/>
      <c r="ENQ41" s="624"/>
      <c r="ENR41" s="624"/>
      <c r="ENS41" s="624"/>
      <c r="ENT41" s="624"/>
      <c r="ENU41" s="624"/>
      <c r="ENV41" s="624"/>
      <c r="ENW41" s="624"/>
      <c r="ENX41" s="624"/>
      <c r="ENY41" s="624"/>
      <c r="ENZ41" s="624"/>
      <c r="EOA41" s="624"/>
      <c r="EOB41" s="624"/>
      <c r="EOC41" s="624"/>
      <c r="EOD41" s="624"/>
      <c r="EOE41" s="624"/>
      <c r="EOF41" s="624"/>
      <c r="EOG41" s="624"/>
      <c r="EOH41" s="624"/>
      <c r="EOI41" s="624"/>
      <c r="EOJ41" s="624"/>
      <c r="EOK41" s="624"/>
      <c r="EOL41" s="624"/>
      <c r="EOM41" s="624"/>
      <c r="EON41" s="624"/>
      <c r="EOO41" s="624"/>
      <c r="EOP41" s="624"/>
      <c r="EOQ41" s="624"/>
      <c r="EOR41" s="624"/>
      <c r="EOS41" s="624"/>
      <c r="EOT41" s="624"/>
      <c r="EOU41" s="624"/>
      <c r="EOV41" s="624"/>
      <c r="EOW41" s="624"/>
      <c r="EOX41" s="624"/>
      <c r="EOY41" s="624"/>
      <c r="EOZ41" s="624"/>
      <c r="EPA41" s="624"/>
      <c r="EPB41" s="624"/>
      <c r="EPC41" s="624"/>
      <c r="EPD41" s="624"/>
      <c r="EPE41" s="624"/>
      <c r="EPF41" s="624"/>
      <c r="EPG41" s="624"/>
      <c r="EPH41" s="624"/>
      <c r="EPI41" s="624"/>
      <c r="EPJ41" s="624"/>
      <c r="EPK41" s="624"/>
      <c r="EPL41" s="624"/>
      <c r="EPM41" s="624"/>
      <c r="EPN41" s="624"/>
      <c r="EPO41" s="624"/>
      <c r="EPP41" s="624"/>
      <c r="EPQ41" s="624"/>
      <c r="EPR41" s="624"/>
      <c r="EPS41" s="624"/>
      <c r="EPT41" s="624"/>
      <c r="EPU41" s="624"/>
      <c r="EPV41" s="624"/>
      <c r="EPW41" s="624"/>
      <c r="EPX41" s="624"/>
      <c r="EPY41" s="624"/>
      <c r="EPZ41" s="624"/>
      <c r="EQA41" s="624"/>
      <c r="EQB41" s="624"/>
      <c r="EQC41" s="624"/>
      <c r="EQD41" s="624"/>
      <c r="EQE41" s="624"/>
      <c r="EQF41" s="624"/>
      <c r="EQG41" s="624"/>
      <c r="EQH41" s="624"/>
      <c r="EQI41" s="624"/>
      <c r="EQJ41" s="624"/>
      <c r="EQK41" s="624"/>
      <c r="EQL41" s="624"/>
      <c r="EQM41" s="624"/>
      <c r="EQN41" s="624"/>
      <c r="EQO41" s="624"/>
      <c r="EQP41" s="624"/>
      <c r="EQQ41" s="624"/>
      <c r="EQR41" s="624"/>
      <c r="EQS41" s="624"/>
      <c r="EQT41" s="624"/>
      <c r="EQU41" s="624"/>
      <c r="EQV41" s="624"/>
      <c r="EQW41" s="624"/>
      <c r="EQX41" s="624"/>
      <c r="EQY41" s="624"/>
      <c r="EQZ41" s="624"/>
      <c r="ERA41" s="624"/>
      <c r="ERB41" s="624"/>
      <c r="ERC41" s="624"/>
      <c r="ERD41" s="624"/>
      <c r="ERE41" s="624"/>
      <c r="ERF41" s="624"/>
      <c r="ERG41" s="624"/>
      <c r="ERH41" s="624"/>
      <c r="ERI41" s="624"/>
      <c r="ERJ41" s="624"/>
      <c r="ERK41" s="624"/>
      <c r="ERL41" s="624"/>
      <c r="ERM41" s="624"/>
      <c r="ERN41" s="624"/>
      <c r="ERO41" s="624"/>
      <c r="ERP41" s="624"/>
      <c r="ERQ41" s="624"/>
      <c r="ERR41" s="624"/>
      <c r="ERS41" s="624"/>
      <c r="ERT41" s="624"/>
      <c r="ERU41" s="624"/>
      <c r="ERV41" s="624"/>
      <c r="ERW41" s="624"/>
      <c r="ERX41" s="624"/>
      <c r="ERY41" s="624"/>
      <c r="ERZ41" s="624"/>
      <c r="ESA41" s="624"/>
      <c r="ESB41" s="624"/>
      <c r="ESC41" s="624"/>
      <c r="ESD41" s="624"/>
      <c r="ESE41" s="624"/>
      <c r="ESF41" s="624"/>
      <c r="ESG41" s="624"/>
      <c r="ESH41" s="624"/>
      <c r="ESI41" s="624"/>
      <c r="ESJ41" s="624"/>
      <c r="ESK41" s="624"/>
      <c r="ESL41" s="624"/>
      <c r="ESM41" s="624"/>
      <c r="ESN41" s="624"/>
      <c r="ESO41" s="624"/>
      <c r="ESP41" s="624"/>
      <c r="ESQ41" s="624"/>
      <c r="ESR41" s="624"/>
      <c r="ESS41" s="624"/>
      <c r="EST41" s="624"/>
      <c r="ESU41" s="624"/>
      <c r="ESV41" s="624"/>
      <c r="ESW41" s="624"/>
      <c r="ESX41" s="624"/>
      <c r="ESY41" s="624"/>
      <c r="ESZ41" s="624"/>
      <c r="ETA41" s="624"/>
      <c r="ETB41" s="624"/>
      <c r="ETC41" s="624"/>
      <c r="ETD41" s="624"/>
      <c r="ETE41" s="624"/>
      <c r="ETF41" s="624"/>
      <c r="ETG41" s="624"/>
      <c r="ETH41" s="624"/>
      <c r="ETI41" s="624"/>
      <c r="ETJ41" s="624"/>
      <c r="ETK41" s="624"/>
      <c r="ETL41" s="624"/>
      <c r="ETM41" s="624"/>
      <c r="ETN41" s="624"/>
      <c r="ETO41" s="624"/>
      <c r="ETP41" s="624"/>
      <c r="ETQ41" s="624"/>
      <c r="ETR41" s="624"/>
      <c r="ETS41" s="624"/>
      <c r="ETT41" s="624"/>
      <c r="ETU41" s="624"/>
      <c r="ETV41" s="624"/>
      <c r="ETW41" s="624"/>
      <c r="ETX41" s="624"/>
      <c r="ETY41" s="624"/>
      <c r="ETZ41" s="624"/>
      <c r="EUA41" s="624"/>
      <c r="EUB41" s="624"/>
      <c r="EUC41" s="624"/>
      <c r="EUD41" s="624"/>
      <c r="EUE41" s="624"/>
      <c r="EUF41" s="624"/>
      <c r="EUG41" s="624"/>
      <c r="EUH41" s="624"/>
      <c r="EUI41" s="624"/>
      <c r="EUJ41" s="624"/>
      <c r="EUK41" s="624"/>
      <c r="EUL41" s="624"/>
      <c r="EUM41" s="624"/>
      <c r="EUN41" s="624"/>
      <c r="EUO41" s="624"/>
      <c r="EUP41" s="624"/>
      <c r="EUQ41" s="624"/>
      <c r="EUR41" s="624"/>
      <c r="EUS41" s="624"/>
      <c r="EUT41" s="624"/>
      <c r="EUU41" s="624"/>
      <c r="EUV41" s="624"/>
      <c r="EUW41" s="624"/>
      <c r="EUX41" s="624"/>
      <c r="EUY41" s="624"/>
      <c r="EUZ41" s="624"/>
      <c r="EVA41" s="624"/>
      <c r="EVB41" s="624"/>
      <c r="EVC41" s="624"/>
      <c r="EVD41" s="624"/>
      <c r="EVE41" s="624"/>
      <c r="EVF41" s="624"/>
      <c r="EVG41" s="624"/>
      <c r="EVH41" s="624"/>
      <c r="EVI41" s="624"/>
      <c r="EVJ41" s="624"/>
      <c r="EVK41" s="624"/>
      <c r="EVL41" s="624"/>
      <c r="EVM41" s="624"/>
      <c r="EVN41" s="624"/>
      <c r="EVO41" s="624"/>
      <c r="EVP41" s="624"/>
      <c r="EVQ41" s="624"/>
      <c r="EVR41" s="624"/>
      <c r="EVS41" s="624"/>
      <c r="EVT41" s="624"/>
      <c r="EVU41" s="624"/>
      <c r="EVV41" s="624"/>
      <c r="EVW41" s="624"/>
      <c r="EVX41" s="624"/>
      <c r="EVY41" s="624"/>
      <c r="EVZ41" s="624"/>
      <c r="EWA41" s="624"/>
      <c r="EWB41" s="624"/>
      <c r="EWC41" s="624"/>
      <c r="EWD41" s="624"/>
      <c r="EWE41" s="624"/>
      <c r="EWF41" s="624"/>
      <c r="EWG41" s="624"/>
      <c r="EWH41" s="624"/>
      <c r="EWI41" s="624"/>
      <c r="EWJ41" s="624"/>
      <c r="EWK41" s="624"/>
      <c r="EWL41" s="624"/>
      <c r="EWM41" s="624"/>
      <c r="EWN41" s="624"/>
      <c r="EWO41" s="624"/>
      <c r="EWP41" s="624"/>
      <c r="EWQ41" s="624"/>
      <c r="EWR41" s="624"/>
      <c r="EWS41" s="624"/>
      <c r="EWT41" s="624"/>
      <c r="EWU41" s="624"/>
      <c r="EWV41" s="624"/>
      <c r="EWW41" s="624"/>
      <c r="EWX41" s="624"/>
      <c r="EWY41" s="624"/>
      <c r="EWZ41" s="624"/>
      <c r="EXA41" s="624"/>
      <c r="EXB41" s="624"/>
      <c r="EXC41" s="624"/>
      <c r="EXD41" s="624"/>
      <c r="EXE41" s="624"/>
      <c r="EXF41" s="624"/>
      <c r="EXG41" s="624"/>
      <c r="EXH41" s="624"/>
      <c r="EXI41" s="624"/>
      <c r="EXJ41" s="624"/>
      <c r="EXK41" s="624"/>
      <c r="EXL41" s="624"/>
      <c r="EXM41" s="624"/>
      <c r="EXN41" s="624"/>
      <c r="EXO41" s="624"/>
      <c r="EXP41" s="624"/>
      <c r="EXQ41" s="624"/>
      <c r="EXR41" s="624"/>
      <c r="EXS41" s="624"/>
      <c r="EXT41" s="624"/>
      <c r="EXU41" s="624"/>
      <c r="EXV41" s="624"/>
      <c r="EXW41" s="624"/>
      <c r="EXX41" s="624"/>
      <c r="EXY41" s="624"/>
      <c r="EXZ41" s="624"/>
      <c r="EYA41" s="624"/>
      <c r="EYB41" s="624"/>
      <c r="EYC41" s="624"/>
      <c r="EYD41" s="624"/>
      <c r="EYE41" s="624"/>
      <c r="EYF41" s="624"/>
      <c r="EYG41" s="624"/>
      <c r="EYH41" s="624"/>
      <c r="EYI41" s="624"/>
      <c r="EYJ41" s="624"/>
      <c r="EYK41" s="624"/>
      <c r="EYL41" s="624"/>
      <c r="EYM41" s="624"/>
      <c r="EYN41" s="624"/>
      <c r="EYO41" s="624"/>
      <c r="EYP41" s="624"/>
      <c r="EYQ41" s="624"/>
      <c r="EYR41" s="624"/>
      <c r="EYS41" s="624"/>
      <c r="EYT41" s="624"/>
      <c r="EYU41" s="624"/>
      <c r="EYV41" s="624"/>
      <c r="EYW41" s="624"/>
      <c r="EYX41" s="624"/>
      <c r="EYY41" s="624"/>
      <c r="EYZ41" s="624"/>
      <c r="EZA41" s="624"/>
      <c r="EZB41" s="624"/>
      <c r="EZC41" s="624"/>
      <c r="EZD41" s="624"/>
      <c r="EZE41" s="624"/>
      <c r="EZF41" s="624"/>
      <c r="EZG41" s="624"/>
      <c r="EZH41" s="624"/>
      <c r="EZI41" s="624"/>
      <c r="EZJ41" s="624"/>
      <c r="EZK41" s="624"/>
      <c r="EZL41" s="624"/>
      <c r="EZM41" s="624"/>
      <c r="EZN41" s="624"/>
      <c r="EZO41" s="624"/>
      <c r="EZP41" s="624"/>
      <c r="EZQ41" s="624"/>
      <c r="EZR41" s="624"/>
      <c r="EZS41" s="624"/>
      <c r="EZT41" s="624"/>
      <c r="EZU41" s="624"/>
      <c r="EZV41" s="624"/>
      <c r="EZW41" s="624"/>
      <c r="EZX41" s="624"/>
      <c r="EZY41" s="624"/>
      <c r="EZZ41" s="624"/>
      <c r="FAA41" s="624"/>
      <c r="FAB41" s="624"/>
      <c r="FAC41" s="624"/>
      <c r="FAD41" s="624"/>
      <c r="FAE41" s="624"/>
      <c r="FAF41" s="624"/>
      <c r="FAG41" s="624"/>
      <c r="FAH41" s="624"/>
      <c r="FAI41" s="624"/>
      <c r="FAJ41" s="624"/>
      <c r="FAK41" s="624"/>
      <c r="FAL41" s="624"/>
      <c r="FAM41" s="624"/>
      <c r="FAN41" s="624"/>
      <c r="FAO41" s="624"/>
      <c r="FAP41" s="624"/>
      <c r="FAQ41" s="624"/>
      <c r="FAR41" s="624"/>
      <c r="FAS41" s="624"/>
      <c r="FAT41" s="624"/>
      <c r="FAU41" s="624"/>
      <c r="FAV41" s="624"/>
      <c r="FAW41" s="624"/>
      <c r="FAX41" s="624"/>
      <c r="FAY41" s="624"/>
      <c r="FAZ41" s="624"/>
      <c r="FBA41" s="624"/>
      <c r="FBB41" s="624"/>
      <c r="FBC41" s="624"/>
      <c r="FBD41" s="624"/>
      <c r="FBE41" s="624"/>
      <c r="FBF41" s="624"/>
      <c r="FBG41" s="624"/>
      <c r="FBH41" s="624"/>
      <c r="FBI41" s="624"/>
      <c r="FBJ41" s="624"/>
      <c r="FBK41" s="624"/>
      <c r="FBL41" s="624"/>
      <c r="FBM41" s="624"/>
      <c r="FBN41" s="624"/>
      <c r="FBO41" s="624"/>
      <c r="FBP41" s="624"/>
      <c r="FBQ41" s="624"/>
      <c r="FBR41" s="624"/>
      <c r="FBS41" s="624"/>
      <c r="FBT41" s="624"/>
      <c r="FBU41" s="624"/>
      <c r="FBV41" s="624"/>
      <c r="FBW41" s="624"/>
      <c r="FBX41" s="624"/>
      <c r="FBY41" s="624"/>
      <c r="FBZ41" s="624"/>
      <c r="FCA41" s="624"/>
      <c r="FCB41" s="624"/>
      <c r="FCC41" s="624"/>
      <c r="FCD41" s="624"/>
      <c r="FCE41" s="624"/>
      <c r="FCF41" s="624"/>
      <c r="FCG41" s="624"/>
      <c r="FCH41" s="624"/>
      <c r="FCI41" s="624"/>
      <c r="FCJ41" s="624"/>
      <c r="FCK41" s="624"/>
      <c r="FCL41" s="624"/>
      <c r="FCM41" s="624"/>
      <c r="FCN41" s="624"/>
      <c r="FCO41" s="624"/>
      <c r="FCP41" s="624"/>
      <c r="FCQ41" s="624"/>
      <c r="FCR41" s="624"/>
      <c r="FCS41" s="624"/>
      <c r="FCT41" s="624"/>
      <c r="FCU41" s="624"/>
      <c r="FCV41" s="624"/>
      <c r="FCW41" s="624"/>
      <c r="FCX41" s="624"/>
      <c r="FCY41" s="624"/>
      <c r="FCZ41" s="624"/>
      <c r="FDA41" s="624"/>
      <c r="FDB41" s="624"/>
      <c r="FDC41" s="624"/>
      <c r="FDD41" s="624"/>
      <c r="FDE41" s="624"/>
      <c r="FDF41" s="624"/>
      <c r="FDG41" s="624"/>
      <c r="FDH41" s="624"/>
      <c r="FDI41" s="624"/>
      <c r="FDJ41" s="624"/>
      <c r="FDK41" s="624"/>
      <c r="FDL41" s="624"/>
      <c r="FDM41" s="624"/>
      <c r="FDN41" s="624"/>
      <c r="FDO41" s="624"/>
      <c r="FDP41" s="624"/>
      <c r="FDQ41" s="624"/>
      <c r="FDR41" s="624"/>
      <c r="FDS41" s="624"/>
      <c r="FDT41" s="624"/>
      <c r="FDU41" s="624"/>
      <c r="FDV41" s="624"/>
      <c r="FDW41" s="624"/>
      <c r="FDX41" s="624"/>
      <c r="FDY41" s="624"/>
      <c r="FDZ41" s="624"/>
      <c r="FEA41" s="624"/>
      <c r="FEB41" s="624"/>
      <c r="FEC41" s="624"/>
      <c r="FED41" s="624"/>
      <c r="FEE41" s="624"/>
      <c r="FEF41" s="624"/>
      <c r="FEG41" s="624"/>
      <c r="FEH41" s="624"/>
      <c r="FEI41" s="624"/>
      <c r="FEJ41" s="624"/>
      <c r="FEK41" s="624"/>
      <c r="FEL41" s="624"/>
      <c r="FEM41" s="624"/>
      <c r="FEN41" s="624"/>
      <c r="FEO41" s="624"/>
      <c r="FEP41" s="624"/>
      <c r="FEQ41" s="624"/>
      <c r="FER41" s="624"/>
      <c r="FES41" s="624"/>
      <c r="FET41" s="624"/>
      <c r="FEU41" s="624"/>
      <c r="FEV41" s="624"/>
      <c r="FEW41" s="624"/>
      <c r="FEX41" s="624"/>
      <c r="FEY41" s="624"/>
      <c r="FEZ41" s="624"/>
      <c r="FFA41" s="624"/>
      <c r="FFB41" s="624"/>
      <c r="FFC41" s="624"/>
      <c r="FFD41" s="624"/>
      <c r="FFE41" s="624"/>
      <c r="FFF41" s="624"/>
      <c r="FFG41" s="624"/>
      <c r="FFH41" s="624"/>
      <c r="FFI41" s="624"/>
      <c r="FFJ41" s="624"/>
      <c r="FFK41" s="624"/>
      <c r="FFL41" s="624"/>
      <c r="FFM41" s="624"/>
      <c r="FFN41" s="624"/>
      <c r="FFO41" s="624"/>
      <c r="FFP41" s="624"/>
      <c r="FFQ41" s="624"/>
      <c r="FFR41" s="624"/>
      <c r="FFS41" s="624"/>
      <c r="FFT41" s="624"/>
      <c r="FFU41" s="624"/>
      <c r="FFV41" s="624"/>
      <c r="FFW41" s="624"/>
      <c r="FFX41" s="624"/>
      <c r="FFY41" s="624"/>
      <c r="FFZ41" s="624"/>
      <c r="FGA41" s="624"/>
      <c r="FGB41" s="624"/>
      <c r="FGC41" s="624"/>
      <c r="FGD41" s="624"/>
      <c r="FGE41" s="624"/>
      <c r="FGF41" s="624"/>
      <c r="FGG41" s="624"/>
      <c r="FGH41" s="624"/>
      <c r="FGI41" s="624"/>
      <c r="FGJ41" s="624"/>
      <c r="FGK41" s="624"/>
      <c r="FGL41" s="624"/>
      <c r="FGM41" s="624"/>
      <c r="FGN41" s="624"/>
      <c r="FGO41" s="624"/>
      <c r="FGP41" s="624"/>
      <c r="FGQ41" s="624"/>
      <c r="FGR41" s="624"/>
      <c r="FGS41" s="624"/>
      <c r="FGT41" s="624"/>
      <c r="FGU41" s="624"/>
      <c r="FGV41" s="624"/>
      <c r="FGW41" s="624"/>
      <c r="FGX41" s="624"/>
      <c r="FGY41" s="624"/>
      <c r="FGZ41" s="624"/>
      <c r="FHA41" s="624"/>
      <c r="FHB41" s="624"/>
      <c r="FHC41" s="624"/>
      <c r="FHD41" s="624"/>
      <c r="FHE41" s="624"/>
      <c r="FHF41" s="624"/>
      <c r="FHG41" s="624"/>
      <c r="FHH41" s="624"/>
      <c r="FHI41" s="624"/>
      <c r="FHJ41" s="624"/>
      <c r="FHK41" s="624"/>
      <c r="FHL41" s="624"/>
      <c r="FHM41" s="624"/>
      <c r="FHN41" s="624"/>
      <c r="FHO41" s="624"/>
      <c r="FHP41" s="624"/>
      <c r="FHQ41" s="624"/>
      <c r="FHR41" s="624"/>
      <c r="FHS41" s="624"/>
      <c r="FHT41" s="624"/>
      <c r="FHU41" s="624"/>
      <c r="FHV41" s="624"/>
      <c r="FHW41" s="624"/>
      <c r="FHX41" s="624"/>
      <c r="FHY41" s="624"/>
      <c r="FHZ41" s="624"/>
      <c r="FIA41" s="624"/>
      <c r="FIB41" s="624"/>
      <c r="FIC41" s="624"/>
      <c r="FID41" s="624"/>
      <c r="FIE41" s="624"/>
      <c r="FIF41" s="624"/>
      <c r="FIG41" s="624"/>
      <c r="FIH41" s="624"/>
      <c r="FII41" s="624"/>
      <c r="FIJ41" s="624"/>
      <c r="FIK41" s="624"/>
      <c r="FIL41" s="624"/>
      <c r="FIM41" s="624"/>
      <c r="FIN41" s="624"/>
      <c r="FIO41" s="624"/>
      <c r="FIP41" s="624"/>
      <c r="FIQ41" s="624"/>
      <c r="FIR41" s="624"/>
      <c r="FIS41" s="624"/>
      <c r="FIT41" s="624"/>
      <c r="FIU41" s="624"/>
      <c r="FIV41" s="624"/>
      <c r="FIW41" s="624"/>
      <c r="FIX41" s="624"/>
      <c r="FIY41" s="624"/>
      <c r="FIZ41" s="624"/>
      <c r="FJA41" s="624"/>
      <c r="FJB41" s="624"/>
      <c r="FJC41" s="624"/>
      <c r="FJD41" s="624"/>
      <c r="FJE41" s="624"/>
      <c r="FJF41" s="624"/>
      <c r="FJG41" s="624"/>
      <c r="FJH41" s="624"/>
      <c r="FJI41" s="624"/>
      <c r="FJJ41" s="624"/>
      <c r="FJK41" s="624"/>
      <c r="FJL41" s="624"/>
      <c r="FJM41" s="624"/>
      <c r="FJN41" s="624"/>
      <c r="FJO41" s="624"/>
      <c r="FJP41" s="624"/>
      <c r="FJQ41" s="624"/>
      <c r="FJR41" s="624"/>
      <c r="FJS41" s="624"/>
      <c r="FJT41" s="624"/>
      <c r="FJU41" s="624"/>
      <c r="FJV41" s="624"/>
      <c r="FJW41" s="624"/>
      <c r="FJX41" s="624"/>
      <c r="FJY41" s="624"/>
      <c r="FJZ41" s="624"/>
      <c r="FKA41" s="624"/>
      <c r="FKB41" s="624"/>
      <c r="FKC41" s="624"/>
      <c r="FKD41" s="624"/>
      <c r="FKE41" s="624"/>
      <c r="FKF41" s="624"/>
      <c r="FKG41" s="624"/>
      <c r="FKH41" s="624"/>
      <c r="FKI41" s="624"/>
      <c r="FKJ41" s="624"/>
      <c r="FKK41" s="624"/>
      <c r="FKL41" s="624"/>
      <c r="FKM41" s="624"/>
      <c r="FKN41" s="624"/>
      <c r="FKO41" s="624"/>
      <c r="FKP41" s="624"/>
      <c r="FKQ41" s="624"/>
      <c r="FKR41" s="624"/>
      <c r="FKS41" s="624"/>
      <c r="FKT41" s="624"/>
      <c r="FKU41" s="624"/>
      <c r="FKV41" s="624"/>
      <c r="FKW41" s="624"/>
      <c r="FKX41" s="624"/>
      <c r="FKY41" s="624"/>
      <c r="FKZ41" s="624"/>
      <c r="FLA41" s="624"/>
      <c r="FLB41" s="624"/>
      <c r="FLC41" s="624"/>
      <c r="FLD41" s="624"/>
      <c r="FLE41" s="624"/>
      <c r="FLF41" s="624"/>
      <c r="FLG41" s="624"/>
      <c r="FLH41" s="624"/>
      <c r="FLI41" s="624"/>
      <c r="FLJ41" s="624"/>
      <c r="FLK41" s="624"/>
      <c r="FLL41" s="624"/>
      <c r="FLM41" s="624"/>
      <c r="FLN41" s="624"/>
      <c r="FLO41" s="624"/>
      <c r="FLP41" s="624"/>
      <c r="FLQ41" s="624"/>
      <c r="FLR41" s="624"/>
      <c r="FLS41" s="624"/>
      <c r="FLT41" s="624"/>
      <c r="FLU41" s="624"/>
      <c r="FLV41" s="624"/>
      <c r="FLW41" s="624"/>
      <c r="FLX41" s="624"/>
      <c r="FLY41" s="624"/>
      <c r="FLZ41" s="624"/>
      <c r="FMA41" s="624"/>
      <c r="FMB41" s="624"/>
      <c r="FMC41" s="624"/>
      <c r="FMD41" s="624"/>
      <c r="FME41" s="624"/>
      <c r="FMF41" s="624"/>
      <c r="FMG41" s="624"/>
      <c r="FMH41" s="624"/>
      <c r="FMI41" s="624"/>
      <c r="FMJ41" s="624"/>
      <c r="FMK41" s="624"/>
      <c r="FML41" s="624"/>
      <c r="FMM41" s="624"/>
      <c r="FMN41" s="624"/>
      <c r="FMO41" s="624"/>
      <c r="FMP41" s="624"/>
      <c r="FMQ41" s="624"/>
      <c r="FMR41" s="624"/>
      <c r="FMS41" s="624"/>
      <c r="FMT41" s="624"/>
      <c r="FMU41" s="624"/>
      <c r="FMV41" s="624"/>
      <c r="FMW41" s="624"/>
      <c r="FMX41" s="624"/>
      <c r="FMY41" s="624"/>
      <c r="FMZ41" s="624"/>
      <c r="FNA41" s="624"/>
      <c r="FNB41" s="624"/>
      <c r="FNC41" s="624"/>
      <c r="FND41" s="624"/>
      <c r="FNE41" s="624"/>
      <c r="FNF41" s="624"/>
      <c r="FNG41" s="624"/>
      <c r="FNH41" s="624"/>
      <c r="FNI41" s="624"/>
      <c r="FNJ41" s="624"/>
      <c r="FNK41" s="624"/>
      <c r="FNL41" s="624"/>
      <c r="FNM41" s="624"/>
      <c r="FNN41" s="624"/>
      <c r="FNO41" s="624"/>
      <c r="FNP41" s="624"/>
      <c r="FNQ41" s="624"/>
      <c r="FNR41" s="624"/>
      <c r="FNS41" s="624"/>
      <c r="FNT41" s="624"/>
      <c r="FNU41" s="624"/>
      <c r="FNV41" s="624"/>
      <c r="FNW41" s="624"/>
      <c r="FNX41" s="624"/>
      <c r="FNY41" s="624"/>
      <c r="FNZ41" s="624"/>
      <c r="FOA41" s="624"/>
      <c r="FOB41" s="624"/>
      <c r="FOC41" s="624"/>
      <c r="FOD41" s="624"/>
      <c r="FOE41" s="624"/>
      <c r="FOF41" s="624"/>
      <c r="FOG41" s="624"/>
      <c r="FOH41" s="624"/>
      <c r="FOI41" s="624"/>
      <c r="FOJ41" s="624"/>
      <c r="FOK41" s="624"/>
      <c r="FOL41" s="624"/>
      <c r="FOM41" s="624"/>
      <c r="FON41" s="624"/>
      <c r="FOO41" s="624"/>
      <c r="FOP41" s="624"/>
      <c r="FOQ41" s="624"/>
      <c r="FOR41" s="624"/>
      <c r="FOS41" s="624"/>
      <c r="FOT41" s="624"/>
      <c r="FOU41" s="624"/>
      <c r="FOV41" s="624"/>
      <c r="FOW41" s="624"/>
      <c r="FOX41" s="624"/>
      <c r="FOY41" s="624"/>
      <c r="FOZ41" s="624"/>
      <c r="FPA41" s="624"/>
      <c r="FPB41" s="624"/>
      <c r="FPC41" s="624"/>
      <c r="FPD41" s="624"/>
      <c r="FPE41" s="624"/>
      <c r="FPF41" s="624"/>
      <c r="FPG41" s="624"/>
      <c r="FPH41" s="624"/>
      <c r="FPI41" s="624"/>
      <c r="FPJ41" s="624"/>
      <c r="FPK41" s="624"/>
      <c r="FPL41" s="624"/>
      <c r="FPM41" s="624"/>
      <c r="FPN41" s="624"/>
      <c r="FPO41" s="624"/>
      <c r="FPP41" s="624"/>
      <c r="FPQ41" s="624"/>
      <c r="FPR41" s="624"/>
      <c r="FPS41" s="624"/>
      <c r="FPT41" s="624"/>
      <c r="FPU41" s="624"/>
      <c r="FPV41" s="624"/>
      <c r="FPW41" s="624"/>
      <c r="FPX41" s="624"/>
      <c r="FPY41" s="624"/>
      <c r="FPZ41" s="624"/>
      <c r="FQA41" s="624"/>
      <c r="FQB41" s="624"/>
      <c r="FQC41" s="624"/>
      <c r="FQD41" s="624"/>
      <c r="FQE41" s="624"/>
      <c r="FQF41" s="624"/>
      <c r="FQG41" s="624"/>
      <c r="FQH41" s="624"/>
      <c r="FQI41" s="624"/>
      <c r="FQJ41" s="624"/>
      <c r="FQK41" s="624"/>
      <c r="FQL41" s="624"/>
      <c r="FQM41" s="624"/>
      <c r="FQN41" s="624"/>
      <c r="FQO41" s="624"/>
      <c r="FQP41" s="624"/>
      <c r="FQQ41" s="624"/>
      <c r="FQR41" s="624"/>
      <c r="FQS41" s="624"/>
      <c r="FQT41" s="624"/>
      <c r="FQU41" s="624"/>
      <c r="FQV41" s="624"/>
      <c r="FQW41" s="624"/>
      <c r="FQX41" s="624"/>
      <c r="FQY41" s="624"/>
      <c r="FQZ41" s="624"/>
      <c r="FRA41" s="624"/>
      <c r="FRB41" s="624"/>
      <c r="FRC41" s="624"/>
      <c r="FRD41" s="624"/>
      <c r="FRE41" s="624"/>
      <c r="FRF41" s="624"/>
      <c r="FRG41" s="624"/>
      <c r="FRH41" s="624"/>
      <c r="FRI41" s="624"/>
      <c r="FRJ41" s="624"/>
      <c r="FRK41" s="624"/>
      <c r="FRL41" s="624"/>
      <c r="FRM41" s="624"/>
      <c r="FRN41" s="624"/>
      <c r="FRO41" s="624"/>
      <c r="FRP41" s="624"/>
      <c r="FRQ41" s="624"/>
      <c r="FRR41" s="624"/>
      <c r="FRS41" s="624"/>
      <c r="FRT41" s="624"/>
      <c r="FRU41" s="624"/>
      <c r="FRV41" s="624"/>
      <c r="FRW41" s="624"/>
      <c r="FRX41" s="624"/>
      <c r="FRY41" s="624"/>
      <c r="FRZ41" s="624"/>
      <c r="FSA41" s="624"/>
      <c r="FSB41" s="624"/>
      <c r="FSC41" s="624"/>
      <c r="FSD41" s="624"/>
      <c r="FSE41" s="624"/>
      <c r="FSF41" s="624"/>
      <c r="FSG41" s="624"/>
      <c r="FSH41" s="624"/>
      <c r="FSI41" s="624"/>
      <c r="FSJ41" s="624"/>
      <c r="FSK41" s="624"/>
      <c r="FSL41" s="624"/>
      <c r="FSM41" s="624"/>
      <c r="FSN41" s="624"/>
      <c r="FSO41" s="624"/>
      <c r="FSP41" s="624"/>
      <c r="FSQ41" s="624"/>
      <c r="FSR41" s="624"/>
      <c r="FSS41" s="624"/>
      <c r="FST41" s="624"/>
      <c r="FSU41" s="624"/>
      <c r="FSV41" s="624"/>
      <c r="FSW41" s="624"/>
      <c r="FSX41" s="624"/>
      <c r="FSY41" s="624"/>
      <c r="FSZ41" s="624"/>
      <c r="FTA41" s="624"/>
      <c r="FTB41" s="624"/>
      <c r="FTC41" s="624"/>
      <c r="FTD41" s="624"/>
      <c r="FTE41" s="624"/>
      <c r="FTF41" s="624"/>
      <c r="FTG41" s="624"/>
      <c r="FTH41" s="624"/>
      <c r="FTI41" s="624"/>
      <c r="FTJ41" s="624"/>
      <c r="FTK41" s="624"/>
      <c r="FTL41" s="624"/>
      <c r="FTM41" s="624"/>
      <c r="FTN41" s="624"/>
      <c r="FTO41" s="624"/>
      <c r="FTP41" s="624"/>
      <c r="FTQ41" s="624"/>
      <c r="FTR41" s="624"/>
      <c r="FTS41" s="624"/>
      <c r="FTT41" s="624"/>
      <c r="FTU41" s="624"/>
      <c r="FTV41" s="624"/>
      <c r="FTW41" s="624"/>
      <c r="FTX41" s="624"/>
      <c r="FTY41" s="624"/>
      <c r="FTZ41" s="624"/>
      <c r="FUA41" s="624"/>
      <c r="FUB41" s="624"/>
      <c r="FUC41" s="624"/>
      <c r="FUD41" s="624"/>
      <c r="FUE41" s="624"/>
      <c r="FUF41" s="624"/>
      <c r="FUG41" s="624"/>
      <c r="FUH41" s="624"/>
      <c r="FUI41" s="624"/>
      <c r="FUJ41" s="624"/>
      <c r="FUK41" s="624"/>
      <c r="FUL41" s="624"/>
      <c r="FUM41" s="624"/>
      <c r="FUN41" s="624"/>
      <c r="FUO41" s="624"/>
      <c r="FUP41" s="624"/>
      <c r="FUQ41" s="624"/>
      <c r="FUR41" s="624"/>
      <c r="FUS41" s="624"/>
      <c r="FUT41" s="624"/>
      <c r="FUU41" s="624"/>
      <c r="FUV41" s="624"/>
      <c r="FUW41" s="624"/>
      <c r="FUX41" s="624"/>
      <c r="FUY41" s="624"/>
      <c r="FUZ41" s="624"/>
      <c r="FVA41" s="624"/>
      <c r="FVB41" s="624"/>
      <c r="FVC41" s="624"/>
      <c r="FVD41" s="624"/>
      <c r="FVE41" s="624"/>
      <c r="FVF41" s="624"/>
      <c r="FVG41" s="624"/>
      <c r="FVH41" s="624"/>
      <c r="FVI41" s="624"/>
      <c r="FVJ41" s="624"/>
      <c r="FVK41" s="624"/>
      <c r="FVL41" s="624"/>
      <c r="FVM41" s="624"/>
      <c r="FVN41" s="624"/>
      <c r="FVO41" s="624"/>
      <c r="FVP41" s="624"/>
      <c r="FVQ41" s="624"/>
      <c r="FVR41" s="624"/>
      <c r="FVS41" s="624"/>
      <c r="FVT41" s="624"/>
      <c r="FVU41" s="624"/>
      <c r="FVV41" s="624"/>
      <c r="FVW41" s="624"/>
      <c r="FVX41" s="624"/>
      <c r="FVY41" s="624"/>
      <c r="FVZ41" s="624"/>
      <c r="FWA41" s="624"/>
      <c r="FWB41" s="624"/>
      <c r="FWC41" s="624"/>
      <c r="FWD41" s="624"/>
      <c r="FWE41" s="624"/>
      <c r="FWF41" s="624"/>
      <c r="FWG41" s="624"/>
      <c r="FWH41" s="624"/>
      <c r="FWI41" s="624"/>
      <c r="FWJ41" s="624"/>
      <c r="FWK41" s="624"/>
      <c r="FWL41" s="624"/>
      <c r="FWM41" s="624"/>
      <c r="FWN41" s="624"/>
      <c r="FWO41" s="624"/>
      <c r="FWP41" s="624"/>
      <c r="FWQ41" s="624"/>
      <c r="FWR41" s="624"/>
      <c r="FWS41" s="624"/>
      <c r="FWT41" s="624"/>
      <c r="FWU41" s="624"/>
      <c r="FWV41" s="624"/>
      <c r="FWW41" s="624"/>
      <c r="FWX41" s="624"/>
      <c r="FWY41" s="624"/>
      <c r="FWZ41" s="624"/>
      <c r="FXA41" s="624"/>
      <c r="FXB41" s="624"/>
      <c r="FXC41" s="624"/>
      <c r="FXD41" s="624"/>
      <c r="FXE41" s="624"/>
      <c r="FXF41" s="624"/>
      <c r="FXG41" s="624"/>
      <c r="FXH41" s="624"/>
      <c r="FXI41" s="624"/>
      <c r="FXJ41" s="624"/>
      <c r="FXK41" s="624"/>
      <c r="FXL41" s="624"/>
      <c r="FXM41" s="624"/>
      <c r="FXN41" s="624"/>
      <c r="FXO41" s="624"/>
      <c r="FXP41" s="624"/>
      <c r="FXQ41" s="624"/>
      <c r="FXR41" s="624"/>
      <c r="FXS41" s="624"/>
      <c r="FXT41" s="624"/>
      <c r="FXU41" s="624"/>
      <c r="FXV41" s="624"/>
      <c r="FXW41" s="624"/>
      <c r="FXX41" s="624"/>
      <c r="FXY41" s="624"/>
      <c r="FXZ41" s="624"/>
      <c r="FYA41" s="624"/>
      <c r="FYB41" s="624"/>
      <c r="FYC41" s="624"/>
      <c r="FYD41" s="624"/>
      <c r="FYE41" s="624"/>
      <c r="FYF41" s="624"/>
      <c r="FYG41" s="624"/>
      <c r="FYH41" s="624"/>
      <c r="FYI41" s="624"/>
      <c r="FYJ41" s="624"/>
      <c r="FYK41" s="624"/>
      <c r="FYL41" s="624"/>
      <c r="FYM41" s="624"/>
      <c r="FYN41" s="624"/>
      <c r="FYO41" s="624"/>
      <c r="FYP41" s="624"/>
      <c r="FYQ41" s="624"/>
      <c r="FYR41" s="624"/>
      <c r="FYS41" s="624"/>
      <c r="FYT41" s="624"/>
      <c r="FYU41" s="624"/>
      <c r="FYV41" s="624"/>
      <c r="FYW41" s="624"/>
      <c r="FYX41" s="624"/>
      <c r="FYY41" s="624"/>
      <c r="FYZ41" s="624"/>
      <c r="FZA41" s="624"/>
      <c r="FZB41" s="624"/>
      <c r="FZC41" s="624"/>
      <c r="FZD41" s="624"/>
      <c r="FZE41" s="624"/>
      <c r="FZF41" s="624"/>
      <c r="FZG41" s="624"/>
      <c r="FZH41" s="624"/>
      <c r="FZI41" s="624"/>
      <c r="FZJ41" s="624"/>
      <c r="FZK41" s="624"/>
      <c r="FZL41" s="624"/>
      <c r="FZM41" s="624"/>
      <c r="FZN41" s="624"/>
      <c r="FZO41" s="624"/>
      <c r="FZP41" s="624"/>
      <c r="FZQ41" s="624"/>
      <c r="FZR41" s="624"/>
      <c r="FZS41" s="624"/>
      <c r="FZT41" s="624"/>
      <c r="FZU41" s="624"/>
      <c r="FZV41" s="624"/>
      <c r="FZW41" s="624"/>
      <c r="FZX41" s="624"/>
      <c r="FZY41" s="624"/>
      <c r="FZZ41" s="624"/>
      <c r="GAA41" s="624"/>
      <c r="GAB41" s="624"/>
      <c r="GAC41" s="624"/>
      <c r="GAD41" s="624"/>
      <c r="GAE41" s="624"/>
      <c r="GAF41" s="624"/>
      <c r="GAG41" s="624"/>
      <c r="GAH41" s="624"/>
      <c r="GAI41" s="624"/>
      <c r="GAJ41" s="624"/>
      <c r="GAK41" s="624"/>
      <c r="GAL41" s="624"/>
      <c r="GAM41" s="624"/>
      <c r="GAN41" s="624"/>
      <c r="GAO41" s="624"/>
      <c r="GAP41" s="624"/>
      <c r="GAQ41" s="624"/>
      <c r="GAR41" s="624"/>
      <c r="GAS41" s="624"/>
      <c r="GAT41" s="624"/>
      <c r="GAU41" s="624"/>
      <c r="GAV41" s="624"/>
      <c r="GAW41" s="624"/>
      <c r="GAX41" s="624"/>
      <c r="GAY41" s="624"/>
      <c r="GAZ41" s="624"/>
      <c r="GBA41" s="624"/>
      <c r="GBB41" s="624"/>
      <c r="GBC41" s="624"/>
      <c r="GBD41" s="624"/>
      <c r="GBE41" s="624"/>
      <c r="GBF41" s="624"/>
      <c r="GBG41" s="624"/>
      <c r="GBH41" s="624"/>
      <c r="GBI41" s="624"/>
      <c r="GBJ41" s="624"/>
      <c r="GBK41" s="624"/>
      <c r="GBL41" s="624"/>
      <c r="GBM41" s="624"/>
      <c r="GBN41" s="624"/>
      <c r="GBO41" s="624"/>
      <c r="GBP41" s="624"/>
      <c r="GBQ41" s="624"/>
      <c r="GBR41" s="624"/>
      <c r="GBS41" s="624"/>
      <c r="GBT41" s="624"/>
      <c r="GBU41" s="624"/>
      <c r="GBV41" s="624"/>
      <c r="GBW41" s="624"/>
      <c r="GBX41" s="624"/>
      <c r="GBY41" s="624"/>
      <c r="GBZ41" s="624"/>
      <c r="GCA41" s="624"/>
      <c r="GCB41" s="624"/>
      <c r="GCC41" s="624"/>
      <c r="GCD41" s="624"/>
      <c r="GCE41" s="624"/>
      <c r="GCF41" s="624"/>
      <c r="GCG41" s="624"/>
      <c r="GCH41" s="624"/>
      <c r="GCI41" s="624"/>
      <c r="GCJ41" s="624"/>
      <c r="GCK41" s="624"/>
      <c r="GCL41" s="624"/>
      <c r="GCM41" s="624"/>
      <c r="GCN41" s="624"/>
      <c r="GCO41" s="624"/>
      <c r="GCP41" s="624"/>
      <c r="GCQ41" s="624"/>
      <c r="GCR41" s="624"/>
      <c r="GCS41" s="624"/>
      <c r="GCT41" s="624"/>
      <c r="GCU41" s="624"/>
      <c r="GCV41" s="624"/>
      <c r="GCW41" s="624"/>
      <c r="GCX41" s="624"/>
      <c r="GCY41" s="624"/>
      <c r="GCZ41" s="624"/>
      <c r="GDA41" s="624"/>
      <c r="GDB41" s="624"/>
      <c r="GDC41" s="624"/>
      <c r="GDD41" s="624"/>
      <c r="GDE41" s="624"/>
      <c r="GDF41" s="624"/>
      <c r="GDG41" s="624"/>
      <c r="GDH41" s="624"/>
      <c r="GDI41" s="624"/>
      <c r="GDJ41" s="624"/>
      <c r="GDK41" s="624"/>
      <c r="GDL41" s="624"/>
      <c r="GDM41" s="624"/>
      <c r="GDN41" s="624"/>
      <c r="GDO41" s="624"/>
      <c r="GDP41" s="624"/>
      <c r="GDQ41" s="624"/>
      <c r="GDR41" s="624"/>
      <c r="GDS41" s="624"/>
      <c r="GDT41" s="624"/>
      <c r="GDU41" s="624"/>
      <c r="GDV41" s="624"/>
      <c r="GDW41" s="624"/>
      <c r="GDX41" s="624"/>
      <c r="GDY41" s="624"/>
      <c r="GDZ41" s="624"/>
      <c r="GEA41" s="624"/>
      <c r="GEB41" s="624"/>
      <c r="GEC41" s="624"/>
      <c r="GED41" s="624"/>
      <c r="GEE41" s="624"/>
      <c r="GEF41" s="624"/>
      <c r="GEG41" s="624"/>
      <c r="GEH41" s="624"/>
      <c r="GEI41" s="624"/>
      <c r="GEJ41" s="624"/>
      <c r="GEK41" s="624"/>
      <c r="GEL41" s="624"/>
      <c r="GEM41" s="624"/>
      <c r="GEN41" s="624"/>
      <c r="GEO41" s="624"/>
      <c r="GEP41" s="624"/>
      <c r="GEQ41" s="624"/>
      <c r="GER41" s="624"/>
      <c r="GES41" s="624"/>
      <c r="GET41" s="624"/>
      <c r="GEU41" s="624"/>
      <c r="GEV41" s="624"/>
      <c r="GEW41" s="624"/>
      <c r="GEX41" s="624"/>
      <c r="GEY41" s="624"/>
      <c r="GEZ41" s="624"/>
      <c r="GFA41" s="624"/>
      <c r="GFB41" s="624"/>
      <c r="GFC41" s="624"/>
      <c r="GFD41" s="624"/>
      <c r="GFE41" s="624"/>
      <c r="GFF41" s="624"/>
      <c r="GFG41" s="624"/>
      <c r="GFH41" s="624"/>
      <c r="GFI41" s="624"/>
      <c r="GFJ41" s="624"/>
      <c r="GFK41" s="624"/>
      <c r="GFL41" s="624"/>
      <c r="GFM41" s="624"/>
      <c r="GFN41" s="624"/>
      <c r="GFO41" s="624"/>
      <c r="GFP41" s="624"/>
      <c r="GFQ41" s="624"/>
      <c r="GFR41" s="624"/>
      <c r="GFS41" s="624"/>
      <c r="GFT41" s="624"/>
      <c r="GFU41" s="624"/>
      <c r="GFV41" s="624"/>
      <c r="GFW41" s="624"/>
      <c r="GFX41" s="624"/>
      <c r="GFY41" s="624"/>
      <c r="GFZ41" s="624"/>
      <c r="GGA41" s="624"/>
      <c r="GGB41" s="624"/>
      <c r="GGC41" s="624"/>
      <c r="GGD41" s="624"/>
      <c r="GGE41" s="624"/>
      <c r="GGF41" s="624"/>
      <c r="GGG41" s="624"/>
      <c r="GGH41" s="624"/>
      <c r="GGI41" s="624"/>
      <c r="GGJ41" s="624"/>
      <c r="GGK41" s="624"/>
      <c r="GGL41" s="624"/>
      <c r="GGM41" s="624"/>
      <c r="GGN41" s="624"/>
      <c r="GGO41" s="624"/>
      <c r="GGP41" s="624"/>
      <c r="GGQ41" s="624"/>
      <c r="GGR41" s="624"/>
      <c r="GGS41" s="624"/>
      <c r="GGT41" s="624"/>
      <c r="GGU41" s="624"/>
      <c r="GGV41" s="624"/>
      <c r="GGW41" s="624"/>
      <c r="GGX41" s="624"/>
      <c r="GGY41" s="624"/>
      <c r="GGZ41" s="624"/>
      <c r="GHA41" s="624"/>
      <c r="GHB41" s="624"/>
      <c r="GHC41" s="624"/>
      <c r="GHD41" s="624"/>
      <c r="GHE41" s="624"/>
      <c r="GHF41" s="624"/>
      <c r="GHG41" s="624"/>
      <c r="GHH41" s="624"/>
      <c r="GHI41" s="624"/>
      <c r="GHJ41" s="624"/>
      <c r="GHK41" s="624"/>
      <c r="GHL41" s="624"/>
      <c r="GHM41" s="624"/>
      <c r="GHN41" s="624"/>
      <c r="GHO41" s="624"/>
      <c r="GHP41" s="624"/>
      <c r="GHQ41" s="624"/>
      <c r="GHR41" s="624"/>
      <c r="GHS41" s="624"/>
      <c r="GHT41" s="624"/>
      <c r="GHU41" s="624"/>
      <c r="GHV41" s="624"/>
      <c r="GHW41" s="624"/>
      <c r="GHX41" s="624"/>
      <c r="GHY41" s="624"/>
      <c r="GHZ41" s="624"/>
      <c r="GIA41" s="624"/>
      <c r="GIB41" s="624"/>
      <c r="GIC41" s="624"/>
      <c r="GID41" s="624"/>
      <c r="GIE41" s="624"/>
      <c r="GIF41" s="624"/>
      <c r="GIG41" s="624"/>
      <c r="GIH41" s="624"/>
      <c r="GII41" s="624"/>
      <c r="GIJ41" s="624"/>
      <c r="GIK41" s="624"/>
      <c r="GIL41" s="624"/>
      <c r="GIM41" s="624"/>
      <c r="GIN41" s="624"/>
      <c r="GIO41" s="624"/>
      <c r="GIP41" s="624"/>
      <c r="GIQ41" s="624"/>
      <c r="GIR41" s="624"/>
      <c r="GIS41" s="624"/>
      <c r="GIT41" s="624"/>
      <c r="GIU41" s="624"/>
      <c r="GIV41" s="624"/>
      <c r="GIW41" s="624"/>
      <c r="GIX41" s="624"/>
      <c r="GIY41" s="624"/>
      <c r="GIZ41" s="624"/>
      <c r="GJA41" s="624"/>
      <c r="GJB41" s="624"/>
      <c r="GJC41" s="624"/>
      <c r="GJD41" s="624"/>
      <c r="GJE41" s="624"/>
      <c r="GJF41" s="624"/>
      <c r="GJG41" s="624"/>
      <c r="GJH41" s="624"/>
      <c r="GJI41" s="624"/>
      <c r="GJJ41" s="624"/>
      <c r="GJK41" s="624"/>
      <c r="GJL41" s="624"/>
      <c r="GJM41" s="624"/>
      <c r="GJN41" s="624"/>
      <c r="GJO41" s="624"/>
      <c r="GJP41" s="624"/>
      <c r="GJQ41" s="624"/>
      <c r="GJR41" s="624"/>
      <c r="GJS41" s="624"/>
      <c r="GJT41" s="624"/>
      <c r="GJU41" s="624"/>
      <c r="GJV41" s="624"/>
      <c r="GJW41" s="624"/>
      <c r="GJX41" s="624"/>
      <c r="GJY41" s="624"/>
      <c r="GJZ41" s="624"/>
      <c r="GKA41" s="624"/>
      <c r="GKB41" s="624"/>
      <c r="GKC41" s="624"/>
      <c r="GKD41" s="624"/>
      <c r="GKE41" s="624"/>
      <c r="GKF41" s="624"/>
      <c r="GKG41" s="624"/>
      <c r="GKH41" s="624"/>
      <c r="GKI41" s="624"/>
      <c r="GKJ41" s="624"/>
      <c r="GKK41" s="624"/>
      <c r="GKL41" s="624"/>
      <c r="GKM41" s="624"/>
      <c r="GKN41" s="624"/>
      <c r="GKO41" s="624"/>
      <c r="GKP41" s="624"/>
      <c r="GKQ41" s="624"/>
      <c r="GKR41" s="624"/>
      <c r="GKS41" s="624"/>
      <c r="GKT41" s="624"/>
      <c r="GKU41" s="624"/>
      <c r="GKV41" s="624"/>
      <c r="GKW41" s="624"/>
      <c r="GKX41" s="624"/>
      <c r="GKY41" s="624"/>
      <c r="GKZ41" s="624"/>
      <c r="GLA41" s="624"/>
      <c r="GLB41" s="624"/>
      <c r="GLC41" s="624"/>
      <c r="GLD41" s="624"/>
      <c r="GLE41" s="624"/>
      <c r="GLF41" s="624"/>
      <c r="GLG41" s="624"/>
      <c r="GLH41" s="624"/>
      <c r="GLI41" s="624"/>
      <c r="GLJ41" s="624"/>
      <c r="GLK41" s="624"/>
      <c r="GLL41" s="624"/>
      <c r="GLM41" s="624"/>
      <c r="GLN41" s="624"/>
      <c r="GLO41" s="624"/>
      <c r="GLP41" s="624"/>
      <c r="GLQ41" s="624"/>
      <c r="GLR41" s="624"/>
      <c r="GLS41" s="624"/>
      <c r="GLT41" s="624"/>
      <c r="GLU41" s="624"/>
      <c r="GLV41" s="624"/>
      <c r="GLW41" s="624"/>
      <c r="GLX41" s="624"/>
      <c r="GLY41" s="624"/>
      <c r="GLZ41" s="624"/>
      <c r="GMA41" s="624"/>
      <c r="GMB41" s="624"/>
      <c r="GMC41" s="624"/>
      <c r="GMD41" s="624"/>
      <c r="GME41" s="624"/>
      <c r="GMF41" s="624"/>
      <c r="GMG41" s="624"/>
      <c r="GMH41" s="624"/>
      <c r="GMI41" s="624"/>
      <c r="GMJ41" s="624"/>
      <c r="GMK41" s="624"/>
      <c r="GML41" s="624"/>
      <c r="GMM41" s="624"/>
      <c r="GMN41" s="624"/>
      <c r="GMO41" s="624"/>
      <c r="GMP41" s="624"/>
      <c r="GMQ41" s="624"/>
      <c r="GMR41" s="624"/>
      <c r="GMS41" s="624"/>
      <c r="GMT41" s="624"/>
      <c r="GMU41" s="624"/>
      <c r="GMV41" s="624"/>
      <c r="GMW41" s="624"/>
      <c r="GMX41" s="624"/>
      <c r="GMY41" s="624"/>
      <c r="GMZ41" s="624"/>
      <c r="GNA41" s="624"/>
      <c r="GNB41" s="624"/>
      <c r="GNC41" s="624"/>
      <c r="GND41" s="624"/>
      <c r="GNE41" s="624"/>
      <c r="GNF41" s="624"/>
      <c r="GNG41" s="624"/>
      <c r="GNH41" s="624"/>
      <c r="GNI41" s="624"/>
      <c r="GNJ41" s="624"/>
      <c r="GNK41" s="624"/>
      <c r="GNL41" s="624"/>
      <c r="GNM41" s="624"/>
      <c r="GNN41" s="624"/>
      <c r="GNO41" s="624"/>
      <c r="GNP41" s="624"/>
      <c r="GNQ41" s="624"/>
      <c r="GNR41" s="624"/>
      <c r="GNS41" s="624"/>
      <c r="GNT41" s="624"/>
      <c r="GNU41" s="624"/>
      <c r="GNV41" s="624"/>
      <c r="GNW41" s="624"/>
      <c r="GNX41" s="624"/>
      <c r="GNY41" s="624"/>
      <c r="GNZ41" s="624"/>
      <c r="GOA41" s="624"/>
      <c r="GOB41" s="624"/>
      <c r="GOC41" s="624"/>
      <c r="GOD41" s="624"/>
      <c r="GOE41" s="624"/>
      <c r="GOF41" s="624"/>
      <c r="GOG41" s="624"/>
      <c r="GOH41" s="624"/>
      <c r="GOI41" s="624"/>
      <c r="GOJ41" s="624"/>
      <c r="GOK41" s="624"/>
      <c r="GOL41" s="624"/>
      <c r="GOM41" s="624"/>
      <c r="GON41" s="624"/>
      <c r="GOO41" s="624"/>
      <c r="GOP41" s="624"/>
      <c r="GOQ41" s="624"/>
      <c r="GOR41" s="624"/>
      <c r="GOS41" s="624"/>
      <c r="GOT41" s="624"/>
      <c r="GOU41" s="624"/>
      <c r="GOV41" s="624"/>
      <c r="GOW41" s="624"/>
      <c r="GOX41" s="624"/>
      <c r="GOY41" s="624"/>
      <c r="GOZ41" s="624"/>
      <c r="GPA41" s="624"/>
      <c r="GPB41" s="624"/>
      <c r="GPC41" s="624"/>
      <c r="GPD41" s="624"/>
      <c r="GPE41" s="624"/>
      <c r="GPF41" s="624"/>
      <c r="GPG41" s="624"/>
      <c r="GPH41" s="624"/>
      <c r="GPI41" s="624"/>
      <c r="GPJ41" s="624"/>
      <c r="GPK41" s="624"/>
      <c r="GPL41" s="624"/>
      <c r="GPM41" s="624"/>
      <c r="GPN41" s="624"/>
      <c r="GPO41" s="624"/>
      <c r="GPP41" s="624"/>
      <c r="GPQ41" s="624"/>
      <c r="GPR41" s="624"/>
      <c r="GPS41" s="624"/>
      <c r="GPT41" s="624"/>
      <c r="GPU41" s="624"/>
      <c r="GPV41" s="624"/>
      <c r="GPW41" s="624"/>
      <c r="GPX41" s="624"/>
      <c r="GPY41" s="624"/>
      <c r="GPZ41" s="624"/>
      <c r="GQA41" s="624"/>
      <c r="GQB41" s="624"/>
      <c r="GQC41" s="624"/>
      <c r="GQD41" s="624"/>
      <c r="GQE41" s="624"/>
      <c r="GQF41" s="624"/>
      <c r="GQG41" s="624"/>
      <c r="GQH41" s="624"/>
      <c r="GQI41" s="624"/>
      <c r="GQJ41" s="624"/>
      <c r="GQK41" s="624"/>
      <c r="GQL41" s="624"/>
      <c r="GQM41" s="624"/>
      <c r="GQN41" s="624"/>
      <c r="GQO41" s="624"/>
      <c r="GQP41" s="624"/>
      <c r="GQQ41" s="624"/>
      <c r="GQR41" s="624"/>
      <c r="GQS41" s="624"/>
      <c r="GQT41" s="624"/>
      <c r="GQU41" s="624"/>
      <c r="GQV41" s="624"/>
      <c r="GQW41" s="624"/>
      <c r="GQX41" s="624"/>
      <c r="GQY41" s="624"/>
      <c r="GQZ41" s="624"/>
      <c r="GRA41" s="624"/>
      <c r="GRB41" s="624"/>
      <c r="GRC41" s="624"/>
      <c r="GRD41" s="624"/>
      <c r="GRE41" s="624"/>
      <c r="GRF41" s="624"/>
      <c r="GRG41" s="624"/>
      <c r="GRH41" s="624"/>
      <c r="GRI41" s="624"/>
      <c r="GRJ41" s="624"/>
      <c r="GRK41" s="624"/>
      <c r="GRL41" s="624"/>
      <c r="GRM41" s="624"/>
      <c r="GRN41" s="624"/>
      <c r="GRO41" s="624"/>
      <c r="GRP41" s="624"/>
      <c r="GRQ41" s="624"/>
      <c r="GRR41" s="624"/>
      <c r="GRS41" s="624"/>
      <c r="GRT41" s="624"/>
      <c r="GRU41" s="624"/>
      <c r="GRV41" s="624"/>
      <c r="GRW41" s="624"/>
      <c r="GRX41" s="624"/>
      <c r="GRY41" s="624"/>
      <c r="GRZ41" s="624"/>
      <c r="GSA41" s="624"/>
      <c r="GSB41" s="624"/>
      <c r="GSC41" s="624"/>
      <c r="GSD41" s="624"/>
      <c r="GSE41" s="624"/>
      <c r="GSF41" s="624"/>
      <c r="GSG41" s="624"/>
      <c r="GSH41" s="624"/>
      <c r="GSI41" s="624"/>
      <c r="GSJ41" s="624"/>
      <c r="GSK41" s="624"/>
      <c r="GSL41" s="624"/>
      <c r="GSM41" s="624"/>
      <c r="GSN41" s="624"/>
      <c r="GSO41" s="624"/>
      <c r="GSP41" s="624"/>
      <c r="GSQ41" s="624"/>
      <c r="GSR41" s="624"/>
      <c r="GSS41" s="624"/>
      <c r="GST41" s="624"/>
      <c r="GSU41" s="624"/>
      <c r="GSV41" s="624"/>
      <c r="GSW41" s="624"/>
      <c r="GSX41" s="624"/>
      <c r="GSY41" s="624"/>
      <c r="GSZ41" s="624"/>
      <c r="GTA41" s="624"/>
      <c r="GTB41" s="624"/>
      <c r="GTC41" s="624"/>
      <c r="GTD41" s="624"/>
      <c r="GTE41" s="624"/>
      <c r="GTF41" s="624"/>
      <c r="GTG41" s="624"/>
      <c r="GTH41" s="624"/>
      <c r="GTI41" s="624"/>
      <c r="GTJ41" s="624"/>
      <c r="GTK41" s="624"/>
      <c r="GTL41" s="624"/>
      <c r="GTM41" s="624"/>
      <c r="GTN41" s="624"/>
      <c r="GTO41" s="624"/>
      <c r="GTP41" s="624"/>
      <c r="GTQ41" s="624"/>
      <c r="GTR41" s="624"/>
      <c r="GTS41" s="624"/>
      <c r="GTT41" s="624"/>
      <c r="GTU41" s="624"/>
      <c r="GTV41" s="624"/>
      <c r="GTW41" s="624"/>
      <c r="GTX41" s="624"/>
      <c r="GTY41" s="624"/>
      <c r="GTZ41" s="624"/>
      <c r="GUA41" s="624"/>
      <c r="GUB41" s="624"/>
      <c r="GUC41" s="624"/>
      <c r="GUD41" s="624"/>
      <c r="GUE41" s="624"/>
      <c r="GUF41" s="624"/>
      <c r="GUG41" s="624"/>
      <c r="GUH41" s="624"/>
      <c r="GUI41" s="624"/>
      <c r="GUJ41" s="624"/>
      <c r="GUK41" s="624"/>
      <c r="GUL41" s="624"/>
      <c r="GUM41" s="624"/>
      <c r="GUN41" s="624"/>
      <c r="GUO41" s="624"/>
      <c r="GUP41" s="624"/>
      <c r="GUQ41" s="624"/>
      <c r="GUR41" s="624"/>
      <c r="GUS41" s="624"/>
      <c r="GUT41" s="624"/>
      <c r="GUU41" s="624"/>
      <c r="GUV41" s="624"/>
      <c r="GUW41" s="624"/>
      <c r="GUX41" s="624"/>
      <c r="GUY41" s="624"/>
      <c r="GUZ41" s="624"/>
      <c r="GVA41" s="624"/>
      <c r="GVB41" s="624"/>
      <c r="GVC41" s="624"/>
      <c r="GVD41" s="624"/>
      <c r="GVE41" s="624"/>
      <c r="GVF41" s="624"/>
      <c r="GVG41" s="624"/>
      <c r="GVH41" s="624"/>
      <c r="GVI41" s="624"/>
      <c r="GVJ41" s="624"/>
      <c r="GVK41" s="624"/>
      <c r="GVL41" s="624"/>
      <c r="GVM41" s="624"/>
      <c r="GVN41" s="624"/>
      <c r="GVO41" s="624"/>
      <c r="GVP41" s="624"/>
      <c r="GVQ41" s="624"/>
      <c r="GVR41" s="624"/>
      <c r="GVS41" s="624"/>
      <c r="GVT41" s="624"/>
      <c r="GVU41" s="624"/>
      <c r="GVV41" s="624"/>
      <c r="GVW41" s="624"/>
      <c r="GVX41" s="624"/>
      <c r="GVY41" s="624"/>
      <c r="GVZ41" s="624"/>
      <c r="GWA41" s="624"/>
      <c r="GWB41" s="624"/>
      <c r="GWC41" s="624"/>
      <c r="GWD41" s="624"/>
      <c r="GWE41" s="624"/>
      <c r="GWF41" s="624"/>
      <c r="GWG41" s="624"/>
      <c r="GWH41" s="624"/>
      <c r="GWI41" s="624"/>
      <c r="GWJ41" s="624"/>
      <c r="GWK41" s="624"/>
      <c r="GWL41" s="624"/>
      <c r="GWM41" s="624"/>
      <c r="GWN41" s="624"/>
      <c r="GWO41" s="624"/>
      <c r="GWP41" s="624"/>
      <c r="GWQ41" s="624"/>
      <c r="GWR41" s="624"/>
      <c r="GWS41" s="624"/>
      <c r="GWT41" s="624"/>
      <c r="GWU41" s="624"/>
      <c r="GWV41" s="624"/>
      <c r="GWW41" s="624"/>
      <c r="GWX41" s="624"/>
      <c r="GWY41" s="624"/>
      <c r="GWZ41" s="624"/>
      <c r="GXA41" s="624"/>
      <c r="GXB41" s="624"/>
      <c r="GXC41" s="624"/>
      <c r="GXD41" s="624"/>
      <c r="GXE41" s="624"/>
      <c r="GXF41" s="624"/>
      <c r="GXG41" s="624"/>
      <c r="GXH41" s="624"/>
      <c r="GXI41" s="624"/>
      <c r="GXJ41" s="624"/>
      <c r="GXK41" s="624"/>
      <c r="GXL41" s="624"/>
      <c r="GXM41" s="624"/>
      <c r="GXN41" s="624"/>
      <c r="GXO41" s="624"/>
      <c r="GXP41" s="624"/>
      <c r="GXQ41" s="624"/>
      <c r="GXR41" s="624"/>
      <c r="GXS41" s="624"/>
      <c r="GXT41" s="624"/>
      <c r="GXU41" s="624"/>
      <c r="GXV41" s="624"/>
      <c r="GXW41" s="624"/>
      <c r="GXX41" s="624"/>
      <c r="GXY41" s="624"/>
      <c r="GXZ41" s="624"/>
      <c r="GYA41" s="624"/>
      <c r="GYB41" s="624"/>
      <c r="GYC41" s="624"/>
      <c r="GYD41" s="624"/>
      <c r="GYE41" s="624"/>
      <c r="GYF41" s="624"/>
      <c r="GYG41" s="624"/>
      <c r="GYH41" s="624"/>
      <c r="GYI41" s="624"/>
      <c r="GYJ41" s="624"/>
      <c r="GYK41" s="624"/>
      <c r="GYL41" s="624"/>
      <c r="GYM41" s="624"/>
      <c r="GYN41" s="624"/>
      <c r="GYO41" s="624"/>
      <c r="GYP41" s="624"/>
      <c r="GYQ41" s="624"/>
      <c r="GYR41" s="624"/>
      <c r="GYS41" s="624"/>
      <c r="GYT41" s="624"/>
      <c r="GYU41" s="624"/>
      <c r="GYV41" s="624"/>
      <c r="GYW41" s="624"/>
      <c r="GYX41" s="624"/>
      <c r="GYY41" s="624"/>
      <c r="GYZ41" s="624"/>
      <c r="GZA41" s="624"/>
      <c r="GZB41" s="624"/>
      <c r="GZC41" s="624"/>
      <c r="GZD41" s="624"/>
      <c r="GZE41" s="624"/>
      <c r="GZF41" s="624"/>
      <c r="GZG41" s="624"/>
      <c r="GZH41" s="624"/>
      <c r="GZI41" s="624"/>
      <c r="GZJ41" s="624"/>
      <c r="GZK41" s="624"/>
      <c r="GZL41" s="624"/>
      <c r="GZM41" s="624"/>
      <c r="GZN41" s="624"/>
      <c r="GZO41" s="624"/>
      <c r="GZP41" s="624"/>
      <c r="GZQ41" s="624"/>
      <c r="GZR41" s="624"/>
      <c r="GZS41" s="624"/>
      <c r="GZT41" s="624"/>
      <c r="GZU41" s="624"/>
      <c r="GZV41" s="624"/>
      <c r="GZW41" s="624"/>
      <c r="GZX41" s="624"/>
      <c r="GZY41" s="624"/>
      <c r="GZZ41" s="624"/>
      <c r="HAA41" s="624"/>
      <c r="HAB41" s="624"/>
      <c r="HAC41" s="624"/>
      <c r="HAD41" s="624"/>
      <c r="HAE41" s="624"/>
      <c r="HAF41" s="624"/>
      <c r="HAG41" s="624"/>
      <c r="HAH41" s="624"/>
      <c r="HAI41" s="624"/>
      <c r="HAJ41" s="624"/>
      <c r="HAK41" s="624"/>
      <c r="HAL41" s="624"/>
      <c r="HAM41" s="624"/>
      <c r="HAN41" s="624"/>
      <c r="HAO41" s="624"/>
      <c r="HAP41" s="624"/>
      <c r="HAQ41" s="624"/>
      <c r="HAR41" s="624"/>
      <c r="HAS41" s="624"/>
      <c r="HAT41" s="624"/>
      <c r="HAU41" s="624"/>
      <c r="HAV41" s="624"/>
      <c r="HAW41" s="624"/>
      <c r="HAX41" s="624"/>
      <c r="HAY41" s="624"/>
      <c r="HAZ41" s="624"/>
      <c r="HBA41" s="624"/>
      <c r="HBB41" s="624"/>
      <c r="HBC41" s="624"/>
      <c r="HBD41" s="624"/>
      <c r="HBE41" s="624"/>
      <c r="HBF41" s="624"/>
      <c r="HBG41" s="624"/>
      <c r="HBH41" s="624"/>
      <c r="HBI41" s="624"/>
      <c r="HBJ41" s="624"/>
      <c r="HBK41" s="624"/>
      <c r="HBL41" s="624"/>
      <c r="HBM41" s="624"/>
      <c r="HBN41" s="624"/>
      <c r="HBO41" s="624"/>
      <c r="HBP41" s="624"/>
      <c r="HBQ41" s="624"/>
      <c r="HBR41" s="624"/>
      <c r="HBS41" s="624"/>
      <c r="HBT41" s="624"/>
      <c r="HBU41" s="624"/>
      <c r="HBV41" s="624"/>
      <c r="HBW41" s="624"/>
      <c r="HBX41" s="624"/>
      <c r="HBY41" s="624"/>
      <c r="HBZ41" s="624"/>
      <c r="HCA41" s="624"/>
      <c r="HCB41" s="624"/>
      <c r="HCC41" s="624"/>
      <c r="HCD41" s="624"/>
      <c r="HCE41" s="624"/>
      <c r="HCF41" s="624"/>
      <c r="HCG41" s="624"/>
      <c r="HCH41" s="624"/>
      <c r="HCI41" s="624"/>
      <c r="HCJ41" s="624"/>
      <c r="HCK41" s="624"/>
      <c r="HCL41" s="624"/>
      <c r="HCM41" s="624"/>
      <c r="HCN41" s="624"/>
      <c r="HCO41" s="624"/>
      <c r="HCP41" s="624"/>
      <c r="HCQ41" s="624"/>
      <c r="HCR41" s="624"/>
      <c r="HCS41" s="624"/>
      <c r="HCT41" s="624"/>
      <c r="HCU41" s="624"/>
      <c r="HCV41" s="624"/>
      <c r="HCW41" s="624"/>
      <c r="HCX41" s="624"/>
      <c r="HCY41" s="624"/>
      <c r="HCZ41" s="624"/>
      <c r="HDA41" s="624"/>
      <c r="HDB41" s="624"/>
      <c r="HDC41" s="624"/>
      <c r="HDD41" s="624"/>
      <c r="HDE41" s="624"/>
      <c r="HDF41" s="624"/>
      <c r="HDG41" s="624"/>
      <c r="HDH41" s="624"/>
      <c r="HDI41" s="624"/>
      <c r="HDJ41" s="624"/>
      <c r="HDK41" s="624"/>
      <c r="HDL41" s="624"/>
      <c r="HDM41" s="624"/>
      <c r="HDN41" s="624"/>
      <c r="HDO41" s="624"/>
      <c r="HDP41" s="624"/>
      <c r="HDQ41" s="624"/>
      <c r="HDR41" s="624"/>
      <c r="HDS41" s="624"/>
      <c r="HDT41" s="624"/>
      <c r="HDU41" s="624"/>
      <c r="HDV41" s="624"/>
      <c r="HDW41" s="624"/>
      <c r="HDX41" s="624"/>
      <c r="HDY41" s="624"/>
      <c r="HDZ41" s="624"/>
      <c r="HEA41" s="624"/>
      <c r="HEB41" s="624"/>
      <c r="HEC41" s="624"/>
      <c r="HED41" s="624"/>
      <c r="HEE41" s="624"/>
      <c r="HEF41" s="624"/>
      <c r="HEG41" s="624"/>
      <c r="HEH41" s="624"/>
      <c r="HEI41" s="624"/>
      <c r="HEJ41" s="624"/>
      <c r="HEK41" s="624"/>
      <c r="HEL41" s="624"/>
      <c r="HEM41" s="624"/>
      <c r="HEN41" s="624"/>
      <c r="HEO41" s="624"/>
      <c r="HEP41" s="624"/>
      <c r="HEQ41" s="624"/>
      <c r="HER41" s="624"/>
      <c r="HES41" s="624"/>
      <c r="HET41" s="624"/>
      <c r="HEU41" s="624"/>
      <c r="HEV41" s="624"/>
      <c r="HEW41" s="624"/>
      <c r="HEX41" s="624"/>
      <c r="HEY41" s="624"/>
      <c r="HEZ41" s="624"/>
      <c r="HFA41" s="624"/>
      <c r="HFB41" s="624"/>
      <c r="HFC41" s="624"/>
      <c r="HFD41" s="624"/>
      <c r="HFE41" s="624"/>
      <c r="HFF41" s="624"/>
      <c r="HFG41" s="624"/>
      <c r="HFH41" s="624"/>
      <c r="HFI41" s="624"/>
      <c r="HFJ41" s="624"/>
      <c r="HFK41" s="624"/>
      <c r="HFL41" s="624"/>
      <c r="HFM41" s="624"/>
      <c r="HFN41" s="624"/>
      <c r="HFO41" s="624"/>
      <c r="HFP41" s="624"/>
      <c r="HFQ41" s="624"/>
      <c r="HFR41" s="624"/>
      <c r="HFS41" s="624"/>
      <c r="HFT41" s="624"/>
      <c r="HFU41" s="624"/>
      <c r="HFV41" s="624"/>
      <c r="HFW41" s="624"/>
      <c r="HFX41" s="624"/>
      <c r="HFY41" s="624"/>
      <c r="HFZ41" s="624"/>
      <c r="HGA41" s="624"/>
      <c r="HGB41" s="624"/>
      <c r="HGC41" s="624"/>
      <c r="HGD41" s="624"/>
      <c r="HGE41" s="624"/>
      <c r="HGF41" s="624"/>
      <c r="HGG41" s="624"/>
      <c r="HGH41" s="624"/>
      <c r="HGI41" s="624"/>
      <c r="HGJ41" s="624"/>
      <c r="HGK41" s="624"/>
      <c r="HGL41" s="624"/>
      <c r="HGM41" s="624"/>
      <c r="HGN41" s="624"/>
      <c r="HGO41" s="624"/>
      <c r="HGP41" s="624"/>
      <c r="HGQ41" s="624"/>
      <c r="HGR41" s="624"/>
      <c r="HGS41" s="624"/>
      <c r="HGT41" s="624"/>
      <c r="HGU41" s="624"/>
      <c r="HGV41" s="624"/>
      <c r="HGW41" s="624"/>
      <c r="HGX41" s="624"/>
      <c r="HGY41" s="624"/>
      <c r="HGZ41" s="624"/>
      <c r="HHA41" s="624"/>
      <c r="HHB41" s="624"/>
      <c r="HHC41" s="624"/>
      <c r="HHD41" s="624"/>
      <c r="HHE41" s="624"/>
      <c r="HHF41" s="624"/>
      <c r="HHG41" s="624"/>
      <c r="HHH41" s="624"/>
      <c r="HHI41" s="624"/>
      <c r="HHJ41" s="624"/>
      <c r="HHK41" s="624"/>
      <c r="HHL41" s="624"/>
      <c r="HHM41" s="624"/>
      <c r="HHN41" s="624"/>
      <c r="HHO41" s="624"/>
      <c r="HHP41" s="624"/>
      <c r="HHQ41" s="624"/>
      <c r="HHR41" s="624"/>
      <c r="HHS41" s="624"/>
      <c r="HHT41" s="624"/>
      <c r="HHU41" s="624"/>
      <c r="HHV41" s="624"/>
      <c r="HHW41" s="624"/>
      <c r="HHX41" s="624"/>
      <c r="HHY41" s="624"/>
      <c r="HHZ41" s="624"/>
      <c r="HIA41" s="624"/>
      <c r="HIB41" s="624"/>
      <c r="HIC41" s="624"/>
      <c r="HID41" s="624"/>
      <c r="HIE41" s="624"/>
      <c r="HIF41" s="624"/>
      <c r="HIG41" s="624"/>
      <c r="HIH41" s="624"/>
      <c r="HII41" s="624"/>
      <c r="HIJ41" s="624"/>
      <c r="HIK41" s="624"/>
      <c r="HIL41" s="624"/>
      <c r="HIM41" s="624"/>
      <c r="HIN41" s="624"/>
      <c r="HIO41" s="624"/>
      <c r="HIP41" s="624"/>
      <c r="HIQ41" s="624"/>
      <c r="HIR41" s="624"/>
      <c r="HIS41" s="624"/>
      <c r="HIT41" s="624"/>
      <c r="HIU41" s="624"/>
      <c r="HIV41" s="624"/>
      <c r="HIW41" s="624"/>
      <c r="HIX41" s="624"/>
      <c r="HIY41" s="624"/>
      <c r="HIZ41" s="624"/>
      <c r="HJA41" s="624"/>
      <c r="HJB41" s="624"/>
      <c r="HJC41" s="624"/>
      <c r="HJD41" s="624"/>
      <c r="HJE41" s="624"/>
      <c r="HJF41" s="624"/>
      <c r="HJG41" s="624"/>
      <c r="HJH41" s="624"/>
      <c r="HJI41" s="624"/>
      <c r="HJJ41" s="624"/>
      <c r="HJK41" s="624"/>
      <c r="HJL41" s="624"/>
      <c r="HJM41" s="624"/>
      <c r="HJN41" s="624"/>
      <c r="HJO41" s="624"/>
      <c r="HJP41" s="624"/>
      <c r="HJQ41" s="624"/>
      <c r="HJR41" s="624"/>
      <c r="HJS41" s="624"/>
      <c r="HJT41" s="624"/>
      <c r="HJU41" s="624"/>
      <c r="HJV41" s="624"/>
      <c r="HJW41" s="624"/>
      <c r="HJX41" s="624"/>
      <c r="HJY41" s="624"/>
      <c r="HJZ41" s="624"/>
      <c r="HKA41" s="624"/>
      <c r="HKB41" s="624"/>
      <c r="HKC41" s="624"/>
      <c r="HKD41" s="624"/>
      <c r="HKE41" s="624"/>
      <c r="HKF41" s="624"/>
      <c r="HKG41" s="624"/>
      <c r="HKH41" s="624"/>
      <c r="HKI41" s="624"/>
      <c r="HKJ41" s="624"/>
      <c r="HKK41" s="624"/>
      <c r="HKL41" s="624"/>
      <c r="HKM41" s="624"/>
      <c r="HKN41" s="624"/>
      <c r="HKO41" s="624"/>
      <c r="HKP41" s="624"/>
      <c r="HKQ41" s="624"/>
      <c r="HKR41" s="624"/>
      <c r="HKS41" s="624"/>
      <c r="HKT41" s="624"/>
      <c r="HKU41" s="624"/>
      <c r="HKV41" s="624"/>
      <c r="HKW41" s="624"/>
      <c r="HKX41" s="624"/>
      <c r="HKY41" s="624"/>
      <c r="HKZ41" s="624"/>
      <c r="HLA41" s="624"/>
      <c r="HLB41" s="624"/>
      <c r="HLC41" s="624"/>
      <c r="HLD41" s="624"/>
      <c r="HLE41" s="624"/>
      <c r="HLF41" s="624"/>
      <c r="HLG41" s="624"/>
      <c r="HLH41" s="624"/>
      <c r="HLI41" s="624"/>
      <c r="HLJ41" s="624"/>
      <c r="HLK41" s="624"/>
      <c r="HLL41" s="624"/>
      <c r="HLM41" s="624"/>
      <c r="HLN41" s="624"/>
      <c r="HLO41" s="624"/>
      <c r="HLP41" s="624"/>
      <c r="HLQ41" s="624"/>
      <c r="HLR41" s="624"/>
      <c r="HLS41" s="624"/>
      <c r="HLT41" s="624"/>
      <c r="HLU41" s="624"/>
      <c r="HLV41" s="624"/>
      <c r="HLW41" s="624"/>
      <c r="HLX41" s="624"/>
      <c r="HLY41" s="624"/>
      <c r="HLZ41" s="624"/>
      <c r="HMA41" s="624"/>
      <c r="HMB41" s="624"/>
      <c r="HMC41" s="624"/>
      <c r="HMD41" s="624"/>
      <c r="HME41" s="624"/>
      <c r="HMF41" s="624"/>
      <c r="HMG41" s="624"/>
      <c r="HMH41" s="624"/>
      <c r="HMI41" s="624"/>
      <c r="HMJ41" s="624"/>
      <c r="HMK41" s="624"/>
      <c r="HML41" s="624"/>
      <c r="HMM41" s="624"/>
      <c r="HMN41" s="624"/>
      <c r="HMO41" s="624"/>
      <c r="HMP41" s="624"/>
      <c r="HMQ41" s="624"/>
      <c r="HMR41" s="624"/>
      <c r="HMS41" s="624"/>
      <c r="HMT41" s="624"/>
      <c r="HMU41" s="624"/>
      <c r="HMV41" s="624"/>
      <c r="HMW41" s="624"/>
      <c r="HMX41" s="624"/>
      <c r="HMY41" s="624"/>
      <c r="HMZ41" s="624"/>
      <c r="HNA41" s="624"/>
      <c r="HNB41" s="624"/>
      <c r="HNC41" s="624"/>
      <c r="HND41" s="624"/>
      <c r="HNE41" s="624"/>
      <c r="HNF41" s="624"/>
      <c r="HNG41" s="624"/>
      <c r="HNH41" s="624"/>
      <c r="HNI41" s="624"/>
      <c r="HNJ41" s="624"/>
      <c r="HNK41" s="624"/>
      <c r="HNL41" s="624"/>
      <c r="HNM41" s="624"/>
      <c r="HNN41" s="624"/>
      <c r="HNO41" s="624"/>
      <c r="HNP41" s="624"/>
      <c r="HNQ41" s="624"/>
      <c r="HNR41" s="624"/>
      <c r="HNS41" s="624"/>
      <c r="HNT41" s="624"/>
      <c r="HNU41" s="624"/>
      <c r="HNV41" s="624"/>
      <c r="HNW41" s="624"/>
      <c r="HNX41" s="624"/>
      <c r="HNY41" s="624"/>
      <c r="HNZ41" s="624"/>
      <c r="HOA41" s="624"/>
      <c r="HOB41" s="624"/>
      <c r="HOC41" s="624"/>
      <c r="HOD41" s="624"/>
      <c r="HOE41" s="624"/>
      <c r="HOF41" s="624"/>
      <c r="HOG41" s="624"/>
      <c r="HOH41" s="624"/>
      <c r="HOI41" s="624"/>
      <c r="HOJ41" s="624"/>
      <c r="HOK41" s="624"/>
      <c r="HOL41" s="624"/>
      <c r="HOM41" s="624"/>
      <c r="HON41" s="624"/>
      <c r="HOO41" s="624"/>
      <c r="HOP41" s="624"/>
      <c r="HOQ41" s="624"/>
      <c r="HOR41" s="624"/>
      <c r="HOS41" s="624"/>
      <c r="HOT41" s="624"/>
      <c r="HOU41" s="624"/>
      <c r="HOV41" s="624"/>
      <c r="HOW41" s="624"/>
      <c r="HOX41" s="624"/>
      <c r="HOY41" s="624"/>
      <c r="HOZ41" s="624"/>
      <c r="HPA41" s="624"/>
      <c r="HPB41" s="624"/>
      <c r="HPC41" s="624"/>
      <c r="HPD41" s="624"/>
      <c r="HPE41" s="624"/>
      <c r="HPF41" s="624"/>
      <c r="HPG41" s="624"/>
      <c r="HPH41" s="624"/>
      <c r="HPI41" s="624"/>
      <c r="HPJ41" s="624"/>
      <c r="HPK41" s="624"/>
      <c r="HPL41" s="624"/>
      <c r="HPM41" s="624"/>
      <c r="HPN41" s="624"/>
      <c r="HPO41" s="624"/>
      <c r="HPP41" s="624"/>
      <c r="HPQ41" s="624"/>
      <c r="HPR41" s="624"/>
      <c r="HPS41" s="624"/>
      <c r="HPT41" s="624"/>
      <c r="HPU41" s="624"/>
      <c r="HPV41" s="624"/>
      <c r="HPW41" s="624"/>
      <c r="HPX41" s="624"/>
      <c r="HPY41" s="624"/>
      <c r="HPZ41" s="624"/>
      <c r="HQA41" s="624"/>
      <c r="HQB41" s="624"/>
      <c r="HQC41" s="624"/>
      <c r="HQD41" s="624"/>
      <c r="HQE41" s="624"/>
      <c r="HQF41" s="624"/>
      <c r="HQG41" s="624"/>
      <c r="HQH41" s="624"/>
      <c r="HQI41" s="624"/>
      <c r="HQJ41" s="624"/>
      <c r="HQK41" s="624"/>
      <c r="HQL41" s="624"/>
      <c r="HQM41" s="624"/>
      <c r="HQN41" s="624"/>
      <c r="HQO41" s="624"/>
      <c r="HQP41" s="624"/>
      <c r="HQQ41" s="624"/>
      <c r="HQR41" s="624"/>
      <c r="HQS41" s="624"/>
      <c r="HQT41" s="624"/>
      <c r="HQU41" s="624"/>
      <c r="HQV41" s="624"/>
      <c r="HQW41" s="624"/>
      <c r="HQX41" s="624"/>
      <c r="HQY41" s="624"/>
      <c r="HQZ41" s="624"/>
      <c r="HRA41" s="624"/>
      <c r="HRB41" s="624"/>
      <c r="HRC41" s="624"/>
      <c r="HRD41" s="624"/>
      <c r="HRE41" s="624"/>
      <c r="HRF41" s="624"/>
      <c r="HRG41" s="624"/>
      <c r="HRH41" s="624"/>
      <c r="HRI41" s="624"/>
      <c r="HRJ41" s="624"/>
      <c r="HRK41" s="624"/>
      <c r="HRL41" s="624"/>
      <c r="HRM41" s="624"/>
      <c r="HRN41" s="624"/>
      <c r="HRO41" s="624"/>
      <c r="HRP41" s="624"/>
      <c r="HRQ41" s="624"/>
      <c r="HRR41" s="624"/>
      <c r="HRS41" s="624"/>
      <c r="HRT41" s="624"/>
      <c r="HRU41" s="624"/>
      <c r="HRV41" s="624"/>
      <c r="HRW41" s="624"/>
      <c r="HRX41" s="624"/>
      <c r="HRY41" s="624"/>
      <c r="HRZ41" s="624"/>
      <c r="HSA41" s="624"/>
      <c r="HSB41" s="624"/>
      <c r="HSC41" s="624"/>
      <c r="HSD41" s="624"/>
      <c r="HSE41" s="624"/>
      <c r="HSF41" s="624"/>
      <c r="HSG41" s="624"/>
      <c r="HSH41" s="624"/>
      <c r="HSI41" s="624"/>
      <c r="HSJ41" s="624"/>
      <c r="HSK41" s="624"/>
      <c r="HSL41" s="624"/>
      <c r="HSM41" s="624"/>
      <c r="HSN41" s="624"/>
      <c r="HSO41" s="624"/>
      <c r="HSP41" s="624"/>
      <c r="HSQ41" s="624"/>
      <c r="HSR41" s="624"/>
      <c r="HSS41" s="624"/>
      <c r="HST41" s="624"/>
      <c r="HSU41" s="624"/>
      <c r="HSV41" s="624"/>
      <c r="HSW41" s="624"/>
      <c r="HSX41" s="624"/>
      <c r="HSY41" s="624"/>
      <c r="HSZ41" s="624"/>
      <c r="HTA41" s="624"/>
      <c r="HTB41" s="624"/>
      <c r="HTC41" s="624"/>
      <c r="HTD41" s="624"/>
      <c r="HTE41" s="624"/>
      <c r="HTF41" s="624"/>
      <c r="HTG41" s="624"/>
      <c r="HTH41" s="624"/>
      <c r="HTI41" s="624"/>
      <c r="HTJ41" s="624"/>
      <c r="HTK41" s="624"/>
      <c r="HTL41" s="624"/>
      <c r="HTM41" s="624"/>
      <c r="HTN41" s="624"/>
      <c r="HTO41" s="624"/>
      <c r="HTP41" s="624"/>
      <c r="HTQ41" s="624"/>
      <c r="HTR41" s="624"/>
      <c r="HTS41" s="624"/>
      <c r="HTT41" s="624"/>
      <c r="HTU41" s="624"/>
      <c r="HTV41" s="624"/>
      <c r="HTW41" s="624"/>
      <c r="HTX41" s="624"/>
      <c r="HTY41" s="624"/>
      <c r="HTZ41" s="624"/>
      <c r="HUA41" s="624"/>
      <c r="HUB41" s="624"/>
      <c r="HUC41" s="624"/>
      <c r="HUD41" s="624"/>
      <c r="HUE41" s="624"/>
      <c r="HUF41" s="624"/>
      <c r="HUG41" s="624"/>
      <c r="HUH41" s="624"/>
      <c r="HUI41" s="624"/>
      <c r="HUJ41" s="624"/>
      <c r="HUK41" s="624"/>
      <c r="HUL41" s="624"/>
      <c r="HUM41" s="624"/>
      <c r="HUN41" s="624"/>
      <c r="HUO41" s="624"/>
      <c r="HUP41" s="624"/>
      <c r="HUQ41" s="624"/>
      <c r="HUR41" s="624"/>
      <c r="HUS41" s="624"/>
      <c r="HUT41" s="624"/>
      <c r="HUU41" s="624"/>
      <c r="HUV41" s="624"/>
      <c r="HUW41" s="624"/>
      <c r="HUX41" s="624"/>
      <c r="HUY41" s="624"/>
      <c r="HUZ41" s="624"/>
      <c r="HVA41" s="624"/>
      <c r="HVB41" s="624"/>
      <c r="HVC41" s="624"/>
      <c r="HVD41" s="624"/>
      <c r="HVE41" s="624"/>
      <c r="HVF41" s="624"/>
      <c r="HVG41" s="624"/>
      <c r="HVH41" s="624"/>
      <c r="HVI41" s="624"/>
      <c r="HVJ41" s="624"/>
      <c r="HVK41" s="624"/>
      <c r="HVL41" s="624"/>
      <c r="HVM41" s="624"/>
      <c r="HVN41" s="624"/>
      <c r="HVO41" s="624"/>
      <c r="HVP41" s="624"/>
      <c r="HVQ41" s="624"/>
      <c r="HVR41" s="624"/>
      <c r="HVS41" s="624"/>
      <c r="HVT41" s="624"/>
      <c r="HVU41" s="624"/>
      <c r="HVV41" s="624"/>
      <c r="HVW41" s="624"/>
      <c r="HVX41" s="624"/>
      <c r="HVY41" s="624"/>
      <c r="HVZ41" s="624"/>
      <c r="HWA41" s="624"/>
      <c r="HWB41" s="624"/>
      <c r="HWC41" s="624"/>
      <c r="HWD41" s="624"/>
      <c r="HWE41" s="624"/>
      <c r="HWF41" s="624"/>
      <c r="HWG41" s="624"/>
      <c r="HWH41" s="624"/>
      <c r="HWI41" s="624"/>
      <c r="HWJ41" s="624"/>
      <c r="HWK41" s="624"/>
      <c r="HWL41" s="624"/>
      <c r="HWM41" s="624"/>
      <c r="HWN41" s="624"/>
      <c r="HWO41" s="624"/>
      <c r="HWP41" s="624"/>
      <c r="HWQ41" s="624"/>
      <c r="HWR41" s="624"/>
      <c r="HWS41" s="624"/>
      <c r="HWT41" s="624"/>
      <c r="HWU41" s="624"/>
      <c r="HWV41" s="624"/>
      <c r="HWW41" s="624"/>
      <c r="HWX41" s="624"/>
      <c r="HWY41" s="624"/>
      <c r="HWZ41" s="624"/>
      <c r="HXA41" s="624"/>
      <c r="HXB41" s="624"/>
      <c r="HXC41" s="624"/>
      <c r="HXD41" s="624"/>
      <c r="HXE41" s="624"/>
      <c r="HXF41" s="624"/>
      <c r="HXG41" s="624"/>
      <c r="HXH41" s="624"/>
      <c r="HXI41" s="624"/>
      <c r="HXJ41" s="624"/>
      <c r="HXK41" s="624"/>
      <c r="HXL41" s="624"/>
      <c r="HXM41" s="624"/>
      <c r="HXN41" s="624"/>
      <c r="HXO41" s="624"/>
      <c r="HXP41" s="624"/>
      <c r="HXQ41" s="624"/>
      <c r="HXR41" s="624"/>
      <c r="HXS41" s="624"/>
      <c r="HXT41" s="624"/>
      <c r="HXU41" s="624"/>
      <c r="HXV41" s="624"/>
      <c r="HXW41" s="624"/>
      <c r="HXX41" s="624"/>
      <c r="HXY41" s="624"/>
      <c r="HXZ41" s="624"/>
      <c r="HYA41" s="624"/>
      <c r="HYB41" s="624"/>
      <c r="HYC41" s="624"/>
      <c r="HYD41" s="624"/>
      <c r="HYE41" s="624"/>
      <c r="HYF41" s="624"/>
      <c r="HYG41" s="624"/>
      <c r="HYH41" s="624"/>
      <c r="HYI41" s="624"/>
      <c r="HYJ41" s="624"/>
      <c r="HYK41" s="624"/>
      <c r="HYL41" s="624"/>
      <c r="HYM41" s="624"/>
      <c r="HYN41" s="624"/>
      <c r="HYO41" s="624"/>
      <c r="HYP41" s="624"/>
      <c r="HYQ41" s="624"/>
      <c r="HYR41" s="624"/>
      <c r="HYS41" s="624"/>
      <c r="HYT41" s="624"/>
      <c r="HYU41" s="624"/>
      <c r="HYV41" s="624"/>
      <c r="HYW41" s="624"/>
      <c r="HYX41" s="624"/>
      <c r="HYY41" s="624"/>
      <c r="HYZ41" s="624"/>
      <c r="HZA41" s="624"/>
      <c r="HZB41" s="624"/>
      <c r="HZC41" s="624"/>
      <c r="HZD41" s="624"/>
      <c r="HZE41" s="624"/>
      <c r="HZF41" s="624"/>
      <c r="HZG41" s="624"/>
      <c r="HZH41" s="624"/>
      <c r="HZI41" s="624"/>
      <c r="HZJ41" s="624"/>
      <c r="HZK41" s="624"/>
      <c r="HZL41" s="624"/>
      <c r="HZM41" s="624"/>
      <c r="HZN41" s="624"/>
      <c r="HZO41" s="624"/>
      <c r="HZP41" s="624"/>
      <c r="HZQ41" s="624"/>
      <c r="HZR41" s="624"/>
      <c r="HZS41" s="624"/>
      <c r="HZT41" s="624"/>
      <c r="HZU41" s="624"/>
      <c r="HZV41" s="624"/>
      <c r="HZW41" s="624"/>
      <c r="HZX41" s="624"/>
      <c r="HZY41" s="624"/>
      <c r="HZZ41" s="624"/>
      <c r="IAA41" s="624"/>
      <c r="IAB41" s="624"/>
      <c r="IAC41" s="624"/>
      <c r="IAD41" s="624"/>
      <c r="IAE41" s="624"/>
      <c r="IAF41" s="624"/>
      <c r="IAG41" s="624"/>
      <c r="IAH41" s="624"/>
      <c r="IAI41" s="624"/>
      <c r="IAJ41" s="624"/>
      <c r="IAK41" s="624"/>
      <c r="IAL41" s="624"/>
      <c r="IAM41" s="624"/>
      <c r="IAN41" s="624"/>
      <c r="IAO41" s="624"/>
      <c r="IAP41" s="624"/>
      <c r="IAQ41" s="624"/>
      <c r="IAR41" s="624"/>
      <c r="IAS41" s="624"/>
      <c r="IAT41" s="624"/>
      <c r="IAU41" s="624"/>
      <c r="IAV41" s="624"/>
      <c r="IAW41" s="624"/>
      <c r="IAX41" s="624"/>
      <c r="IAY41" s="624"/>
      <c r="IAZ41" s="624"/>
      <c r="IBA41" s="624"/>
      <c r="IBB41" s="624"/>
      <c r="IBC41" s="624"/>
      <c r="IBD41" s="624"/>
      <c r="IBE41" s="624"/>
      <c r="IBF41" s="624"/>
      <c r="IBG41" s="624"/>
      <c r="IBH41" s="624"/>
      <c r="IBI41" s="624"/>
      <c r="IBJ41" s="624"/>
      <c r="IBK41" s="624"/>
      <c r="IBL41" s="624"/>
      <c r="IBM41" s="624"/>
      <c r="IBN41" s="624"/>
      <c r="IBO41" s="624"/>
      <c r="IBP41" s="624"/>
      <c r="IBQ41" s="624"/>
      <c r="IBR41" s="624"/>
      <c r="IBS41" s="624"/>
      <c r="IBT41" s="624"/>
      <c r="IBU41" s="624"/>
      <c r="IBV41" s="624"/>
      <c r="IBW41" s="624"/>
      <c r="IBX41" s="624"/>
      <c r="IBY41" s="624"/>
      <c r="IBZ41" s="624"/>
      <c r="ICA41" s="624"/>
      <c r="ICB41" s="624"/>
      <c r="ICC41" s="624"/>
      <c r="ICD41" s="624"/>
      <c r="ICE41" s="624"/>
      <c r="ICF41" s="624"/>
      <c r="ICG41" s="624"/>
      <c r="ICH41" s="624"/>
      <c r="ICI41" s="624"/>
      <c r="ICJ41" s="624"/>
      <c r="ICK41" s="624"/>
      <c r="ICL41" s="624"/>
      <c r="ICM41" s="624"/>
      <c r="ICN41" s="624"/>
      <c r="ICO41" s="624"/>
      <c r="ICP41" s="624"/>
      <c r="ICQ41" s="624"/>
      <c r="ICR41" s="624"/>
      <c r="ICS41" s="624"/>
      <c r="ICT41" s="624"/>
      <c r="ICU41" s="624"/>
      <c r="ICV41" s="624"/>
      <c r="ICW41" s="624"/>
      <c r="ICX41" s="624"/>
      <c r="ICY41" s="624"/>
      <c r="ICZ41" s="624"/>
      <c r="IDA41" s="624"/>
      <c r="IDB41" s="624"/>
      <c r="IDC41" s="624"/>
      <c r="IDD41" s="624"/>
      <c r="IDE41" s="624"/>
      <c r="IDF41" s="624"/>
      <c r="IDG41" s="624"/>
      <c r="IDH41" s="624"/>
      <c r="IDI41" s="624"/>
      <c r="IDJ41" s="624"/>
      <c r="IDK41" s="624"/>
      <c r="IDL41" s="624"/>
      <c r="IDM41" s="624"/>
      <c r="IDN41" s="624"/>
      <c r="IDO41" s="624"/>
      <c r="IDP41" s="624"/>
      <c r="IDQ41" s="624"/>
      <c r="IDR41" s="624"/>
      <c r="IDS41" s="624"/>
      <c r="IDT41" s="624"/>
      <c r="IDU41" s="624"/>
      <c r="IDV41" s="624"/>
      <c r="IDW41" s="624"/>
      <c r="IDX41" s="624"/>
      <c r="IDY41" s="624"/>
      <c r="IDZ41" s="624"/>
      <c r="IEA41" s="624"/>
      <c r="IEB41" s="624"/>
      <c r="IEC41" s="624"/>
      <c r="IED41" s="624"/>
      <c r="IEE41" s="624"/>
      <c r="IEF41" s="624"/>
      <c r="IEG41" s="624"/>
      <c r="IEH41" s="624"/>
      <c r="IEI41" s="624"/>
      <c r="IEJ41" s="624"/>
      <c r="IEK41" s="624"/>
      <c r="IEL41" s="624"/>
      <c r="IEM41" s="624"/>
      <c r="IEN41" s="624"/>
      <c r="IEO41" s="624"/>
      <c r="IEP41" s="624"/>
      <c r="IEQ41" s="624"/>
      <c r="IER41" s="624"/>
      <c r="IES41" s="624"/>
      <c r="IET41" s="624"/>
      <c r="IEU41" s="624"/>
      <c r="IEV41" s="624"/>
      <c r="IEW41" s="624"/>
      <c r="IEX41" s="624"/>
      <c r="IEY41" s="624"/>
      <c r="IEZ41" s="624"/>
      <c r="IFA41" s="624"/>
      <c r="IFB41" s="624"/>
      <c r="IFC41" s="624"/>
      <c r="IFD41" s="624"/>
      <c r="IFE41" s="624"/>
      <c r="IFF41" s="624"/>
      <c r="IFG41" s="624"/>
      <c r="IFH41" s="624"/>
      <c r="IFI41" s="624"/>
      <c r="IFJ41" s="624"/>
      <c r="IFK41" s="624"/>
      <c r="IFL41" s="624"/>
      <c r="IFM41" s="624"/>
      <c r="IFN41" s="624"/>
      <c r="IFO41" s="624"/>
      <c r="IFP41" s="624"/>
      <c r="IFQ41" s="624"/>
      <c r="IFR41" s="624"/>
      <c r="IFS41" s="624"/>
      <c r="IFT41" s="624"/>
      <c r="IFU41" s="624"/>
      <c r="IFV41" s="624"/>
      <c r="IFW41" s="624"/>
      <c r="IFX41" s="624"/>
      <c r="IFY41" s="624"/>
      <c r="IFZ41" s="624"/>
      <c r="IGA41" s="624"/>
      <c r="IGB41" s="624"/>
      <c r="IGC41" s="624"/>
      <c r="IGD41" s="624"/>
      <c r="IGE41" s="624"/>
      <c r="IGF41" s="624"/>
      <c r="IGG41" s="624"/>
      <c r="IGH41" s="624"/>
      <c r="IGI41" s="624"/>
      <c r="IGJ41" s="624"/>
      <c r="IGK41" s="624"/>
      <c r="IGL41" s="624"/>
      <c r="IGM41" s="624"/>
      <c r="IGN41" s="624"/>
      <c r="IGO41" s="624"/>
      <c r="IGP41" s="624"/>
      <c r="IGQ41" s="624"/>
      <c r="IGR41" s="624"/>
      <c r="IGS41" s="624"/>
      <c r="IGT41" s="624"/>
      <c r="IGU41" s="624"/>
      <c r="IGV41" s="624"/>
      <c r="IGW41" s="624"/>
      <c r="IGX41" s="624"/>
      <c r="IGY41" s="624"/>
      <c r="IGZ41" s="624"/>
      <c r="IHA41" s="624"/>
      <c r="IHB41" s="624"/>
      <c r="IHC41" s="624"/>
      <c r="IHD41" s="624"/>
      <c r="IHE41" s="624"/>
      <c r="IHF41" s="624"/>
      <c r="IHG41" s="624"/>
      <c r="IHH41" s="624"/>
      <c r="IHI41" s="624"/>
      <c r="IHJ41" s="624"/>
      <c r="IHK41" s="624"/>
      <c r="IHL41" s="624"/>
      <c r="IHM41" s="624"/>
      <c r="IHN41" s="624"/>
      <c r="IHO41" s="624"/>
      <c r="IHP41" s="624"/>
      <c r="IHQ41" s="624"/>
      <c r="IHR41" s="624"/>
      <c r="IHS41" s="624"/>
      <c r="IHT41" s="624"/>
      <c r="IHU41" s="624"/>
      <c r="IHV41" s="624"/>
      <c r="IHW41" s="624"/>
      <c r="IHX41" s="624"/>
      <c r="IHY41" s="624"/>
      <c r="IHZ41" s="624"/>
      <c r="IIA41" s="624"/>
      <c r="IIB41" s="624"/>
      <c r="IIC41" s="624"/>
      <c r="IID41" s="624"/>
      <c r="IIE41" s="624"/>
      <c r="IIF41" s="624"/>
      <c r="IIG41" s="624"/>
      <c r="IIH41" s="624"/>
      <c r="III41" s="624"/>
      <c r="IIJ41" s="624"/>
      <c r="IIK41" s="624"/>
      <c r="IIL41" s="624"/>
      <c r="IIM41" s="624"/>
      <c r="IIN41" s="624"/>
      <c r="IIO41" s="624"/>
      <c r="IIP41" s="624"/>
      <c r="IIQ41" s="624"/>
      <c r="IIR41" s="624"/>
      <c r="IIS41" s="624"/>
      <c r="IIT41" s="624"/>
      <c r="IIU41" s="624"/>
      <c r="IIV41" s="624"/>
      <c r="IIW41" s="624"/>
      <c r="IIX41" s="624"/>
      <c r="IIY41" s="624"/>
      <c r="IIZ41" s="624"/>
      <c r="IJA41" s="624"/>
      <c r="IJB41" s="624"/>
      <c r="IJC41" s="624"/>
      <c r="IJD41" s="624"/>
      <c r="IJE41" s="624"/>
      <c r="IJF41" s="624"/>
      <c r="IJG41" s="624"/>
      <c r="IJH41" s="624"/>
      <c r="IJI41" s="624"/>
      <c r="IJJ41" s="624"/>
      <c r="IJK41" s="624"/>
      <c r="IJL41" s="624"/>
      <c r="IJM41" s="624"/>
      <c r="IJN41" s="624"/>
      <c r="IJO41" s="624"/>
      <c r="IJP41" s="624"/>
      <c r="IJQ41" s="624"/>
      <c r="IJR41" s="624"/>
      <c r="IJS41" s="624"/>
      <c r="IJT41" s="624"/>
      <c r="IJU41" s="624"/>
      <c r="IJV41" s="624"/>
      <c r="IJW41" s="624"/>
      <c r="IJX41" s="624"/>
      <c r="IJY41" s="624"/>
      <c r="IJZ41" s="624"/>
      <c r="IKA41" s="624"/>
      <c r="IKB41" s="624"/>
      <c r="IKC41" s="624"/>
      <c r="IKD41" s="624"/>
      <c r="IKE41" s="624"/>
      <c r="IKF41" s="624"/>
      <c r="IKG41" s="624"/>
      <c r="IKH41" s="624"/>
      <c r="IKI41" s="624"/>
      <c r="IKJ41" s="624"/>
      <c r="IKK41" s="624"/>
      <c r="IKL41" s="624"/>
      <c r="IKM41" s="624"/>
      <c r="IKN41" s="624"/>
      <c r="IKO41" s="624"/>
      <c r="IKP41" s="624"/>
      <c r="IKQ41" s="624"/>
      <c r="IKR41" s="624"/>
      <c r="IKS41" s="624"/>
      <c r="IKT41" s="624"/>
      <c r="IKU41" s="624"/>
      <c r="IKV41" s="624"/>
      <c r="IKW41" s="624"/>
      <c r="IKX41" s="624"/>
      <c r="IKY41" s="624"/>
      <c r="IKZ41" s="624"/>
      <c r="ILA41" s="624"/>
      <c r="ILB41" s="624"/>
      <c r="ILC41" s="624"/>
      <c r="ILD41" s="624"/>
      <c r="ILE41" s="624"/>
      <c r="ILF41" s="624"/>
      <c r="ILG41" s="624"/>
      <c r="ILH41" s="624"/>
      <c r="ILI41" s="624"/>
      <c r="ILJ41" s="624"/>
      <c r="ILK41" s="624"/>
      <c r="ILL41" s="624"/>
      <c r="ILM41" s="624"/>
      <c r="ILN41" s="624"/>
      <c r="ILO41" s="624"/>
      <c r="ILP41" s="624"/>
      <c r="ILQ41" s="624"/>
      <c r="ILR41" s="624"/>
      <c r="ILS41" s="624"/>
      <c r="ILT41" s="624"/>
      <c r="ILU41" s="624"/>
      <c r="ILV41" s="624"/>
      <c r="ILW41" s="624"/>
      <c r="ILX41" s="624"/>
      <c r="ILY41" s="624"/>
      <c r="ILZ41" s="624"/>
      <c r="IMA41" s="624"/>
      <c r="IMB41" s="624"/>
      <c r="IMC41" s="624"/>
      <c r="IMD41" s="624"/>
      <c r="IME41" s="624"/>
      <c r="IMF41" s="624"/>
      <c r="IMG41" s="624"/>
      <c r="IMH41" s="624"/>
      <c r="IMI41" s="624"/>
      <c r="IMJ41" s="624"/>
      <c r="IMK41" s="624"/>
      <c r="IML41" s="624"/>
      <c r="IMM41" s="624"/>
      <c r="IMN41" s="624"/>
      <c r="IMO41" s="624"/>
      <c r="IMP41" s="624"/>
      <c r="IMQ41" s="624"/>
      <c r="IMR41" s="624"/>
      <c r="IMS41" s="624"/>
      <c r="IMT41" s="624"/>
      <c r="IMU41" s="624"/>
      <c r="IMV41" s="624"/>
      <c r="IMW41" s="624"/>
      <c r="IMX41" s="624"/>
      <c r="IMY41" s="624"/>
      <c r="IMZ41" s="624"/>
      <c r="INA41" s="624"/>
      <c r="INB41" s="624"/>
      <c r="INC41" s="624"/>
      <c r="IND41" s="624"/>
      <c r="INE41" s="624"/>
      <c r="INF41" s="624"/>
      <c r="ING41" s="624"/>
      <c r="INH41" s="624"/>
      <c r="INI41" s="624"/>
      <c r="INJ41" s="624"/>
      <c r="INK41" s="624"/>
      <c r="INL41" s="624"/>
      <c r="INM41" s="624"/>
      <c r="INN41" s="624"/>
      <c r="INO41" s="624"/>
      <c r="INP41" s="624"/>
      <c r="INQ41" s="624"/>
      <c r="INR41" s="624"/>
      <c r="INS41" s="624"/>
      <c r="INT41" s="624"/>
      <c r="INU41" s="624"/>
      <c r="INV41" s="624"/>
      <c r="INW41" s="624"/>
      <c r="INX41" s="624"/>
      <c r="INY41" s="624"/>
      <c r="INZ41" s="624"/>
      <c r="IOA41" s="624"/>
      <c r="IOB41" s="624"/>
      <c r="IOC41" s="624"/>
      <c r="IOD41" s="624"/>
      <c r="IOE41" s="624"/>
      <c r="IOF41" s="624"/>
      <c r="IOG41" s="624"/>
      <c r="IOH41" s="624"/>
      <c r="IOI41" s="624"/>
      <c r="IOJ41" s="624"/>
      <c r="IOK41" s="624"/>
      <c r="IOL41" s="624"/>
      <c r="IOM41" s="624"/>
      <c r="ION41" s="624"/>
      <c r="IOO41" s="624"/>
      <c r="IOP41" s="624"/>
      <c r="IOQ41" s="624"/>
      <c r="IOR41" s="624"/>
      <c r="IOS41" s="624"/>
      <c r="IOT41" s="624"/>
      <c r="IOU41" s="624"/>
      <c r="IOV41" s="624"/>
      <c r="IOW41" s="624"/>
      <c r="IOX41" s="624"/>
      <c r="IOY41" s="624"/>
      <c r="IOZ41" s="624"/>
      <c r="IPA41" s="624"/>
      <c r="IPB41" s="624"/>
      <c r="IPC41" s="624"/>
      <c r="IPD41" s="624"/>
      <c r="IPE41" s="624"/>
      <c r="IPF41" s="624"/>
      <c r="IPG41" s="624"/>
      <c r="IPH41" s="624"/>
      <c r="IPI41" s="624"/>
      <c r="IPJ41" s="624"/>
      <c r="IPK41" s="624"/>
      <c r="IPL41" s="624"/>
      <c r="IPM41" s="624"/>
      <c r="IPN41" s="624"/>
      <c r="IPO41" s="624"/>
      <c r="IPP41" s="624"/>
      <c r="IPQ41" s="624"/>
      <c r="IPR41" s="624"/>
      <c r="IPS41" s="624"/>
      <c r="IPT41" s="624"/>
      <c r="IPU41" s="624"/>
      <c r="IPV41" s="624"/>
      <c r="IPW41" s="624"/>
      <c r="IPX41" s="624"/>
      <c r="IPY41" s="624"/>
      <c r="IPZ41" s="624"/>
      <c r="IQA41" s="624"/>
      <c r="IQB41" s="624"/>
      <c r="IQC41" s="624"/>
      <c r="IQD41" s="624"/>
      <c r="IQE41" s="624"/>
      <c r="IQF41" s="624"/>
      <c r="IQG41" s="624"/>
      <c r="IQH41" s="624"/>
      <c r="IQI41" s="624"/>
      <c r="IQJ41" s="624"/>
      <c r="IQK41" s="624"/>
      <c r="IQL41" s="624"/>
      <c r="IQM41" s="624"/>
      <c r="IQN41" s="624"/>
      <c r="IQO41" s="624"/>
      <c r="IQP41" s="624"/>
      <c r="IQQ41" s="624"/>
      <c r="IQR41" s="624"/>
      <c r="IQS41" s="624"/>
      <c r="IQT41" s="624"/>
      <c r="IQU41" s="624"/>
      <c r="IQV41" s="624"/>
      <c r="IQW41" s="624"/>
      <c r="IQX41" s="624"/>
      <c r="IQY41" s="624"/>
      <c r="IQZ41" s="624"/>
      <c r="IRA41" s="624"/>
      <c r="IRB41" s="624"/>
      <c r="IRC41" s="624"/>
      <c r="IRD41" s="624"/>
      <c r="IRE41" s="624"/>
      <c r="IRF41" s="624"/>
      <c r="IRG41" s="624"/>
      <c r="IRH41" s="624"/>
      <c r="IRI41" s="624"/>
      <c r="IRJ41" s="624"/>
      <c r="IRK41" s="624"/>
      <c r="IRL41" s="624"/>
      <c r="IRM41" s="624"/>
      <c r="IRN41" s="624"/>
      <c r="IRO41" s="624"/>
      <c r="IRP41" s="624"/>
      <c r="IRQ41" s="624"/>
      <c r="IRR41" s="624"/>
      <c r="IRS41" s="624"/>
      <c r="IRT41" s="624"/>
      <c r="IRU41" s="624"/>
      <c r="IRV41" s="624"/>
      <c r="IRW41" s="624"/>
      <c r="IRX41" s="624"/>
      <c r="IRY41" s="624"/>
      <c r="IRZ41" s="624"/>
      <c r="ISA41" s="624"/>
      <c r="ISB41" s="624"/>
      <c r="ISC41" s="624"/>
      <c r="ISD41" s="624"/>
      <c r="ISE41" s="624"/>
      <c r="ISF41" s="624"/>
      <c r="ISG41" s="624"/>
      <c r="ISH41" s="624"/>
      <c r="ISI41" s="624"/>
      <c r="ISJ41" s="624"/>
      <c r="ISK41" s="624"/>
      <c r="ISL41" s="624"/>
      <c r="ISM41" s="624"/>
      <c r="ISN41" s="624"/>
      <c r="ISO41" s="624"/>
      <c r="ISP41" s="624"/>
      <c r="ISQ41" s="624"/>
      <c r="ISR41" s="624"/>
      <c r="ISS41" s="624"/>
      <c r="IST41" s="624"/>
      <c r="ISU41" s="624"/>
      <c r="ISV41" s="624"/>
      <c r="ISW41" s="624"/>
      <c r="ISX41" s="624"/>
      <c r="ISY41" s="624"/>
      <c r="ISZ41" s="624"/>
      <c r="ITA41" s="624"/>
      <c r="ITB41" s="624"/>
      <c r="ITC41" s="624"/>
      <c r="ITD41" s="624"/>
      <c r="ITE41" s="624"/>
      <c r="ITF41" s="624"/>
      <c r="ITG41" s="624"/>
      <c r="ITH41" s="624"/>
      <c r="ITI41" s="624"/>
      <c r="ITJ41" s="624"/>
      <c r="ITK41" s="624"/>
      <c r="ITL41" s="624"/>
      <c r="ITM41" s="624"/>
      <c r="ITN41" s="624"/>
      <c r="ITO41" s="624"/>
      <c r="ITP41" s="624"/>
      <c r="ITQ41" s="624"/>
      <c r="ITR41" s="624"/>
      <c r="ITS41" s="624"/>
      <c r="ITT41" s="624"/>
      <c r="ITU41" s="624"/>
      <c r="ITV41" s="624"/>
      <c r="ITW41" s="624"/>
      <c r="ITX41" s="624"/>
      <c r="ITY41" s="624"/>
      <c r="ITZ41" s="624"/>
      <c r="IUA41" s="624"/>
      <c r="IUB41" s="624"/>
      <c r="IUC41" s="624"/>
      <c r="IUD41" s="624"/>
      <c r="IUE41" s="624"/>
      <c r="IUF41" s="624"/>
      <c r="IUG41" s="624"/>
      <c r="IUH41" s="624"/>
      <c r="IUI41" s="624"/>
      <c r="IUJ41" s="624"/>
      <c r="IUK41" s="624"/>
      <c r="IUL41" s="624"/>
      <c r="IUM41" s="624"/>
      <c r="IUN41" s="624"/>
      <c r="IUO41" s="624"/>
      <c r="IUP41" s="624"/>
      <c r="IUQ41" s="624"/>
      <c r="IUR41" s="624"/>
      <c r="IUS41" s="624"/>
      <c r="IUT41" s="624"/>
      <c r="IUU41" s="624"/>
      <c r="IUV41" s="624"/>
      <c r="IUW41" s="624"/>
      <c r="IUX41" s="624"/>
      <c r="IUY41" s="624"/>
      <c r="IUZ41" s="624"/>
      <c r="IVA41" s="624"/>
      <c r="IVB41" s="624"/>
      <c r="IVC41" s="624"/>
      <c r="IVD41" s="624"/>
      <c r="IVE41" s="624"/>
      <c r="IVF41" s="624"/>
      <c r="IVG41" s="624"/>
      <c r="IVH41" s="624"/>
      <c r="IVI41" s="624"/>
      <c r="IVJ41" s="624"/>
      <c r="IVK41" s="624"/>
      <c r="IVL41" s="624"/>
      <c r="IVM41" s="624"/>
      <c r="IVN41" s="624"/>
      <c r="IVO41" s="624"/>
      <c r="IVP41" s="624"/>
      <c r="IVQ41" s="624"/>
      <c r="IVR41" s="624"/>
      <c r="IVS41" s="624"/>
      <c r="IVT41" s="624"/>
      <c r="IVU41" s="624"/>
      <c r="IVV41" s="624"/>
      <c r="IVW41" s="624"/>
      <c r="IVX41" s="624"/>
      <c r="IVY41" s="624"/>
      <c r="IVZ41" s="624"/>
      <c r="IWA41" s="624"/>
      <c r="IWB41" s="624"/>
      <c r="IWC41" s="624"/>
      <c r="IWD41" s="624"/>
      <c r="IWE41" s="624"/>
      <c r="IWF41" s="624"/>
      <c r="IWG41" s="624"/>
      <c r="IWH41" s="624"/>
      <c r="IWI41" s="624"/>
      <c r="IWJ41" s="624"/>
      <c r="IWK41" s="624"/>
      <c r="IWL41" s="624"/>
      <c r="IWM41" s="624"/>
      <c r="IWN41" s="624"/>
      <c r="IWO41" s="624"/>
      <c r="IWP41" s="624"/>
      <c r="IWQ41" s="624"/>
      <c r="IWR41" s="624"/>
      <c r="IWS41" s="624"/>
      <c r="IWT41" s="624"/>
      <c r="IWU41" s="624"/>
      <c r="IWV41" s="624"/>
      <c r="IWW41" s="624"/>
      <c r="IWX41" s="624"/>
      <c r="IWY41" s="624"/>
      <c r="IWZ41" s="624"/>
      <c r="IXA41" s="624"/>
      <c r="IXB41" s="624"/>
      <c r="IXC41" s="624"/>
      <c r="IXD41" s="624"/>
      <c r="IXE41" s="624"/>
      <c r="IXF41" s="624"/>
      <c r="IXG41" s="624"/>
      <c r="IXH41" s="624"/>
      <c r="IXI41" s="624"/>
      <c r="IXJ41" s="624"/>
      <c r="IXK41" s="624"/>
      <c r="IXL41" s="624"/>
      <c r="IXM41" s="624"/>
      <c r="IXN41" s="624"/>
      <c r="IXO41" s="624"/>
      <c r="IXP41" s="624"/>
      <c r="IXQ41" s="624"/>
      <c r="IXR41" s="624"/>
      <c r="IXS41" s="624"/>
      <c r="IXT41" s="624"/>
      <c r="IXU41" s="624"/>
      <c r="IXV41" s="624"/>
      <c r="IXW41" s="624"/>
      <c r="IXX41" s="624"/>
      <c r="IXY41" s="624"/>
      <c r="IXZ41" s="624"/>
      <c r="IYA41" s="624"/>
      <c r="IYB41" s="624"/>
      <c r="IYC41" s="624"/>
      <c r="IYD41" s="624"/>
      <c r="IYE41" s="624"/>
      <c r="IYF41" s="624"/>
      <c r="IYG41" s="624"/>
      <c r="IYH41" s="624"/>
      <c r="IYI41" s="624"/>
      <c r="IYJ41" s="624"/>
      <c r="IYK41" s="624"/>
      <c r="IYL41" s="624"/>
      <c r="IYM41" s="624"/>
      <c r="IYN41" s="624"/>
      <c r="IYO41" s="624"/>
      <c r="IYP41" s="624"/>
      <c r="IYQ41" s="624"/>
      <c r="IYR41" s="624"/>
      <c r="IYS41" s="624"/>
      <c r="IYT41" s="624"/>
      <c r="IYU41" s="624"/>
      <c r="IYV41" s="624"/>
      <c r="IYW41" s="624"/>
      <c r="IYX41" s="624"/>
      <c r="IYY41" s="624"/>
      <c r="IYZ41" s="624"/>
      <c r="IZA41" s="624"/>
      <c r="IZB41" s="624"/>
      <c r="IZC41" s="624"/>
      <c r="IZD41" s="624"/>
      <c r="IZE41" s="624"/>
      <c r="IZF41" s="624"/>
      <c r="IZG41" s="624"/>
      <c r="IZH41" s="624"/>
      <c r="IZI41" s="624"/>
      <c r="IZJ41" s="624"/>
      <c r="IZK41" s="624"/>
      <c r="IZL41" s="624"/>
      <c r="IZM41" s="624"/>
      <c r="IZN41" s="624"/>
      <c r="IZO41" s="624"/>
      <c r="IZP41" s="624"/>
      <c r="IZQ41" s="624"/>
      <c r="IZR41" s="624"/>
      <c r="IZS41" s="624"/>
      <c r="IZT41" s="624"/>
      <c r="IZU41" s="624"/>
      <c r="IZV41" s="624"/>
      <c r="IZW41" s="624"/>
      <c r="IZX41" s="624"/>
      <c r="IZY41" s="624"/>
      <c r="IZZ41" s="624"/>
      <c r="JAA41" s="624"/>
      <c r="JAB41" s="624"/>
      <c r="JAC41" s="624"/>
      <c r="JAD41" s="624"/>
      <c r="JAE41" s="624"/>
      <c r="JAF41" s="624"/>
      <c r="JAG41" s="624"/>
      <c r="JAH41" s="624"/>
      <c r="JAI41" s="624"/>
      <c r="JAJ41" s="624"/>
      <c r="JAK41" s="624"/>
      <c r="JAL41" s="624"/>
      <c r="JAM41" s="624"/>
      <c r="JAN41" s="624"/>
      <c r="JAO41" s="624"/>
      <c r="JAP41" s="624"/>
      <c r="JAQ41" s="624"/>
      <c r="JAR41" s="624"/>
      <c r="JAS41" s="624"/>
      <c r="JAT41" s="624"/>
      <c r="JAU41" s="624"/>
      <c r="JAV41" s="624"/>
      <c r="JAW41" s="624"/>
      <c r="JAX41" s="624"/>
      <c r="JAY41" s="624"/>
      <c r="JAZ41" s="624"/>
      <c r="JBA41" s="624"/>
      <c r="JBB41" s="624"/>
      <c r="JBC41" s="624"/>
      <c r="JBD41" s="624"/>
      <c r="JBE41" s="624"/>
      <c r="JBF41" s="624"/>
      <c r="JBG41" s="624"/>
      <c r="JBH41" s="624"/>
      <c r="JBI41" s="624"/>
      <c r="JBJ41" s="624"/>
      <c r="JBK41" s="624"/>
      <c r="JBL41" s="624"/>
      <c r="JBM41" s="624"/>
      <c r="JBN41" s="624"/>
      <c r="JBO41" s="624"/>
      <c r="JBP41" s="624"/>
      <c r="JBQ41" s="624"/>
      <c r="JBR41" s="624"/>
      <c r="JBS41" s="624"/>
      <c r="JBT41" s="624"/>
      <c r="JBU41" s="624"/>
      <c r="JBV41" s="624"/>
      <c r="JBW41" s="624"/>
      <c r="JBX41" s="624"/>
      <c r="JBY41" s="624"/>
      <c r="JBZ41" s="624"/>
      <c r="JCA41" s="624"/>
      <c r="JCB41" s="624"/>
      <c r="JCC41" s="624"/>
      <c r="JCD41" s="624"/>
      <c r="JCE41" s="624"/>
      <c r="JCF41" s="624"/>
      <c r="JCG41" s="624"/>
      <c r="JCH41" s="624"/>
      <c r="JCI41" s="624"/>
      <c r="JCJ41" s="624"/>
      <c r="JCK41" s="624"/>
      <c r="JCL41" s="624"/>
      <c r="JCM41" s="624"/>
      <c r="JCN41" s="624"/>
      <c r="JCO41" s="624"/>
      <c r="JCP41" s="624"/>
      <c r="JCQ41" s="624"/>
      <c r="JCR41" s="624"/>
      <c r="JCS41" s="624"/>
      <c r="JCT41" s="624"/>
      <c r="JCU41" s="624"/>
      <c r="JCV41" s="624"/>
      <c r="JCW41" s="624"/>
      <c r="JCX41" s="624"/>
      <c r="JCY41" s="624"/>
      <c r="JCZ41" s="624"/>
      <c r="JDA41" s="624"/>
      <c r="JDB41" s="624"/>
      <c r="JDC41" s="624"/>
      <c r="JDD41" s="624"/>
      <c r="JDE41" s="624"/>
      <c r="JDF41" s="624"/>
      <c r="JDG41" s="624"/>
      <c r="JDH41" s="624"/>
      <c r="JDI41" s="624"/>
      <c r="JDJ41" s="624"/>
      <c r="JDK41" s="624"/>
      <c r="JDL41" s="624"/>
      <c r="JDM41" s="624"/>
      <c r="JDN41" s="624"/>
      <c r="JDO41" s="624"/>
      <c r="JDP41" s="624"/>
      <c r="JDQ41" s="624"/>
      <c r="JDR41" s="624"/>
      <c r="JDS41" s="624"/>
      <c r="JDT41" s="624"/>
      <c r="JDU41" s="624"/>
      <c r="JDV41" s="624"/>
      <c r="JDW41" s="624"/>
      <c r="JDX41" s="624"/>
      <c r="JDY41" s="624"/>
      <c r="JDZ41" s="624"/>
      <c r="JEA41" s="624"/>
      <c r="JEB41" s="624"/>
      <c r="JEC41" s="624"/>
      <c r="JED41" s="624"/>
      <c r="JEE41" s="624"/>
      <c r="JEF41" s="624"/>
      <c r="JEG41" s="624"/>
      <c r="JEH41" s="624"/>
      <c r="JEI41" s="624"/>
      <c r="JEJ41" s="624"/>
      <c r="JEK41" s="624"/>
      <c r="JEL41" s="624"/>
      <c r="JEM41" s="624"/>
      <c r="JEN41" s="624"/>
      <c r="JEO41" s="624"/>
      <c r="JEP41" s="624"/>
      <c r="JEQ41" s="624"/>
      <c r="JER41" s="624"/>
      <c r="JES41" s="624"/>
      <c r="JET41" s="624"/>
      <c r="JEU41" s="624"/>
      <c r="JEV41" s="624"/>
      <c r="JEW41" s="624"/>
      <c r="JEX41" s="624"/>
      <c r="JEY41" s="624"/>
      <c r="JEZ41" s="624"/>
      <c r="JFA41" s="624"/>
      <c r="JFB41" s="624"/>
      <c r="JFC41" s="624"/>
      <c r="JFD41" s="624"/>
      <c r="JFE41" s="624"/>
      <c r="JFF41" s="624"/>
      <c r="JFG41" s="624"/>
      <c r="JFH41" s="624"/>
      <c r="JFI41" s="624"/>
      <c r="JFJ41" s="624"/>
      <c r="JFK41" s="624"/>
      <c r="JFL41" s="624"/>
      <c r="JFM41" s="624"/>
      <c r="JFN41" s="624"/>
      <c r="JFO41" s="624"/>
      <c r="JFP41" s="624"/>
      <c r="JFQ41" s="624"/>
      <c r="JFR41" s="624"/>
      <c r="JFS41" s="624"/>
      <c r="JFT41" s="624"/>
      <c r="JFU41" s="624"/>
      <c r="JFV41" s="624"/>
      <c r="JFW41" s="624"/>
      <c r="JFX41" s="624"/>
      <c r="JFY41" s="624"/>
      <c r="JFZ41" s="624"/>
      <c r="JGA41" s="624"/>
      <c r="JGB41" s="624"/>
      <c r="JGC41" s="624"/>
      <c r="JGD41" s="624"/>
      <c r="JGE41" s="624"/>
      <c r="JGF41" s="624"/>
      <c r="JGG41" s="624"/>
      <c r="JGH41" s="624"/>
      <c r="JGI41" s="624"/>
      <c r="JGJ41" s="624"/>
      <c r="JGK41" s="624"/>
      <c r="JGL41" s="624"/>
      <c r="JGM41" s="624"/>
      <c r="JGN41" s="624"/>
      <c r="JGO41" s="624"/>
      <c r="JGP41" s="624"/>
      <c r="JGQ41" s="624"/>
      <c r="JGR41" s="624"/>
      <c r="JGS41" s="624"/>
      <c r="JGT41" s="624"/>
      <c r="JGU41" s="624"/>
      <c r="JGV41" s="624"/>
      <c r="JGW41" s="624"/>
      <c r="JGX41" s="624"/>
      <c r="JGY41" s="624"/>
      <c r="JGZ41" s="624"/>
      <c r="JHA41" s="624"/>
      <c r="JHB41" s="624"/>
      <c r="JHC41" s="624"/>
      <c r="JHD41" s="624"/>
      <c r="JHE41" s="624"/>
      <c r="JHF41" s="624"/>
      <c r="JHG41" s="624"/>
      <c r="JHH41" s="624"/>
      <c r="JHI41" s="624"/>
      <c r="JHJ41" s="624"/>
      <c r="JHK41" s="624"/>
      <c r="JHL41" s="624"/>
      <c r="JHM41" s="624"/>
      <c r="JHN41" s="624"/>
      <c r="JHO41" s="624"/>
      <c r="JHP41" s="624"/>
      <c r="JHQ41" s="624"/>
      <c r="JHR41" s="624"/>
      <c r="JHS41" s="624"/>
      <c r="JHT41" s="624"/>
      <c r="JHU41" s="624"/>
      <c r="JHV41" s="624"/>
      <c r="JHW41" s="624"/>
      <c r="JHX41" s="624"/>
      <c r="JHY41" s="624"/>
      <c r="JHZ41" s="624"/>
      <c r="JIA41" s="624"/>
      <c r="JIB41" s="624"/>
      <c r="JIC41" s="624"/>
      <c r="JID41" s="624"/>
      <c r="JIE41" s="624"/>
      <c r="JIF41" s="624"/>
      <c r="JIG41" s="624"/>
      <c r="JIH41" s="624"/>
      <c r="JII41" s="624"/>
      <c r="JIJ41" s="624"/>
      <c r="JIK41" s="624"/>
      <c r="JIL41" s="624"/>
      <c r="JIM41" s="624"/>
      <c r="JIN41" s="624"/>
      <c r="JIO41" s="624"/>
      <c r="JIP41" s="624"/>
      <c r="JIQ41" s="624"/>
      <c r="JIR41" s="624"/>
      <c r="JIS41" s="624"/>
      <c r="JIT41" s="624"/>
      <c r="JIU41" s="624"/>
      <c r="JIV41" s="624"/>
      <c r="JIW41" s="624"/>
      <c r="JIX41" s="624"/>
      <c r="JIY41" s="624"/>
      <c r="JIZ41" s="624"/>
      <c r="JJA41" s="624"/>
      <c r="JJB41" s="624"/>
      <c r="JJC41" s="624"/>
      <c r="JJD41" s="624"/>
      <c r="JJE41" s="624"/>
      <c r="JJF41" s="624"/>
      <c r="JJG41" s="624"/>
      <c r="JJH41" s="624"/>
      <c r="JJI41" s="624"/>
      <c r="JJJ41" s="624"/>
      <c r="JJK41" s="624"/>
      <c r="JJL41" s="624"/>
      <c r="JJM41" s="624"/>
      <c r="JJN41" s="624"/>
      <c r="JJO41" s="624"/>
      <c r="JJP41" s="624"/>
      <c r="JJQ41" s="624"/>
      <c r="JJR41" s="624"/>
      <c r="JJS41" s="624"/>
      <c r="JJT41" s="624"/>
      <c r="JJU41" s="624"/>
      <c r="JJV41" s="624"/>
      <c r="JJW41" s="624"/>
      <c r="JJX41" s="624"/>
      <c r="JJY41" s="624"/>
      <c r="JJZ41" s="624"/>
      <c r="JKA41" s="624"/>
      <c r="JKB41" s="624"/>
      <c r="JKC41" s="624"/>
      <c r="JKD41" s="624"/>
      <c r="JKE41" s="624"/>
      <c r="JKF41" s="624"/>
      <c r="JKG41" s="624"/>
      <c r="JKH41" s="624"/>
      <c r="JKI41" s="624"/>
      <c r="JKJ41" s="624"/>
      <c r="JKK41" s="624"/>
      <c r="JKL41" s="624"/>
      <c r="JKM41" s="624"/>
      <c r="JKN41" s="624"/>
      <c r="JKO41" s="624"/>
      <c r="JKP41" s="624"/>
      <c r="JKQ41" s="624"/>
      <c r="JKR41" s="624"/>
      <c r="JKS41" s="624"/>
      <c r="JKT41" s="624"/>
      <c r="JKU41" s="624"/>
      <c r="JKV41" s="624"/>
      <c r="JKW41" s="624"/>
      <c r="JKX41" s="624"/>
      <c r="JKY41" s="624"/>
      <c r="JKZ41" s="624"/>
      <c r="JLA41" s="624"/>
      <c r="JLB41" s="624"/>
      <c r="JLC41" s="624"/>
      <c r="JLD41" s="624"/>
      <c r="JLE41" s="624"/>
      <c r="JLF41" s="624"/>
      <c r="JLG41" s="624"/>
      <c r="JLH41" s="624"/>
      <c r="JLI41" s="624"/>
      <c r="JLJ41" s="624"/>
      <c r="JLK41" s="624"/>
      <c r="JLL41" s="624"/>
      <c r="JLM41" s="624"/>
      <c r="JLN41" s="624"/>
      <c r="JLO41" s="624"/>
      <c r="JLP41" s="624"/>
      <c r="JLQ41" s="624"/>
      <c r="JLR41" s="624"/>
      <c r="JLS41" s="624"/>
      <c r="JLT41" s="624"/>
      <c r="JLU41" s="624"/>
      <c r="JLV41" s="624"/>
      <c r="JLW41" s="624"/>
      <c r="JLX41" s="624"/>
      <c r="JLY41" s="624"/>
      <c r="JLZ41" s="624"/>
      <c r="JMA41" s="624"/>
      <c r="JMB41" s="624"/>
      <c r="JMC41" s="624"/>
      <c r="JMD41" s="624"/>
      <c r="JME41" s="624"/>
      <c r="JMF41" s="624"/>
      <c r="JMG41" s="624"/>
      <c r="JMH41" s="624"/>
      <c r="JMI41" s="624"/>
      <c r="JMJ41" s="624"/>
      <c r="JMK41" s="624"/>
      <c r="JML41" s="624"/>
      <c r="JMM41" s="624"/>
      <c r="JMN41" s="624"/>
      <c r="JMO41" s="624"/>
      <c r="JMP41" s="624"/>
      <c r="JMQ41" s="624"/>
      <c r="JMR41" s="624"/>
      <c r="JMS41" s="624"/>
      <c r="JMT41" s="624"/>
      <c r="JMU41" s="624"/>
      <c r="JMV41" s="624"/>
      <c r="JMW41" s="624"/>
      <c r="JMX41" s="624"/>
      <c r="JMY41" s="624"/>
      <c r="JMZ41" s="624"/>
      <c r="JNA41" s="624"/>
      <c r="JNB41" s="624"/>
      <c r="JNC41" s="624"/>
      <c r="JND41" s="624"/>
      <c r="JNE41" s="624"/>
      <c r="JNF41" s="624"/>
      <c r="JNG41" s="624"/>
      <c r="JNH41" s="624"/>
      <c r="JNI41" s="624"/>
      <c r="JNJ41" s="624"/>
      <c r="JNK41" s="624"/>
      <c r="JNL41" s="624"/>
      <c r="JNM41" s="624"/>
      <c r="JNN41" s="624"/>
      <c r="JNO41" s="624"/>
      <c r="JNP41" s="624"/>
      <c r="JNQ41" s="624"/>
      <c r="JNR41" s="624"/>
      <c r="JNS41" s="624"/>
      <c r="JNT41" s="624"/>
      <c r="JNU41" s="624"/>
      <c r="JNV41" s="624"/>
      <c r="JNW41" s="624"/>
      <c r="JNX41" s="624"/>
      <c r="JNY41" s="624"/>
      <c r="JNZ41" s="624"/>
      <c r="JOA41" s="624"/>
      <c r="JOB41" s="624"/>
      <c r="JOC41" s="624"/>
      <c r="JOD41" s="624"/>
      <c r="JOE41" s="624"/>
      <c r="JOF41" s="624"/>
      <c r="JOG41" s="624"/>
      <c r="JOH41" s="624"/>
      <c r="JOI41" s="624"/>
      <c r="JOJ41" s="624"/>
      <c r="JOK41" s="624"/>
      <c r="JOL41" s="624"/>
      <c r="JOM41" s="624"/>
      <c r="JON41" s="624"/>
      <c r="JOO41" s="624"/>
      <c r="JOP41" s="624"/>
      <c r="JOQ41" s="624"/>
      <c r="JOR41" s="624"/>
      <c r="JOS41" s="624"/>
      <c r="JOT41" s="624"/>
      <c r="JOU41" s="624"/>
      <c r="JOV41" s="624"/>
      <c r="JOW41" s="624"/>
      <c r="JOX41" s="624"/>
      <c r="JOY41" s="624"/>
      <c r="JOZ41" s="624"/>
      <c r="JPA41" s="624"/>
      <c r="JPB41" s="624"/>
      <c r="JPC41" s="624"/>
      <c r="JPD41" s="624"/>
      <c r="JPE41" s="624"/>
      <c r="JPF41" s="624"/>
      <c r="JPG41" s="624"/>
      <c r="JPH41" s="624"/>
      <c r="JPI41" s="624"/>
      <c r="JPJ41" s="624"/>
      <c r="JPK41" s="624"/>
      <c r="JPL41" s="624"/>
      <c r="JPM41" s="624"/>
      <c r="JPN41" s="624"/>
      <c r="JPO41" s="624"/>
      <c r="JPP41" s="624"/>
      <c r="JPQ41" s="624"/>
      <c r="JPR41" s="624"/>
      <c r="JPS41" s="624"/>
      <c r="JPT41" s="624"/>
      <c r="JPU41" s="624"/>
      <c r="JPV41" s="624"/>
      <c r="JPW41" s="624"/>
      <c r="JPX41" s="624"/>
      <c r="JPY41" s="624"/>
      <c r="JPZ41" s="624"/>
      <c r="JQA41" s="624"/>
      <c r="JQB41" s="624"/>
      <c r="JQC41" s="624"/>
      <c r="JQD41" s="624"/>
      <c r="JQE41" s="624"/>
      <c r="JQF41" s="624"/>
      <c r="JQG41" s="624"/>
      <c r="JQH41" s="624"/>
      <c r="JQI41" s="624"/>
      <c r="JQJ41" s="624"/>
      <c r="JQK41" s="624"/>
      <c r="JQL41" s="624"/>
      <c r="JQM41" s="624"/>
      <c r="JQN41" s="624"/>
      <c r="JQO41" s="624"/>
      <c r="JQP41" s="624"/>
      <c r="JQQ41" s="624"/>
      <c r="JQR41" s="624"/>
      <c r="JQS41" s="624"/>
      <c r="JQT41" s="624"/>
      <c r="JQU41" s="624"/>
      <c r="JQV41" s="624"/>
      <c r="JQW41" s="624"/>
      <c r="JQX41" s="624"/>
      <c r="JQY41" s="624"/>
      <c r="JQZ41" s="624"/>
      <c r="JRA41" s="624"/>
      <c r="JRB41" s="624"/>
      <c r="JRC41" s="624"/>
      <c r="JRD41" s="624"/>
      <c r="JRE41" s="624"/>
      <c r="JRF41" s="624"/>
      <c r="JRG41" s="624"/>
      <c r="JRH41" s="624"/>
      <c r="JRI41" s="624"/>
      <c r="JRJ41" s="624"/>
      <c r="JRK41" s="624"/>
      <c r="JRL41" s="624"/>
      <c r="JRM41" s="624"/>
      <c r="JRN41" s="624"/>
      <c r="JRO41" s="624"/>
      <c r="JRP41" s="624"/>
      <c r="JRQ41" s="624"/>
      <c r="JRR41" s="624"/>
      <c r="JRS41" s="624"/>
      <c r="JRT41" s="624"/>
      <c r="JRU41" s="624"/>
      <c r="JRV41" s="624"/>
      <c r="JRW41" s="624"/>
      <c r="JRX41" s="624"/>
      <c r="JRY41" s="624"/>
      <c r="JRZ41" s="624"/>
      <c r="JSA41" s="624"/>
      <c r="JSB41" s="624"/>
      <c r="JSC41" s="624"/>
      <c r="JSD41" s="624"/>
      <c r="JSE41" s="624"/>
      <c r="JSF41" s="624"/>
      <c r="JSG41" s="624"/>
      <c r="JSH41" s="624"/>
      <c r="JSI41" s="624"/>
      <c r="JSJ41" s="624"/>
      <c r="JSK41" s="624"/>
      <c r="JSL41" s="624"/>
      <c r="JSM41" s="624"/>
      <c r="JSN41" s="624"/>
      <c r="JSO41" s="624"/>
      <c r="JSP41" s="624"/>
      <c r="JSQ41" s="624"/>
      <c r="JSR41" s="624"/>
      <c r="JSS41" s="624"/>
      <c r="JST41" s="624"/>
      <c r="JSU41" s="624"/>
      <c r="JSV41" s="624"/>
      <c r="JSW41" s="624"/>
      <c r="JSX41" s="624"/>
      <c r="JSY41" s="624"/>
      <c r="JSZ41" s="624"/>
      <c r="JTA41" s="624"/>
      <c r="JTB41" s="624"/>
      <c r="JTC41" s="624"/>
      <c r="JTD41" s="624"/>
      <c r="JTE41" s="624"/>
      <c r="JTF41" s="624"/>
      <c r="JTG41" s="624"/>
      <c r="JTH41" s="624"/>
      <c r="JTI41" s="624"/>
      <c r="JTJ41" s="624"/>
      <c r="JTK41" s="624"/>
      <c r="JTL41" s="624"/>
      <c r="JTM41" s="624"/>
      <c r="JTN41" s="624"/>
      <c r="JTO41" s="624"/>
      <c r="JTP41" s="624"/>
      <c r="JTQ41" s="624"/>
      <c r="JTR41" s="624"/>
      <c r="JTS41" s="624"/>
      <c r="JTT41" s="624"/>
      <c r="JTU41" s="624"/>
      <c r="JTV41" s="624"/>
      <c r="JTW41" s="624"/>
      <c r="JTX41" s="624"/>
      <c r="JTY41" s="624"/>
      <c r="JTZ41" s="624"/>
      <c r="JUA41" s="624"/>
      <c r="JUB41" s="624"/>
      <c r="JUC41" s="624"/>
      <c r="JUD41" s="624"/>
      <c r="JUE41" s="624"/>
      <c r="JUF41" s="624"/>
      <c r="JUG41" s="624"/>
      <c r="JUH41" s="624"/>
      <c r="JUI41" s="624"/>
      <c r="JUJ41" s="624"/>
      <c r="JUK41" s="624"/>
      <c r="JUL41" s="624"/>
      <c r="JUM41" s="624"/>
      <c r="JUN41" s="624"/>
      <c r="JUO41" s="624"/>
      <c r="JUP41" s="624"/>
      <c r="JUQ41" s="624"/>
      <c r="JUR41" s="624"/>
      <c r="JUS41" s="624"/>
      <c r="JUT41" s="624"/>
      <c r="JUU41" s="624"/>
      <c r="JUV41" s="624"/>
      <c r="JUW41" s="624"/>
      <c r="JUX41" s="624"/>
      <c r="JUY41" s="624"/>
      <c r="JUZ41" s="624"/>
      <c r="JVA41" s="624"/>
      <c r="JVB41" s="624"/>
      <c r="JVC41" s="624"/>
      <c r="JVD41" s="624"/>
      <c r="JVE41" s="624"/>
      <c r="JVF41" s="624"/>
      <c r="JVG41" s="624"/>
      <c r="JVH41" s="624"/>
      <c r="JVI41" s="624"/>
      <c r="JVJ41" s="624"/>
      <c r="JVK41" s="624"/>
      <c r="JVL41" s="624"/>
      <c r="JVM41" s="624"/>
      <c r="JVN41" s="624"/>
      <c r="JVO41" s="624"/>
      <c r="JVP41" s="624"/>
      <c r="JVQ41" s="624"/>
      <c r="JVR41" s="624"/>
      <c r="JVS41" s="624"/>
      <c r="JVT41" s="624"/>
      <c r="JVU41" s="624"/>
      <c r="JVV41" s="624"/>
      <c r="JVW41" s="624"/>
      <c r="JVX41" s="624"/>
      <c r="JVY41" s="624"/>
      <c r="JVZ41" s="624"/>
      <c r="JWA41" s="624"/>
      <c r="JWB41" s="624"/>
      <c r="JWC41" s="624"/>
      <c r="JWD41" s="624"/>
      <c r="JWE41" s="624"/>
      <c r="JWF41" s="624"/>
      <c r="JWG41" s="624"/>
      <c r="JWH41" s="624"/>
      <c r="JWI41" s="624"/>
      <c r="JWJ41" s="624"/>
      <c r="JWK41" s="624"/>
      <c r="JWL41" s="624"/>
      <c r="JWM41" s="624"/>
      <c r="JWN41" s="624"/>
      <c r="JWO41" s="624"/>
      <c r="JWP41" s="624"/>
      <c r="JWQ41" s="624"/>
      <c r="JWR41" s="624"/>
      <c r="JWS41" s="624"/>
      <c r="JWT41" s="624"/>
      <c r="JWU41" s="624"/>
      <c r="JWV41" s="624"/>
      <c r="JWW41" s="624"/>
      <c r="JWX41" s="624"/>
      <c r="JWY41" s="624"/>
      <c r="JWZ41" s="624"/>
      <c r="JXA41" s="624"/>
      <c r="JXB41" s="624"/>
      <c r="JXC41" s="624"/>
      <c r="JXD41" s="624"/>
      <c r="JXE41" s="624"/>
      <c r="JXF41" s="624"/>
      <c r="JXG41" s="624"/>
      <c r="JXH41" s="624"/>
      <c r="JXI41" s="624"/>
      <c r="JXJ41" s="624"/>
      <c r="JXK41" s="624"/>
      <c r="JXL41" s="624"/>
      <c r="JXM41" s="624"/>
      <c r="JXN41" s="624"/>
      <c r="JXO41" s="624"/>
      <c r="JXP41" s="624"/>
      <c r="JXQ41" s="624"/>
      <c r="JXR41" s="624"/>
      <c r="JXS41" s="624"/>
      <c r="JXT41" s="624"/>
      <c r="JXU41" s="624"/>
      <c r="JXV41" s="624"/>
      <c r="JXW41" s="624"/>
      <c r="JXX41" s="624"/>
      <c r="JXY41" s="624"/>
      <c r="JXZ41" s="624"/>
      <c r="JYA41" s="624"/>
      <c r="JYB41" s="624"/>
      <c r="JYC41" s="624"/>
      <c r="JYD41" s="624"/>
      <c r="JYE41" s="624"/>
      <c r="JYF41" s="624"/>
      <c r="JYG41" s="624"/>
      <c r="JYH41" s="624"/>
      <c r="JYI41" s="624"/>
      <c r="JYJ41" s="624"/>
      <c r="JYK41" s="624"/>
      <c r="JYL41" s="624"/>
      <c r="JYM41" s="624"/>
      <c r="JYN41" s="624"/>
      <c r="JYO41" s="624"/>
      <c r="JYP41" s="624"/>
      <c r="JYQ41" s="624"/>
      <c r="JYR41" s="624"/>
      <c r="JYS41" s="624"/>
      <c r="JYT41" s="624"/>
      <c r="JYU41" s="624"/>
      <c r="JYV41" s="624"/>
      <c r="JYW41" s="624"/>
      <c r="JYX41" s="624"/>
      <c r="JYY41" s="624"/>
      <c r="JYZ41" s="624"/>
      <c r="JZA41" s="624"/>
      <c r="JZB41" s="624"/>
      <c r="JZC41" s="624"/>
      <c r="JZD41" s="624"/>
      <c r="JZE41" s="624"/>
      <c r="JZF41" s="624"/>
      <c r="JZG41" s="624"/>
      <c r="JZH41" s="624"/>
      <c r="JZI41" s="624"/>
      <c r="JZJ41" s="624"/>
      <c r="JZK41" s="624"/>
      <c r="JZL41" s="624"/>
      <c r="JZM41" s="624"/>
      <c r="JZN41" s="624"/>
      <c r="JZO41" s="624"/>
      <c r="JZP41" s="624"/>
      <c r="JZQ41" s="624"/>
      <c r="JZR41" s="624"/>
      <c r="JZS41" s="624"/>
      <c r="JZT41" s="624"/>
      <c r="JZU41" s="624"/>
      <c r="JZV41" s="624"/>
      <c r="JZW41" s="624"/>
      <c r="JZX41" s="624"/>
      <c r="JZY41" s="624"/>
      <c r="JZZ41" s="624"/>
      <c r="KAA41" s="624"/>
      <c r="KAB41" s="624"/>
      <c r="KAC41" s="624"/>
      <c r="KAD41" s="624"/>
      <c r="KAE41" s="624"/>
      <c r="KAF41" s="624"/>
      <c r="KAG41" s="624"/>
      <c r="KAH41" s="624"/>
      <c r="KAI41" s="624"/>
      <c r="KAJ41" s="624"/>
      <c r="KAK41" s="624"/>
      <c r="KAL41" s="624"/>
      <c r="KAM41" s="624"/>
      <c r="KAN41" s="624"/>
      <c r="KAO41" s="624"/>
      <c r="KAP41" s="624"/>
      <c r="KAQ41" s="624"/>
      <c r="KAR41" s="624"/>
      <c r="KAS41" s="624"/>
      <c r="KAT41" s="624"/>
      <c r="KAU41" s="624"/>
      <c r="KAV41" s="624"/>
      <c r="KAW41" s="624"/>
      <c r="KAX41" s="624"/>
      <c r="KAY41" s="624"/>
      <c r="KAZ41" s="624"/>
      <c r="KBA41" s="624"/>
      <c r="KBB41" s="624"/>
      <c r="KBC41" s="624"/>
      <c r="KBD41" s="624"/>
      <c r="KBE41" s="624"/>
      <c r="KBF41" s="624"/>
      <c r="KBG41" s="624"/>
      <c r="KBH41" s="624"/>
      <c r="KBI41" s="624"/>
      <c r="KBJ41" s="624"/>
      <c r="KBK41" s="624"/>
      <c r="KBL41" s="624"/>
      <c r="KBM41" s="624"/>
      <c r="KBN41" s="624"/>
      <c r="KBO41" s="624"/>
      <c r="KBP41" s="624"/>
      <c r="KBQ41" s="624"/>
      <c r="KBR41" s="624"/>
      <c r="KBS41" s="624"/>
      <c r="KBT41" s="624"/>
      <c r="KBU41" s="624"/>
      <c r="KBV41" s="624"/>
      <c r="KBW41" s="624"/>
      <c r="KBX41" s="624"/>
      <c r="KBY41" s="624"/>
      <c r="KBZ41" s="624"/>
      <c r="KCA41" s="624"/>
      <c r="KCB41" s="624"/>
      <c r="KCC41" s="624"/>
      <c r="KCD41" s="624"/>
      <c r="KCE41" s="624"/>
      <c r="KCF41" s="624"/>
      <c r="KCG41" s="624"/>
      <c r="KCH41" s="624"/>
      <c r="KCI41" s="624"/>
      <c r="KCJ41" s="624"/>
      <c r="KCK41" s="624"/>
      <c r="KCL41" s="624"/>
      <c r="KCM41" s="624"/>
      <c r="KCN41" s="624"/>
      <c r="KCO41" s="624"/>
      <c r="KCP41" s="624"/>
      <c r="KCQ41" s="624"/>
      <c r="KCR41" s="624"/>
      <c r="KCS41" s="624"/>
      <c r="KCT41" s="624"/>
      <c r="KCU41" s="624"/>
      <c r="KCV41" s="624"/>
      <c r="KCW41" s="624"/>
      <c r="KCX41" s="624"/>
      <c r="KCY41" s="624"/>
      <c r="KCZ41" s="624"/>
      <c r="KDA41" s="624"/>
      <c r="KDB41" s="624"/>
      <c r="KDC41" s="624"/>
      <c r="KDD41" s="624"/>
      <c r="KDE41" s="624"/>
      <c r="KDF41" s="624"/>
      <c r="KDG41" s="624"/>
      <c r="KDH41" s="624"/>
      <c r="KDI41" s="624"/>
      <c r="KDJ41" s="624"/>
      <c r="KDK41" s="624"/>
      <c r="KDL41" s="624"/>
      <c r="KDM41" s="624"/>
      <c r="KDN41" s="624"/>
      <c r="KDO41" s="624"/>
      <c r="KDP41" s="624"/>
      <c r="KDQ41" s="624"/>
      <c r="KDR41" s="624"/>
      <c r="KDS41" s="624"/>
      <c r="KDT41" s="624"/>
      <c r="KDU41" s="624"/>
      <c r="KDV41" s="624"/>
      <c r="KDW41" s="624"/>
      <c r="KDX41" s="624"/>
      <c r="KDY41" s="624"/>
      <c r="KDZ41" s="624"/>
      <c r="KEA41" s="624"/>
      <c r="KEB41" s="624"/>
      <c r="KEC41" s="624"/>
      <c r="KED41" s="624"/>
      <c r="KEE41" s="624"/>
      <c r="KEF41" s="624"/>
      <c r="KEG41" s="624"/>
      <c r="KEH41" s="624"/>
      <c r="KEI41" s="624"/>
      <c r="KEJ41" s="624"/>
      <c r="KEK41" s="624"/>
      <c r="KEL41" s="624"/>
      <c r="KEM41" s="624"/>
      <c r="KEN41" s="624"/>
      <c r="KEO41" s="624"/>
      <c r="KEP41" s="624"/>
      <c r="KEQ41" s="624"/>
      <c r="KER41" s="624"/>
      <c r="KES41" s="624"/>
      <c r="KET41" s="624"/>
      <c r="KEU41" s="624"/>
      <c r="KEV41" s="624"/>
      <c r="KEW41" s="624"/>
      <c r="KEX41" s="624"/>
      <c r="KEY41" s="624"/>
      <c r="KEZ41" s="624"/>
      <c r="KFA41" s="624"/>
      <c r="KFB41" s="624"/>
      <c r="KFC41" s="624"/>
      <c r="KFD41" s="624"/>
      <c r="KFE41" s="624"/>
      <c r="KFF41" s="624"/>
      <c r="KFG41" s="624"/>
      <c r="KFH41" s="624"/>
      <c r="KFI41" s="624"/>
      <c r="KFJ41" s="624"/>
      <c r="KFK41" s="624"/>
      <c r="KFL41" s="624"/>
      <c r="KFM41" s="624"/>
      <c r="KFN41" s="624"/>
      <c r="KFO41" s="624"/>
      <c r="KFP41" s="624"/>
      <c r="KFQ41" s="624"/>
      <c r="KFR41" s="624"/>
      <c r="KFS41" s="624"/>
      <c r="KFT41" s="624"/>
      <c r="KFU41" s="624"/>
      <c r="KFV41" s="624"/>
      <c r="KFW41" s="624"/>
      <c r="KFX41" s="624"/>
      <c r="KFY41" s="624"/>
      <c r="KFZ41" s="624"/>
      <c r="KGA41" s="624"/>
      <c r="KGB41" s="624"/>
      <c r="KGC41" s="624"/>
      <c r="KGD41" s="624"/>
      <c r="KGE41" s="624"/>
      <c r="KGF41" s="624"/>
      <c r="KGG41" s="624"/>
      <c r="KGH41" s="624"/>
      <c r="KGI41" s="624"/>
      <c r="KGJ41" s="624"/>
      <c r="KGK41" s="624"/>
      <c r="KGL41" s="624"/>
      <c r="KGM41" s="624"/>
      <c r="KGN41" s="624"/>
      <c r="KGO41" s="624"/>
      <c r="KGP41" s="624"/>
      <c r="KGQ41" s="624"/>
      <c r="KGR41" s="624"/>
      <c r="KGS41" s="624"/>
      <c r="KGT41" s="624"/>
      <c r="KGU41" s="624"/>
      <c r="KGV41" s="624"/>
      <c r="KGW41" s="624"/>
      <c r="KGX41" s="624"/>
      <c r="KGY41" s="624"/>
      <c r="KGZ41" s="624"/>
      <c r="KHA41" s="624"/>
      <c r="KHB41" s="624"/>
      <c r="KHC41" s="624"/>
      <c r="KHD41" s="624"/>
      <c r="KHE41" s="624"/>
      <c r="KHF41" s="624"/>
      <c r="KHG41" s="624"/>
      <c r="KHH41" s="624"/>
      <c r="KHI41" s="624"/>
      <c r="KHJ41" s="624"/>
      <c r="KHK41" s="624"/>
      <c r="KHL41" s="624"/>
      <c r="KHM41" s="624"/>
      <c r="KHN41" s="624"/>
      <c r="KHO41" s="624"/>
      <c r="KHP41" s="624"/>
      <c r="KHQ41" s="624"/>
      <c r="KHR41" s="624"/>
      <c r="KHS41" s="624"/>
      <c r="KHT41" s="624"/>
      <c r="KHU41" s="624"/>
      <c r="KHV41" s="624"/>
      <c r="KHW41" s="624"/>
      <c r="KHX41" s="624"/>
      <c r="KHY41" s="624"/>
      <c r="KHZ41" s="624"/>
      <c r="KIA41" s="624"/>
      <c r="KIB41" s="624"/>
      <c r="KIC41" s="624"/>
      <c r="KID41" s="624"/>
      <c r="KIE41" s="624"/>
      <c r="KIF41" s="624"/>
      <c r="KIG41" s="624"/>
      <c r="KIH41" s="624"/>
      <c r="KII41" s="624"/>
      <c r="KIJ41" s="624"/>
      <c r="KIK41" s="624"/>
      <c r="KIL41" s="624"/>
      <c r="KIM41" s="624"/>
      <c r="KIN41" s="624"/>
      <c r="KIO41" s="624"/>
      <c r="KIP41" s="624"/>
      <c r="KIQ41" s="624"/>
      <c r="KIR41" s="624"/>
      <c r="KIS41" s="624"/>
      <c r="KIT41" s="624"/>
      <c r="KIU41" s="624"/>
      <c r="KIV41" s="624"/>
      <c r="KIW41" s="624"/>
      <c r="KIX41" s="624"/>
      <c r="KIY41" s="624"/>
      <c r="KIZ41" s="624"/>
      <c r="KJA41" s="624"/>
      <c r="KJB41" s="624"/>
      <c r="KJC41" s="624"/>
      <c r="KJD41" s="624"/>
      <c r="KJE41" s="624"/>
      <c r="KJF41" s="624"/>
      <c r="KJG41" s="624"/>
      <c r="KJH41" s="624"/>
      <c r="KJI41" s="624"/>
      <c r="KJJ41" s="624"/>
      <c r="KJK41" s="624"/>
      <c r="KJL41" s="624"/>
      <c r="KJM41" s="624"/>
      <c r="KJN41" s="624"/>
      <c r="KJO41" s="624"/>
      <c r="KJP41" s="624"/>
      <c r="KJQ41" s="624"/>
      <c r="KJR41" s="624"/>
      <c r="KJS41" s="624"/>
      <c r="KJT41" s="624"/>
      <c r="KJU41" s="624"/>
      <c r="KJV41" s="624"/>
      <c r="KJW41" s="624"/>
      <c r="KJX41" s="624"/>
      <c r="KJY41" s="624"/>
      <c r="KJZ41" s="624"/>
      <c r="KKA41" s="624"/>
      <c r="KKB41" s="624"/>
      <c r="KKC41" s="624"/>
      <c r="KKD41" s="624"/>
      <c r="KKE41" s="624"/>
      <c r="KKF41" s="624"/>
      <c r="KKG41" s="624"/>
      <c r="KKH41" s="624"/>
      <c r="KKI41" s="624"/>
      <c r="KKJ41" s="624"/>
      <c r="KKK41" s="624"/>
      <c r="KKL41" s="624"/>
      <c r="KKM41" s="624"/>
      <c r="KKN41" s="624"/>
      <c r="KKO41" s="624"/>
      <c r="KKP41" s="624"/>
      <c r="KKQ41" s="624"/>
      <c r="KKR41" s="624"/>
      <c r="KKS41" s="624"/>
      <c r="KKT41" s="624"/>
      <c r="KKU41" s="624"/>
      <c r="KKV41" s="624"/>
      <c r="KKW41" s="624"/>
      <c r="KKX41" s="624"/>
      <c r="KKY41" s="624"/>
      <c r="KKZ41" s="624"/>
      <c r="KLA41" s="624"/>
      <c r="KLB41" s="624"/>
      <c r="KLC41" s="624"/>
      <c r="KLD41" s="624"/>
      <c r="KLE41" s="624"/>
      <c r="KLF41" s="624"/>
      <c r="KLG41" s="624"/>
      <c r="KLH41" s="624"/>
      <c r="KLI41" s="624"/>
      <c r="KLJ41" s="624"/>
      <c r="KLK41" s="624"/>
      <c r="KLL41" s="624"/>
      <c r="KLM41" s="624"/>
      <c r="KLN41" s="624"/>
      <c r="KLO41" s="624"/>
      <c r="KLP41" s="624"/>
      <c r="KLQ41" s="624"/>
      <c r="KLR41" s="624"/>
      <c r="KLS41" s="624"/>
      <c r="KLT41" s="624"/>
      <c r="KLU41" s="624"/>
      <c r="KLV41" s="624"/>
      <c r="KLW41" s="624"/>
      <c r="KLX41" s="624"/>
      <c r="KLY41" s="624"/>
      <c r="KLZ41" s="624"/>
      <c r="KMA41" s="624"/>
      <c r="KMB41" s="624"/>
      <c r="KMC41" s="624"/>
      <c r="KMD41" s="624"/>
      <c r="KME41" s="624"/>
      <c r="KMF41" s="624"/>
      <c r="KMG41" s="624"/>
      <c r="KMH41" s="624"/>
      <c r="KMI41" s="624"/>
      <c r="KMJ41" s="624"/>
      <c r="KMK41" s="624"/>
      <c r="KML41" s="624"/>
      <c r="KMM41" s="624"/>
      <c r="KMN41" s="624"/>
      <c r="KMO41" s="624"/>
      <c r="KMP41" s="624"/>
      <c r="KMQ41" s="624"/>
      <c r="KMR41" s="624"/>
      <c r="KMS41" s="624"/>
      <c r="KMT41" s="624"/>
      <c r="KMU41" s="624"/>
      <c r="KMV41" s="624"/>
      <c r="KMW41" s="624"/>
      <c r="KMX41" s="624"/>
      <c r="KMY41" s="624"/>
      <c r="KMZ41" s="624"/>
      <c r="KNA41" s="624"/>
      <c r="KNB41" s="624"/>
      <c r="KNC41" s="624"/>
      <c r="KND41" s="624"/>
      <c r="KNE41" s="624"/>
      <c r="KNF41" s="624"/>
      <c r="KNG41" s="624"/>
      <c r="KNH41" s="624"/>
      <c r="KNI41" s="624"/>
      <c r="KNJ41" s="624"/>
      <c r="KNK41" s="624"/>
      <c r="KNL41" s="624"/>
      <c r="KNM41" s="624"/>
      <c r="KNN41" s="624"/>
      <c r="KNO41" s="624"/>
      <c r="KNP41" s="624"/>
      <c r="KNQ41" s="624"/>
      <c r="KNR41" s="624"/>
      <c r="KNS41" s="624"/>
      <c r="KNT41" s="624"/>
      <c r="KNU41" s="624"/>
      <c r="KNV41" s="624"/>
      <c r="KNW41" s="624"/>
      <c r="KNX41" s="624"/>
      <c r="KNY41" s="624"/>
      <c r="KNZ41" s="624"/>
      <c r="KOA41" s="624"/>
      <c r="KOB41" s="624"/>
      <c r="KOC41" s="624"/>
      <c r="KOD41" s="624"/>
      <c r="KOE41" s="624"/>
      <c r="KOF41" s="624"/>
      <c r="KOG41" s="624"/>
      <c r="KOH41" s="624"/>
      <c r="KOI41" s="624"/>
      <c r="KOJ41" s="624"/>
      <c r="KOK41" s="624"/>
      <c r="KOL41" s="624"/>
      <c r="KOM41" s="624"/>
      <c r="KON41" s="624"/>
      <c r="KOO41" s="624"/>
      <c r="KOP41" s="624"/>
      <c r="KOQ41" s="624"/>
      <c r="KOR41" s="624"/>
      <c r="KOS41" s="624"/>
      <c r="KOT41" s="624"/>
      <c r="KOU41" s="624"/>
      <c r="KOV41" s="624"/>
      <c r="KOW41" s="624"/>
      <c r="KOX41" s="624"/>
      <c r="KOY41" s="624"/>
      <c r="KOZ41" s="624"/>
      <c r="KPA41" s="624"/>
      <c r="KPB41" s="624"/>
      <c r="KPC41" s="624"/>
      <c r="KPD41" s="624"/>
      <c r="KPE41" s="624"/>
      <c r="KPF41" s="624"/>
      <c r="KPG41" s="624"/>
      <c r="KPH41" s="624"/>
      <c r="KPI41" s="624"/>
      <c r="KPJ41" s="624"/>
      <c r="KPK41" s="624"/>
      <c r="KPL41" s="624"/>
      <c r="KPM41" s="624"/>
      <c r="KPN41" s="624"/>
      <c r="KPO41" s="624"/>
      <c r="KPP41" s="624"/>
      <c r="KPQ41" s="624"/>
      <c r="KPR41" s="624"/>
      <c r="KPS41" s="624"/>
      <c r="KPT41" s="624"/>
      <c r="KPU41" s="624"/>
      <c r="KPV41" s="624"/>
      <c r="KPW41" s="624"/>
      <c r="KPX41" s="624"/>
      <c r="KPY41" s="624"/>
      <c r="KPZ41" s="624"/>
      <c r="KQA41" s="624"/>
      <c r="KQB41" s="624"/>
      <c r="KQC41" s="624"/>
      <c r="KQD41" s="624"/>
      <c r="KQE41" s="624"/>
      <c r="KQF41" s="624"/>
      <c r="KQG41" s="624"/>
      <c r="KQH41" s="624"/>
      <c r="KQI41" s="624"/>
      <c r="KQJ41" s="624"/>
      <c r="KQK41" s="624"/>
      <c r="KQL41" s="624"/>
      <c r="KQM41" s="624"/>
      <c r="KQN41" s="624"/>
      <c r="KQO41" s="624"/>
      <c r="KQP41" s="624"/>
      <c r="KQQ41" s="624"/>
      <c r="KQR41" s="624"/>
      <c r="KQS41" s="624"/>
      <c r="KQT41" s="624"/>
      <c r="KQU41" s="624"/>
      <c r="KQV41" s="624"/>
      <c r="KQW41" s="624"/>
      <c r="KQX41" s="624"/>
      <c r="KQY41" s="624"/>
      <c r="KQZ41" s="624"/>
      <c r="KRA41" s="624"/>
      <c r="KRB41" s="624"/>
      <c r="KRC41" s="624"/>
      <c r="KRD41" s="624"/>
      <c r="KRE41" s="624"/>
      <c r="KRF41" s="624"/>
      <c r="KRG41" s="624"/>
      <c r="KRH41" s="624"/>
      <c r="KRI41" s="624"/>
      <c r="KRJ41" s="624"/>
      <c r="KRK41" s="624"/>
      <c r="KRL41" s="624"/>
      <c r="KRM41" s="624"/>
      <c r="KRN41" s="624"/>
      <c r="KRO41" s="624"/>
      <c r="KRP41" s="624"/>
      <c r="KRQ41" s="624"/>
      <c r="KRR41" s="624"/>
      <c r="KRS41" s="624"/>
      <c r="KRT41" s="624"/>
      <c r="KRU41" s="624"/>
      <c r="KRV41" s="624"/>
      <c r="KRW41" s="624"/>
      <c r="KRX41" s="624"/>
      <c r="KRY41" s="624"/>
      <c r="KRZ41" s="624"/>
      <c r="KSA41" s="624"/>
      <c r="KSB41" s="624"/>
      <c r="KSC41" s="624"/>
      <c r="KSD41" s="624"/>
      <c r="KSE41" s="624"/>
      <c r="KSF41" s="624"/>
      <c r="KSG41" s="624"/>
      <c r="KSH41" s="624"/>
      <c r="KSI41" s="624"/>
      <c r="KSJ41" s="624"/>
      <c r="KSK41" s="624"/>
      <c r="KSL41" s="624"/>
      <c r="KSM41" s="624"/>
      <c r="KSN41" s="624"/>
      <c r="KSO41" s="624"/>
      <c r="KSP41" s="624"/>
      <c r="KSQ41" s="624"/>
      <c r="KSR41" s="624"/>
      <c r="KSS41" s="624"/>
      <c r="KST41" s="624"/>
      <c r="KSU41" s="624"/>
      <c r="KSV41" s="624"/>
      <c r="KSW41" s="624"/>
      <c r="KSX41" s="624"/>
      <c r="KSY41" s="624"/>
      <c r="KSZ41" s="624"/>
      <c r="KTA41" s="624"/>
      <c r="KTB41" s="624"/>
      <c r="KTC41" s="624"/>
      <c r="KTD41" s="624"/>
      <c r="KTE41" s="624"/>
      <c r="KTF41" s="624"/>
      <c r="KTG41" s="624"/>
      <c r="KTH41" s="624"/>
      <c r="KTI41" s="624"/>
      <c r="KTJ41" s="624"/>
      <c r="KTK41" s="624"/>
      <c r="KTL41" s="624"/>
      <c r="KTM41" s="624"/>
      <c r="KTN41" s="624"/>
      <c r="KTO41" s="624"/>
      <c r="KTP41" s="624"/>
      <c r="KTQ41" s="624"/>
      <c r="KTR41" s="624"/>
      <c r="KTS41" s="624"/>
      <c r="KTT41" s="624"/>
      <c r="KTU41" s="624"/>
      <c r="KTV41" s="624"/>
      <c r="KTW41" s="624"/>
      <c r="KTX41" s="624"/>
      <c r="KTY41" s="624"/>
      <c r="KTZ41" s="624"/>
      <c r="KUA41" s="624"/>
      <c r="KUB41" s="624"/>
      <c r="KUC41" s="624"/>
      <c r="KUD41" s="624"/>
      <c r="KUE41" s="624"/>
      <c r="KUF41" s="624"/>
      <c r="KUG41" s="624"/>
      <c r="KUH41" s="624"/>
      <c r="KUI41" s="624"/>
      <c r="KUJ41" s="624"/>
      <c r="KUK41" s="624"/>
      <c r="KUL41" s="624"/>
      <c r="KUM41" s="624"/>
      <c r="KUN41" s="624"/>
      <c r="KUO41" s="624"/>
      <c r="KUP41" s="624"/>
      <c r="KUQ41" s="624"/>
      <c r="KUR41" s="624"/>
      <c r="KUS41" s="624"/>
      <c r="KUT41" s="624"/>
      <c r="KUU41" s="624"/>
      <c r="KUV41" s="624"/>
      <c r="KUW41" s="624"/>
      <c r="KUX41" s="624"/>
      <c r="KUY41" s="624"/>
      <c r="KUZ41" s="624"/>
      <c r="KVA41" s="624"/>
      <c r="KVB41" s="624"/>
      <c r="KVC41" s="624"/>
      <c r="KVD41" s="624"/>
      <c r="KVE41" s="624"/>
      <c r="KVF41" s="624"/>
      <c r="KVG41" s="624"/>
      <c r="KVH41" s="624"/>
      <c r="KVI41" s="624"/>
      <c r="KVJ41" s="624"/>
      <c r="KVK41" s="624"/>
      <c r="KVL41" s="624"/>
      <c r="KVM41" s="624"/>
      <c r="KVN41" s="624"/>
      <c r="KVO41" s="624"/>
      <c r="KVP41" s="624"/>
      <c r="KVQ41" s="624"/>
      <c r="KVR41" s="624"/>
      <c r="KVS41" s="624"/>
      <c r="KVT41" s="624"/>
      <c r="KVU41" s="624"/>
      <c r="KVV41" s="624"/>
      <c r="KVW41" s="624"/>
      <c r="KVX41" s="624"/>
      <c r="KVY41" s="624"/>
      <c r="KVZ41" s="624"/>
      <c r="KWA41" s="624"/>
      <c r="KWB41" s="624"/>
      <c r="KWC41" s="624"/>
      <c r="KWD41" s="624"/>
      <c r="KWE41" s="624"/>
      <c r="KWF41" s="624"/>
      <c r="KWG41" s="624"/>
      <c r="KWH41" s="624"/>
      <c r="KWI41" s="624"/>
      <c r="KWJ41" s="624"/>
      <c r="KWK41" s="624"/>
      <c r="KWL41" s="624"/>
      <c r="KWM41" s="624"/>
      <c r="KWN41" s="624"/>
      <c r="KWO41" s="624"/>
      <c r="KWP41" s="624"/>
      <c r="KWQ41" s="624"/>
      <c r="KWR41" s="624"/>
      <c r="KWS41" s="624"/>
      <c r="KWT41" s="624"/>
      <c r="KWU41" s="624"/>
      <c r="KWV41" s="624"/>
      <c r="KWW41" s="624"/>
      <c r="KWX41" s="624"/>
      <c r="KWY41" s="624"/>
      <c r="KWZ41" s="624"/>
      <c r="KXA41" s="624"/>
      <c r="KXB41" s="624"/>
      <c r="KXC41" s="624"/>
      <c r="KXD41" s="624"/>
      <c r="KXE41" s="624"/>
      <c r="KXF41" s="624"/>
      <c r="KXG41" s="624"/>
      <c r="KXH41" s="624"/>
      <c r="KXI41" s="624"/>
      <c r="KXJ41" s="624"/>
      <c r="KXK41" s="624"/>
      <c r="KXL41" s="624"/>
      <c r="KXM41" s="624"/>
      <c r="KXN41" s="624"/>
      <c r="KXO41" s="624"/>
      <c r="KXP41" s="624"/>
      <c r="KXQ41" s="624"/>
      <c r="KXR41" s="624"/>
      <c r="KXS41" s="624"/>
      <c r="KXT41" s="624"/>
      <c r="KXU41" s="624"/>
      <c r="KXV41" s="624"/>
      <c r="KXW41" s="624"/>
      <c r="KXX41" s="624"/>
      <c r="KXY41" s="624"/>
      <c r="KXZ41" s="624"/>
      <c r="KYA41" s="624"/>
      <c r="KYB41" s="624"/>
      <c r="KYC41" s="624"/>
      <c r="KYD41" s="624"/>
      <c r="KYE41" s="624"/>
      <c r="KYF41" s="624"/>
      <c r="KYG41" s="624"/>
      <c r="KYH41" s="624"/>
      <c r="KYI41" s="624"/>
      <c r="KYJ41" s="624"/>
      <c r="KYK41" s="624"/>
      <c r="KYL41" s="624"/>
      <c r="KYM41" s="624"/>
      <c r="KYN41" s="624"/>
      <c r="KYO41" s="624"/>
      <c r="KYP41" s="624"/>
      <c r="KYQ41" s="624"/>
      <c r="KYR41" s="624"/>
      <c r="KYS41" s="624"/>
      <c r="KYT41" s="624"/>
      <c r="KYU41" s="624"/>
      <c r="KYV41" s="624"/>
      <c r="KYW41" s="624"/>
      <c r="KYX41" s="624"/>
      <c r="KYY41" s="624"/>
      <c r="KYZ41" s="624"/>
      <c r="KZA41" s="624"/>
      <c r="KZB41" s="624"/>
      <c r="KZC41" s="624"/>
      <c r="KZD41" s="624"/>
      <c r="KZE41" s="624"/>
      <c r="KZF41" s="624"/>
      <c r="KZG41" s="624"/>
      <c r="KZH41" s="624"/>
      <c r="KZI41" s="624"/>
      <c r="KZJ41" s="624"/>
      <c r="KZK41" s="624"/>
      <c r="KZL41" s="624"/>
      <c r="KZM41" s="624"/>
      <c r="KZN41" s="624"/>
      <c r="KZO41" s="624"/>
      <c r="KZP41" s="624"/>
      <c r="KZQ41" s="624"/>
      <c r="KZR41" s="624"/>
      <c r="KZS41" s="624"/>
      <c r="KZT41" s="624"/>
      <c r="KZU41" s="624"/>
      <c r="KZV41" s="624"/>
      <c r="KZW41" s="624"/>
      <c r="KZX41" s="624"/>
      <c r="KZY41" s="624"/>
      <c r="KZZ41" s="624"/>
      <c r="LAA41" s="624"/>
      <c r="LAB41" s="624"/>
      <c r="LAC41" s="624"/>
      <c r="LAD41" s="624"/>
      <c r="LAE41" s="624"/>
      <c r="LAF41" s="624"/>
      <c r="LAG41" s="624"/>
      <c r="LAH41" s="624"/>
      <c r="LAI41" s="624"/>
      <c r="LAJ41" s="624"/>
      <c r="LAK41" s="624"/>
      <c r="LAL41" s="624"/>
      <c r="LAM41" s="624"/>
      <c r="LAN41" s="624"/>
      <c r="LAO41" s="624"/>
      <c r="LAP41" s="624"/>
      <c r="LAQ41" s="624"/>
      <c r="LAR41" s="624"/>
      <c r="LAS41" s="624"/>
      <c r="LAT41" s="624"/>
      <c r="LAU41" s="624"/>
      <c r="LAV41" s="624"/>
      <c r="LAW41" s="624"/>
      <c r="LAX41" s="624"/>
      <c r="LAY41" s="624"/>
      <c r="LAZ41" s="624"/>
      <c r="LBA41" s="624"/>
      <c r="LBB41" s="624"/>
      <c r="LBC41" s="624"/>
      <c r="LBD41" s="624"/>
      <c r="LBE41" s="624"/>
      <c r="LBF41" s="624"/>
      <c r="LBG41" s="624"/>
      <c r="LBH41" s="624"/>
      <c r="LBI41" s="624"/>
      <c r="LBJ41" s="624"/>
      <c r="LBK41" s="624"/>
      <c r="LBL41" s="624"/>
      <c r="LBM41" s="624"/>
      <c r="LBN41" s="624"/>
      <c r="LBO41" s="624"/>
      <c r="LBP41" s="624"/>
      <c r="LBQ41" s="624"/>
      <c r="LBR41" s="624"/>
      <c r="LBS41" s="624"/>
      <c r="LBT41" s="624"/>
      <c r="LBU41" s="624"/>
      <c r="LBV41" s="624"/>
      <c r="LBW41" s="624"/>
      <c r="LBX41" s="624"/>
      <c r="LBY41" s="624"/>
      <c r="LBZ41" s="624"/>
      <c r="LCA41" s="624"/>
      <c r="LCB41" s="624"/>
      <c r="LCC41" s="624"/>
      <c r="LCD41" s="624"/>
      <c r="LCE41" s="624"/>
      <c r="LCF41" s="624"/>
      <c r="LCG41" s="624"/>
      <c r="LCH41" s="624"/>
      <c r="LCI41" s="624"/>
      <c r="LCJ41" s="624"/>
      <c r="LCK41" s="624"/>
      <c r="LCL41" s="624"/>
      <c r="LCM41" s="624"/>
      <c r="LCN41" s="624"/>
      <c r="LCO41" s="624"/>
      <c r="LCP41" s="624"/>
      <c r="LCQ41" s="624"/>
      <c r="LCR41" s="624"/>
      <c r="LCS41" s="624"/>
      <c r="LCT41" s="624"/>
      <c r="LCU41" s="624"/>
      <c r="LCV41" s="624"/>
      <c r="LCW41" s="624"/>
      <c r="LCX41" s="624"/>
      <c r="LCY41" s="624"/>
      <c r="LCZ41" s="624"/>
      <c r="LDA41" s="624"/>
      <c r="LDB41" s="624"/>
      <c r="LDC41" s="624"/>
      <c r="LDD41" s="624"/>
      <c r="LDE41" s="624"/>
      <c r="LDF41" s="624"/>
      <c r="LDG41" s="624"/>
      <c r="LDH41" s="624"/>
      <c r="LDI41" s="624"/>
      <c r="LDJ41" s="624"/>
      <c r="LDK41" s="624"/>
      <c r="LDL41" s="624"/>
      <c r="LDM41" s="624"/>
      <c r="LDN41" s="624"/>
      <c r="LDO41" s="624"/>
      <c r="LDP41" s="624"/>
      <c r="LDQ41" s="624"/>
      <c r="LDR41" s="624"/>
      <c r="LDS41" s="624"/>
      <c r="LDT41" s="624"/>
      <c r="LDU41" s="624"/>
      <c r="LDV41" s="624"/>
      <c r="LDW41" s="624"/>
      <c r="LDX41" s="624"/>
      <c r="LDY41" s="624"/>
      <c r="LDZ41" s="624"/>
      <c r="LEA41" s="624"/>
      <c r="LEB41" s="624"/>
      <c r="LEC41" s="624"/>
      <c r="LED41" s="624"/>
      <c r="LEE41" s="624"/>
      <c r="LEF41" s="624"/>
      <c r="LEG41" s="624"/>
      <c r="LEH41" s="624"/>
      <c r="LEI41" s="624"/>
      <c r="LEJ41" s="624"/>
      <c r="LEK41" s="624"/>
      <c r="LEL41" s="624"/>
      <c r="LEM41" s="624"/>
      <c r="LEN41" s="624"/>
      <c r="LEO41" s="624"/>
      <c r="LEP41" s="624"/>
      <c r="LEQ41" s="624"/>
      <c r="LER41" s="624"/>
      <c r="LES41" s="624"/>
      <c r="LET41" s="624"/>
      <c r="LEU41" s="624"/>
      <c r="LEV41" s="624"/>
      <c r="LEW41" s="624"/>
      <c r="LEX41" s="624"/>
      <c r="LEY41" s="624"/>
      <c r="LEZ41" s="624"/>
      <c r="LFA41" s="624"/>
      <c r="LFB41" s="624"/>
      <c r="LFC41" s="624"/>
      <c r="LFD41" s="624"/>
      <c r="LFE41" s="624"/>
      <c r="LFF41" s="624"/>
      <c r="LFG41" s="624"/>
      <c r="LFH41" s="624"/>
      <c r="LFI41" s="624"/>
      <c r="LFJ41" s="624"/>
      <c r="LFK41" s="624"/>
      <c r="LFL41" s="624"/>
      <c r="LFM41" s="624"/>
      <c r="LFN41" s="624"/>
      <c r="LFO41" s="624"/>
      <c r="LFP41" s="624"/>
      <c r="LFQ41" s="624"/>
      <c r="LFR41" s="624"/>
      <c r="LFS41" s="624"/>
      <c r="LFT41" s="624"/>
      <c r="LFU41" s="624"/>
      <c r="LFV41" s="624"/>
      <c r="LFW41" s="624"/>
      <c r="LFX41" s="624"/>
      <c r="LFY41" s="624"/>
      <c r="LFZ41" s="624"/>
      <c r="LGA41" s="624"/>
      <c r="LGB41" s="624"/>
      <c r="LGC41" s="624"/>
      <c r="LGD41" s="624"/>
      <c r="LGE41" s="624"/>
      <c r="LGF41" s="624"/>
      <c r="LGG41" s="624"/>
      <c r="LGH41" s="624"/>
      <c r="LGI41" s="624"/>
      <c r="LGJ41" s="624"/>
      <c r="LGK41" s="624"/>
      <c r="LGL41" s="624"/>
      <c r="LGM41" s="624"/>
      <c r="LGN41" s="624"/>
      <c r="LGO41" s="624"/>
      <c r="LGP41" s="624"/>
      <c r="LGQ41" s="624"/>
      <c r="LGR41" s="624"/>
      <c r="LGS41" s="624"/>
      <c r="LGT41" s="624"/>
      <c r="LGU41" s="624"/>
      <c r="LGV41" s="624"/>
      <c r="LGW41" s="624"/>
      <c r="LGX41" s="624"/>
      <c r="LGY41" s="624"/>
      <c r="LGZ41" s="624"/>
      <c r="LHA41" s="624"/>
      <c r="LHB41" s="624"/>
      <c r="LHC41" s="624"/>
      <c r="LHD41" s="624"/>
      <c r="LHE41" s="624"/>
      <c r="LHF41" s="624"/>
      <c r="LHG41" s="624"/>
      <c r="LHH41" s="624"/>
      <c r="LHI41" s="624"/>
      <c r="LHJ41" s="624"/>
      <c r="LHK41" s="624"/>
      <c r="LHL41" s="624"/>
      <c r="LHM41" s="624"/>
      <c r="LHN41" s="624"/>
      <c r="LHO41" s="624"/>
      <c r="LHP41" s="624"/>
      <c r="LHQ41" s="624"/>
      <c r="LHR41" s="624"/>
      <c r="LHS41" s="624"/>
      <c r="LHT41" s="624"/>
      <c r="LHU41" s="624"/>
      <c r="LHV41" s="624"/>
      <c r="LHW41" s="624"/>
      <c r="LHX41" s="624"/>
      <c r="LHY41" s="624"/>
      <c r="LHZ41" s="624"/>
      <c r="LIA41" s="624"/>
      <c r="LIB41" s="624"/>
      <c r="LIC41" s="624"/>
      <c r="LID41" s="624"/>
      <c r="LIE41" s="624"/>
      <c r="LIF41" s="624"/>
      <c r="LIG41" s="624"/>
      <c r="LIH41" s="624"/>
      <c r="LII41" s="624"/>
      <c r="LIJ41" s="624"/>
      <c r="LIK41" s="624"/>
      <c r="LIL41" s="624"/>
      <c r="LIM41" s="624"/>
      <c r="LIN41" s="624"/>
      <c r="LIO41" s="624"/>
      <c r="LIP41" s="624"/>
      <c r="LIQ41" s="624"/>
      <c r="LIR41" s="624"/>
      <c r="LIS41" s="624"/>
      <c r="LIT41" s="624"/>
      <c r="LIU41" s="624"/>
      <c r="LIV41" s="624"/>
      <c r="LIW41" s="624"/>
      <c r="LIX41" s="624"/>
      <c r="LIY41" s="624"/>
      <c r="LIZ41" s="624"/>
      <c r="LJA41" s="624"/>
      <c r="LJB41" s="624"/>
      <c r="LJC41" s="624"/>
      <c r="LJD41" s="624"/>
      <c r="LJE41" s="624"/>
      <c r="LJF41" s="624"/>
      <c r="LJG41" s="624"/>
      <c r="LJH41" s="624"/>
      <c r="LJI41" s="624"/>
      <c r="LJJ41" s="624"/>
      <c r="LJK41" s="624"/>
      <c r="LJL41" s="624"/>
      <c r="LJM41" s="624"/>
      <c r="LJN41" s="624"/>
      <c r="LJO41" s="624"/>
      <c r="LJP41" s="624"/>
      <c r="LJQ41" s="624"/>
      <c r="LJR41" s="624"/>
      <c r="LJS41" s="624"/>
      <c r="LJT41" s="624"/>
      <c r="LJU41" s="624"/>
      <c r="LJV41" s="624"/>
      <c r="LJW41" s="624"/>
      <c r="LJX41" s="624"/>
      <c r="LJY41" s="624"/>
      <c r="LJZ41" s="624"/>
      <c r="LKA41" s="624"/>
      <c r="LKB41" s="624"/>
      <c r="LKC41" s="624"/>
      <c r="LKD41" s="624"/>
      <c r="LKE41" s="624"/>
      <c r="LKF41" s="624"/>
      <c r="LKG41" s="624"/>
      <c r="LKH41" s="624"/>
      <c r="LKI41" s="624"/>
      <c r="LKJ41" s="624"/>
      <c r="LKK41" s="624"/>
      <c r="LKL41" s="624"/>
      <c r="LKM41" s="624"/>
      <c r="LKN41" s="624"/>
      <c r="LKO41" s="624"/>
      <c r="LKP41" s="624"/>
      <c r="LKQ41" s="624"/>
      <c r="LKR41" s="624"/>
      <c r="LKS41" s="624"/>
      <c r="LKT41" s="624"/>
      <c r="LKU41" s="624"/>
      <c r="LKV41" s="624"/>
      <c r="LKW41" s="624"/>
      <c r="LKX41" s="624"/>
      <c r="LKY41" s="624"/>
      <c r="LKZ41" s="624"/>
      <c r="LLA41" s="624"/>
      <c r="LLB41" s="624"/>
      <c r="LLC41" s="624"/>
      <c r="LLD41" s="624"/>
      <c r="LLE41" s="624"/>
      <c r="LLF41" s="624"/>
      <c r="LLG41" s="624"/>
      <c r="LLH41" s="624"/>
      <c r="LLI41" s="624"/>
      <c r="LLJ41" s="624"/>
      <c r="LLK41" s="624"/>
      <c r="LLL41" s="624"/>
      <c r="LLM41" s="624"/>
      <c r="LLN41" s="624"/>
      <c r="LLO41" s="624"/>
      <c r="LLP41" s="624"/>
      <c r="LLQ41" s="624"/>
      <c r="LLR41" s="624"/>
      <c r="LLS41" s="624"/>
      <c r="LLT41" s="624"/>
      <c r="LLU41" s="624"/>
      <c r="LLV41" s="624"/>
      <c r="LLW41" s="624"/>
      <c r="LLX41" s="624"/>
      <c r="LLY41" s="624"/>
      <c r="LLZ41" s="624"/>
      <c r="LMA41" s="624"/>
      <c r="LMB41" s="624"/>
      <c r="LMC41" s="624"/>
      <c r="LMD41" s="624"/>
      <c r="LME41" s="624"/>
      <c r="LMF41" s="624"/>
      <c r="LMG41" s="624"/>
      <c r="LMH41" s="624"/>
      <c r="LMI41" s="624"/>
      <c r="LMJ41" s="624"/>
      <c r="LMK41" s="624"/>
      <c r="LML41" s="624"/>
      <c r="LMM41" s="624"/>
      <c r="LMN41" s="624"/>
      <c r="LMO41" s="624"/>
      <c r="LMP41" s="624"/>
      <c r="LMQ41" s="624"/>
      <c r="LMR41" s="624"/>
      <c r="LMS41" s="624"/>
      <c r="LMT41" s="624"/>
      <c r="LMU41" s="624"/>
      <c r="LMV41" s="624"/>
      <c r="LMW41" s="624"/>
      <c r="LMX41" s="624"/>
      <c r="LMY41" s="624"/>
      <c r="LMZ41" s="624"/>
      <c r="LNA41" s="624"/>
      <c r="LNB41" s="624"/>
      <c r="LNC41" s="624"/>
      <c r="LND41" s="624"/>
      <c r="LNE41" s="624"/>
      <c r="LNF41" s="624"/>
      <c r="LNG41" s="624"/>
      <c r="LNH41" s="624"/>
      <c r="LNI41" s="624"/>
      <c r="LNJ41" s="624"/>
      <c r="LNK41" s="624"/>
      <c r="LNL41" s="624"/>
      <c r="LNM41" s="624"/>
      <c r="LNN41" s="624"/>
      <c r="LNO41" s="624"/>
      <c r="LNP41" s="624"/>
      <c r="LNQ41" s="624"/>
      <c r="LNR41" s="624"/>
      <c r="LNS41" s="624"/>
      <c r="LNT41" s="624"/>
      <c r="LNU41" s="624"/>
      <c r="LNV41" s="624"/>
      <c r="LNW41" s="624"/>
      <c r="LNX41" s="624"/>
      <c r="LNY41" s="624"/>
      <c r="LNZ41" s="624"/>
      <c r="LOA41" s="624"/>
      <c r="LOB41" s="624"/>
      <c r="LOC41" s="624"/>
      <c r="LOD41" s="624"/>
      <c r="LOE41" s="624"/>
      <c r="LOF41" s="624"/>
      <c r="LOG41" s="624"/>
      <c r="LOH41" s="624"/>
      <c r="LOI41" s="624"/>
      <c r="LOJ41" s="624"/>
      <c r="LOK41" s="624"/>
      <c r="LOL41" s="624"/>
      <c r="LOM41" s="624"/>
      <c r="LON41" s="624"/>
      <c r="LOO41" s="624"/>
      <c r="LOP41" s="624"/>
      <c r="LOQ41" s="624"/>
      <c r="LOR41" s="624"/>
      <c r="LOS41" s="624"/>
      <c r="LOT41" s="624"/>
      <c r="LOU41" s="624"/>
      <c r="LOV41" s="624"/>
      <c r="LOW41" s="624"/>
      <c r="LOX41" s="624"/>
      <c r="LOY41" s="624"/>
      <c r="LOZ41" s="624"/>
      <c r="LPA41" s="624"/>
      <c r="LPB41" s="624"/>
      <c r="LPC41" s="624"/>
      <c r="LPD41" s="624"/>
      <c r="LPE41" s="624"/>
      <c r="LPF41" s="624"/>
      <c r="LPG41" s="624"/>
      <c r="LPH41" s="624"/>
      <c r="LPI41" s="624"/>
      <c r="LPJ41" s="624"/>
      <c r="LPK41" s="624"/>
      <c r="LPL41" s="624"/>
      <c r="LPM41" s="624"/>
      <c r="LPN41" s="624"/>
      <c r="LPO41" s="624"/>
      <c r="LPP41" s="624"/>
      <c r="LPQ41" s="624"/>
      <c r="LPR41" s="624"/>
      <c r="LPS41" s="624"/>
      <c r="LPT41" s="624"/>
      <c r="LPU41" s="624"/>
      <c r="LPV41" s="624"/>
      <c r="LPW41" s="624"/>
      <c r="LPX41" s="624"/>
      <c r="LPY41" s="624"/>
      <c r="LPZ41" s="624"/>
      <c r="LQA41" s="624"/>
      <c r="LQB41" s="624"/>
      <c r="LQC41" s="624"/>
      <c r="LQD41" s="624"/>
      <c r="LQE41" s="624"/>
      <c r="LQF41" s="624"/>
      <c r="LQG41" s="624"/>
      <c r="LQH41" s="624"/>
      <c r="LQI41" s="624"/>
      <c r="LQJ41" s="624"/>
      <c r="LQK41" s="624"/>
      <c r="LQL41" s="624"/>
      <c r="LQM41" s="624"/>
      <c r="LQN41" s="624"/>
      <c r="LQO41" s="624"/>
      <c r="LQP41" s="624"/>
      <c r="LQQ41" s="624"/>
      <c r="LQR41" s="624"/>
      <c r="LQS41" s="624"/>
      <c r="LQT41" s="624"/>
      <c r="LQU41" s="624"/>
      <c r="LQV41" s="624"/>
      <c r="LQW41" s="624"/>
      <c r="LQX41" s="624"/>
      <c r="LQY41" s="624"/>
      <c r="LQZ41" s="624"/>
      <c r="LRA41" s="624"/>
      <c r="LRB41" s="624"/>
      <c r="LRC41" s="624"/>
      <c r="LRD41" s="624"/>
      <c r="LRE41" s="624"/>
      <c r="LRF41" s="624"/>
      <c r="LRG41" s="624"/>
      <c r="LRH41" s="624"/>
      <c r="LRI41" s="624"/>
      <c r="LRJ41" s="624"/>
      <c r="LRK41" s="624"/>
      <c r="LRL41" s="624"/>
      <c r="LRM41" s="624"/>
      <c r="LRN41" s="624"/>
      <c r="LRO41" s="624"/>
      <c r="LRP41" s="624"/>
      <c r="LRQ41" s="624"/>
      <c r="LRR41" s="624"/>
      <c r="LRS41" s="624"/>
      <c r="LRT41" s="624"/>
      <c r="LRU41" s="624"/>
      <c r="LRV41" s="624"/>
      <c r="LRW41" s="624"/>
      <c r="LRX41" s="624"/>
      <c r="LRY41" s="624"/>
      <c r="LRZ41" s="624"/>
      <c r="LSA41" s="624"/>
      <c r="LSB41" s="624"/>
      <c r="LSC41" s="624"/>
      <c r="LSD41" s="624"/>
      <c r="LSE41" s="624"/>
      <c r="LSF41" s="624"/>
      <c r="LSG41" s="624"/>
      <c r="LSH41" s="624"/>
      <c r="LSI41" s="624"/>
      <c r="LSJ41" s="624"/>
      <c r="LSK41" s="624"/>
      <c r="LSL41" s="624"/>
      <c r="LSM41" s="624"/>
      <c r="LSN41" s="624"/>
      <c r="LSO41" s="624"/>
      <c r="LSP41" s="624"/>
      <c r="LSQ41" s="624"/>
      <c r="LSR41" s="624"/>
      <c r="LSS41" s="624"/>
      <c r="LST41" s="624"/>
      <c r="LSU41" s="624"/>
      <c r="LSV41" s="624"/>
      <c r="LSW41" s="624"/>
      <c r="LSX41" s="624"/>
      <c r="LSY41" s="624"/>
      <c r="LSZ41" s="624"/>
      <c r="LTA41" s="624"/>
      <c r="LTB41" s="624"/>
      <c r="LTC41" s="624"/>
      <c r="LTD41" s="624"/>
      <c r="LTE41" s="624"/>
      <c r="LTF41" s="624"/>
      <c r="LTG41" s="624"/>
      <c r="LTH41" s="624"/>
      <c r="LTI41" s="624"/>
      <c r="LTJ41" s="624"/>
      <c r="LTK41" s="624"/>
      <c r="LTL41" s="624"/>
      <c r="LTM41" s="624"/>
      <c r="LTN41" s="624"/>
      <c r="LTO41" s="624"/>
      <c r="LTP41" s="624"/>
      <c r="LTQ41" s="624"/>
      <c r="LTR41" s="624"/>
      <c r="LTS41" s="624"/>
      <c r="LTT41" s="624"/>
      <c r="LTU41" s="624"/>
      <c r="LTV41" s="624"/>
      <c r="LTW41" s="624"/>
      <c r="LTX41" s="624"/>
      <c r="LTY41" s="624"/>
      <c r="LTZ41" s="624"/>
      <c r="LUA41" s="624"/>
      <c r="LUB41" s="624"/>
      <c r="LUC41" s="624"/>
      <c r="LUD41" s="624"/>
      <c r="LUE41" s="624"/>
      <c r="LUF41" s="624"/>
      <c r="LUG41" s="624"/>
      <c r="LUH41" s="624"/>
      <c r="LUI41" s="624"/>
      <c r="LUJ41" s="624"/>
      <c r="LUK41" s="624"/>
      <c r="LUL41" s="624"/>
      <c r="LUM41" s="624"/>
      <c r="LUN41" s="624"/>
      <c r="LUO41" s="624"/>
      <c r="LUP41" s="624"/>
      <c r="LUQ41" s="624"/>
      <c r="LUR41" s="624"/>
      <c r="LUS41" s="624"/>
      <c r="LUT41" s="624"/>
      <c r="LUU41" s="624"/>
      <c r="LUV41" s="624"/>
      <c r="LUW41" s="624"/>
      <c r="LUX41" s="624"/>
      <c r="LUY41" s="624"/>
      <c r="LUZ41" s="624"/>
      <c r="LVA41" s="624"/>
      <c r="LVB41" s="624"/>
      <c r="LVC41" s="624"/>
      <c r="LVD41" s="624"/>
      <c r="LVE41" s="624"/>
      <c r="LVF41" s="624"/>
      <c r="LVG41" s="624"/>
      <c r="LVH41" s="624"/>
      <c r="LVI41" s="624"/>
      <c r="LVJ41" s="624"/>
      <c r="LVK41" s="624"/>
      <c r="LVL41" s="624"/>
      <c r="LVM41" s="624"/>
      <c r="LVN41" s="624"/>
      <c r="LVO41" s="624"/>
      <c r="LVP41" s="624"/>
      <c r="LVQ41" s="624"/>
      <c r="LVR41" s="624"/>
      <c r="LVS41" s="624"/>
      <c r="LVT41" s="624"/>
      <c r="LVU41" s="624"/>
      <c r="LVV41" s="624"/>
      <c r="LVW41" s="624"/>
      <c r="LVX41" s="624"/>
      <c r="LVY41" s="624"/>
      <c r="LVZ41" s="624"/>
      <c r="LWA41" s="624"/>
      <c r="LWB41" s="624"/>
      <c r="LWC41" s="624"/>
      <c r="LWD41" s="624"/>
      <c r="LWE41" s="624"/>
      <c r="LWF41" s="624"/>
      <c r="LWG41" s="624"/>
      <c r="LWH41" s="624"/>
      <c r="LWI41" s="624"/>
      <c r="LWJ41" s="624"/>
      <c r="LWK41" s="624"/>
      <c r="LWL41" s="624"/>
      <c r="LWM41" s="624"/>
      <c r="LWN41" s="624"/>
      <c r="LWO41" s="624"/>
      <c r="LWP41" s="624"/>
      <c r="LWQ41" s="624"/>
      <c r="LWR41" s="624"/>
      <c r="LWS41" s="624"/>
      <c r="LWT41" s="624"/>
      <c r="LWU41" s="624"/>
      <c r="LWV41" s="624"/>
      <c r="LWW41" s="624"/>
      <c r="LWX41" s="624"/>
      <c r="LWY41" s="624"/>
      <c r="LWZ41" s="624"/>
      <c r="LXA41" s="624"/>
      <c r="LXB41" s="624"/>
      <c r="LXC41" s="624"/>
      <c r="LXD41" s="624"/>
      <c r="LXE41" s="624"/>
      <c r="LXF41" s="624"/>
      <c r="LXG41" s="624"/>
      <c r="LXH41" s="624"/>
      <c r="LXI41" s="624"/>
      <c r="LXJ41" s="624"/>
      <c r="LXK41" s="624"/>
      <c r="LXL41" s="624"/>
      <c r="LXM41" s="624"/>
      <c r="LXN41" s="624"/>
      <c r="LXO41" s="624"/>
      <c r="LXP41" s="624"/>
      <c r="LXQ41" s="624"/>
      <c r="LXR41" s="624"/>
      <c r="LXS41" s="624"/>
      <c r="LXT41" s="624"/>
      <c r="LXU41" s="624"/>
      <c r="LXV41" s="624"/>
      <c r="LXW41" s="624"/>
      <c r="LXX41" s="624"/>
      <c r="LXY41" s="624"/>
      <c r="LXZ41" s="624"/>
      <c r="LYA41" s="624"/>
      <c r="LYB41" s="624"/>
      <c r="LYC41" s="624"/>
      <c r="LYD41" s="624"/>
      <c r="LYE41" s="624"/>
      <c r="LYF41" s="624"/>
      <c r="LYG41" s="624"/>
      <c r="LYH41" s="624"/>
      <c r="LYI41" s="624"/>
      <c r="LYJ41" s="624"/>
      <c r="LYK41" s="624"/>
      <c r="LYL41" s="624"/>
      <c r="LYM41" s="624"/>
      <c r="LYN41" s="624"/>
      <c r="LYO41" s="624"/>
      <c r="LYP41" s="624"/>
      <c r="LYQ41" s="624"/>
      <c r="LYR41" s="624"/>
      <c r="LYS41" s="624"/>
      <c r="LYT41" s="624"/>
      <c r="LYU41" s="624"/>
      <c r="LYV41" s="624"/>
      <c r="LYW41" s="624"/>
      <c r="LYX41" s="624"/>
      <c r="LYY41" s="624"/>
      <c r="LYZ41" s="624"/>
      <c r="LZA41" s="624"/>
      <c r="LZB41" s="624"/>
      <c r="LZC41" s="624"/>
      <c r="LZD41" s="624"/>
      <c r="LZE41" s="624"/>
      <c r="LZF41" s="624"/>
      <c r="LZG41" s="624"/>
      <c r="LZH41" s="624"/>
      <c r="LZI41" s="624"/>
      <c r="LZJ41" s="624"/>
      <c r="LZK41" s="624"/>
      <c r="LZL41" s="624"/>
      <c r="LZM41" s="624"/>
      <c r="LZN41" s="624"/>
      <c r="LZO41" s="624"/>
      <c r="LZP41" s="624"/>
      <c r="LZQ41" s="624"/>
      <c r="LZR41" s="624"/>
      <c r="LZS41" s="624"/>
      <c r="LZT41" s="624"/>
      <c r="LZU41" s="624"/>
      <c r="LZV41" s="624"/>
      <c r="LZW41" s="624"/>
      <c r="LZX41" s="624"/>
      <c r="LZY41" s="624"/>
      <c r="LZZ41" s="624"/>
      <c r="MAA41" s="624"/>
      <c r="MAB41" s="624"/>
      <c r="MAC41" s="624"/>
      <c r="MAD41" s="624"/>
      <c r="MAE41" s="624"/>
      <c r="MAF41" s="624"/>
      <c r="MAG41" s="624"/>
      <c r="MAH41" s="624"/>
      <c r="MAI41" s="624"/>
      <c r="MAJ41" s="624"/>
      <c r="MAK41" s="624"/>
      <c r="MAL41" s="624"/>
      <c r="MAM41" s="624"/>
      <c r="MAN41" s="624"/>
      <c r="MAO41" s="624"/>
      <c r="MAP41" s="624"/>
      <c r="MAQ41" s="624"/>
      <c r="MAR41" s="624"/>
      <c r="MAS41" s="624"/>
      <c r="MAT41" s="624"/>
      <c r="MAU41" s="624"/>
      <c r="MAV41" s="624"/>
      <c r="MAW41" s="624"/>
      <c r="MAX41" s="624"/>
      <c r="MAY41" s="624"/>
      <c r="MAZ41" s="624"/>
      <c r="MBA41" s="624"/>
      <c r="MBB41" s="624"/>
      <c r="MBC41" s="624"/>
      <c r="MBD41" s="624"/>
      <c r="MBE41" s="624"/>
      <c r="MBF41" s="624"/>
      <c r="MBG41" s="624"/>
      <c r="MBH41" s="624"/>
      <c r="MBI41" s="624"/>
      <c r="MBJ41" s="624"/>
      <c r="MBK41" s="624"/>
      <c r="MBL41" s="624"/>
      <c r="MBM41" s="624"/>
      <c r="MBN41" s="624"/>
      <c r="MBO41" s="624"/>
      <c r="MBP41" s="624"/>
      <c r="MBQ41" s="624"/>
      <c r="MBR41" s="624"/>
      <c r="MBS41" s="624"/>
      <c r="MBT41" s="624"/>
      <c r="MBU41" s="624"/>
      <c r="MBV41" s="624"/>
      <c r="MBW41" s="624"/>
      <c r="MBX41" s="624"/>
      <c r="MBY41" s="624"/>
      <c r="MBZ41" s="624"/>
      <c r="MCA41" s="624"/>
      <c r="MCB41" s="624"/>
      <c r="MCC41" s="624"/>
      <c r="MCD41" s="624"/>
      <c r="MCE41" s="624"/>
      <c r="MCF41" s="624"/>
      <c r="MCG41" s="624"/>
      <c r="MCH41" s="624"/>
      <c r="MCI41" s="624"/>
      <c r="MCJ41" s="624"/>
      <c r="MCK41" s="624"/>
      <c r="MCL41" s="624"/>
      <c r="MCM41" s="624"/>
      <c r="MCN41" s="624"/>
      <c r="MCO41" s="624"/>
      <c r="MCP41" s="624"/>
      <c r="MCQ41" s="624"/>
      <c r="MCR41" s="624"/>
      <c r="MCS41" s="624"/>
      <c r="MCT41" s="624"/>
      <c r="MCU41" s="624"/>
      <c r="MCV41" s="624"/>
      <c r="MCW41" s="624"/>
      <c r="MCX41" s="624"/>
      <c r="MCY41" s="624"/>
      <c r="MCZ41" s="624"/>
      <c r="MDA41" s="624"/>
      <c r="MDB41" s="624"/>
      <c r="MDC41" s="624"/>
      <c r="MDD41" s="624"/>
      <c r="MDE41" s="624"/>
      <c r="MDF41" s="624"/>
      <c r="MDG41" s="624"/>
      <c r="MDH41" s="624"/>
      <c r="MDI41" s="624"/>
      <c r="MDJ41" s="624"/>
      <c r="MDK41" s="624"/>
      <c r="MDL41" s="624"/>
      <c r="MDM41" s="624"/>
      <c r="MDN41" s="624"/>
      <c r="MDO41" s="624"/>
      <c r="MDP41" s="624"/>
      <c r="MDQ41" s="624"/>
      <c r="MDR41" s="624"/>
      <c r="MDS41" s="624"/>
      <c r="MDT41" s="624"/>
      <c r="MDU41" s="624"/>
      <c r="MDV41" s="624"/>
      <c r="MDW41" s="624"/>
      <c r="MDX41" s="624"/>
      <c r="MDY41" s="624"/>
      <c r="MDZ41" s="624"/>
      <c r="MEA41" s="624"/>
      <c r="MEB41" s="624"/>
      <c r="MEC41" s="624"/>
      <c r="MED41" s="624"/>
      <c r="MEE41" s="624"/>
      <c r="MEF41" s="624"/>
      <c r="MEG41" s="624"/>
      <c r="MEH41" s="624"/>
      <c r="MEI41" s="624"/>
      <c r="MEJ41" s="624"/>
      <c r="MEK41" s="624"/>
      <c r="MEL41" s="624"/>
      <c r="MEM41" s="624"/>
      <c r="MEN41" s="624"/>
      <c r="MEO41" s="624"/>
      <c r="MEP41" s="624"/>
      <c r="MEQ41" s="624"/>
      <c r="MER41" s="624"/>
      <c r="MES41" s="624"/>
      <c r="MET41" s="624"/>
      <c r="MEU41" s="624"/>
      <c r="MEV41" s="624"/>
      <c r="MEW41" s="624"/>
      <c r="MEX41" s="624"/>
      <c r="MEY41" s="624"/>
      <c r="MEZ41" s="624"/>
      <c r="MFA41" s="624"/>
      <c r="MFB41" s="624"/>
      <c r="MFC41" s="624"/>
      <c r="MFD41" s="624"/>
      <c r="MFE41" s="624"/>
      <c r="MFF41" s="624"/>
      <c r="MFG41" s="624"/>
      <c r="MFH41" s="624"/>
      <c r="MFI41" s="624"/>
      <c r="MFJ41" s="624"/>
      <c r="MFK41" s="624"/>
      <c r="MFL41" s="624"/>
      <c r="MFM41" s="624"/>
      <c r="MFN41" s="624"/>
      <c r="MFO41" s="624"/>
      <c r="MFP41" s="624"/>
      <c r="MFQ41" s="624"/>
      <c r="MFR41" s="624"/>
      <c r="MFS41" s="624"/>
      <c r="MFT41" s="624"/>
      <c r="MFU41" s="624"/>
      <c r="MFV41" s="624"/>
      <c r="MFW41" s="624"/>
      <c r="MFX41" s="624"/>
      <c r="MFY41" s="624"/>
      <c r="MFZ41" s="624"/>
      <c r="MGA41" s="624"/>
      <c r="MGB41" s="624"/>
      <c r="MGC41" s="624"/>
      <c r="MGD41" s="624"/>
      <c r="MGE41" s="624"/>
      <c r="MGF41" s="624"/>
      <c r="MGG41" s="624"/>
      <c r="MGH41" s="624"/>
      <c r="MGI41" s="624"/>
      <c r="MGJ41" s="624"/>
      <c r="MGK41" s="624"/>
      <c r="MGL41" s="624"/>
      <c r="MGM41" s="624"/>
      <c r="MGN41" s="624"/>
      <c r="MGO41" s="624"/>
      <c r="MGP41" s="624"/>
      <c r="MGQ41" s="624"/>
      <c r="MGR41" s="624"/>
      <c r="MGS41" s="624"/>
      <c r="MGT41" s="624"/>
      <c r="MGU41" s="624"/>
      <c r="MGV41" s="624"/>
      <c r="MGW41" s="624"/>
      <c r="MGX41" s="624"/>
      <c r="MGY41" s="624"/>
      <c r="MGZ41" s="624"/>
      <c r="MHA41" s="624"/>
      <c r="MHB41" s="624"/>
      <c r="MHC41" s="624"/>
      <c r="MHD41" s="624"/>
      <c r="MHE41" s="624"/>
      <c r="MHF41" s="624"/>
      <c r="MHG41" s="624"/>
      <c r="MHH41" s="624"/>
      <c r="MHI41" s="624"/>
      <c r="MHJ41" s="624"/>
      <c r="MHK41" s="624"/>
      <c r="MHL41" s="624"/>
      <c r="MHM41" s="624"/>
      <c r="MHN41" s="624"/>
      <c r="MHO41" s="624"/>
      <c r="MHP41" s="624"/>
      <c r="MHQ41" s="624"/>
      <c r="MHR41" s="624"/>
      <c r="MHS41" s="624"/>
      <c r="MHT41" s="624"/>
      <c r="MHU41" s="624"/>
      <c r="MHV41" s="624"/>
      <c r="MHW41" s="624"/>
      <c r="MHX41" s="624"/>
      <c r="MHY41" s="624"/>
      <c r="MHZ41" s="624"/>
      <c r="MIA41" s="624"/>
      <c r="MIB41" s="624"/>
      <c r="MIC41" s="624"/>
      <c r="MID41" s="624"/>
      <c r="MIE41" s="624"/>
      <c r="MIF41" s="624"/>
      <c r="MIG41" s="624"/>
      <c r="MIH41" s="624"/>
      <c r="MII41" s="624"/>
      <c r="MIJ41" s="624"/>
      <c r="MIK41" s="624"/>
      <c r="MIL41" s="624"/>
      <c r="MIM41" s="624"/>
      <c r="MIN41" s="624"/>
      <c r="MIO41" s="624"/>
      <c r="MIP41" s="624"/>
      <c r="MIQ41" s="624"/>
      <c r="MIR41" s="624"/>
      <c r="MIS41" s="624"/>
      <c r="MIT41" s="624"/>
      <c r="MIU41" s="624"/>
      <c r="MIV41" s="624"/>
      <c r="MIW41" s="624"/>
      <c r="MIX41" s="624"/>
      <c r="MIY41" s="624"/>
      <c r="MIZ41" s="624"/>
      <c r="MJA41" s="624"/>
      <c r="MJB41" s="624"/>
      <c r="MJC41" s="624"/>
      <c r="MJD41" s="624"/>
      <c r="MJE41" s="624"/>
      <c r="MJF41" s="624"/>
      <c r="MJG41" s="624"/>
      <c r="MJH41" s="624"/>
      <c r="MJI41" s="624"/>
      <c r="MJJ41" s="624"/>
      <c r="MJK41" s="624"/>
      <c r="MJL41" s="624"/>
      <c r="MJM41" s="624"/>
      <c r="MJN41" s="624"/>
      <c r="MJO41" s="624"/>
      <c r="MJP41" s="624"/>
      <c r="MJQ41" s="624"/>
      <c r="MJR41" s="624"/>
      <c r="MJS41" s="624"/>
      <c r="MJT41" s="624"/>
      <c r="MJU41" s="624"/>
      <c r="MJV41" s="624"/>
      <c r="MJW41" s="624"/>
      <c r="MJX41" s="624"/>
      <c r="MJY41" s="624"/>
      <c r="MJZ41" s="624"/>
      <c r="MKA41" s="624"/>
      <c r="MKB41" s="624"/>
      <c r="MKC41" s="624"/>
      <c r="MKD41" s="624"/>
      <c r="MKE41" s="624"/>
      <c r="MKF41" s="624"/>
      <c r="MKG41" s="624"/>
      <c r="MKH41" s="624"/>
      <c r="MKI41" s="624"/>
      <c r="MKJ41" s="624"/>
      <c r="MKK41" s="624"/>
      <c r="MKL41" s="624"/>
      <c r="MKM41" s="624"/>
      <c r="MKN41" s="624"/>
      <c r="MKO41" s="624"/>
      <c r="MKP41" s="624"/>
      <c r="MKQ41" s="624"/>
      <c r="MKR41" s="624"/>
      <c r="MKS41" s="624"/>
      <c r="MKT41" s="624"/>
      <c r="MKU41" s="624"/>
      <c r="MKV41" s="624"/>
      <c r="MKW41" s="624"/>
      <c r="MKX41" s="624"/>
      <c r="MKY41" s="624"/>
      <c r="MKZ41" s="624"/>
      <c r="MLA41" s="624"/>
      <c r="MLB41" s="624"/>
      <c r="MLC41" s="624"/>
      <c r="MLD41" s="624"/>
      <c r="MLE41" s="624"/>
      <c r="MLF41" s="624"/>
      <c r="MLG41" s="624"/>
      <c r="MLH41" s="624"/>
      <c r="MLI41" s="624"/>
      <c r="MLJ41" s="624"/>
      <c r="MLK41" s="624"/>
      <c r="MLL41" s="624"/>
      <c r="MLM41" s="624"/>
      <c r="MLN41" s="624"/>
      <c r="MLO41" s="624"/>
      <c r="MLP41" s="624"/>
      <c r="MLQ41" s="624"/>
      <c r="MLR41" s="624"/>
      <c r="MLS41" s="624"/>
      <c r="MLT41" s="624"/>
      <c r="MLU41" s="624"/>
      <c r="MLV41" s="624"/>
      <c r="MLW41" s="624"/>
      <c r="MLX41" s="624"/>
      <c r="MLY41" s="624"/>
      <c r="MLZ41" s="624"/>
      <c r="MMA41" s="624"/>
      <c r="MMB41" s="624"/>
      <c r="MMC41" s="624"/>
      <c r="MMD41" s="624"/>
      <c r="MME41" s="624"/>
      <c r="MMF41" s="624"/>
      <c r="MMG41" s="624"/>
      <c r="MMH41" s="624"/>
      <c r="MMI41" s="624"/>
      <c r="MMJ41" s="624"/>
      <c r="MMK41" s="624"/>
      <c r="MML41" s="624"/>
      <c r="MMM41" s="624"/>
      <c r="MMN41" s="624"/>
      <c r="MMO41" s="624"/>
      <c r="MMP41" s="624"/>
      <c r="MMQ41" s="624"/>
      <c r="MMR41" s="624"/>
      <c r="MMS41" s="624"/>
      <c r="MMT41" s="624"/>
      <c r="MMU41" s="624"/>
      <c r="MMV41" s="624"/>
      <c r="MMW41" s="624"/>
      <c r="MMX41" s="624"/>
      <c r="MMY41" s="624"/>
      <c r="MMZ41" s="624"/>
      <c r="MNA41" s="624"/>
      <c r="MNB41" s="624"/>
      <c r="MNC41" s="624"/>
      <c r="MND41" s="624"/>
      <c r="MNE41" s="624"/>
      <c r="MNF41" s="624"/>
      <c r="MNG41" s="624"/>
      <c r="MNH41" s="624"/>
      <c r="MNI41" s="624"/>
      <c r="MNJ41" s="624"/>
      <c r="MNK41" s="624"/>
      <c r="MNL41" s="624"/>
      <c r="MNM41" s="624"/>
      <c r="MNN41" s="624"/>
      <c r="MNO41" s="624"/>
      <c r="MNP41" s="624"/>
      <c r="MNQ41" s="624"/>
      <c r="MNR41" s="624"/>
      <c r="MNS41" s="624"/>
      <c r="MNT41" s="624"/>
      <c r="MNU41" s="624"/>
      <c r="MNV41" s="624"/>
      <c r="MNW41" s="624"/>
      <c r="MNX41" s="624"/>
      <c r="MNY41" s="624"/>
      <c r="MNZ41" s="624"/>
      <c r="MOA41" s="624"/>
      <c r="MOB41" s="624"/>
      <c r="MOC41" s="624"/>
      <c r="MOD41" s="624"/>
      <c r="MOE41" s="624"/>
      <c r="MOF41" s="624"/>
      <c r="MOG41" s="624"/>
      <c r="MOH41" s="624"/>
      <c r="MOI41" s="624"/>
      <c r="MOJ41" s="624"/>
      <c r="MOK41" s="624"/>
      <c r="MOL41" s="624"/>
      <c r="MOM41" s="624"/>
      <c r="MON41" s="624"/>
      <c r="MOO41" s="624"/>
      <c r="MOP41" s="624"/>
      <c r="MOQ41" s="624"/>
      <c r="MOR41" s="624"/>
      <c r="MOS41" s="624"/>
      <c r="MOT41" s="624"/>
      <c r="MOU41" s="624"/>
      <c r="MOV41" s="624"/>
      <c r="MOW41" s="624"/>
      <c r="MOX41" s="624"/>
      <c r="MOY41" s="624"/>
      <c r="MOZ41" s="624"/>
      <c r="MPA41" s="624"/>
      <c r="MPB41" s="624"/>
      <c r="MPC41" s="624"/>
      <c r="MPD41" s="624"/>
      <c r="MPE41" s="624"/>
      <c r="MPF41" s="624"/>
      <c r="MPG41" s="624"/>
      <c r="MPH41" s="624"/>
      <c r="MPI41" s="624"/>
      <c r="MPJ41" s="624"/>
      <c r="MPK41" s="624"/>
      <c r="MPL41" s="624"/>
      <c r="MPM41" s="624"/>
      <c r="MPN41" s="624"/>
      <c r="MPO41" s="624"/>
      <c r="MPP41" s="624"/>
      <c r="MPQ41" s="624"/>
      <c r="MPR41" s="624"/>
      <c r="MPS41" s="624"/>
      <c r="MPT41" s="624"/>
      <c r="MPU41" s="624"/>
      <c r="MPV41" s="624"/>
      <c r="MPW41" s="624"/>
      <c r="MPX41" s="624"/>
      <c r="MPY41" s="624"/>
      <c r="MPZ41" s="624"/>
      <c r="MQA41" s="624"/>
      <c r="MQB41" s="624"/>
      <c r="MQC41" s="624"/>
      <c r="MQD41" s="624"/>
      <c r="MQE41" s="624"/>
      <c r="MQF41" s="624"/>
      <c r="MQG41" s="624"/>
      <c r="MQH41" s="624"/>
      <c r="MQI41" s="624"/>
      <c r="MQJ41" s="624"/>
      <c r="MQK41" s="624"/>
      <c r="MQL41" s="624"/>
      <c r="MQM41" s="624"/>
      <c r="MQN41" s="624"/>
      <c r="MQO41" s="624"/>
      <c r="MQP41" s="624"/>
      <c r="MQQ41" s="624"/>
      <c r="MQR41" s="624"/>
      <c r="MQS41" s="624"/>
      <c r="MQT41" s="624"/>
      <c r="MQU41" s="624"/>
      <c r="MQV41" s="624"/>
      <c r="MQW41" s="624"/>
      <c r="MQX41" s="624"/>
      <c r="MQY41" s="624"/>
      <c r="MQZ41" s="624"/>
      <c r="MRA41" s="624"/>
      <c r="MRB41" s="624"/>
      <c r="MRC41" s="624"/>
      <c r="MRD41" s="624"/>
      <c r="MRE41" s="624"/>
      <c r="MRF41" s="624"/>
      <c r="MRG41" s="624"/>
      <c r="MRH41" s="624"/>
      <c r="MRI41" s="624"/>
      <c r="MRJ41" s="624"/>
      <c r="MRK41" s="624"/>
      <c r="MRL41" s="624"/>
      <c r="MRM41" s="624"/>
      <c r="MRN41" s="624"/>
      <c r="MRO41" s="624"/>
      <c r="MRP41" s="624"/>
      <c r="MRQ41" s="624"/>
      <c r="MRR41" s="624"/>
      <c r="MRS41" s="624"/>
      <c r="MRT41" s="624"/>
      <c r="MRU41" s="624"/>
      <c r="MRV41" s="624"/>
      <c r="MRW41" s="624"/>
      <c r="MRX41" s="624"/>
      <c r="MRY41" s="624"/>
      <c r="MRZ41" s="624"/>
      <c r="MSA41" s="624"/>
      <c r="MSB41" s="624"/>
      <c r="MSC41" s="624"/>
      <c r="MSD41" s="624"/>
      <c r="MSE41" s="624"/>
      <c r="MSF41" s="624"/>
      <c r="MSG41" s="624"/>
      <c r="MSH41" s="624"/>
      <c r="MSI41" s="624"/>
      <c r="MSJ41" s="624"/>
      <c r="MSK41" s="624"/>
      <c r="MSL41" s="624"/>
      <c r="MSM41" s="624"/>
      <c r="MSN41" s="624"/>
      <c r="MSO41" s="624"/>
      <c r="MSP41" s="624"/>
      <c r="MSQ41" s="624"/>
      <c r="MSR41" s="624"/>
      <c r="MSS41" s="624"/>
      <c r="MST41" s="624"/>
      <c r="MSU41" s="624"/>
      <c r="MSV41" s="624"/>
      <c r="MSW41" s="624"/>
      <c r="MSX41" s="624"/>
      <c r="MSY41" s="624"/>
      <c r="MSZ41" s="624"/>
      <c r="MTA41" s="624"/>
      <c r="MTB41" s="624"/>
      <c r="MTC41" s="624"/>
      <c r="MTD41" s="624"/>
      <c r="MTE41" s="624"/>
      <c r="MTF41" s="624"/>
      <c r="MTG41" s="624"/>
      <c r="MTH41" s="624"/>
      <c r="MTI41" s="624"/>
      <c r="MTJ41" s="624"/>
      <c r="MTK41" s="624"/>
      <c r="MTL41" s="624"/>
      <c r="MTM41" s="624"/>
      <c r="MTN41" s="624"/>
      <c r="MTO41" s="624"/>
      <c r="MTP41" s="624"/>
      <c r="MTQ41" s="624"/>
      <c r="MTR41" s="624"/>
      <c r="MTS41" s="624"/>
      <c r="MTT41" s="624"/>
      <c r="MTU41" s="624"/>
      <c r="MTV41" s="624"/>
      <c r="MTW41" s="624"/>
      <c r="MTX41" s="624"/>
      <c r="MTY41" s="624"/>
      <c r="MTZ41" s="624"/>
      <c r="MUA41" s="624"/>
      <c r="MUB41" s="624"/>
      <c r="MUC41" s="624"/>
      <c r="MUD41" s="624"/>
      <c r="MUE41" s="624"/>
      <c r="MUF41" s="624"/>
      <c r="MUG41" s="624"/>
      <c r="MUH41" s="624"/>
      <c r="MUI41" s="624"/>
      <c r="MUJ41" s="624"/>
      <c r="MUK41" s="624"/>
      <c r="MUL41" s="624"/>
      <c r="MUM41" s="624"/>
      <c r="MUN41" s="624"/>
      <c r="MUO41" s="624"/>
      <c r="MUP41" s="624"/>
      <c r="MUQ41" s="624"/>
      <c r="MUR41" s="624"/>
      <c r="MUS41" s="624"/>
      <c r="MUT41" s="624"/>
      <c r="MUU41" s="624"/>
      <c r="MUV41" s="624"/>
      <c r="MUW41" s="624"/>
      <c r="MUX41" s="624"/>
      <c r="MUY41" s="624"/>
      <c r="MUZ41" s="624"/>
      <c r="MVA41" s="624"/>
      <c r="MVB41" s="624"/>
      <c r="MVC41" s="624"/>
      <c r="MVD41" s="624"/>
      <c r="MVE41" s="624"/>
      <c r="MVF41" s="624"/>
      <c r="MVG41" s="624"/>
      <c r="MVH41" s="624"/>
      <c r="MVI41" s="624"/>
      <c r="MVJ41" s="624"/>
      <c r="MVK41" s="624"/>
      <c r="MVL41" s="624"/>
      <c r="MVM41" s="624"/>
      <c r="MVN41" s="624"/>
      <c r="MVO41" s="624"/>
      <c r="MVP41" s="624"/>
      <c r="MVQ41" s="624"/>
      <c r="MVR41" s="624"/>
      <c r="MVS41" s="624"/>
      <c r="MVT41" s="624"/>
      <c r="MVU41" s="624"/>
      <c r="MVV41" s="624"/>
      <c r="MVW41" s="624"/>
      <c r="MVX41" s="624"/>
      <c r="MVY41" s="624"/>
      <c r="MVZ41" s="624"/>
      <c r="MWA41" s="624"/>
      <c r="MWB41" s="624"/>
      <c r="MWC41" s="624"/>
      <c r="MWD41" s="624"/>
      <c r="MWE41" s="624"/>
      <c r="MWF41" s="624"/>
      <c r="MWG41" s="624"/>
      <c r="MWH41" s="624"/>
      <c r="MWI41" s="624"/>
      <c r="MWJ41" s="624"/>
      <c r="MWK41" s="624"/>
      <c r="MWL41" s="624"/>
      <c r="MWM41" s="624"/>
      <c r="MWN41" s="624"/>
      <c r="MWO41" s="624"/>
      <c r="MWP41" s="624"/>
      <c r="MWQ41" s="624"/>
      <c r="MWR41" s="624"/>
      <c r="MWS41" s="624"/>
      <c r="MWT41" s="624"/>
      <c r="MWU41" s="624"/>
      <c r="MWV41" s="624"/>
      <c r="MWW41" s="624"/>
      <c r="MWX41" s="624"/>
      <c r="MWY41" s="624"/>
      <c r="MWZ41" s="624"/>
      <c r="MXA41" s="624"/>
      <c r="MXB41" s="624"/>
      <c r="MXC41" s="624"/>
      <c r="MXD41" s="624"/>
      <c r="MXE41" s="624"/>
      <c r="MXF41" s="624"/>
      <c r="MXG41" s="624"/>
      <c r="MXH41" s="624"/>
      <c r="MXI41" s="624"/>
      <c r="MXJ41" s="624"/>
      <c r="MXK41" s="624"/>
      <c r="MXL41" s="624"/>
      <c r="MXM41" s="624"/>
      <c r="MXN41" s="624"/>
      <c r="MXO41" s="624"/>
      <c r="MXP41" s="624"/>
      <c r="MXQ41" s="624"/>
      <c r="MXR41" s="624"/>
      <c r="MXS41" s="624"/>
      <c r="MXT41" s="624"/>
      <c r="MXU41" s="624"/>
      <c r="MXV41" s="624"/>
      <c r="MXW41" s="624"/>
      <c r="MXX41" s="624"/>
      <c r="MXY41" s="624"/>
      <c r="MXZ41" s="624"/>
      <c r="MYA41" s="624"/>
      <c r="MYB41" s="624"/>
      <c r="MYC41" s="624"/>
      <c r="MYD41" s="624"/>
      <c r="MYE41" s="624"/>
      <c r="MYF41" s="624"/>
      <c r="MYG41" s="624"/>
      <c r="MYH41" s="624"/>
      <c r="MYI41" s="624"/>
      <c r="MYJ41" s="624"/>
      <c r="MYK41" s="624"/>
      <c r="MYL41" s="624"/>
      <c r="MYM41" s="624"/>
      <c r="MYN41" s="624"/>
      <c r="MYO41" s="624"/>
      <c r="MYP41" s="624"/>
      <c r="MYQ41" s="624"/>
      <c r="MYR41" s="624"/>
      <c r="MYS41" s="624"/>
      <c r="MYT41" s="624"/>
      <c r="MYU41" s="624"/>
      <c r="MYV41" s="624"/>
      <c r="MYW41" s="624"/>
      <c r="MYX41" s="624"/>
      <c r="MYY41" s="624"/>
      <c r="MYZ41" s="624"/>
      <c r="MZA41" s="624"/>
      <c r="MZB41" s="624"/>
      <c r="MZC41" s="624"/>
      <c r="MZD41" s="624"/>
      <c r="MZE41" s="624"/>
      <c r="MZF41" s="624"/>
      <c r="MZG41" s="624"/>
      <c r="MZH41" s="624"/>
      <c r="MZI41" s="624"/>
      <c r="MZJ41" s="624"/>
      <c r="MZK41" s="624"/>
      <c r="MZL41" s="624"/>
      <c r="MZM41" s="624"/>
      <c r="MZN41" s="624"/>
      <c r="MZO41" s="624"/>
      <c r="MZP41" s="624"/>
      <c r="MZQ41" s="624"/>
      <c r="MZR41" s="624"/>
      <c r="MZS41" s="624"/>
      <c r="MZT41" s="624"/>
      <c r="MZU41" s="624"/>
      <c r="MZV41" s="624"/>
      <c r="MZW41" s="624"/>
      <c r="MZX41" s="624"/>
      <c r="MZY41" s="624"/>
      <c r="MZZ41" s="624"/>
      <c r="NAA41" s="624"/>
      <c r="NAB41" s="624"/>
      <c r="NAC41" s="624"/>
      <c r="NAD41" s="624"/>
      <c r="NAE41" s="624"/>
      <c r="NAF41" s="624"/>
      <c r="NAG41" s="624"/>
      <c r="NAH41" s="624"/>
      <c r="NAI41" s="624"/>
      <c r="NAJ41" s="624"/>
      <c r="NAK41" s="624"/>
      <c r="NAL41" s="624"/>
      <c r="NAM41" s="624"/>
      <c r="NAN41" s="624"/>
      <c r="NAO41" s="624"/>
      <c r="NAP41" s="624"/>
      <c r="NAQ41" s="624"/>
      <c r="NAR41" s="624"/>
      <c r="NAS41" s="624"/>
      <c r="NAT41" s="624"/>
      <c r="NAU41" s="624"/>
      <c r="NAV41" s="624"/>
      <c r="NAW41" s="624"/>
      <c r="NAX41" s="624"/>
      <c r="NAY41" s="624"/>
      <c r="NAZ41" s="624"/>
      <c r="NBA41" s="624"/>
      <c r="NBB41" s="624"/>
      <c r="NBC41" s="624"/>
      <c r="NBD41" s="624"/>
      <c r="NBE41" s="624"/>
      <c r="NBF41" s="624"/>
      <c r="NBG41" s="624"/>
      <c r="NBH41" s="624"/>
      <c r="NBI41" s="624"/>
      <c r="NBJ41" s="624"/>
      <c r="NBK41" s="624"/>
      <c r="NBL41" s="624"/>
      <c r="NBM41" s="624"/>
      <c r="NBN41" s="624"/>
      <c r="NBO41" s="624"/>
      <c r="NBP41" s="624"/>
      <c r="NBQ41" s="624"/>
      <c r="NBR41" s="624"/>
      <c r="NBS41" s="624"/>
      <c r="NBT41" s="624"/>
      <c r="NBU41" s="624"/>
      <c r="NBV41" s="624"/>
      <c r="NBW41" s="624"/>
      <c r="NBX41" s="624"/>
      <c r="NBY41" s="624"/>
      <c r="NBZ41" s="624"/>
      <c r="NCA41" s="624"/>
      <c r="NCB41" s="624"/>
      <c r="NCC41" s="624"/>
      <c r="NCD41" s="624"/>
      <c r="NCE41" s="624"/>
      <c r="NCF41" s="624"/>
      <c r="NCG41" s="624"/>
      <c r="NCH41" s="624"/>
      <c r="NCI41" s="624"/>
      <c r="NCJ41" s="624"/>
      <c r="NCK41" s="624"/>
      <c r="NCL41" s="624"/>
      <c r="NCM41" s="624"/>
      <c r="NCN41" s="624"/>
      <c r="NCO41" s="624"/>
      <c r="NCP41" s="624"/>
      <c r="NCQ41" s="624"/>
      <c r="NCR41" s="624"/>
      <c r="NCS41" s="624"/>
      <c r="NCT41" s="624"/>
      <c r="NCU41" s="624"/>
      <c r="NCV41" s="624"/>
      <c r="NCW41" s="624"/>
      <c r="NCX41" s="624"/>
      <c r="NCY41" s="624"/>
      <c r="NCZ41" s="624"/>
      <c r="NDA41" s="624"/>
      <c r="NDB41" s="624"/>
      <c r="NDC41" s="624"/>
      <c r="NDD41" s="624"/>
      <c r="NDE41" s="624"/>
      <c r="NDF41" s="624"/>
      <c r="NDG41" s="624"/>
      <c r="NDH41" s="624"/>
      <c r="NDI41" s="624"/>
      <c r="NDJ41" s="624"/>
      <c r="NDK41" s="624"/>
      <c r="NDL41" s="624"/>
      <c r="NDM41" s="624"/>
      <c r="NDN41" s="624"/>
      <c r="NDO41" s="624"/>
      <c r="NDP41" s="624"/>
      <c r="NDQ41" s="624"/>
      <c r="NDR41" s="624"/>
      <c r="NDS41" s="624"/>
      <c r="NDT41" s="624"/>
      <c r="NDU41" s="624"/>
      <c r="NDV41" s="624"/>
      <c r="NDW41" s="624"/>
      <c r="NDX41" s="624"/>
      <c r="NDY41" s="624"/>
      <c r="NDZ41" s="624"/>
      <c r="NEA41" s="624"/>
      <c r="NEB41" s="624"/>
      <c r="NEC41" s="624"/>
      <c r="NED41" s="624"/>
      <c r="NEE41" s="624"/>
      <c r="NEF41" s="624"/>
      <c r="NEG41" s="624"/>
      <c r="NEH41" s="624"/>
      <c r="NEI41" s="624"/>
      <c r="NEJ41" s="624"/>
      <c r="NEK41" s="624"/>
      <c r="NEL41" s="624"/>
      <c r="NEM41" s="624"/>
      <c r="NEN41" s="624"/>
      <c r="NEO41" s="624"/>
      <c r="NEP41" s="624"/>
      <c r="NEQ41" s="624"/>
      <c r="NER41" s="624"/>
      <c r="NES41" s="624"/>
      <c r="NET41" s="624"/>
      <c r="NEU41" s="624"/>
      <c r="NEV41" s="624"/>
      <c r="NEW41" s="624"/>
      <c r="NEX41" s="624"/>
      <c r="NEY41" s="624"/>
      <c r="NEZ41" s="624"/>
      <c r="NFA41" s="624"/>
      <c r="NFB41" s="624"/>
      <c r="NFC41" s="624"/>
      <c r="NFD41" s="624"/>
      <c r="NFE41" s="624"/>
      <c r="NFF41" s="624"/>
      <c r="NFG41" s="624"/>
      <c r="NFH41" s="624"/>
      <c r="NFI41" s="624"/>
      <c r="NFJ41" s="624"/>
      <c r="NFK41" s="624"/>
      <c r="NFL41" s="624"/>
      <c r="NFM41" s="624"/>
      <c r="NFN41" s="624"/>
      <c r="NFO41" s="624"/>
      <c r="NFP41" s="624"/>
      <c r="NFQ41" s="624"/>
      <c r="NFR41" s="624"/>
      <c r="NFS41" s="624"/>
      <c r="NFT41" s="624"/>
      <c r="NFU41" s="624"/>
      <c r="NFV41" s="624"/>
      <c r="NFW41" s="624"/>
      <c r="NFX41" s="624"/>
      <c r="NFY41" s="624"/>
      <c r="NFZ41" s="624"/>
      <c r="NGA41" s="624"/>
      <c r="NGB41" s="624"/>
      <c r="NGC41" s="624"/>
      <c r="NGD41" s="624"/>
      <c r="NGE41" s="624"/>
      <c r="NGF41" s="624"/>
      <c r="NGG41" s="624"/>
      <c r="NGH41" s="624"/>
      <c r="NGI41" s="624"/>
      <c r="NGJ41" s="624"/>
      <c r="NGK41" s="624"/>
      <c r="NGL41" s="624"/>
      <c r="NGM41" s="624"/>
      <c r="NGN41" s="624"/>
      <c r="NGO41" s="624"/>
      <c r="NGP41" s="624"/>
      <c r="NGQ41" s="624"/>
      <c r="NGR41" s="624"/>
      <c r="NGS41" s="624"/>
      <c r="NGT41" s="624"/>
      <c r="NGU41" s="624"/>
      <c r="NGV41" s="624"/>
      <c r="NGW41" s="624"/>
      <c r="NGX41" s="624"/>
      <c r="NGY41" s="624"/>
      <c r="NGZ41" s="624"/>
      <c r="NHA41" s="624"/>
      <c r="NHB41" s="624"/>
      <c r="NHC41" s="624"/>
      <c r="NHD41" s="624"/>
      <c r="NHE41" s="624"/>
      <c r="NHF41" s="624"/>
      <c r="NHG41" s="624"/>
      <c r="NHH41" s="624"/>
      <c r="NHI41" s="624"/>
      <c r="NHJ41" s="624"/>
      <c r="NHK41" s="624"/>
      <c r="NHL41" s="624"/>
      <c r="NHM41" s="624"/>
      <c r="NHN41" s="624"/>
      <c r="NHO41" s="624"/>
      <c r="NHP41" s="624"/>
      <c r="NHQ41" s="624"/>
      <c r="NHR41" s="624"/>
      <c r="NHS41" s="624"/>
      <c r="NHT41" s="624"/>
      <c r="NHU41" s="624"/>
      <c r="NHV41" s="624"/>
      <c r="NHW41" s="624"/>
      <c r="NHX41" s="624"/>
      <c r="NHY41" s="624"/>
      <c r="NHZ41" s="624"/>
      <c r="NIA41" s="624"/>
      <c r="NIB41" s="624"/>
      <c r="NIC41" s="624"/>
      <c r="NID41" s="624"/>
      <c r="NIE41" s="624"/>
      <c r="NIF41" s="624"/>
      <c r="NIG41" s="624"/>
      <c r="NIH41" s="624"/>
      <c r="NII41" s="624"/>
      <c r="NIJ41" s="624"/>
      <c r="NIK41" s="624"/>
      <c r="NIL41" s="624"/>
      <c r="NIM41" s="624"/>
      <c r="NIN41" s="624"/>
      <c r="NIO41" s="624"/>
      <c r="NIP41" s="624"/>
      <c r="NIQ41" s="624"/>
      <c r="NIR41" s="624"/>
      <c r="NIS41" s="624"/>
      <c r="NIT41" s="624"/>
      <c r="NIU41" s="624"/>
      <c r="NIV41" s="624"/>
      <c r="NIW41" s="624"/>
      <c r="NIX41" s="624"/>
      <c r="NIY41" s="624"/>
      <c r="NIZ41" s="624"/>
      <c r="NJA41" s="624"/>
      <c r="NJB41" s="624"/>
      <c r="NJC41" s="624"/>
      <c r="NJD41" s="624"/>
      <c r="NJE41" s="624"/>
      <c r="NJF41" s="624"/>
      <c r="NJG41" s="624"/>
      <c r="NJH41" s="624"/>
      <c r="NJI41" s="624"/>
      <c r="NJJ41" s="624"/>
      <c r="NJK41" s="624"/>
      <c r="NJL41" s="624"/>
      <c r="NJM41" s="624"/>
      <c r="NJN41" s="624"/>
      <c r="NJO41" s="624"/>
      <c r="NJP41" s="624"/>
      <c r="NJQ41" s="624"/>
      <c r="NJR41" s="624"/>
      <c r="NJS41" s="624"/>
      <c r="NJT41" s="624"/>
      <c r="NJU41" s="624"/>
      <c r="NJV41" s="624"/>
      <c r="NJW41" s="624"/>
      <c r="NJX41" s="624"/>
      <c r="NJY41" s="624"/>
      <c r="NJZ41" s="624"/>
      <c r="NKA41" s="624"/>
      <c r="NKB41" s="624"/>
      <c r="NKC41" s="624"/>
      <c r="NKD41" s="624"/>
      <c r="NKE41" s="624"/>
      <c r="NKF41" s="624"/>
      <c r="NKG41" s="624"/>
      <c r="NKH41" s="624"/>
      <c r="NKI41" s="624"/>
      <c r="NKJ41" s="624"/>
      <c r="NKK41" s="624"/>
      <c r="NKL41" s="624"/>
      <c r="NKM41" s="624"/>
      <c r="NKN41" s="624"/>
      <c r="NKO41" s="624"/>
      <c r="NKP41" s="624"/>
      <c r="NKQ41" s="624"/>
      <c r="NKR41" s="624"/>
      <c r="NKS41" s="624"/>
      <c r="NKT41" s="624"/>
      <c r="NKU41" s="624"/>
      <c r="NKV41" s="624"/>
      <c r="NKW41" s="624"/>
      <c r="NKX41" s="624"/>
      <c r="NKY41" s="624"/>
      <c r="NKZ41" s="624"/>
      <c r="NLA41" s="624"/>
      <c r="NLB41" s="624"/>
      <c r="NLC41" s="624"/>
      <c r="NLD41" s="624"/>
      <c r="NLE41" s="624"/>
      <c r="NLF41" s="624"/>
      <c r="NLG41" s="624"/>
      <c r="NLH41" s="624"/>
      <c r="NLI41" s="624"/>
      <c r="NLJ41" s="624"/>
      <c r="NLK41" s="624"/>
      <c r="NLL41" s="624"/>
      <c r="NLM41" s="624"/>
      <c r="NLN41" s="624"/>
      <c r="NLO41" s="624"/>
      <c r="NLP41" s="624"/>
      <c r="NLQ41" s="624"/>
      <c r="NLR41" s="624"/>
      <c r="NLS41" s="624"/>
      <c r="NLT41" s="624"/>
      <c r="NLU41" s="624"/>
      <c r="NLV41" s="624"/>
      <c r="NLW41" s="624"/>
      <c r="NLX41" s="624"/>
      <c r="NLY41" s="624"/>
      <c r="NLZ41" s="624"/>
      <c r="NMA41" s="624"/>
      <c r="NMB41" s="624"/>
      <c r="NMC41" s="624"/>
      <c r="NMD41" s="624"/>
      <c r="NME41" s="624"/>
      <c r="NMF41" s="624"/>
      <c r="NMG41" s="624"/>
      <c r="NMH41" s="624"/>
      <c r="NMI41" s="624"/>
      <c r="NMJ41" s="624"/>
      <c r="NMK41" s="624"/>
      <c r="NML41" s="624"/>
      <c r="NMM41" s="624"/>
      <c r="NMN41" s="624"/>
      <c r="NMO41" s="624"/>
      <c r="NMP41" s="624"/>
      <c r="NMQ41" s="624"/>
      <c r="NMR41" s="624"/>
      <c r="NMS41" s="624"/>
      <c r="NMT41" s="624"/>
      <c r="NMU41" s="624"/>
      <c r="NMV41" s="624"/>
      <c r="NMW41" s="624"/>
      <c r="NMX41" s="624"/>
      <c r="NMY41" s="624"/>
      <c r="NMZ41" s="624"/>
      <c r="NNA41" s="624"/>
      <c r="NNB41" s="624"/>
      <c r="NNC41" s="624"/>
      <c r="NND41" s="624"/>
      <c r="NNE41" s="624"/>
      <c r="NNF41" s="624"/>
      <c r="NNG41" s="624"/>
      <c r="NNH41" s="624"/>
      <c r="NNI41" s="624"/>
      <c r="NNJ41" s="624"/>
      <c r="NNK41" s="624"/>
      <c r="NNL41" s="624"/>
      <c r="NNM41" s="624"/>
      <c r="NNN41" s="624"/>
      <c r="NNO41" s="624"/>
      <c r="NNP41" s="624"/>
      <c r="NNQ41" s="624"/>
      <c r="NNR41" s="624"/>
      <c r="NNS41" s="624"/>
      <c r="NNT41" s="624"/>
      <c r="NNU41" s="624"/>
      <c r="NNV41" s="624"/>
      <c r="NNW41" s="624"/>
      <c r="NNX41" s="624"/>
      <c r="NNY41" s="624"/>
      <c r="NNZ41" s="624"/>
      <c r="NOA41" s="624"/>
      <c r="NOB41" s="624"/>
      <c r="NOC41" s="624"/>
      <c r="NOD41" s="624"/>
      <c r="NOE41" s="624"/>
      <c r="NOF41" s="624"/>
      <c r="NOG41" s="624"/>
      <c r="NOH41" s="624"/>
      <c r="NOI41" s="624"/>
      <c r="NOJ41" s="624"/>
      <c r="NOK41" s="624"/>
      <c r="NOL41" s="624"/>
      <c r="NOM41" s="624"/>
      <c r="NON41" s="624"/>
      <c r="NOO41" s="624"/>
      <c r="NOP41" s="624"/>
      <c r="NOQ41" s="624"/>
      <c r="NOR41" s="624"/>
      <c r="NOS41" s="624"/>
      <c r="NOT41" s="624"/>
      <c r="NOU41" s="624"/>
      <c r="NOV41" s="624"/>
      <c r="NOW41" s="624"/>
      <c r="NOX41" s="624"/>
      <c r="NOY41" s="624"/>
      <c r="NOZ41" s="624"/>
      <c r="NPA41" s="624"/>
      <c r="NPB41" s="624"/>
      <c r="NPC41" s="624"/>
      <c r="NPD41" s="624"/>
      <c r="NPE41" s="624"/>
      <c r="NPF41" s="624"/>
      <c r="NPG41" s="624"/>
      <c r="NPH41" s="624"/>
      <c r="NPI41" s="624"/>
      <c r="NPJ41" s="624"/>
      <c r="NPK41" s="624"/>
      <c r="NPL41" s="624"/>
      <c r="NPM41" s="624"/>
      <c r="NPN41" s="624"/>
      <c r="NPO41" s="624"/>
      <c r="NPP41" s="624"/>
      <c r="NPQ41" s="624"/>
      <c r="NPR41" s="624"/>
      <c r="NPS41" s="624"/>
      <c r="NPT41" s="624"/>
      <c r="NPU41" s="624"/>
      <c r="NPV41" s="624"/>
      <c r="NPW41" s="624"/>
      <c r="NPX41" s="624"/>
      <c r="NPY41" s="624"/>
      <c r="NPZ41" s="624"/>
      <c r="NQA41" s="624"/>
      <c r="NQB41" s="624"/>
      <c r="NQC41" s="624"/>
      <c r="NQD41" s="624"/>
      <c r="NQE41" s="624"/>
      <c r="NQF41" s="624"/>
      <c r="NQG41" s="624"/>
      <c r="NQH41" s="624"/>
      <c r="NQI41" s="624"/>
      <c r="NQJ41" s="624"/>
      <c r="NQK41" s="624"/>
      <c r="NQL41" s="624"/>
      <c r="NQM41" s="624"/>
      <c r="NQN41" s="624"/>
      <c r="NQO41" s="624"/>
      <c r="NQP41" s="624"/>
      <c r="NQQ41" s="624"/>
      <c r="NQR41" s="624"/>
      <c r="NQS41" s="624"/>
      <c r="NQT41" s="624"/>
      <c r="NQU41" s="624"/>
      <c r="NQV41" s="624"/>
      <c r="NQW41" s="624"/>
      <c r="NQX41" s="624"/>
      <c r="NQY41" s="624"/>
      <c r="NQZ41" s="624"/>
      <c r="NRA41" s="624"/>
      <c r="NRB41" s="624"/>
      <c r="NRC41" s="624"/>
      <c r="NRD41" s="624"/>
      <c r="NRE41" s="624"/>
      <c r="NRF41" s="624"/>
      <c r="NRG41" s="624"/>
      <c r="NRH41" s="624"/>
      <c r="NRI41" s="624"/>
      <c r="NRJ41" s="624"/>
      <c r="NRK41" s="624"/>
      <c r="NRL41" s="624"/>
      <c r="NRM41" s="624"/>
      <c r="NRN41" s="624"/>
      <c r="NRO41" s="624"/>
      <c r="NRP41" s="624"/>
      <c r="NRQ41" s="624"/>
      <c r="NRR41" s="624"/>
      <c r="NRS41" s="624"/>
      <c r="NRT41" s="624"/>
      <c r="NRU41" s="624"/>
      <c r="NRV41" s="624"/>
      <c r="NRW41" s="624"/>
      <c r="NRX41" s="624"/>
      <c r="NRY41" s="624"/>
      <c r="NRZ41" s="624"/>
      <c r="NSA41" s="624"/>
      <c r="NSB41" s="624"/>
      <c r="NSC41" s="624"/>
      <c r="NSD41" s="624"/>
      <c r="NSE41" s="624"/>
      <c r="NSF41" s="624"/>
      <c r="NSG41" s="624"/>
      <c r="NSH41" s="624"/>
      <c r="NSI41" s="624"/>
      <c r="NSJ41" s="624"/>
      <c r="NSK41" s="624"/>
      <c r="NSL41" s="624"/>
      <c r="NSM41" s="624"/>
      <c r="NSN41" s="624"/>
      <c r="NSO41" s="624"/>
      <c r="NSP41" s="624"/>
      <c r="NSQ41" s="624"/>
      <c r="NSR41" s="624"/>
      <c r="NSS41" s="624"/>
      <c r="NST41" s="624"/>
      <c r="NSU41" s="624"/>
      <c r="NSV41" s="624"/>
      <c r="NSW41" s="624"/>
      <c r="NSX41" s="624"/>
      <c r="NSY41" s="624"/>
      <c r="NSZ41" s="624"/>
      <c r="NTA41" s="624"/>
      <c r="NTB41" s="624"/>
      <c r="NTC41" s="624"/>
      <c r="NTD41" s="624"/>
      <c r="NTE41" s="624"/>
      <c r="NTF41" s="624"/>
      <c r="NTG41" s="624"/>
      <c r="NTH41" s="624"/>
      <c r="NTI41" s="624"/>
      <c r="NTJ41" s="624"/>
      <c r="NTK41" s="624"/>
      <c r="NTL41" s="624"/>
      <c r="NTM41" s="624"/>
      <c r="NTN41" s="624"/>
      <c r="NTO41" s="624"/>
      <c r="NTP41" s="624"/>
      <c r="NTQ41" s="624"/>
      <c r="NTR41" s="624"/>
      <c r="NTS41" s="624"/>
      <c r="NTT41" s="624"/>
      <c r="NTU41" s="624"/>
      <c r="NTV41" s="624"/>
      <c r="NTW41" s="624"/>
      <c r="NTX41" s="624"/>
      <c r="NTY41" s="624"/>
      <c r="NTZ41" s="624"/>
      <c r="NUA41" s="624"/>
      <c r="NUB41" s="624"/>
      <c r="NUC41" s="624"/>
      <c r="NUD41" s="624"/>
      <c r="NUE41" s="624"/>
      <c r="NUF41" s="624"/>
      <c r="NUG41" s="624"/>
      <c r="NUH41" s="624"/>
      <c r="NUI41" s="624"/>
      <c r="NUJ41" s="624"/>
      <c r="NUK41" s="624"/>
      <c r="NUL41" s="624"/>
      <c r="NUM41" s="624"/>
      <c r="NUN41" s="624"/>
      <c r="NUO41" s="624"/>
      <c r="NUP41" s="624"/>
      <c r="NUQ41" s="624"/>
      <c r="NUR41" s="624"/>
      <c r="NUS41" s="624"/>
      <c r="NUT41" s="624"/>
      <c r="NUU41" s="624"/>
      <c r="NUV41" s="624"/>
      <c r="NUW41" s="624"/>
      <c r="NUX41" s="624"/>
      <c r="NUY41" s="624"/>
      <c r="NUZ41" s="624"/>
      <c r="NVA41" s="624"/>
      <c r="NVB41" s="624"/>
      <c r="NVC41" s="624"/>
      <c r="NVD41" s="624"/>
      <c r="NVE41" s="624"/>
      <c r="NVF41" s="624"/>
      <c r="NVG41" s="624"/>
      <c r="NVH41" s="624"/>
      <c r="NVI41" s="624"/>
      <c r="NVJ41" s="624"/>
      <c r="NVK41" s="624"/>
      <c r="NVL41" s="624"/>
      <c r="NVM41" s="624"/>
      <c r="NVN41" s="624"/>
      <c r="NVO41" s="624"/>
      <c r="NVP41" s="624"/>
      <c r="NVQ41" s="624"/>
      <c r="NVR41" s="624"/>
      <c r="NVS41" s="624"/>
      <c r="NVT41" s="624"/>
      <c r="NVU41" s="624"/>
      <c r="NVV41" s="624"/>
      <c r="NVW41" s="624"/>
      <c r="NVX41" s="624"/>
      <c r="NVY41" s="624"/>
      <c r="NVZ41" s="624"/>
      <c r="NWA41" s="624"/>
      <c r="NWB41" s="624"/>
      <c r="NWC41" s="624"/>
      <c r="NWD41" s="624"/>
      <c r="NWE41" s="624"/>
      <c r="NWF41" s="624"/>
      <c r="NWG41" s="624"/>
      <c r="NWH41" s="624"/>
      <c r="NWI41" s="624"/>
      <c r="NWJ41" s="624"/>
      <c r="NWK41" s="624"/>
      <c r="NWL41" s="624"/>
      <c r="NWM41" s="624"/>
      <c r="NWN41" s="624"/>
      <c r="NWO41" s="624"/>
      <c r="NWP41" s="624"/>
      <c r="NWQ41" s="624"/>
      <c r="NWR41" s="624"/>
      <c r="NWS41" s="624"/>
      <c r="NWT41" s="624"/>
      <c r="NWU41" s="624"/>
      <c r="NWV41" s="624"/>
      <c r="NWW41" s="624"/>
      <c r="NWX41" s="624"/>
      <c r="NWY41" s="624"/>
      <c r="NWZ41" s="624"/>
      <c r="NXA41" s="624"/>
      <c r="NXB41" s="624"/>
      <c r="NXC41" s="624"/>
      <c r="NXD41" s="624"/>
      <c r="NXE41" s="624"/>
      <c r="NXF41" s="624"/>
      <c r="NXG41" s="624"/>
      <c r="NXH41" s="624"/>
      <c r="NXI41" s="624"/>
      <c r="NXJ41" s="624"/>
      <c r="NXK41" s="624"/>
      <c r="NXL41" s="624"/>
      <c r="NXM41" s="624"/>
      <c r="NXN41" s="624"/>
      <c r="NXO41" s="624"/>
      <c r="NXP41" s="624"/>
      <c r="NXQ41" s="624"/>
      <c r="NXR41" s="624"/>
      <c r="NXS41" s="624"/>
      <c r="NXT41" s="624"/>
      <c r="NXU41" s="624"/>
      <c r="NXV41" s="624"/>
      <c r="NXW41" s="624"/>
      <c r="NXX41" s="624"/>
      <c r="NXY41" s="624"/>
      <c r="NXZ41" s="624"/>
      <c r="NYA41" s="624"/>
      <c r="NYB41" s="624"/>
      <c r="NYC41" s="624"/>
      <c r="NYD41" s="624"/>
      <c r="NYE41" s="624"/>
      <c r="NYF41" s="624"/>
      <c r="NYG41" s="624"/>
      <c r="NYH41" s="624"/>
      <c r="NYI41" s="624"/>
      <c r="NYJ41" s="624"/>
      <c r="NYK41" s="624"/>
      <c r="NYL41" s="624"/>
      <c r="NYM41" s="624"/>
      <c r="NYN41" s="624"/>
      <c r="NYO41" s="624"/>
      <c r="NYP41" s="624"/>
      <c r="NYQ41" s="624"/>
      <c r="NYR41" s="624"/>
      <c r="NYS41" s="624"/>
      <c r="NYT41" s="624"/>
      <c r="NYU41" s="624"/>
      <c r="NYV41" s="624"/>
      <c r="NYW41" s="624"/>
      <c r="NYX41" s="624"/>
      <c r="NYY41" s="624"/>
      <c r="NYZ41" s="624"/>
      <c r="NZA41" s="624"/>
      <c r="NZB41" s="624"/>
      <c r="NZC41" s="624"/>
      <c r="NZD41" s="624"/>
      <c r="NZE41" s="624"/>
      <c r="NZF41" s="624"/>
      <c r="NZG41" s="624"/>
      <c r="NZH41" s="624"/>
      <c r="NZI41" s="624"/>
      <c r="NZJ41" s="624"/>
      <c r="NZK41" s="624"/>
      <c r="NZL41" s="624"/>
      <c r="NZM41" s="624"/>
      <c r="NZN41" s="624"/>
      <c r="NZO41" s="624"/>
      <c r="NZP41" s="624"/>
      <c r="NZQ41" s="624"/>
      <c r="NZR41" s="624"/>
      <c r="NZS41" s="624"/>
      <c r="NZT41" s="624"/>
      <c r="NZU41" s="624"/>
      <c r="NZV41" s="624"/>
      <c r="NZW41" s="624"/>
      <c r="NZX41" s="624"/>
      <c r="NZY41" s="624"/>
      <c r="NZZ41" s="624"/>
      <c r="OAA41" s="624"/>
      <c r="OAB41" s="624"/>
      <c r="OAC41" s="624"/>
      <c r="OAD41" s="624"/>
      <c r="OAE41" s="624"/>
      <c r="OAF41" s="624"/>
      <c r="OAG41" s="624"/>
      <c r="OAH41" s="624"/>
      <c r="OAI41" s="624"/>
      <c r="OAJ41" s="624"/>
      <c r="OAK41" s="624"/>
      <c r="OAL41" s="624"/>
      <c r="OAM41" s="624"/>
      <c r="OAN41" s="624"/>
      <c r="OAO41" s="624"/>
      <c r="OAP41" s="624"/>
      <c r="OAQ41" s="624"/>
      <c r="OAR41" s="624"/>
      <c r="OAS41" s="624"/>
      <c r="OAT41" s="624"/>
      <c r="OAU41" s="624"/>
      <c r="OAV41" s="624"/>
      <c r="OAW41" s="624"/>
      <c r="OAX41" s="624"/>
      <c r="OAY41" s="624"/>
      <c r="OAZ41" s="624"/>
      <c r="OBA41" s="624"/>
      <c r="OBB41" s="624"/>
      <c r="OBC41" s="624"/>
      <c r="OBD41" s="624"/>
      <c r="OBE41" s="624"/>
      <c r="OBF41" s="624"/>
      <c r="OBG41" s="624"/>
      <c r="OBH41" s="624"/>
      <c r="OBI41" s="624"/>
      <c r="OBJ41" s="624"/>
      <c r="OBK41" s="624"/>
      <c r="OBL41" s="624"/>
      <c r="OBM41" s="624"/>
      <c r="OBN41" s="624"/>
      <c r="OBO41" s="624"/>
      <c r="OBP41" s="624"/>
      <c r="OBQ41" s="624"/>
      <c r="OBR41" s="624"/>
      <c r="OBS41" s="624"/>
      <c r="OBT41" s="624"/>
      <c r="OBU41" s="624"/>
      <c r="OBV41" s="624"/>
      <c r="OBW41" s="624"/>
      <c r="OBX41" s="624"/>
      <c r="OBY41" s="624"/>
      <c r="OBZ41" s="624"/>
      <c r="OCA41" s="624"/>
      <c r="OCB41" s="624"/>
      <c r="OCC41" s="624"/>
      <c r="OCD41" s="624"/>
      <c r="OCE41" s="624"/>
      <c r="OCF41" s="624"/>
      <c r="OCG41" s="624"/>
      <c r="OCH41" s="624"/>
      <c r="OCI41" s="624"/>
      <c r="OCJ41" s="624"/>
      <c r="OCK41" s="624"/>
      <c r="OCL41" s="624"/>
      <c r="OCM41" s="624"/>
      <c r="OCN41" s="624"/>
      <c r="OCO41" s="624"/>
      <c r="OCP41" s="624"/>
      <c r="OCQ41" s="624"/>
      <c r="OCR41" s="624"/>
      <c r="OCS41" s="624"/>
      <c r="OCT41" s="624"/>
      <c r="OCU41" s="624"/>
      <c r="OCV41" s="624"/>
      <c r="OCW41" s="624"/>
      <c r="OCX41" s="624"/>
      <c r="OCY41" s="624"/>
      <c r="OCZ41" s="624"/>
      <c r="ODA41" s="624"/>
      <c r="ODB41" s="624"/>
      <c r="ODC41" s="624"/>
      <c r="ODD41" s="624"/>
      <c r="ODE41" s="624"/>
      <c r="ODF41" s="624"/>
      <c r="ODG41" s="624"/>
      <c r="ODH41" s="624"/>
      <c r="ODI41" s="624"/>
      <c r="ODJ41" s="624"/>
      <c r="ODK41" s="624"/>
      <c r="ODL41" s="624"/>
      <c r="ODM41" s="624"/>
      <c r="ODN41" s="624"/>
      <c r="ODO41" s="624"/>
      <c r="ODP41" s="624"/>
      <c r="ODQ41" s="624"/>
      <c r="ODR41" s="624"/>
      <c r="ODS41" s="624"/>
      <c r="ODT41" s="624"/>
      <c r="ODU41" s="624"/>
      <c r="ODV41" s="624"/>
      <c r="ODW41" s="624"/>
      <c r="ODX41" s="624"/>
      <c r="ODY41" s="624"/>
      <c r="ODZ41" s="624"/>
      <c r="OEA41" s="624"/>
      <c r="OEB41" s="624"/>
      <c r="OEC41" s="624"/>
      <c r="OED41" s="624"/>
      <c r="OEE41" s="624"/>
      <c r="OEF41" s="624"/>
      <c r="OEG41" s="624"/>
      <c r="OEH41" s="624"/>
      <c r="OEI41" s="624"/>
      <c r="OEJ41" s="624"/>
      <c r="OEK41" s="624"/>
      <c r="OEL41" s="624"/>
      <c r="OEM41" s="624"/>
      <c r="OEN41" s="624"/>
      <c r="OEO41" s="624"/>
      <c r="OEP41" s="624"/>
      <c r="OEQ41" s="624"/>
      <c r="OER41" s="624"/>
      <c r="OES41" s="624"/>
      <c r="OET41" s="624"/>
      <c r="OEU41" s="624"/>
      <c r="OEV41" s="624"/>
      <c r="OEW41" s="624"/>
      <c r="OEX41" s="624"/>
      <c r="OEY41" s="624"/>
      <c r="OEZ41" s="624"/>
      <c r="OFA41" s="624"/>
      <c r="OFB41" s="624"/>
      <c r="OFC41" s="624"/>
      <c r="OFD41" s="624"/>
      <c r="OFE41" s="624"/>
      <c r="OFF41" s="624"/>
      <c r="OFG41" s="624"/>
      <c r="OFH41" s="624"/>
      <c r="OFI41" s="624"/>
      <c r="OFJ41" s="624"/>
      <c r="OFK41" s="624"/>
      <c r="OFL41" s="624"/>
      <c r="OFM41" s="624"/>
      <c r="OFN41" s="624"/>
      <c r="OFO41" s="624"/>
      <c r="OFP41" s="624"/>
      <c r="OFQ41" s="624"/>
      <c r="OFR41" s="624"/>
      <c r="OFS41" s="624"/>
      <c r="OFT41" s="624"/>
      <c r="OFU41" s="624"/>
      <c r="OFV41" s="624"/>
      <c r="OFW41" s="624"/>
      <c r="OFX41" s="624"/>
      <c r="OFY41" s="624"/>
      <c r="OFZ41" s="624"/>
      <c r="OGA41" s="624"/>
      <c r="OGB41" s="624"/>
      <c r="OGC41" s="624"/>
      <c r="OGD41" s="624"/>
      <c r="OGE41" s="624"/>
      <c r="OGF41" s="624"/>
      <c r="OGG41" s="624"/>
      <c r="OGH41" s="624"/>
      <c r="OGI41" s="624"/>
      <c r="OGJ41" s="624"/>
      <c r="OGK41" s="624"/>
      <c r="OGL41" s="624"/>
      <c r="OGM41" s="624"/>
      <c r="OGN41" s="624"/>
      <c r="OGO41" s="624"/>
      <c r="OGP41" s="624"/>
      <c r="OGQ41" s="624"/>
      <c r="OGR41" s="624"/>
      <c r="OGS41" s="624"/>
      <c r="OGT41" s="624"/>
      <c r="OGU41" s="624"/>
      <c r="OGV41" s="624"/>
      <c r="OGW41" s="624"/>
      <c r="OGX41" s="624"/>
      <c r="OGY41" s="624"/>
      <c r="OGZ41" s="624"/>
      <c r="OHA41" s="624"/>
      <c r="OHB41" s="624"/>
      <c r="OHC41" s="624"/>
      <c r="OHD41" s="624"/>
      <c r="OHE41" s="624"/>
      <c r="OHF41" s="624"/>
      <c r="OHG41" s="624"/>
      <c r="OHH41" s="624"/>
      <c r="OHI41" s="624"/>
      <c r="OHJ41" s="624"/>
      <c r="OHK41" s="624"/>
      <c r="OHL41" s="624"/>
      <c r="OHM41" s="624"/>
      <c r="OHN41" s="624"/>
      <c r="OHO41" s="624"/>
      <c r="OHP41" s="624"/>
      <c r="OHQ41" s="624"/>
      <c r="OHR41" s="624"/>
      <c r="OHS41" s="624"/>
      <c r="OHT41" s="624"/>
      <c r="OHU41" s="624"/>
      <c r="OHV41" s="624"/>
      <c r="OHW41" s="624"/>
      <c r="OHX41" s="624"/>
      <c r="OHY41" s="624"/>
      <c r="OHZ41" s="624"/>
      <c r="OIA41" s="624"/>
      <c r="OIB41" s="624"/>
      <c r="OIC41" s="624"/>
      <c r="OID41" s="624"/>
      <c r="OIE41" s="624"/>
      <c r="OIF41" s="624"/>
      <c r="OIG41" s="624"/>
      <c r="OIH41" s="624"/>
      <c r="OII41" s="624"/>
      <c r="OIJ41" s="624"/>
      <c r="OIK41" s="624"/>
      <c r="OIL41" s="624"/>
      <c r="OIM41" s="624"/>
      <c r="OIN41" s="624"/>
      <c r="OIO41" s="624"/>
      <c r="OIP41" s="624"/>
      <c r="OIQ41" s="624"/>
      <c r="OIR41" s="624"/>
      <c r="OIS41" s="624"/>
      <c r="OIT41" s="624"/>
      <c r="OIU41" s="624"/>
      <c r="OIV41" s="624"/>
      <c r="OIW41" s="624"/>
      <c r="OIX41" s="624"/>
      <c r="OIY41" s="624"/>
      <c r="OIZ41" s="624"/>
      <c r="OJA41" s="624"/>
      <c r="OJB41" s="624"/>
      <c r="OJC41" s="624"/>
      <c r="OJD41" s="624"/>
      <c r="OJE41" s="624"/>
      <c r="OJF41" s="624"/>
      <c r="OJG41" s="624"/>
      <c r="OJH41" s="624"/>
      <c r="OJI41" s="624"/>
      <c r="OJJ41" s="624"/>
      <c r="OJK41" s="624"/>
      <c r="OJL41" s="624"/>
      <c r="OJM41" s="624"/>
      <c r="OJN41" s="624"/>
      <c r="OJO41" s="624"/>
      <c r="OJP41" s="624"/>
      <c r="OJQ41" s="624"/>
      <c r="OJR41" s="624"/>
      <c r="OJS41" s="624"/>
      <c r="OJT41" s="624"/>
      <c r="OJU41" s="624"/>
      <c r="OJV41" s="624"/>
      <c r="OJW41" s="624"/>
      <c r="OJX41" s="624"/>
      <c r="OJY41" s="624"/>
      <c r="OJZ41" s="624"/>
      <c r="OKA41" s="624"/>
      <c r="OKB41" s="624"/>
      <c r="OKC41" s="624"/>
      <c r="OKD41" s="624"/>
      <c r="OKE41" s="624"/>
      <c r="OKF41" s="624"/>
      <c r="OKG41" s="624"/>
      <c r="OKH41" s="624"/>
      <c r="OKI41" s="624"/>
      <c r="OKJ41" s="624"/>
      <c r="OKK41" s="624"/>
      <c r="OKL41" s="624"/>
      <c r="OKM41" s="624"/>
      <c r="OKN41" s="624"/>
      <c r="OKO41" s="624"/>
      <c r="OKP41" s="624"/>
      <c r="OKQ41" s="624"/>
      <c r="OKR41" s="624"/>
      <c r="OKS41" s="624"/>
      <c r="OKT41" s="624"/>
      <c r="OKU41" s="624"/>
      <c r="OKV41" s="624"/>
      <c r="OKW41" s="624"/>
      <c r="OKX41" s="624"/>
      <c r="OKY41" s="624"/>
      <c r="OKZ41" s="624"/>
      <c r="OLA41" s="624"/>
      <c r="OLB41" s="624"/>
      <c r="OLC41" s="624"/>
      <c r="OLD41" s="624"/>
      <c r="OLE41" s="624"/>
      <c r="OLF41" s="624"/>
      <c r="OLG41" s="624"/>
      <c r="OLH41" s="624"/>
      <c r="OLI41" s="624"/>
      <c r="OLJ41" s="624"/>
      <c r="OLK41" s="624"/>
      <c r="OLL41" s="624"/>
      <c r="OLM41" s="624"/>
      <c r="OLN41" s="624"/>
      <c r="OLO41" s="624"/>
      <c r="OLP41" s="624"/>
      <c r="OLQ41" s="624"/>
      <c r="OLR41" s="624"/>
      <c r="OLS41" s="624"/>
      <c r="OLT41" s="624"/>
      <c r="OLU41" s="624"/>
      <c r="OLV41" s="624"/>
      <c r="OLW41" s="624"/>
      <c r="OLX41" s="624"/>
      <c r="OLY41" s="624"/>
      <c r="OLZ41" s="624"/>
      <c r="OMA41" s="624"/>
      <c r="OMB41" s="624"/>
      <c r="OMC41" s="624"/>
      <c r="OMD41" s="624"/>
      <c r="OME41" s="624"/>
      <c r="OMF41" s="624"/>
      <c r="OMG41" s="624"/>
      <c r="OMH41" s="624"/>
      <c r="OMI41" s="624"/>
      <c r="OMJ41" s="624"/>
      <c r="OMK41" s="624"/>
      <c r="OML41" s="624"/>
      <c r="OMM41" s="624"/>
      <c r="OMN41" s="624"/>
      <c r="OMO41" s="624"/>
      <c r="OMP41" s="624"/>
      <c r="OMQ41" s="624"/>
      <c r="OMR41" s="624"/>
      <c r="OMS41" s="624"/>
      <c r="OMT41" s="624"/>
      <c r="OMU41" s="624"/>
      <c r="OMV41" s="624"/>
      <c r="OMW41" s="624"/>
      <c r="OMX41" s="624"/>
      <c r="OMY41" s="624"/>
      <c r="OMZ41" s="624"/>
      <c r="ONA41" s="624"/>
      <c r="ONB41" s="624"/>
      <c r="ONC41" s="624"/>
      <c r="OND41" s="624"/>
      <c r="ONE41" s="624"/>
      <c r="ONF41" s="624"/>
      <c r="ONG41" s="624"/>
      <c r="ONH41" s="624"/>
      <c r="ONI41" s="624"/>
      <c r="ONJ41" s="624"/>
      <c r="ONK41" s="624"/>
      <c r="ONL41" s="624"/>
      <c r="ONM41" s="624"/>
      <c r="ONN41" s="624"/>
      <c r="ONO41" s="624"/>
      <c r="ONP41" s="624"/>
      <c r="ONQ41" s="624"/>
      <c r="ONR41" s="624"/>
      <c r="ONS41" s="624"/>
      <c r="ONT41" s="624"/>
      <c r="ONU41" s="624"/>
      <c r="ONV41" s="624"/>
      <c r="ONW41" s="624"/>
      <c r="ONX41" s="624"/>
      <c r="ONY41" s="624"/>
      <c r="ONZ41" s="624"/>
      <c r="OOA41" s="624"/>
      <c r="OOB41" s="624"/>
      <c r="OOC41" s="624"/>
      <c r="OOD41" s="624"/>
      <c r="OOE41" s="624"/>
      <c r="OOF41" s="624"/>
      <c r="OOG41" s="624"/>
      <c r="OOH41" s="624"/>
      <c r="OOI41" s="624"/>
      <c r="OOJ41" s="624"/>
      <c r="OOK41" s="624"/>
      <c r="OOL41" s="624"/>
      <c r="OOM41" s="624"/>
      <c r="OON41" s="624"/>
      <c r="OOO41" s="624"/>
      <c r="OOP41" s="624"/>
      <c r="OOQ41" s="624"/>
      <c r="OOR41" s="624"/>
      <c r="OOS41" s="624"/>
      <c r="OOT41" s="624"/>
      <c r="OOU41" s="624"/>
      <c r="OOV41" s="624"/>
      <c r="OOW41" s="624"/>
      <c r="OOX41" s="624"/>
      <c r="OOY41" s="624"/>
      <c r="OOZ41" s="624"/>
      <c r="OPA41" s="624"/>
      <c r="OPB41" s="624"/>
      <c r="OPC41" s="624"/>
      <c r="OPD41" s="624"/>
      <c r="OPE41" s="624"/>
      <c r="OPF41" s="624"/>
      <c r="OPG41" s="624"/>
      <c r="OPH41" s="624"/>
      <c r="OPI41" s="624"/>
      <c r="OPJ41" s="624"/>
      <c r="OPK41" s="624"/>
      <c r="OPL41" s="624"/>
      <c r="OPM41" s="624"/>
      <c r="OPN41" s="624"/>
      <c r="OPO41" s="624"/>
      <c r="OPP41" s="624"/>
      <c r="OPQ41" s="624"/>
      <c r="OPR41" s="624"/>
      <c r="OPS41" s="624"/>
      <c r="OPT41" s="624"/>
      <c r="OPU41" s="624"/>
      <c r="OPV41" s="624"/>
      <c r="OPW41" s="624"/>
      <c r="OPX41" s="624"/>
      <c r="OPY41" s="624"/>
      <c r="OPZ41" s="624"/>
      <c r="OQA41" s="624"/>
      <c r="OQB41" s="624"/>
      <c r="OQC41" s="624"/>
      <c r="OQD41" s="624"/>
      <c r="OQE41" s="624"/>
      <c r="OQF41" s="624"/>
      <c r="OQG41" s="624"/>
      <c r="OQH41" s="624"/>
      <c r="OQI41" s="624"/>
      <c r="OQJ41" s="624"/>
      <c r="OQK41" s="624"/>
      <c r="OQL41" s="624"/>
      <c r="OQM41" s="624"/>
      <c r="OQN41" s="624"/>
      <c r="OQO41" s="624"/>
      <c r="OQP41" s="624"/>
      <c r="OQQ41" s="624"/>
      <c r="OQR41" s="624"/>
      <c r="OQS41" s="624"/>
      <c r="OQT41" s="624"/>
      <c r="OQU41" s="624"/>
      <c r="OQV41" s="624"/>
      <c r="OQW41" s="624"/>
      <c r="OQX41" s="624"/>
      <c r="OQY41" s="624"/>
      <c r="OQZ41" s="624"/>
      <c r="ORA41" s="624"/>
      <c r="ORB41" s="624"/>
      <c r="ORC41" s="624"/>
      <c r="ORD41" s="624"/>
      <c r="ORE41" s="624"/>
      <c r="ORF41" s="624"/>
      <c r="ORG41" s="624"/>
      <c r="ORH41" s="624"/>
      <c r="ORI41" s="624"/>
      <c r="ORJ41" s="624"/>
      <c r="ORK41" s="624"/>
      <c r="ORL41" s="624"/>
      <c r="ORM41" s="624"/>
      <c r="ORN41" s="624"/>
      <c r="ORO41" s="624"/>
      <c r="ORP41" s="624"/>
      <c r="ORQ41" s="624"/>
      <c r="ORR41" s="624"/>
      <c r="ORS41" s="624"/>
      <c r="ORT41" s="624"/>
      <c r="ORU41" s="624"/>
      <c r="ORV41" s="624"/>
      <c r="ORW41" s="624"/>
      <c r="ORX41" s="624"/>
      <c r="ORY41" s="624"/>
      <c r="ORZ41" s="624"/>
      <c r="OSA41" s="624"/>
      <c r="OSB41" s="624"/>
      <c r="OSC41" s="624"/>
      <c r="OSD41" s="624"/>
      <c r="OSE41" s="624"/>
      <c r="OSF41" s="624"/>
      <c r="OSG41" s="624"/>
      <c r="OSH41" s="624"/>
      <c r="OSI41" s="624"/>
      <c r="OSJ41" s="624"/>
      <c r="OSK41" s="624"/>
      <c r="OSL41" s="624"/>
      <c r="OSM41" s="624"/>
      <c r="OSN41" s="624"/>
      <c r="OSO41" s="624"/>
      <c r="OSP41" s="624"/>
      <c r="OSQ41" s="624"/>
      <c r="OSR41" s="624"/>
      <c r="OSS41" s="624"/>
      <c r="OST41" s="624"/>
      <c r="OSU41" s="624"/>
      <c r="OSV41" s="624"/>
      <c r="OSW41" s="624"/>
      <c r="OSX41" s="624"/>
      <c r="OSY41" s="624"/>
      <c r="OSZ41" s="624"/>
      <c r="OTA41" s="624"/>
      <c r="OTB41" s="624"/>
      <c r="OTC41" s="624"/>
      <c r="OTD41" s="624"/>
      <c r="OTE41" s="624"/>
      <c r="OTF41" s="624"/>
      <c r="OTG41" s="624"/>
      <c r="OTH41" s="624"/>
      <c r="OTI41" s="624"/>
      <c r="OTJ41" s="624"/>
      <c r="OTK41" s="624"/>
      <c r="OTL41" s="624"/>
      <c r="OTM41" s="624"/>
      <c r="OTN41" s="624"/>
      <c r="OTO41" s="624"/>
      <c r="OTP41" s="624"/>
      <c r="OTQ41" s="624"/>
      <c r="OTR41" s="624"/>
      <c r="OTS41" s="624"/>
      <c r="OTT41" s="624"/>
      <c r="OTU41" s="624"/>
      <c r="OTV41" s="624"/>
      <c r="OTW41" s="624"/>
      <c r="OTX41" s="624"/>
      <c r="OTY41" s="624"/>
      <c r="OTZ41" s="624"/>
      <c r="OUA41" s="624"/>
      <c r="OUB41" s="624"/>
      <c r="OUC41" s="624"/>
      <c r="OUD41" s="624"/>
      <c r="OUE41" s="624"/>
      <c r="OUF41" s="624"/>
      <c r="OUG41" s="624"/>
      <c r="OUH41" s="624"/>
      <c r="OUI41" s="624"/>
      <c r="OUJ41" s="624"/>
      <c r="OUK41" s="624"/>
      <c r="OUL41" s="624"/>
      <c r="OUM41" s="624"/>
      <c r="OUN41" s="624"/>
      <c r="OUO41" s="624"/>
      <c r="OUP41" s="624"/>
      <c r="OUQ41" s="624"/>
      <c r="OUR41" s="624"/>
      <c r="OUS41" s="624"/>
      <c r="OUT41" s="624"/>
      <c r="OUU41" s="624"/>
      <c r="OUV41" s="624"/>
      <c r="OUW41" s="624"/>
      <c r="OUX41" s="624"/>
      <c r="OUY41" s="624"/>
      <c r="OUZ41" s="624"/>
      <c r="OVA41" s="624"/>
      <c r="OVB41" s="624"/>
      <c r="OVC41" s="624"/>
      <c r="OVD41" s="624"/>
      <c r="OVE41" s="624"/>
      <c r="OVF41" s="624"/>
      <c r="OVG41" s="624"/>
      <c r="OVH41" s="624"/>
      <c r="OVI41" s="624"/>
      <c r="OVJ41" s="624"/>
      <c r="OVK41" s="624"/>
      <c r="OVL41" s="624"/>
      <c r="OVM41" s="624"/>
      <c r="OVN41" s="624"/>
      <c r="OVO41" s="624"/>
      <c r="OVP41" s="624"/>
      <c r="OVQ41" s="624"/>
      <c r="OVR41" s="624"/>
      <c r="OVS41" s="624"/>
      <c r="OVT41" s="624"/>
      <c r="OVU41" s="624"/>
      <c r="OVV41" s="624"/>
      <c r="OVW41" s="624"/>
      <c r="OVX41" s="624"/>
      <c r="OVY41" s="624"/>
      <c r="OVZ41" s="624"/>
      <c r="OWA41" s="624"/>
      <c r="OWB41" s="624"/>
      <c r="OWC41" s="624"/>
      <c r="OWD41" s="624"/>
      <c r="OWE41" s="624"/>
      <c r="OWF41" s="624"/>
      <c r="OWG41" s="624"/>
      <c r="OWH41" s="624"/>
      <c r="OWI41" s="624"/>
      <c r="OWJ41" s="624"/>
      <c r="OWK41" s="624"/>
      <c r="OWL41" s="624"/>
      <c r="OWM41" s="624"/>
      <c r="OWN41" s="624"/>
      <c r="OWO41" s="624"/>
      <c r="OWP41" s="624"/>
      <c r="OWQ41" s="624"/>
      <c r="OWR41" s="624"/>
      <c r="OWS41" s="624"/>
      <c r="OWT41" s="624"/>
      <c r="OWU41" s="624"/>
      <c r="OWV41" s="624"/>
      <c r="OWW41" s="624"/>
      <c r="OWX41" s="624"/>
      <c r="OWY41" s="624"/>
      <c r="OWZ41" s="624"/>
      <c r="OXA41" s="624"/>
      <c r="OXB41" s="624"/>
      <c r="OXC41" s="624"/>
      <c r="OXD41" s="624"/>
      <c r="OXE41" s="624"/>
      <c r="OXF41" s="624"/>
      <c r="OXG41" s="624"/>
      <c r="OXH41" s="624"/>
      <c r="OXI41" s="624"/>
      <c r="OXJ41" s="624"/>
      <c r="OXK41" s="624"/>
      <c r="OXL41" s="624"/>
      <c r="OXM41" s="624"/>
      <c r="OXN41" s="624"/>
      <c r="OXO41" s="624"/>
      <c r="OXP41" s="624"/>
      <c r="OXQ41" s="624"/>
      <c r="OXR41" s="624"/>
      <c r="OXS41" s="624"/>
      <c r="OXT41" s="624"/>
      <c r="OXU41" s="624"/>
      <c r="OXV41" s="624"/>
      <c r="OXW41" s="624"/>
      <c r="OXX41" s="624"/>
      <c r="OXY41" s="624"/>
      <c r="OXZ41" s="624"/>
      <c r="OYA41" s="624"/>
      <c r="OYB41" s="624"/>
      <c r="OYC41" s="624"/>
      <c r="OYD41" s="624"/>
      <c r="OYE41" s="624"/>
      <c r="OYF41" s="624"/>
      <c r="OYG41" s="624"/>
      <c r="OYH41" s="624"/>
      <c r="OYI41" s="624"/>
      <c r="OYJ41" s="624"/>
      <c r="OYK41" s="624"/>
      <c r="OYL41" s="624"/>
      <c r="OYM41" s="624"/>
      <c r="OYN41" s="624"/>
      <c r="OYO41" s="624"/>
      <c r="OYP41" s="624"/>
      <c r="OYQ41" s="624"/>
      <c r="OYR41" s="624"/>
      <c r="OYS41" s="624"/>
      <c r="OYT41" s="624"/>
      <c r="OYU41" s="624"/>
      <c r="OYV41" s="624"/>
      <c r="OYW41" s="624"/>
      <c r="OYX41" s="624"/>
      <c r="OYY41" s="624"/>
      <c r="OYZ41" s="624"/>
      <c r="OZA41" s="624"/>
      <c r="OZB41" s="624"/>
      <c r="OZC41" s="624"/>
      <c r="OZD41" s="624"/>
      <c r="OZE41" s="624"/>
      <c r="OZF41" s="624"/>
      <c r="OZG41" s="624"/>
      <c r="OZH41" s="624"/>
      <c r="OZI41" s="624"/>
      <c r="OZJ41" s="624"/>
      <c r="OZK41" s="624"/>
      <c r="OZL41" s="624"/>
      <c r="OZM41" s="624"/>
      <c r="OZN41" s="624"/>
      <c r="OZO41" s="624"/>
      <c r="OZP41" s="624"/>
      <c r="OZQ41" s="624"/>
      <c r="OZR41" s="624"/>
      <c r="OZS41" s="624"/>
      <c r="OZT41" s="624"/>
      <c r="OZU41" s="624"/>
      <c r="OZV41" s="624"/>
      <c r="OZW41" s="624"/>
      <c r="OZX41" s="624"/>
      <c r="OZY41" s="624"/>
      <c r="OZZ41" s="624"/>
      <c r="PAA41" s="624"/>
      <c r="PAB41" s="624"/>
      <c r="PAC41" s="624"/>
      <c r="PAD41" s="624"/>
      <c r="PAE41" s="624"/>
      <c r="PAF41" s="624"/>
      <c r="PAG41" s="624"/>
      <c r="PAH41" s="624"/>
      <c r="PAI41" s="624"/>
      <c r="PAJ41" s="624"/>
      <c r="PAK41" s="624"/>
      <c r="PAL41" s="624"/>
      <c r="PAM41" s="624"/>
      <c r="PAN41" s="624"/>
      <c r="PAO41" s="624"/>
      <c r="PAP41" s="624"/>
      <c r="PAQ41" s="624"/>
      <c r="PAR41" s="624"/>
      <c r="PAS41" s="624"/>
      <c r="PAT41" s="624"/>
      <c r="PAU41" s="624"/>
      <c r="PAV41" s="624"/>
      <c r="PAW41" s="624"/>
      <c r="PAX41" s="624"/>
      <c r="PAY41" s="624"/>
      <c r="PAZ41" s="624"/>
      <c r="PBA41" s="624"/>
      <c r="PBB41" s="624"/>
      <c r="PBC41" s="624"/>
      <c r="PBD41" s="624"/>
      <c r="PBE41" s="624"/>
      <c r="PBF41" s="624"/>
      <c r="PBG41" s="624"/>
      <c r="PBH41" s="624"/>
      <c r="PBI41" s="624"/>
      <c r="PBJ41" s="624"/>
      <c r="PBK41" s="624"/>
      <c r="PBL41" s="624"/>
      <c r="PBM41" s="624"/>
      <c r="PBN41" s="624"/>
      <c r="PBO41" s="624"/>
      <c r="PBP41" s="624"/>
      <c r="PBQ41" s="624"/>
      <c r="PBR41" s="624"/>
      <c r="PBS41" s="624"/>
      <c r="PBT41" s="624"/>
      <c r="PBU41" s="624"/>
      <c r="PBV41" s="624"/>
      <c r="PBW41" s="624"/>
      <c r="PBX41" s="624"/>
      <c r="PBY41" s="624"/>
      <c r="PBZ41" s="624"/>
      <c r="PCA41" s="624"/>
      <c r="PCB41" s="624"/>
      <c r="PCC41" s="624"/>
      <c r="PCD41" s="624"/>
      <c r="PCE41" s="624"/>
      <c r="PCF41" s="624"/>
      <c r="PCG41" s="624"/>
      <c r="PCH41" s="624"/>
      <c r="PCI41" s="624"/>
      <c r="PCJ41" s="624"/>
      <c r="PCK41" s="624"/>
      <c r="PCL41" s="624"/>
      <c r="PCM41" s="624"/>
      <c r="PCN41" s="624"/>
      <c r="PCO41" s="624"/>
      <c r="PCP41" s="624"/>
      <c r="PCQ41" s="624"/>
      <c r="PCR41" s="624"/>
      <c r="PCS41" s="624"/>
      <c r="PCT41" s="624"/>
      <c r="PCU41" s="624"/>
      <c r="PCV41" s="624"/>
      <c r="PCW41" s="624"/>
      <c r="PCX41" s="624"/>
      <c r="PCY41" s="624"/>
      <c r="PCZ41" s="624"/>
      <c r="PDA41" s="624"/>
      <c r="PDB41" s="624"/>
      <c r="PDC41" s="624"/>
      <c r="PDD41" s="624"/>
      <c r="PDE41" s="624"/>
      <c r="PDF41" s="624"/>
      <c r="PDG41" s="624"/>
      <c r="PDH41" s="624"/>
      <c r="PDI41" s="624"/>
      <c r="PDJ41" s="624"/>
      <c r="PDK41" s="624"/>
      <c r="PDL41" s="624"/>
      <c r="PDM41" s="624"/>
      <c r="PDN41" s="624"/>
      <c r="PDO41" s="624"/>
      <c r="PDP41" s="624"/>
      <c r="PDQ41" s="624"/>
      <c r="PDR41" s="624"/>
      <c r="PDS41" s="624"/>
      <c r="PDT41" s="624"/>
      <c r="PDU41" s="624"/>
      <c r="PDV41" s="624"/>
      <c r="PDW41" s="624"/>
      <c r="PDX41" s="624"/>
      <c r="PDY41" s="624"/>
      <c r="PDZ41" s="624"/>
      <c r="PEA41" s="624"/>
      <c r="PEB41" s="624"/>
      <c r="PEC41" s="624"/>
      <c r="PED41" s="624"/>
      <c r="PEE41" s="624"/>
      <c r="PEF41" s="624"/>
      <c r="PEG41" s="624"/>
      <c r="PEH41" s="624"/>
      <c r="PEI41" s="624"/>
      <c r="PEJ41" s="624"/>
      <c r="PEK41" s="624"/>
      <c r="PEL41" s="624"/>
      <c r="PEM41" s="624"/>
      <c r="PEN41" s="624"/>
      <c r="PEO41" s="624"/>
      <c r="PEP41" s="624"/>
      <c r="PEQ41" s="624"/>
      <c r="PER41" s="624"/>
      <c r="PES41" s="624"/>
      <c r="PET41" s="624"/>
      <c r="PEU41" s="624"/>
      <c r="PEV41" s="624"/>
      <c r="PEW41" s="624"/>
      <c r="PEX41" s="624"/>
      <c r="PEY41" s="624"/>
      <c r="PEZ41" s="624"/>
      <c r="PFA41" s="624"/>
      <c r="PFB41" s="624"/>
      <c r="PFC41" s="624"/>
      <c r="PFD41" s="624"/>
      <c r="PFE41" s="624"/>
      <c r="PFF41" s="624"/>
      <c r="PFG41" s="624"/>
      <c r="PFH41" s="624"/>
      <c r="PFI41" s="624"/>
      <c r="PFJ41" s="624"/>
      <c r="PFK41" s="624"/>
      <c r="PFL41" s="624"/>
      <c r="PFM41" s="624"/>
      <c r="PFN41" s="624"/>
      <c r="PFO41" s="624"/>
      <c r="PFP41" s="624"/>
      <c r="PFQ41" s="624"/>
      <c r="PFR41" s="624"/>
      <c r="PFS41" s="624"/>
      <c r="PFT41" s="624"/>
      <c r="PFU41" s="624"/>
      <c r="PFV41" s="624"/>
      <c r="PFW41" s="624"/>
      <c r="PFX41" s="624"/>
      <c r="PFY41" s="624"/>
      <c r="PFZ41" s="624"/>
      <c r="PGA41" s="624"/>
      <c r="PGB41" s="624"/>
      <c r="PGC41" s="624"/>
      <c r="PGD41" s="624"/>
      <c r="PGE41" s="624"/>
      <c r="PGF41" s="624"/>
      <c r="PGG41" s="624"/>
      <c r="PGH41" s="624"/>
      <c r="PGI41" s="624"/>
      <c r="PGJ41" s="624"/>
      <c r="PGK41" s="624"/>
      <c r="PGL41" s="624"/>
      <c r="PGM41" s="624"/>
      <c r="PGN41" s="624"/>
      <c r="PGO41" s="624"/>
      <c r="PGP41" s="624"/>
      <c r="PGQ41" s="624"/>
      <c r="PGR41" s="624"/>
      <c r="PGS41" s="624"/>
      <c r="PGT41" s="624"/>
      <c r="PGU41" s="624"/>
      <c r="PGV41" s="624"/>
      <c r="PGW41" s="624"/>
      <c r="PGX41" s="624"/>
      <c r="PGY41" s="624"/>
      <c r="PGZ41" s="624"/>
      <c r="PHA41" s="624"/>
      <c r="PHB41" s="624"/>
      <c r="PHC41" s="624"/>
      <c r="PHD41" s="624"/>
      <c r="PHE41" s="624"/>
      <c r="PHF41" s="624"/>
      <c r="PHG41" s="624"/>
      <c r="PHH41" s="624"/>
      <c r="PHI41" s="624"/>
      <c r="PHJ41" s="624"/>
      <c r="PHK41" s="624"/>
      <c r="PHL41" s="624"/>
      <c r="PHM41" s="624"/>
      <c r="PHN41" s="624"/>
      <c r="PHO41" s="624"/>
      <c r="PHP41" s="624"/>
      <c r="PHQ41" s="624"/>
      <c r="PHR41" s="624"/>
      <c r="PHS41" s="624"/>
      <c r="PHT41" s="624"/>
      <c r="PHU41" s="624"/>
      <c r="PHV41" s="624"/>
      <c r="PHW41" s="624"/>
      <c r="PHX41" s="624"/>
      <c r="PHY41" s="624"/>
      <c r="PHZ41" s="624"/>
      <c r="PIA41" s="624"/>
      <c r="PIB41" s="624"/>
      <c r="PIC41" s="624"/>
      <c r="PID41" s="624"/>
      <c r="PIE41" s="624"/>
      <c r="PIF41" s="624"/>
      <c r="PIG41" s="624"/>
      <c r="PIH41" s="624"/>
      <c r="PII41" s="624"/>
      <c r="PIJ41" s="624"/>
      <c r="PIK41" s="624"/>
      <c r="PIL41" s="624"/>
      <c r="PIM41" s="624"/>
      <c r="PIN41" s="624"/>
      <c r="PIO41" s="624"/>
      <c r="PIP41" s="624"/>
      <c r="PIQ41" s="624"/>
      <c r="PIR41" s="624"/>
      <c r="PIS41" s="624"/>
      <c r="PIT41" s="624"/>
      <c r="PIU41" s="624"/>
      <c r="PIV41" s="624"/>
      <c r="PIW41" s="624"/>
      <c r="PIX41" s="624"/>
      <c r="PIY41" s="624"/>
      <c r="PIZ41" s="624"/>
      <c r="PJA41" s="624"/>
      <c r="PJB41" s="624"/>
      <c r="PJC41" s="624"/>
      <c r="PJD41" s="624"/>
      <c r="PJE41" s="624"/>
      <c r="PJF41" s="624"/>
      <c r="PJG41" s="624"/>
      <c r="PJH41" s="624"/>
      <c r="PJI41" s="624"/>
      <c r="PJJ41" s="624"/>
      <c r="PJK41" s="624"/>
      <c r="PJL41" s="624"/>
      <c r="PJM41" s="624"/>
      <c r="PJN41" s="624"/>
      <c r="PJO41" s="624"/>
      <c r="PJP41" s="624"/>
      <c r="PJQ41" s="624"/>
      <c r="PJR41" s="624"/>
      <c r="PJS41" s="624"/>
      <c r="PJT41" s="624"/>
      <c r="PJU41" s="624"/>
      <c r="PJV41" s="624"/>
      <c r="PJW41" s="624"/>
      <c r="PJX41" s="624"/>
      <c r="PJY41" s="624"/>
      <c r="PJZ41" s="624"/>
      <c r="PKA41" s="624"/>
      <c r="PKB41" s="624"/>
      <c r="PKC41" s="624"/>
      <c r="PKD41" s="624"/>
      <c r="PKE41" s="624"/>
      <c r="PKF41" s="624"/>
      <c r="PKG41" s="624"/>
      <c r="PKH41" s="624"/>
      <c r="PKI41" s="624"/>
      <c r="PKJ41" s="624"/>
      <c r="PKK41" s="624"/>
      <c r="PKL41" s="624"/>
      <c r="PKM41" s="624"/>
      <c r="PKN41" s="624"/>
      <c r="PKO41" s="624"/>
      <c r="PKP41" s="624"/>
      <c r="PKQ41" s="624"/>
      <c r="PKR41" s="624"/>
      <c r="PKS41" s="624"/>
      <c r="PKT41" s="624"/>
      <c r="PKU41" s="624"/>
      <c r="PKV41" s="624"/>
      <c r="PKW41" s="624"/>
      <c r="PKX41" s="624"/>
      <c r="PKY41" s="624"/>
      <c r="PKZ41" s="624"/>
      <c r="PLA41" s="624"/>
      <c r="PLB41" s="624"/>
      <c r="PLC41" s="624"/>
      <c r="PLD41" s="624"/>
      <c r="PLE41" s="624"/>
      <c r="PLF41" s="624"/>
      <c r="PLG41" s="624"/>
      <c r="PLH41" s="624"/>
      <c r="PLI41" s="624"/>
      <c r="PLJ41" s="624"/>
      <c r="PLK41" s="624"/>
      <c r="PLL41" s="624"/>
      <c r="PLM41" s="624"/>
      <c r="PLN41" s="624"/>
      <c r="PLO41" s="624"/>
      <c r="PLP41" s="624"/>
      <c r="PLQ41" s="624"/>
      <c r="PLR41" s="624"/>
      <c r="PLS41" s="624"/>
      <c r="PLT41" s="624"/>
      <c r="PLU41" s="624"/>
      <c r="PLV41" s="624"/>
      <c r="PLW41" s="624"/>
      <c r="PLX41" s="624"/>
      <c r="PLY41" s="624"/>
      <c r="PLZ41" s="624"/>
      <c r="PMA41" s="624"/>
      <c r="PMB41" s="624"/>
      <c r="PMC41" s="624"/>
      <c r="PMD41" s="624"/>
      <c r="PME41" s="624"/>
      <c r="PMF41" s="624"/>
      <c r="PMG41" s="624"/>
      <c r="PMH41" s="624"/>
      <c r="PMI41" s="624"/>
      <c r="PMJ41" s="624"/>
      <c r="PMK41" s="624"/>
      <c r="PML41" s="624"/>
      <c r="PMM41" s="624"/>
      <c r="PMN41" s="624"/>
      <c r="PMO41" s="624"/>
      <c r="PMP41" s="624"/>
      <c r="PMQ41" s="624"/>
      <c r="PMR41" s="624"/>
      <c r="PMS41" s="624"/>
      <c r="PMT41" s="624"/>
      <c r="PMU41" s="624"/>
      <c r="PMV41" s="624"/>
      <c r="PMW41" s="624"/>
      <c r="PMX41" s="624"/>
      <c r="PMY41" s="624"/>
      <c r="PMZ41" s="624"/>
      <c r="PNA41" s="624"/>
      <c r="PNB41" s="624"/>
      <c r="PNC41" s="624"/>
      <c r="PND41" s="624"/>
      <c r="PNE41" s="624"/>
      <c r="PNF41" s="624"/>
      <c r="PNG41" s="624"/>
      <c r="PNH41" s="624"/>
      <c r="PNI41" s="624"/>
      <c r="PNJ41" s="624"/>
      <c r="PNK41" s="624"/>
      <c r="PNL41" s="624"/>
      <c r="PNM41" s="624"/>
      <c r="PNN41" s="624"/>
      <c r="PNO41" s="624"/>
      <c r="PNP41" s="624"/>
      <c r="PNQ41" s="624"/>
      <c r="PNR41" s="624"/>
      <c r="PNS41" s="624"/>
      <c r="PNT41" s="624"/>
      <c r="PNU41" s="624"/>
      <c r="PNV41" s="624"/>
      <c r="PNW41" s="624"/>
      <c r="PNX41" s="624"/>
      <c r="PNY41" s="624"/>
      <c r="PNZ41" s="624"/>
      <c r="POA41" s="624"/>
      <c r="POB41" s="624"/>
      <c r="POC41" s="624"/>
      <c r="POD41" s="624"/>
      <c r="POE41" s="624"/>
      <c r="POF41" s="624"/>
      <c r="POG41" s="624"/>
      <c r="POH41" s="624"/>
      <c r="POI41" s="624"/>
      <c r="POJ41" s="624"/>
      <c r="POK41" s="624"/>
      <c r="POL41" s="624"/>
      <c r="POM41" s="624"/>
      <c r="PON41" s="624"/>
      <c r="POO41" s="624"/>
      <c r="POP41" s="624"/>
      <c r="POQ41" s="624"/>
      <c r="POR41" s="624"/>
      <c r="POS41" s="624"/>
      <c r="POT41" s="624"/>
      <c r="POU41" s="624"/>
      <c r="POV41" s="624"/>
      <c r="POW41" s="624"/>
      <c r="POX41" s="624"/>
      <c r="POY41" s="624"/>
      <c r="POZ41" s="624"/>
      <c r="PPA41" s="624"/>
      <c r="PPB41" s="624"/>
      <c r="PPC41" s="624"/>
      <c r="PPD41" s="624"/>
      <c r="PPE41" s="624"/>
      <c r="PPF41" s="624"/>
      <c r="PPG41" s="624"/>
      <c r="PPH41" s="624"/>
      <c r="PPI41" s="624"/>
      <c r="PPJ41" s="624"/>
      <c r="PPK41" s="624"/>
      <c r="PPL41" s="624"/>
      <c r="PPM41" s="624"/>
      <c r="PPN41" s="624"/>
      <c r="PPO41" s="624"/>
      <c r="PPP41" s="624"/>
      <c r="PPQ41" s="624"/>
      <c r="PPR41" s="624"/>
      <c r="PPS41" s="624"/>
      <c r="PPT41" s="624"/>
      <c r="PPU41" s="624"/>
      <c r="PPV41" s="624"/>
      <c r="PPW41" s="624"/>
      <c r="PPX41" s="624"/>
      <c r="PPY41" s="624"/>
      <c r="PPZ41" s="624"/>
      <c r="PQA41" s="624"/>
      <c r="PQB41" s="624"/>
      <c r="PQC41" s="624"/>
      <c r="PQD41" s="624"/>
      <c r="PQE41" s="624"/>
      <c r="PQF41" s="624"/>
      <c r="PQG41" s="624"/>
      <c r="PQH41" s="624"/>
      <c r="PQI41" s="624"/>
      <c r="PQJ41" s="624"/>
      <c r="PQK41" s="624"/>
      <c r="PQL41" s="624"/>
      <c r="PQM41" s="624"/>
      <c r="PQN41" s="624"/>
      <c r="PQO41" s="624"/>
      <c r="PQP41" s="624"/>
      <c r="PQQ41" s="624"/>
      <c r="PQR41" s="624"/>
      <c r="PQS41" s="624"/>
      <c r="PQT41" s="624"/>
      <c r="PQU41" s="624"/>
      <c r="PQV41" s="624"/>
      <c r="PQW41" s="624"/>
      <c r="PQX41" s="624"/>
      <c r="PQY41" s="624"/>
      <c r="PQZ41" s="624"/>
      <c r="PRA41" s="624"/>
      <c r="PRB41" s="624"/>
      <c r="PRC41" s="624"/>
      <c r="PRD41" s="624"/>
      <c r="PRE41" s="624"/>
      <c r="PRF41" s="624"/>
      <c r="PRG41" s="624"/>
      <c r="PRH41" s="624"/>
      <c r="PRI41" s="624"/>
      <c r="PRJ41" s="624"/>
      <c r="PRK41" s="624"/>
      <c r="PRL41" s="624"/>
      <c r="PRM41" s="624"/>
      <c r="PRN41" s="624"/>
      <c r="PRO41" s="624"/>
      <c r="PRP41" s="624"/>
      <c r="PRQ41" s="624"/>
      <c r="PRR41" s="624"/>
      <c r="PRS41" s="624"/>
      <c r="PRT41" s="624"/>
      <c r="PRU41" s="624"/>
      <c r="PRV41" s="624"/>
      <c r="PRW41" s="624"/>
      <c r="PRX41" s="624"/>
      <c r="PRY41" s="624"/>
      <c r="PRZ41" s="624"/>
      <c r="PSA41" s="624"/>
      <c r="PSB41" s="624"/>
      <c r="PSC41" s="624"/>
      <c r="PSD41" s="624"/>
      <c r="PSE41" s="624"/>
      <c r="PSF41" s="624"/>
      <c r="PSG41" s="624"/>
      <c r="PSH41" s="624"/>
      <c r="PSI41" s="624"/>
      <c r="PSJ41" s="624"/>
      <c r="PSK41" s="624"/>
      <c r="PSL41" s="624"/>
      <c r="PSM41" s="624"/>
      <c r="PSN41" s="624"/>
      <c r="PSO41" s="624"/>
      <c r="PSP41" s="624"/>
      <c r="PSQ41" s="624"/>
      <c r="PSR41" s="624"/>
      <c r="PSS41" s="624"/>
      <c r="PST41" s="624"/>
      <c r="PSU41" s="624"/>
      <c r="PSV41" s="624"/>
      <c r="PSW41" s="624"/>
      <c r="PSX41" s="624"/>
      <c r="PSY41" s="624"/>
      <c r="PSZ41" s="624"/>
      <c r="PTA41" s="624"/>
      <c r="PTB41" s="624"/>
      <c r="PTC41" s="624"/>
      <c r="PTD41" s="624"/>
      <c r="PTE41" s="624"/>
      <c r="PTF41" s="624"/>
      <c r="PTG41" s="624"/>
      <c r="PTH41" s="624"/>
      <c r="PTI41" s="624"/>
      <c r="PTJ41" s="624"/>
      <c r="PTK41" s="624"/>
      <c r="PTL41" s="624"/>
      <c r="PTM41" s="624"/>
      <c r="PTN41" s="624"/>
      <c r="PTO41" s="624"/>
      <c r="PTP41" s="624"/>
      <c r="PTQ41" s="624"/>
      <c r="PTR41" s="624"/>
      <c r="PTS41" s="624"/>
      <c r="PTT41" s="624"/>
      <c r="PTU41" s="624"/>
      <c r="PTV41" s="624"/>
      <c r="PTW41" s="624"/>
      <c r="PTX41" s="624"/>
      <c r="PTY41" s="624"/>
      <c r="PTZ41" s="624"/>
      <c r="PUA41" s="624"/>
      <c r="PUB41" s="624"/>
      <c r="PUC41" s="624"/>
      <c r="PUD41" s="624"/>
      <c r="PUE41" s="624"/>
      <c r="PUF41" s="624"/>
      <c r="PUG41" s="624"/>
      <c r="PUH41" s="624"/>
      <c r="PUI41" s="624"/>
      <c r="PUJ41" s="624"/>
      <c r="PUK41" s="624"/>
      <c r="PUL41" s="624"/>
      <c r="PUM41" s="624"/>
      <c r="PUN41" s="624"/>
      <c r="PUO41" s="624"/>
      <c r="PUP41" s="624"/>
      <c r="PUQ41" s="624"/>
      <c r="PUR41" s="624"/>
      <c r="PUS41" s="624"/>
      <c r="PUT41" s="624"/>
      <c r="PUU41" s="624"/>
      <c r="PUV41" s="624"/>
      <c r="PUW41" s="624"/>
      <c r="PUX41" s="624"/>
      <c r="PUY41" s="624"/>
      <c r="PUZ41" s="624"/>
      <c r="PVA41" s="624"/>
      <c r="PVB41" s="624"/>
      <c r="PVC41" s="624"/>
      <c r="PVD41" s="624"/>
      <c r="PVE41" s="624"/>
      <c r="PVF41" s="624"/>
      <c r="PVG41" s="624"/>
      <c r="PVH41" s="624"/>
      <c r="PVI41" s="624"/>
      <c r="PVJ41" s="624"/>
      <c r="PVK41" s="624"/>
      <c r="PVL41" s="624"/>
      <c r="PVM41" s="624"/>
      <c r="PVN41" s="624"/>
      <c r="PVO41" s="624"/>
      <c r="PVP41" s="624"/>
      <c r="PVQ41" s="624"/>
      <c r="PVR41" s="624"/>
      <c r="PVS41" s="624"/>
      <c r="PVT41" s="624"/>
      <c r="PVU41" s="624"/>
      <c r="PVV41" s="624"/>
      <c r="PVW41" s="624"/>
      <c r="PVX41" s="624"/>
      <c r="PVY41" s="624"/>
      <c r="PVZ41" s="624"/>
      <c r="PWA41" s="624"/>
      <c r="PWB41" s="624"/>
      <c r="PWC41" s="624"/>
      <c r="PWD41" s="624"/>
      <c r="PWE41" s="624"/>
      <c r="PWF41" s="624"/>
      <c r="PWG41" s="624"/>
      <c r="PWH41" s="624"/>
      <c r="PWI41" s="624"/>
      <c r="PWJ41" s="624"/>
      <c r="PWK41" s="624"/>
      <c r="PWL41" s="624"/>
      <c r="PWM41" s="624"/>
      <c r="PWN41" s="624"/>
      <c r="PWO41" s="624"/>
      <c r="PWP41" s="624"/>
      <c r="PWQ41" s="624"/>
      <c r="PWR41" s="624"/>
      <c r="PWS41" s="624"/>
      <c r="PWT41" s="624"/>
      <c r="PWU41" s="624"/>
      <c r="PWV41" s="624"/>
      <c r="PWW41" s="624"/>
      <c r="PWX41" s="624"/>
      <c r="PWY41" s="624"/>
      <c r="PWZ41" s="624"/>
      <c r="PXA41" s="624"/>
      <c r="PXB41" s="624"/>
      <c r="PXC41" s="624"/>
      <c r="PXD41" s="624"/>
      <c r="PXE41" s="624"/>
      <c r="PXF41" s="624"/>
      <c r="PXG41" s="624"/>
      <c r="PXH41" s="624"/>
      <c r="PXI41" s="624"/>
      <c r="PXJ41" s="624"/>
      <c r="PXK41" s="624"/>
      <c r="PXL41" s="624"/>
      <c r="PXM41" s="624"/>
      <c r="PXN41" s="624"/>
      <c r="PXO41" s="624"/>
      <c r="PXP41" s="624"/>
      <c r="PXQ41" s="624"/>
      <c r="PXR41" s="624"/>
      <c r="PXS41" s="624"/>
      <c r="PXT41" s="624"/>
      <c r="PXU41" s="624"/>
      <c r="PXV41" s="624"/>
      <c r="PXW41" s="624"/>
      <c r="PXX41" s="624"/>
      <c r="PXY41" s="624"/>
      <c r="PXZ41" s="624"/>
      <c r="PYA41" s="624"/>
      <c r="PYB41" s="624"/>
      <c r="PYC41" s="624"/>
      <c r="PYD41" s="624"/>
      <c r="PYE41" s="624"/>
      <c r="PYF41" s="624"/>
      <c r="PYG41" s="624"/>
      <c r="PYH41" s="624"/>
      <c r="PYI41" s="624"/>
      <c r="PYJ41" s="624"/>
      <c r="PYK41" s="624"/>
      <c r="PYL41" s="624"/>
      <c r="PYM41" s="624"/>
      <c r="PYN41" s="624"/>
      <c r="PYO41" s="624"/>
      <c r="PYP41" s="624"/>
      <c r="PYQ41" s="624"/>
      <c r="PYR41" s="624"/>
      <c r="PYS41" s="624"/>
      <c r="PYT41" s="624"/>
      <c r="PYU41" s="624"/>
      <c r="PYV41" s="624"/>
      <c r="PYW41" s="624"/>
      <c r="PYX41" s="624"/>
      <c r="PYY41" s="624"/>
      <c r="PYZ41" s="624"/>
      <c r="PZA41" s="624"/>
      <c r="PZB41" s="624"/>
      <c r="PZC41" s="624"/>
      <c r="PZD41" s="624"/>
      <c r="PZE41" s="624"/>
      <c r="PZF41" s="624"/>
      <c r="PZG41" s="624"/>
      <c r="PZH41" s="624"/>
      <c r="PZI41" s="624"/>
      <c r="PZJ41" s="624"/>
      <c r="PZK41" s="624"/>
      <c r="PZL41" s="624"/>
      <c r="PZM41" s="624"/>
      <c r="PZN41" s="624"/>
      <c r="PZO41" s="624"/>
      <c r="PZP41" s="624"/>
      <c r="PZQ41" s="624"/>
      <c r="PZR41" s="624"/>
      <c r="PZS41" s="624"/>
      <c r="PZT41" s="624"/>
      <c r="PZU41" s="624"/>
      <c r="PZV41" s="624"/>
      <c r="PZW41" s="624"/>
      <c r="PZX41" s="624"/>
      <c r="PZY41" s="624"/>
      <c r="PZZ41" s="624"/>
      <c r="QAA41" s="624"/>
      <c r="QAB41" s="624"/>
      <c r="QAC41" s="624"/>
      <c r="QAD41" s="624"/>
      <c r="QAE41" s="624"/>
      <c r="QAF41" s="624"/>
      <c r="QAG41" s="624"/>
      <c r="QAH41" s="624"/>
      <c r="QAI41" s="624"/>
      <c r="QAJ41" s="624"/>
      <c r="QAK41" s="624"/>
      <c r="QAL41" s="624"/>
      <c r="QAM41" s="624"/>
      <c r="QAN41" s="624"/>
      <c r="QAO41" s="624"/>
      <c r="QAP41" s="624"/>
      <c r="QAQ41" s="624"/>
      <c r="QAR41" s="624"/>
      <c r="QAS41" s="624"/>
      <c r="QAT41" s="624"/>
      <c r="QAU41" s="624"/>
      <c r="QAV41" s="624"/>
      <c r="QAW41" s="624"/>
      <c r="QAX41" s="624"/>
      <c r="QAY41" s="624"/>
      <c r="QAZ41" s="624"/>
      <c r="QBA41" s="624"/>
      <c r="QBB41" s="624"/>
      <c r="QBC41" s="624"/>
      <c r="QBD41" s="624"/>
      <c r="QBE41" s="624"/>
      <c r="QBF41" s="624"/>
      <c r="QBG41" s="624"/>
      <c r="QBH41" s="624"/>
      <c r="QBI41" s="624"/>
      <c r="QBJ41" s="624"/>
      <c r="QBK41" s="624"/>
      <c r="QBL41" s="624"/>
      <c r="QBM41" s="624"/>
      <c r="QBN41" s="624"/>
      <c r="QBO41" s="624"/>
      <c r="QBP41" s="624"/>
      <c r="QBQ41" s="624"/>
      <c r="QBR41" s="624"/>
      <c r="QBS41" s="624"/>
      <c r="QBT41" s="624"/>
      <c r="QBU41" s="624"/>
      <c r="QBV41" s="624"/>
      <c r="QBW41" s="624"/>
      <c r="QBX41" s="624"/>
      <c r="QBY41" s="624"/>
      <c r="QBZ41" s="624"/>
      <c r="QCA41" s="624"/>
      <c r="QCB41" s="624"/>
      <c r="QCC41" s="624"/>
      <c r="QCD41" s="624"/>
      <c r="QCE41" s="624"/>
      <c r="QCF41" s="624"/>
      <c r="QCG41" s="624"/>
      <c r="QCH41" s="624"/>
      <c r="QCI41" s="624"/>
      <c r="QCJ41" s="624"/>
      <c r="QCK41" s="624"/>
      <c r="QCL41" s="624"/>
      <c r="QCM41" s="624"/>
      <c r="QCN41" s="624"/>
      <c r="QCO41" s="624"/>
      <c r="QCP41" s="624"/>
      <c r="QCQ41" s="624"/>
      <c r="QCR41" s="624"/>
      <c r="QCS41" s="624"/>
      <c r="QCT41" s="624"/>
      <c r="QCU41" s="624"/>
      <c r="QCV41" s="624"/>
      <c r="QCW41" s="624"/>
      <c r="QCX41" s="624"/>
      <c r="QCY41" s="624"/>
      <c r="QCZ41" s="624"/>
      <c r="QDA41" s="624"/>
      <c r="QDB41" s="624"/>
      <c r="QDC41" s="624"/>
      <c r="QDD41" s="624"/>
      <c r="QDE41" s="624"/>
      <c r="QDF41" s="624"/>
      <c r="QDG41" s="624"/>
      <c r="QDH41" s="624"/>
      <c r="QDI41" s="624"/>
      <c r="QDJ41" s="624"/>
      <c r="QDK41" s="624"/>
      <c r="QDL41" s="624"/>
      <c r="QDM41" s="624"/>
      <c r="QDN41" s="624"/>
      <c r="QDO41" s="624"/>
      <c r="QDP41" s="624"/>
      <c r="QDQ41" s="624"/>
      <c r="QDR41" s="624"/>
      <c r="QDS41" s="624"/>
      <c r="QDT41" s="624"/>
      <c r="QDU41" s="624"/>
      <c r="QDV41" s="624"/>
      <c r="QDW41" s="624"/>
      <c r="QDX41" s="624"/>
      <c r="QDY41" s="624"/>
      <c r="QDZ41" s="624"/>
      <c r="QEA41" s="624"/>
      <c r="QEB41" s="624"/>
      <c r="QEC41" s="624"/>
      <c r="QED41" s="624"/>
      <c r="QEE41" s="624"/>
      <c r="QEF41" s="624"/>
      <c r="QEG41" s="624"/>
      <c r="QEH41" s="624"/>
      <c r="QEI41" s="624"/>
      <c r="QEJ41" s="624"/>
      <c r="QEK41" s="624"/>
      <c r="QEL41" s="624"/>
      <c r="QEM41" s="624"/>
      <c r="QEN41" s="624"/>
      <c r="QEO41" s="624"/>
      <c r="QEP41" s="624"/>
      <c r="QEQ41" s="624"/>
      <c r="QER41" s="624"/>
      <c r="QES41" s="624"/>
      <c r="QET41" s="624"/>
      <c r="QEU41" s="624"/>
      <c r="QEV41" s="624"/>
      <c r="QEW41" s="624"/>
      <c r="QEX41" s="624"/>
      <c r="QEY41" s="624"/>
      <c r="QEZ41" s="624"/>
      <c r="QFA41" s="624"/>
      <c r="QFB41" s="624"/>
      <c r="QFC41" s="624"/>
      <c r="QFD41" s="624"/>
      <c r="QFE41" s="624"/>
      <c r="QFF41" s="624"/>
      <c r="QFG41" s="624"/>
      <c r="QFH41" s="624"/>
      <c r="QFI41" s="624"/>
      <c r="QFJ41" s="624"/>
      <c r="QFK41" s="624"/>
      <c r="QFL41" s="624"/>
      <c r="QFM41" s="624"/>
      <c r="QFN41" s="624"/>
      <c r="QFO41" s="624"/>
      <c r="QFP41" s="624"/>
      <c r="QFQ41" s="624"/>
      <c r="QFR41" s="624"/>
      <c r="QFS41" s="624"/>
      <c r="QFT41" s="624"/>
      <c r="QFU41" s="624"/>
      <c r="QFV41" s="624"/>
      <c r="QFW41" s="624"/>
      <c r="QFX41" s="624"/>
      <c r="QFY41" s="624"/>
      <c r="QFZ41" s="624"/>
      <c r="QGA41" s="624"/>
      <c r="QGB41" s="624"/>
      <c r="QGC41" s="624"/>
      <c r="QGD41" s="624"/>
      <c r="QGE41" s="624"/>
      <c r="QGF41" s="624"/>
      <c r="QGG41" s="624"/>
      <c r="QGH41" s="624"/>
      <c r="QGI41" s="624"/>
      <c r="QGJ41" s="624"/>
      <c r="QGK41" s="624"/>
      <c r="QGL41" s="624"/>
      <c r="QGM41" s="624"/>
      <c r="QGN41" s="624"/>
      <c r="QGO41" s="624"/>
      <c r="QGP41" s="624"/>
      <c r="QGQ41" s="624"/>
      <c r="QGR41" s="624"/>
      <c r="QGS41" s="624"/>
      <c r="QGT41" s="624"/>
      <c r="QGU41" s="624"/>
      <c r="QGV41" s="624"/>
      <c r="QGW41" s="624"/>
      <c r="QGX41" s="624"/>
      <c r="QGY41" s="624"/>
      <c r="QGZ41" s="624"/>
      <c r="QHA41" s="624"/>
      <c r="QHB41" s="624"/>
      <c r="QHC41" s="624"/>
      <c r="QHD41" s="624"/>
      <c r="QHE41" s="624"/>
      <c r="QHF41" s="624"/>
      <c r="QHG41" s="624"/>
      <c r="QHH41" s="624"/>
      <c r="QHI41" s="624"/>
      <c r="QHJ41" s="624"/>
      <c r="QHK41" s="624"/>
      <c r="QHL41" s="624"/>
      <c r="QHM41" s="624"/>
      <c r="QHN41" s="624"/>
      <c r="QHO41" s="624"/>
      <c r="QHP41" s="624"/>
      <c r="QHQ41" s="624"/>
      <c r="QHR41" s="624"/>
      <c r="QHS41" s="624"/>
      <c r="QHT41" s="624"/>
      <c r="QHU41" s="624"/>
      <c r="QHV41" s="624"/>
      <c r="QHW41" s="624"/>
      <c r="QHX41" s="624"/>
      <c r="QHY41" s="624"/>
      <c r="QHZ41" s="624"/>
      <c r="QIA41" s="624"/>
      <c r="QIB41" s="624"/>
      <c r="QIC41" s="624"/>
      <c r="QID41" s="624"/>
      <c r="QIE41" s="624"/>
      <c r="QIF41" s="624"/>
      <c r="QIG41" s="624"/>
      <c r="QIH41" s="624"/>
      <c r="QII41" s="624"/>
      <c r="QIJ41" s="624"/>
      <c r="QIK41" s="624"/>
      <c r="QIL41" s="624"/>
      <c r="QIM41" s="624"/>
      <c r="QIN41" s="624"/>
      <c r="QIO41" s="624"/>
      <c r="QIP41" s="624"/>
      <c r="QIQ41" s="624"/>
      <c r="QIR41" s="624"/>
      <c r="QIS41" s="624"/>
      <c r="QIT41" s="624"/>
      <c r="QIU41" s="624"/>
      <c r="QIV41" s="624"/>
      <c r="QIW41" s="624"/>
      <c r="QIX41" s="624"/>
      <c r="QIY41" s="624"/>
      <c r="QIZ41" s="624"/>
      <c r="QJA41" s="624"/>
      <c r="QJB41" s="624"/>
      <c r="QJC41" s="624"/>
      <c r="QJD41" s="624"/>
      <c r="QJE41" s="624"/>
      <c r="QJF41" s="624"/>
      <c r="QJG41" s="624"/>
      <c r="QJH41" s="624"/>
      <c r="QJI41" s="624"/>
      <c r="QJJ41" s="624"/>
      <c r="QJK41" s="624"/>
      <c r="QJL41" s="624"/>
      <c r="QJM41" s="624"/>
      <c r="QJN41" s="624"/>
      <c r="QJO41" s="624"/>
      <c r="QJP41" s="624"/>
      <c r="QJQ41" s="624"/>
      <c r="QJR41" s="624"/>
      <c r="QJS41" s="624"/>
      <c r="QJT41" s="624"/>
      <c r="QJU41" s="624"/>
      <c r="QJV41" s="624"/>
      <c r="QJW41" s="624"/>
      <c r="QJX41" s="624"/>
      <c r="QJY41" s="624"/>
      <c r="QJZ41" s="624"/>
      <c r="QKA41" s="624"/>
      <c r="QKB41" s="624"/>
      <c r="QKC41" s="624"/>
      <c r="QKD41" s="624"/>
      <c r="QKE41" s="624"/>
      <c r="QKF41" s="624"/>
      <c r="QKG41" s="624"/>
      <c r="QKH41" s="624"/>
      <c r="QKI41" s="624"/>
      <c r="QKJ41" s="624"/>
      <c r="QKK41" s="624"/>
      <c r="QKL41" s="624"/>
      <c r="QKM41" s="624"/>
      <c r="QKN41" s="624"/>
      <c r="QKO41" s="624"/>
      <c r="QKP41" s="624"/>
      <c r="QKQ41" s="624"/>
      <c r="QKR41" s="624"/>
      <c r="QKS41" s="624"/>
      <c r="QKT41" s="624"/>
      <c r="QKU41" s="624"/>
      <c r="QKV41" s="624"/>
      <c r="QKW41" s="624"/>
      <c r="QKX41" s="624"/>
      <c r="QKY41" s="624"/>
      <c r="QKZ41" s="624"/>
      <c r="QLA41" s="624"/>
      <c r="QLB41" s="624"/>
      <c r="QLC41" s="624"/>
      <c r="QLD41" s="624"/>
      <c r="QLE41" s="624"/>
      <c r="QLF41" s="624"/>
      <c r="QLG41" s="624"/>
      <c r="QLH41" s="624"/>
      <c r="QLI41" s="624"/>
      <c r="QLJ41" s="624"/>
      <c r="QLK41" s="624"/>
      <c r="QLL41" s="624"/>
      <c r="QLM41" s="624"/>
      <c r="QLN41" s="624"/>
      <c r="QLO41" s="624"/>
      <c r="QLP41" s="624"/>
      <c r="QLQ41" s="624"/>
      <c r="QLR41" s="624"/>
      <c r="QLS41" s="624"/>
      <c r="QLT41" s="624"/>
      <c r="QLU41" s="624"/>
      <c r="QLV41" s="624"/>
      <c r="QLW41" s="624"/>
      <c r="QLX41" s="624"/>
      <c r="QLY41" s="624"/>
      <c r="QLZ41" s="624"/>
      <c r="QMA41" s="624"/>
      <c r="QMB41" s="624"/>
      <c r="QMC41" s="624"/>
      <c r="QMD41" s="624"/>
      <c r="QME41" s="624"/>
      <c r="QMF41" s="624"/>
      <c r="QMG41" s="624"/>
      <c r="QMH41" s="624"/>
      <c r="QMI41" s="624"/>
      <c r="QMJ41" s="624"/>
      <c r="QMK41" s="624"/>
      <c r="QML41" s="624"/>
      <c r="QMM41" s="624"/>
      <c r="QMN41" s="624"/>
      <c r="QMO41" s="624"/>
      <c r="QMP41" s="624"/>
      <c r="QMQ41" s="624"/>
      <c r="QMR41" s="624"/>
      <c r="QMS41" s="624"/>
      <c r="QMT41" s="624"/>
      <c r="QMU41" s="624"/>
      <c r="QMV41" s="624"/>
      <c r="QMW41" s="624"/>
      <c r="QMX41" s="624"/>
      <c r="QMY41" s="624"/>
      <c r="QMZ41" s="624"/>
      <c r="QNA41" s="624"/>
      <c r="QNB41" s="624"/>
      <c r="QNC41" s="624"/>
      <c r="QND41" s="624"/>
      <c r="QNE41" s="624"/>
      <c r="QNF41" s="624"/>
      <c r="QNG41" s="624"/>
      <c r="QNH41" s="624"/>
      <c r="QNI41" s="624"/>
      <c r="QNJ41" s="624"/>
      <c r="QNK41" s="624"/>
      <c r="QNL41" s="624"/>
      <c r="QNM41" s="624"/>
      <c r="QNN41" s="624"/>
      <c r="QNO41" s="624"/>
      <c r="QNP41" s="624"/>
      <c r="QNQ41" s="624"/>
      <c r="QNR41" s="624"/>
      <c r="QNS41" s="624"/>
      <c r="QNT41" s="624"/>
      <c r="QNU41" s="624"/>
      <c r="QNV41" s="624"/>
      <c r="QNW41" s="624"/>
      <c r="QNX41" s="624"/>
      <c r="QNY41" s="624"/>
      <c r="QNZ41" s="624"/>
      <c r="QOA41" s="624"/>
      <c r="QOB41" s="624"/>
      <c r="QOC41" s="624"/>
      <c r="QOD41" s="624"/>
      <c r="QOE41" s="624"/>
      <c r="QOF41" s="624"/>
      <c r="QOG41" s="624"/>
      <c r="QOH41" s="624"/>
      <c r="QOI41" s="624"/>
      <c r="QOJ41" s="624"/>
      <c r="QOK41" s="624"/>
      <c r="QOL41" s="624"/>
      <c r="QOM41" s="624"/>
      <c r="QON41" s="624"/>
      <c r="QOO41" s="624"/>
      <c r="QOP41" s="624"/>
      <c r="QOQ41" s="624"/>
      <c r="QOR41" s="624"/>
      <c r="QOS41" s="624"/>
      <c r="QOT41" s="624"/>
      <c r="QOU41" s="624"/>
      <c r="QOV41" s="624"/>
      <c r="QOW41" s="624"/>
      <c r="QOX41" s="624"/>
      <c r="QOY41" s="624"/>
      <c r="QOZ41" s="624"/>
      <c r="QPA41" s="624"/>
      <c r="QPB41" s="624"/>
      <c r="QPC41" s="624"/>
      <c r="QPD41" s="624"/>
      <c r="QPE41" s="624"/>
      <c r="QPF41" s="624"/>
      <c r="QPG41" s="624"/>
      <c r="QPH41" s="624"/>
      <c r="QPI41" s="624"/>
      <c r="QPJ41" s="624"/>
      <c r="QPK41" s="624"/>
      <c r="QPL41" s="624"/>
      <c r="QPM41" s="624"/>
      <c r="QPN41" s="624"/>
      <c r="QPO41" s="624"/>
      <c r="QPP41" s="624"/>
      <c r="QPQ41" s="624"/>
      <c r="QPR41" s="624"/>
      <c r="QPS41" s="624"/>
      <c r="QPT41" s="624"/>
      <c r="QPU41" s="624"/>
      <c r="QPV41" s="624"/>
      <c r="QPW41" s="624"/>
      <c r="QPX41" s="624"/>
      <c r="QPY41" s="624"/>
      <c r="QPZ41" s="624"/>
      <c r="QQA41" s="624"/>
      <c r="QQB41" s="624"/>
      <c r="QQC41" s="624"/>
      <c r="QQD41" s="624"/>
      <c r="QQE41" s="624"/>
      <c r="QQF41" s="624"/>
      <c r="QQG41" s="624"/>
      <c r="QQH41" s="624"/>
      <c r="QQI41" s="624"/>
      <c r="QQJ41" s="624"/>
      <c r="QQK41" s="624"/>
      <c r="QQL41" s="624"/>
      <c r="QQM41" s="624"/>
      <c r="QQN41" s="624"/>
      <c r="QQO41" s="624"/>
      <c r="QQP41" s="624"/>
      <c r="QQQ41" s="624"/>
      <c r="QQR41" s="624"/>
      <c r="QQS41" s="624"/>
      <c r="QQT41" s="624"/>
      <c r="QQU41" s="624"/>
      <c r="QQV41" s="624"/>
      <c r="QQW41" s="624"/>
      <c r="QQX41" s="624"/>
      <c r="QQY41" s="624"/>
      <c r="QQZ41" s="624"/>
      <c r="QRA41" s="624"/>
      <c r="QRB41" s="624"/>
      <c r="QRC41" s="624"/>
      <c r="QRD41" s="624"/>
      <c r="QRE41" s="624"/>
      <c r="QRF41" s="624"/>
      <c r="QRG41" s="624"/>
      <c r="QRH41" s="624"/>
      <c r="QRI41" s="624"/>
      <c r="QRJ41" s="624"/>
      <c r="QRK41" s="624"/>
      <c r="QRL41" s="624"/>
      <c r="QRM41" s="624"/>
      <c r="QRN41" s="624"/>
      <c r="QRO41" s="624"/>
      <c r="QRP41" s="624"/>
      <c r="QRQ41" s="624"/>
      <c r="QRR41" s="624"/>
      <c r="QRS41" s="624"/>
      <c r="QRT41" s="624"/>
      <c r="QRU41" s="624"/>
      <c r="QRV41" s="624"/>
      <c r="QRW41" s="624"/>
      <c r="QRX41" s="624"/>
      <c r="QRY41" s="624"/>
      <c r="QRZ41" s="624"/>
      <c r="QSA41" s="624"/>
      <c r="QSB41" s="624"/>
      <c r="QSC41" s="624"/>
      <c r="QSD41" s="624"/>
      <c r="QSE41" s="624"/>
      <c r="QSF41" s="624"/>
      <c r="QSG41" s="624"/>
      <c r="QSH41" s="624"/>
      <c r="QSI41" s="624"/>
      <c r="QSJ41" s="624"/>
      <c r="QSK41" s="624"/>
      <c r="QSL41" s="624"/>
      <c r="QSM41" s="624"/>
      <c r="QSN41" s="624"/>
      <c r="QSO41" s="624"/>
      <c r="QSP41" s="624"/>
      <c r="QSQ41" s="624"/>
      <c r="QSR41" s="624"/>
      <c r="QSS41" s="624"/>
      <c r="QST41" s="624"/>
      <c r="QSU41" s="624"/>
      <c r="QSV41" s="624"/>
      <c r="QSW41" s="624"/>
      <c r="QSX41" s="624"/>
      <c r="QSY41" s="624"/>
      <c r="QSZ41" s="624"/>
      <c r="QTA41" s="624"/>
      <c r="QTB41" s="624"/>
      <c r="QTC41" s="624"/>
      <c r="QTD41" s="624"/>
      <c r="QTE41" s="624"/>
      <c r="QTF41" s="624"/>
      <c r="QTG41" s="624"/>
      <c r="QTH41" s="624"/>
      <c r="QTI41" s="624"/>
      <c r="QTJ41" s="624"/>
      <c r="QTK41" s="624"/>
      <c r="QTL41" s="624"/>
      <c r="QTM41" s="624"/>
      <c r="QTN41" s="624"/>
      <c r="QTO41" s="624"/>
      <c r="QTP41" s="624"/>
      <c r="QTQ41" s="624"/>
      <c r="QTR41" s="624"/>
      <c r="QTS41" s="624"/>
      <c r="QTT41" s="624"/>
      <c r="QTU41" s="624"/>
      <c r="QTV41" s="624"/>
      <c r="QTW41" s="624"/>
      <c r="QTX41" s="624"/>
      <c r="QTY41" s="624"/>
      <c r="QTZ41" s="624"/>
      <c r="QUA41" s="624"/>
      <c r="QUB41" s="624"/>
      <c r="QUC41" s="624"/>
      <c r="QUD41" s="624"/>
      <c r="QUE41" s="624"/>
      <c r="QUF41" s="624"/>
      <c r="QUG41" s="624"/>
      <c r="QUH41" s="624"/>
      <c r="QUI41" s="624"/>
      <c r="QUJ41" s="624"/>
      <c r="QUK41" s="624"/>
      <c r="QUL41" s="624"/>
      <c r="QUM41" s="624"/>
      <c r="QUN41" s="624"/>
      <c r="QUO41" s="624"/>
      <c r="QUP41" s="624"/>
      <c r="QUQ41" s="624"/>
      <c r="QUR41" s="624"/>
      <c r="QUS41" s="624"/>
      <c r="QUT41" s="624"/>
      <c r="QUU41" s="624"/>
      <c r="QUV41" s="624"/>
      <c r="QUW41" s="624"/>
      <c r="QUX41" s="624"/>
      <c r="QUY41" s="624"/>
      <c r="QUZ41" s="624"/>
      <c r="QVA41" s="624"/>
      <c r="QVB41" s="624"/>
      <c r="QVC41" s="624"/>
      <c r="QVD41" s="624"/>
      <c r="QVE41" s="624"/>
      <c r="QVF41" s="624"/>
      <c r="QVG41" s="624"/>
      <c r="QVH41" s="624"/>
      <c r="QVI41" s="624"/>
      <c r="QVJ41" s="624"/>
      <c r="QVK41" s="624"/>
      <c r="QVL41" s="624"/>
      <c r="QVM41" s="624"/>
      <c r="QVN41" s="624"/>
      <c r="QVO41" s="624"/>
      <c r="QVP41" s="624"/>
      <c r="QVQ41" s="624"/>
      <c r="QVR41" s="624"/>
      <c r="QVS41" s="624"/>
      <c r="QVT41" s="624"/>
      <c r="QVU41" s="624"/>
      <c r="QVV41" s="624"/>
      <c r="QVW41" s="624"/>
      <c r="QVX41" s="624"/>
      <c r="QVY41" s="624"/>
      <c r="QVZ41" s="624"/>
      <c r="QWA41" s="624"/>
      <c r="QWB41" s="624"/>
      <c r="QWC41" s="624"/>
      <c r="QWD41" s="624"/>
      <c r="QWE41" s="624"/>
      <c r="QWF41" s="624"/>
      <c r="QWG41" s="624"/>
      <c r="QWH41" s="624"/>
      <c r="QWI41" s="624"/>
      <c r="QWJ41" s="624"/>
      <c r="QWK41" s="624"/>
      <c r="QWL41" s="624"/>
      <c r="QWM41" s="624"/>
      <c r="QWN41" s="624"/>
      <c r="QWO41" s="624"/>
      <c r="QWP41" s="624"/>
      <c r="QWQ41" s="624"/>
      <c r="QWR41" s="624"/>
      <c r="QWS41" s="624"/>
      <c r="QWT41" s="624"/>
      <c r="QWU41" s="624"/>
      <c r="QWV41" s="624"/>
      <c r="QWW41" s="624"/>
      <c r="QWX41" s="624"/>
      <c r="QWY41" s="624"/>
      <c r="QWZ41" s="624"/>
      <c r="QXA41" s="624"/>
      <c r="QXB41" s="624"/>
      <c r="QXC41" s="624"/>
      <c r="QXD41" s="624"/>
      <c r="QXE41" s="624"/>
      <c r="QXF41" s="624"/>
      <c r="QXG41" s="624"/>
      <c r="QXH41" s="624"/>
      <c r="QXI41" s="624"/>
      <c r="QXJ41" s="624"/>
      <c r="QXK41" s="624"/>
      <c r="QXL41" s="624"/>
      <c r="QXM41" s="624"/>
      <c r="QXN41" s="624"/>
      <c r="QXO41" s="624"/>
      <c r="QXP41" s="624"/>
      <c r="QXQ41" s="624"/>
      <c r="QXR41" s="624"/>
      <c r="QXS41" s="624"/>
      <c r="QXT41" s="624"/>
      <c r="QXU41" s="624"/>
      <c r="QXV41" s="624"/>
      <c r="QXW41" s="624"/>
      <c r="QXX41" s="624"/>
      <c r="QXY41" s="624"/>
      <c r="QXZ41" s="624"/>
      <c r="QYA41" s="624"/>
      <c r="QYB41" s="624"/>
      <c r="QYC41" s="624"/>
      <c r="QYD41" s="624"/>
      <c r="QYE41" s="624"/>
      <c r="QYF41" s="624"/>
      <c r="QYG41" s="624"/>
      <c r="QYH41" s="624"/>
      <c r="QYI41" s="624"/>
      <c r="QYJ41" s="624"/>
      <c r="QYK41" s="624"/>
      <c r="QYL41" s="624"/>
      <c r="QYM41" s="624"/>
      <c r="QYN41" s="624"/>
      <c r="QYO41" s="624"/>
      <c r="QYP41" s="624"/>
      <c r="QYQ41" s="624"/>
      <c r="QYR41" s="624"/>
      <c r="QYS41" s="624"/>
      <c r="QYT41" s="624"/>
      <c r="QYU41" s="624"/>
      <c r="QYV41" s="624"/>
      <c r="QYW41" s="624"/>
      <c r="QYX41" s="624"/>
      <c r="QYY41" s="624"/>
      <c r="QYZ41" s="624"/>
      <c r="QZA41" s="624"/>
      <c r="QZB41" s="624"/>
      <c r="QZC41" s="624"/>
      <c r="QZD41" s="624"/>
      <c r="QZE41" s="624"/>
      <c r="QZF41" s="624"/>
      <c r="QZG41" s="624"/>
      <c r="QZH41" s="624"/>
      <c r="QZI41" s="624"/>
      <c r="QZJ41" s="624"/>
      <c r="QZK41" s="624"/>
      <c r="QZL41" s="624"/>
      <c r="QZM41" s="624"/>
      <c r="QZN41" s="624"/>
      <c r="QZO41" s="624"/>
      <c r="QZP41" s="624"/>
      <c r="QZQ41" s="624"/>
      <c r="QZR41" s="624"/>
      <c r="QZS41" s="624"/>
      <c r="QZT41" s="624"/>
      <c r="QZU41" s="624"/>
      <c r="QZV41" s="624"/>
      <c r="QZW41" s="624"/>
      <c r="QZX41" s="624"/>
      <c r="QZY41" s="624"/>
      <c r="QZZ41" s="624"/>
      <c r="RAA41" s="624"/>
      <c r="RAB41" s="624"/>
      <c r="RAC41" s="624"/>
      <c r="RAD41" s="624"/>
      <c r="RAE41" s="624"/>
      <c r="RAF41" s="624"/>
      <c r="RAG41" s="624"/>
      <c r="RAH41" s="624"/>
      <c r="RAI41" s="624"/>
      <c r="RAJ41" s="624"/>
      <c r="RAK41" s="624"/>
      <c r="RAL41" s="624"/>
      <c r="RAM41" s="624"/>
      <c r="RAN41" s="624"/>
      <c r="RAO41" s="624"/>
      <c r="RAP41" s="624"/>
      <c r="RAQ41" s="624"/>
      <c r="RAR41" s="624"/>
      <c r="RAS41" s="624"/>
      <c r="RAT41" s="624"/>
      <c r="RAU41" s="624"/>
      <c r="RAV41" s="624"/>
      <c r="RAW41" s="624"/>
      <c r="RAX41" s="624"/>
      <c r="RAY41" s="624"/>
      <c r="RAZ41" s="624"/>
      <c r="RBA41" s="624"/>
      <c r="RBB41" s="624"/>
      <c r="RBC41" s="624"/>
      <c r="RBD41" s="624"/>
      <c r="RBE41" s="624"/>
      <c r="RBF41" s="624"/>
      <c r="RBG41" s="624"/>
      <c r="RBH41" s="624"/>
      <c r="RBI41" s="624"/>
      <c r="RBJ41" s="624"/>
      <c r="RBK41" s="624"/>
      <c r="RBL41" s="624"/>
      <c r="RBM41" s="624"/>
      <c r="RBN41" s="624"/>
      <c r="RBO41" s="624"/>
      <c r="RBP41" s="624"/>
      <c r="RBQ41" s="624"/>
      <c r="RBR41" s="624"/>
      <c r="RBS41" s="624"/>
      <c r="RBT41" s="624"/>
      <c r="RBU41" s="624"/>
      <c r="RBV41" s="624"/>
      <c r="RBW41" s="624"/>
      <c r="RBX41" s="624"/>
      <c r="RBY41" s="624"/>
      <c r="RBZ41" s="624"/>
      <c r="RCA41" s="624"/>
      <c r="RCB41" s="624"/>
      <c r="RCC41" s="624"/>
      <c r="RCD41" s="624"/>
      <c r="RCE41" s="624"/>
      <c r="RCF41" s="624"/>
      <c r="RCG41" s="624"/>
      <c r="RCH41" s="624"/>
      <c r="RCI41" s="624"/>
      <c r="RCJ41" s="624"/>
      <c r="RCK41" s="624"/>
      <c r="RCL41" s="624"/>
      <c r="RCM41" s="624"/>
      <c r="RCN41" s="624"/>
      <c r="RCO41" s="624"/>
      <c r="RCP41" s="624"/>
      <c r="RCQ41" s="624"/>
      <c r="RCR41" s="624"/>
      <c r="RCS41" s="624"/>
      <c r="RCT41" s="624"/>
      <c r="RCU41" s="624"/>
      <c r="RCV41" s="624"/>
      <c r="RCW41" s="624"/>
      <c r="RCX41" s="624"/>
      <c r="RCY41" s="624"/>
      <c r="RCZ41" s="624"/>
      <c r="RDA41" s="624"/>
      <c r="RDB41" s="624"/>
      <c r="RDC41" s="624"/>
      <c r="RDD41" s="624"/>
      <c r="RDE41" s="624"/>
      <c r="RDF41" s="624"/>
      <c r="RDG41" s="624"/>
      <c r="RDH41" s="624"/>
      <c r="RDI41" s="624"/>
      <c r="RDJ41" s="624"/>
      <c r="RDK41" s="624"/>
      <c r="RDL41" s="624"/>
      <c r="RDM41" s="624"/>
      <c r="RDN41" s="624"/>
      <c r="RDO41" s="624"/>
      <c r="RDP41" s="624"/>
      <c r="RDQ41" s="624"/>
      <c r="RDR41" s="624"/>
      <c r="RDS41" s="624"/>
      <c r="RDT41" s="624"/>
      <c r="RDU41" s="624"/>
      <c r="RDV41" s="624"/>
      <c r="RDW41" s="624"/>
      <c r="RDX41" s="624"/>
      <c r="RDY41" s="624"/>
      <c r="RDZ41" s="624"/>
      <c r="REA41" s="624"/>
      <c r="REB41" s="624"/>
      <c r="REC41" s="624"/>
      <c r="RED41" s="624"/>
      <c r="REE41" s="624"/>
      <c r="REF41" s="624"/>
      <c r="REG41" s="624"/>
      <c r="REH41" s="624"/>
      <c r="REI41" s="624"/>
      <c r="REJ41" s="624"/>
      <c r="REK41" s="624"/>
      <c r="REL41" s="624"/>
      <c r="REM41" s="624"/>
      <c r="REN41" s="624"/>
      <c r="REO41" s="624"/>
      <c r="REP41" s="624"/>
      <c r="REQ41" s="624"/>
      <c r="RER41" s="624"/>
      <c r="RES41" s="624"/>
      <c r="RET41" s="624"/>
      <c r="REU41" s="624"/>
      <c r="REV41" s="624"/>
      <c r="REW41" s="624"/>
      <c r="REX41" s="624"/>
      <c r="REY41" s="624"/>
      <c r="REZ41" s="624"/>
      <c r="RFA41" s="624"/>
      <c r="RFB41" s="624"/>
      <c r="RFC41" s="624"/>
      <c r="RFD41" s="624"/>
      <c r="RFE41" s="624"/>
      <c r="RFF41" s="624"/>
      <c r="RFG41" s="624"/>
      <c r="RFH41" s="624"/>
      <c r="RFI41" s="624"/>
      <c r="RFJ41" s="624"/>
      <c r="RFK41" s="624"/>
      <c r="RFL41" s="624"/>
      <c r="RFM41" s="624"/>
      <c r="RFN41" s="624"/>
      <c r="RFO41" s="624"/>
      <c r="RFP41" s="624"/>
      <c r="RFQ41" s="624"/>
      <c r="RFR41" s="624"/>
      <c r="RFS41" s="624"/>
      <c r="RFT41" s="624"/>
      <c r="RFU41" s="624"/>
      <c r="RFV41" s="624"/>
      <c r="RFW41" s="624"/>
      <c r="RFX41" s="624"/>
      <c r="RFY41" s="624"/>
      <c r="RFZ41" s="624"/>
      <c r="RGA41" s="624"/>
      <c r="RGB41" s="624"/>
      <c r="RGC41" s="624"/>
      <c r="RGD41" s="624"/>
      <c r="RGE41" s="624"/>
      <c r="RGF41" s="624"/>
      <c r="RGG41" s="624"/>
      <c r="RGH41" s="624"/>
      <c r="RGI41" s="624"/>
      <c r="RGJ41" s="624"/>
      <c r="RGK41" s="624"/>
      <c r="RGL41" s="624"/>
      <c r="RGM41" s="624"/>
      <c r="RGN41" s="624"/>
      <c r="RGO41" s="624"/>
      <c r="RGP41" s="624"/>
      <c r="RGQ41" s="624"/>
      <c r="RGR41" s="624"/>
      <c r="RGS41" s="624"/>
      <c r="RGT41" s="624"/>
      <c r="RGU41" s="624"/>
      <c r="RGV41" s="624"/>
      <c r="RGW41" s="624"/>
      <c r="RGX41" s="624"/>
      <c r="RGY41" s="624"/>
      <c r="RGZ41" s="624"/>
      <c r="RHA41" s="624"/>
      <c r="RHB41" s="624"/>
      <c r="RHC41" s="624"/>
      <c r="RHD41" s="624"/>
      <c r="RHE41" s="624"/>
      <c r="RHF41" s="624"/>
      <c r="RHG41" s="624"/>
      <c r="RHH41" s="624"/>
      <c r="RHI41" s="624"/>
      <c r="RHJ41" s="624"/>
      <c r="RHK41" s="624"/>
      <c r="RHL41" s="624"/>
      <c r="RHM41" s="624"/>
      <c r="RHN41" s="624"/>
      <c r="RHO41" s="624"/>
      <c r="RHP41" s="624"/>
      <c r="RHQ41" s="624"/>
      <c r="RHR41" s="624"/>
      <c r="RHS41" s="624"/>
      <c r="RHT41" s="624"/>
      <c r="RHU41" s="624"/>
      <c r="RHV41" s="624"/>
      <c r="RHW41" s="624"/>
      <c r="RHX41" s="624"/>
      <c r="RHY41" s="624"/>
      <c r="RHZ41" s="624"/>
      <c r="RIA41" s="624"/>
      <c r="RIB41" s="624"/>
      <c r="RIC41" s="624"/>
      <c r="RID41" s="624"/>
      <c r="RIE41" s="624"/>
      <c r="RIF41" s="624"/>
      <c r="RIG41" s="624"/>
      <c r="RIH41" s="624"/>
      <c r="RII41" s="624"/>
      <c r="RIJ41" s="624"/>
      <c r="RIK41" s="624"/>
      <c r="RIL41" s="624"/>
      <c r="RIM41" s="624"/>
      <c r="RIN41" s="624"/>
      <c r="RIO41" s="624"/>
      <c r="RIP41" s="624"/>
      <c r="RIQ41" s="624"/>
      <c r="RIR41" s="624"/>
      <c r="RIS41" s="624"/>
      <c r="RIT41" s="624"/>
      <c r="RIU41" s="624"/>
      <c r="RIV41" s="624"/>
      <c r="RIW41" s="624"/>
      <c r="RIX41" s="624"/>
      <c r="RIY41" s="624"/>
      <c r="RIZ41" s="624"/>
      <c r="RJA41" s="624"/>
      <c r="RJB41" s="624"/>
      <c r="RJC41" s="624"/>
      <c r="RJD41" s="624"/>
      <c r="RJE41" s="624"/>
      <c r="RJF41" s="624"/>
      <c r="RJG41" s="624"/>
      <c r="RJH41" s="624"/>
      <c r="RJI41" s="624"/>
      <c r="RJJ41" s="624"/>
      <c r="RJK41" s="624"/>
      <c r="RJL41" s="624"/>
      <c r="RJM41" s="624"/>
      <c r="RJN41" s="624"/>
      <c r="RJO41" s="624"/>
      <c r="RJP41" s="624"/>
      <c r="RJQ41" s="624"/>
      <c r="RJR41" s="624"/>
      <c r="RJS41" s="624"/>
      <c r="RJT41" s="624"/>
      <c r="RJU41" s="624"/>
      <c r="RJV41" s="624"/>
      <c r="RJW41" s="624"/>
      <c r="RJX41" s="624"/>
      <c r="RJY41" s="624"/>
      <c r="RJZ41" s="624"/>
      <c r="RKA41" s="624"/>
      <c r="RKB41" s="624"/>
      <c r="RKC41" s="624"/>
      <c r="RKD41" s="624"/>
      <c r="RKE41" s="624"/>
      <c r="RKF41" s="624"/>
      <c r="RKG41" s="624"/>
      <c r="RKH41" s="624"/>
      <c r="RKI41" s="624"/>
      <c r="RKJ41" s="624"/>
      <c r="RKK41" s="624"/>
      <c r="RKL41" s="624"/>
      <c r="RKM41" s="624"/>
      <c r="RKN41" s="624"/>
      <c r="RKO41" s="624"/>
      <c r="RKP41" s="624"/>
      <c r="RKQ41" s="624"/>
      <c r="RKR41" s="624"/>
      <c r="RKS41" s="624"/>
      <c r="RKT41" s="624"/>
      <c r="RKU41" s="624"/>
      <c r="RKV41" s="624"/>
      <c r="RKW41" s="624"/>
      <c r="RKX41" s="624"/>
      <c r="RKY41" s="624"/>
      <c r="RKZ41" s="624"/>
      <c r="RLA41" s="624"/>
      <c r="RLB41" s="624"/>
      <c r="RLC41" s="624"/>
      <c r="RLD41" s="624"/>
      <c r="RLE41" s="624"/>
      <c r="RLF41" s="624"/>
      <c r="RLG41" s="624"/>
      <c r="RLH41" s="624"/>
      <c r="RLI41" s="624"/>
      <c r="RLJ41" s="624"/>
      <c r="RLK41" s="624"/>
      <c r="RLL41" s="624"/>
      <c r="RLM41" s="624"/>
      <c r="RLN41" s="624"/>
      <c r="RLO41" s="624"/>
      <c r="RLP41" s="624"/>
      <c r="RLQ41" s="624"/>
      <c r="RLR41" s="624"/>
      <c r="RLS41" s="624"/>
      <c r="RLT41" s="624"/>
      <c r="RLU41" s="624"/>
      <c r="RLV41" s="624"/>
      <c r="RLW41" s="624"/>
      <c r="RLX41" s="624"/>
      <c r="RLY41" s="624"/>
      <c r="RLZ41" s="624"/>
      <c r="RMA41" s="624"/>
      <c r="RMB41" s="624"/>
      <c r="RMC41" s="624"/>
      <c r="RMD41" s="624"/>
      <c r="RME41" s="624"/>
      <c r="RMF41" s="624"/>
      <c r="RMG41" s="624"/>
      <c r="RMH41" s="624"/>
      <c r="RMI41" s="624"/>
      <c r="RMJ41" s="624"/>
      <c r="RMK41" s="624"/>
      <c r="RML41" s="624"/>
      <c r="RMM41" s="624"/>
      <c r="RMN41" s="624"/>
      <c r="RMO41" s="624"/>
      <c r="RMP41" s="624"/>
      <c r="RMQ41" s="624"/>
      <c r="RMR41" s="624"/>
      <c r="RMS41" s="624"/>
      <c r="RMT41" s="624"/>
      <c r="RMU41" s="624"/>
      <c r="RMV41" s="624"/>
      <c r="RMW41" s="624"/>
      <c r="RMX41" s="624"/>
      <c r="RMY41" s="624"/>
      <c r="RMZ41" s="624"/>
      <c r="RNA41" s="624"/>
      <c r="RNB41" s="624"/>
      <c r="RNC41" s="624"/>
      <c r="RND41" s="624"/>
      <c r="RNE41" s="624"/>
      <c r="RNF41" s="624"/>
      <c r="RNG41" s="624"/>
      <c r="RNH41" s="624"/>
      <c r="RNI41" s="624"/>
      <c r="RNJ41" s="624"/>
      <c r="RNK41" s="624"/>
      <c r="RNL41" s="624"/>
      <c r="RNM41" s="624"/>
      <c r="RNN41" s="624"/>
      <c r="RNO41" s="624"/>
      <c r="RNP41" s="624"/>
      <c r="RNQ41" s="624"/>
      <c r="RNR41" s="624"/>
      <c r="RNS41" s="624"/>
      <c r="RNT41" s="624"/>
      <c r="RNU41" s="624"/>
      <c r="RNV41" s="624"/>
      <c r="RNW41" s="624"/>
      <c r="RNX41" s="624"/>
      <c r="RNY41" s="624"/>
      <c r="RNZ41" s="624"/>
      <c r="ROA41" s="624"/>
      <c r="ROB41" s="624"/>
      <c r="ROC41" s="624"/>
      <c r="ROD41" s="624"/>
      <c r="ROE41" s="624"/>
      <c r="ROF41" s="624"/>
      <c r="ROG41" s="624"/>
      <c r="ROH41" s="624"/>
      <c r="ROI41" s="624"/>
      <c r="ROJ41" s="624"/>
      <c r="ROK41" s="624"/>
      <c r="ROL41" s="624"/>
      <c r="ROM41" s="624"/>
      <c r="RON41" s="624"/>
      <c r="ROO41" s="624"/>
      <c r="ROP41" s="624"/>
      <c r="ROQ41" s="624"/>
      <c r="ROR41" s="624"/>
      <c r="ROS41" s="624"/>
      <c r="ROT41" s="624"/>
      <c r="ROU41" s="624"/>
      <c r="ROV41" s="624"/>
      <c r="ROW41" s="624"/>
      <c r="ROX41" s="624"/>
      <c r="ROY41" s="624"/>
      <c r="ROZ41" s="624"/>
      <c r="RPA41" s="624"/>
      <c r="RPB41" s="624"/>
      <c r="RPC41" s="624"/>
      <c r="RPD41" s="624"/>
      <c r="RPE41" s="624"/>
      <c r="RPF41" s="624"/>
      <c r="RPG41" s="624"/>
      <c r="RPH41" s="624"/>
      <c r="RPI41" s="624"/>
      <c r="RPJ41" s="624"/>
      <c r="RPK41" s="624"/>
      <c r="RPL41" s="624"/>
      <c r="RPM41" s="624"/>
      <c r="RPN41" s="624"/>
      <c r="RPO41" s="624"/>
      <c r="RPP41" s="624"/>
      <c r="RPQ41" s="624"/>
      <c r="RPR41" s="624"/>
      <c r="RPS41" s="624"/>
      <c r="RPT41" s="624"/>
      <c r="RPU41" s="624"/>
      <c r="RPV41" s="624"/>
      <c r="RPW41" s="624"/>
      <c r="RPX41" s="624"/>
      <c r="RPY41" s="624"/>
      <c r="RPZ41" s="624"/>
      <c r="RQA41" s="624"/>
      <c r="RQB41" s="624"/>
      <c r="RQC41" s="624"/>
      <c r="RQD41" s="624"/>
      <c r="RQE41" s="624"/>
      <c r="RQF41" s="624"/>
      <c r="RQG41" s="624"/>
      <c r="RQH41" s="624"/>
      <c r="RQI41" s="624"/>
      <c r="RQJ41" s="624"/>
      <c r="RQK41" s="624"/>
      <c r="RQL41" s="624"/>
      <c r="RQM41" s="624"/>
      <c r="RQN41" s="624"/>
      <c r="RQO41" s="624"/>
      <c r="RQP41" s="624"/>
      <c r="RQQ41" s="624"/>
      <c r="RQR41" s="624"/>
      <c r="RQS41" s="624"/>
      <c r="RQT41" s="624"/>
      <c r="RQU41" s="624"/>
      <c r="RQV41" s="624"/>
      <c r="RQW41" s="624"/>
      <c r="RQX41" s="624"/>
      <c r="RQY41" s="624"/>
      <c r="RQZ41" s="624"/>
      <c r="RRA41" s="624"/>
      <c r="RRB41" s="624"/>
      <c r="RRC41" s="624"/>
      <c r="RRD41" s="624"/>
      <c r="RRE41" s="624"/>
      <c r="RRF41" s="624"/>
      <c r="RRG41" s="624"/>
      <c r="RRH41" s="624"/>
      <c r="RRI41" s="624"/>
      <c r="RRJ41" s="624"/>
      <c r="RRK41" s="624"/>
      <c r="RRL41" s="624"/>
      <c r="RRM41" s="624"/>
      <c r="RRN41" s="624"/>
      <c r="RRO41" s="624"/>
      <c r="RRP41" s="624"/>
      <c r="RRQ41" s="624"/>
      <c r="RRR41" s="624"/>
      <c r="RRS41" s="624"/>
      <c r="RRT41" s="624"/>
      <c r="RRU41" s="624"/>
      <c r="RRV41" s="624"/>
      <c r="RRW41" s="624"/>
      <c r="RRX41" s="624"/>
      <c r="RRY41" s="624"/>
      <c r="RRZ41" s="624"/>
      <c r="RSA41" s="624"/>
      <c r="RSB41" s="624"/>
      <c r="RSC41" s="624"/>
      <c r="RSD41" s="624"/>
      <c r="RSE41" s="624"/>
      <c r="RSF41" s="624"/>
      <c r="RSG41" s="624"/>
      <c r="RSH41" s="624"/>
      <c r="RSI41" s="624"/>
      <c r="RSJ41" s="624"/>
      <c r="RSK41" s="624"/>
      <c r="RSL41" s="624"/>
      <c r="RSM41" s="624"/>
      <c r="RSN41" s="624"/>
      <c r="RSO41" s="624"/>
      <c r="RSP41" s="624"/>
      <c r="RSQ41" s="624"/>
      <c r="RSR41" s="624"/>
      <c r="RSS41" s="624"/>
      <c r="RST41" s="624"/>
      <c r="RSU41" s="624"/>
      <c r="RSV41" s="624"/>
      <c r="RSW41" s="624"/>
      <c r="RSX41" s="624"/>
      <c r="RSY41" s="624"/>
      <c r="RSZ41" s="624"/>
      <c r="RTA41" s="624"/>
      <c r="RTB41" s="624"/>
      <c r="RTC41" s="624"/>
      <c r="RTD41" s="624"/>
      <c r="RTE41" s="624"/>
      <c r="RTF41" s="624"/>
      <c r="RTG41" s="624"/>
      <c r="RTH41" s="624"/>
      <c r="RTI41" s="624"/>
      <c r="RTJ41" s="624"/>
      <c r="RTK41" s="624"/>
      <c r="RTL41" s="624"/>
      <c r="RTM41" s="624"/>
      <c r="RTN41" s="624"/>
      <c r="RTO41" s="624"/>
      <c r="RTP41" s="624"/>
      <c r="RTQ41" s="624"/>
      <c r="RTR41" s="624"/>
      <c r="RTS41" s="624"/>
      <c r="RTT41" s="624"/>
      <c r="RTU41" s="624"/>
      <c r="RTV41" s="624"/>
      <c r="RTW41" s="624"/>
      <c r="RTX41" s="624"/>
      <c r="RTY41" s="624"/>
      <c r="RTZ41" s="624"/>
      <c r="RUA41" s="624"/>
      <c r="RUB41" s="624"/>
      <c r="RUC41" s="624"/>
      <c r="RUD41" s="624"/>
      <c r="RUE41" s="624"/>
      <c r="RUF41" s="624"/>
      <c r="RUG41" s="624"/>
      <c r="RUH41" s="624"/>
      <c r="RUI41" s="624"/>
      <c r="RUJ41" s="624"/>
      <c r="RUK41" s="624"/>
      <c r="RUL41" s="624"/>
      <c r="RUM41" s="624"/>
      <c r="RUN41" s="624"/>
      <c r="RUO41" s="624"/>
      <c r="RUP41" s="624"/>
      <c r="RUQ41" s="624"/>
      <c r="RUR41" s="624"/>
      <c r="RUS41" s="624"/>
      <c r="RUT41" s="624"/>
      <c r="RUU41" s="624"/>
      <c r="RUV41" s="624"/>
      <c r="RUW41" s="624"/>
      <c r="RUX41" s="624"/>
      <c r="RUY41" s="624"/>
      <c r="RUZ41" s="624"/>
      <c r="RVA41" s="624"/>
      <c r="RVB41" s="624"/>
      <c r="RVC41" s="624"/>
      <c r="RVD41" s="624"/>
      <c r="RVE41" s="624"/>
      <c r="RVF41" s="624"/>
      <c r="RVG41" s="624"/>
      <c r="RVH41" s="624"/>
      <c r="RVI41" s="624"/>
      <c r="RVJ41" s="624"/>
      <c r="RVK41" s="624"/>
      <c r="RVL41" s="624"/>
      <c r="RVM41" s="624"/>
      <c r="RVN41" s="624"/>
      <c r="RVO41" s="624"/>
      <c r="RVP41" s="624"/>
      <c r="RVQ41" s="624"/>
      <c r="RVR41" s="624"/>
      <c r="RVS41" s="624"/>
      <c r="RVT41" s="624"/>
      <c r="RVU41" s="624"/>
      <c r="RVV41" s="624"/>
      <c r="RVW41" s="624"/>
      <c r="RVX41" s="624"/>
      <c r="RVY41" s="624"/>
      <c r="RVZ41" s="624"/>
      <c r="RWA41" s="624"/>
      <c r="RWB41" s="624"/>
      <c r="RWC41" s="624"/>
      <c r="RWD41" s="624"/>
      <c r="RWE41" s="624"/>
      <c r="RWF41" s="624"/>
      <c r="RWG41" s="624"/>
      <c r="RWH41" s="624"/>
      <c r="RWI41" s="624"/>
      <c r="RWJ41" s="624"/>
      <c r="RWK41" s="624"/>
      <c r="RWL41" s="624"/>
      <c r="RWM41" s="624"/>
      <c r="RWN41" s="624"/>
      <c r="RWO41" s="624"/>
      <c r="RWP41" s="624"/>
      <c r="RWQ41" s="624"/>
      <c r="RWR41" s="624"/>
      <c r="RWS41" s="624"/>
      <c r="RWT41" s="624"/>
      <c r="RWU41" s="624"/>
      <c r="RWV41" s="624"/>
      <c r="RWW41" s="624"/>
      <c r="RWX41" s="624"/>
      <c r="RWY41" s="624"/>
      <c r="RWZ41" s="624"/>
      <c r="RXA41" s="624"/>
      <c r="RXB41" s="624"/>
      <c r="RXC41" s="624"/>
      <c r="RXD41" s="624"/>
      <c r="RXE41" s="624"/>
      <c r="RXF41" s="624"/>
      <c r="RXG41" s="624"/>
      <c r="RXH41" s="624"/>
      <c r="RXI41" s="624"/>
      <c r="RXJ41" s="624"/>
      <c r="RXK41" s="624"/>
      <c r="RXL41" s="624"/>
      <c r="RXM41" s="624"/>
      <c r="RXN41" s="624"/>
      <c r="RXO41" s="624"/>
      <c r="RXP41" s="624"/>
      <c r="RXQ41" s="624"/>
      <c r="RXR41" s="624"/>
      <c r="RXS41" s="624"/>
      <c r="RXT41" s="624"/>
      <c r="RXU41" s="624"/>
      <c r="RXV41" s="624"/>
      <c r="RXW41" s="624"/>
      <c r="RXX41" s="624"/>
      <c r="RXY41" s="624"/>
      <c r="RXZ41" s="624"/>
      <c r="RYA41" s="624"/>
      <c r="RYB41" s="624"/>
      <c r="RYC41" s="624"/>
      <c r="RYD41" s="624"/>
      <c r="RYE41" s="624"/>
      <c r="RYF41" s="624"/>
      <c r="RYG41" s="624"/>
      <c r="RYH41" s="624"/>
      <c r="RYI41" s="624"/>
      <c r="RYJ41" s="624"/>
      <c r="RYK41" s="624"/>
      <c r="RYL41" s="624"/>
      <c r="RYM41" s="624"/>
      <c r="RYN41" s="624"/>
      <c r="RYO41" s="624"/>
      <c r="RYP41" s="624"/>
      <c r="RYQ41" s="624"/>
      <c r="RYR41" s="624"/>
      <c r="RYS41" s="624"/>
      <c r="RYT41" s="624"/>
      <c r="RYU41" s="624"/>
      <c r="RYV41" s="624"/>
      <c r="RYW41" s="624"/>
      <c r="RYX41" s="624"/>
      <c r="RYY41" s="624"/>
      <c r="RYZ41" s="624"/>
      <c r="RZA41" s="624"/>
      <c r="RZB41" s="624"/>
      <c r="RZC41" s="624"/>
      <c r="RZD41" s="624"/>
      <c r="RZE41" s="624"/>
      <c r="RZF41" s="624"/>
      <c r="RZG41" s="624"/>
      <c r="RZH41" s="624"/>
      <c r="RZI41" s="624"/>
      <c r="RZJ41" s="624"/>
      <c r="RZK41" s="624"/>
      <c r="RZL41" s="624"/>
      <c r="RZM41" s="624"/>
      <c r="RZN41" s="624"/>
      <c r="RZO41" s="624"/>
      <c r="RZP41" s="624"/>
      <c r="RZQ41" s="624"/>
      <c r="RZR41" s="624"/>
      <c r="RZS41" s="624"/>
      <c r="RZT41" s="624"/>
      <c r="RZU41" s="624"/>
      <c r="RZV41" s="624"/>
      <c r="RZW41" s="624"/>
      <c r="RZX41" s="624"/>
      <c r="RZY41" s="624"/>
      <c r="RZZ41" s="624"/>
      <c r="SAA41" s="624"/>
      <c r="SAB41" s="624"/>
      <c r="SAC41" s="624"/>
      <c r="SAD41" s="624"/>
      <c r="SAE41" s="624"/>
      <c r="SAF41" s="624"/>
      <c r="SAG41" s="624"/>
      <c r="SAH41" s="624"/>
      <c r="SAI41" s="624"/>
      <c r="SAJ41" s="624"/>
      <c r="SAK41" s="624"/>
      <c r="SAL41" s="624"/>
      <c r="SAM41" s="624"/>
      <c r="SAN41" s="624"/>
      <c r="SAO41" s="624"/>
      <c r="SAP41" s="624"/>
      <c r="SAQ41" s="624"/>
      <c r="SAR41" s="624"/>
      <c r="SAS41" s="624"/>
      <c r="SAT41" s="624"/>
      <c r="SAU41" s="624"/>
      <c r="SAV41" s="624"/>
      <c r="SAW41" s="624"/>
      <c r="SAX41" s="624"/>
      <c r="SAY41" s="624"/>
      <c r="SAZ41" s="624"/>
      <c r="SBA41" s="624"/>
      <c r="SBB41" s="624"/>
      <c r="SBC41" s="624"/>
      <c r="SBD41" s="624"/>
      <c r="SBE41" s="624"/>
      <c r="SBF41" s="624"/>
      <c r="SBG41" s="624"/>
      <c r="SBH41" s="624"/>
      <c r="SBI41" s="624"/>
      <c r="SBJ41" s="624"/>
      <c r="SBK41" s="624"/>
      <c r="SBL41" s="624"/>
      <c r="SBM41" s="624"/>
      <c r="SBN41" s="624"/>
      <c r="SBO41" s="624"/>
      <c r="SBP41" s="624"/>
      <c r="SBQ41" s="624"/>
      <c r="SBR41" s="624"/>
      <c r="SBS41" s="624"/>
      <c r="SBT41" s="624"/>
      <c r="SBU41" s="624"/>
      <c r="SBV41" s="624"/>
      <c r="SBW41" s="624"/>
      <c r="SBX41" s="624"/>
      <c r="SBY41" s="624"/>
      <c r="SBZ41" s="624"/>
      <c r="SCA41" s="624"/>
      <c r="SCB41" s="624"/>
      <c r="SCC41" s="624"/>
      <c r="SCD41" s="624"/>
      <c r="SCE41" s="624"/>
      <c r="SCF41" s="624"/>
      <c r="SCG41" s="624"/>
      <c r="SCH41" s="624"/>
      <c r="SCI41" s="624"/>
      <c r="SCJ41" s="624"/>
      <c r="SCK41" s="624"/>
      <c r="SCL41" s="624"/>
      <c r="SCM41" s="624"/>
      <c r="SCN41" s="624"/>
      <c r="SCO41" s="624"/>
      <c r="SCP41" s="624"/>
      <c r="SCQ41" s="624"/>
      <c r="SCR41" s="624"/>
      <c r="SCS41" s="624"/>
      <c r="SCT41" s="624"/>
      <c r="SCU41" s="624"/>
      <c r="SCV41" s="624"/>
      <c r="SCW41" s="624"/>
      <c r="SCX41" s="624"/>
      <c r="SCY41" s="624"/>
      <c r="SCZ41" s="624"/>
      <c r="SDA41" s="624"/>
      <c r="SDB41" s="624"/>
      <c r="SDC41" s="624"/>
      <c r="SDD41" s="624"/>
      <c r="SDE41" s="624"/>
      <c r="SDF41" s="624"/>
      <c r="SDG41" s="624"/>
      <c r="SDH41" s="624"/>
      <c r="SDI41" s="624"/>
      <c r="SDJ41" s="624"/>
      <c r="SDK41" s="624"/>
      <c r="SDL41" s="624"/>
      <c r="SDM41" s="624"/>
      <c r="SDN41" s="624"/>
      <c r="SDO41" s="624"/>
      <c r="SDP41" s="624"/>
      <c r="SDQ41" s="624"/>
      <c r="SDR41" s="624"/>
      <c r="SDS41" s="624"/>
      <c r="SDT41" s="624"/>
      <c r="SDU41" s="624"/>
      <c r="SDV41" s="624"/>
      <c r="SDW41" s="624"/>
      <c r="SDX41" s="624"/>
      <c r="SDY41" s="624"/>
      <c r="SDZ41" s="624"/>
      <c r="SEA41" s="624"/>
      <c r="SEB41" s="624"/>
      <c r="SEC41" s="624"/>
      <c r="SED41" s="624"/>
      <c r="SEE41" s="624"/>
      <c r="SEF41" s="624"/>
      <c r="SEG41" s="624"/>
      <c r="SEH41" s="624"/>
      <c r="SEI41" s="624"/>
      <c r="SEJ41" s="624"/>
      <c r="SEK41" s="624"/>
      <c r="SEL41" s="624"/>
      <c r="SEM41" s="624"/>
      <c r="SEN41" s="624"/>
      <c r="SEO41" s="624"/>
      <c r="SEP41" s="624"/>
      <c r="SEQ41" s="624"/>
      <c r="SER41" s="624"/>
      <c r="SES41" s="624"/>
      <c r="SET41" s="624"/>
      <c r="SEU41" s="624"/>
      <c r="SEV41" s="624"/>
      <c r="SEW41" s="624"/>
      <c r="SEX41" s="624"/>
      <c r="SEY41" s="624"/>
      <c r="SEZ41" s="624"/>
      <c r="SFA41" s="624"/>
      <c r="SFB41" s="624"/>
      <c r="SFC41" s="624"/>
      <c r="SFD41" s="624"/>
      <c r="SFE41" s="624"/>
      <c r="SFF41" s="624"/>
      <c r="SFG41" s="624"/>
      <c r="SFH41" s="624"/>
      <c r="SFI41" s="624"/>
      <c r="SFJ41" s="624"/>
      <c r="SFK41" s="624"/>
      <c r="SFL41" s="624"/>
      <c r="SFM41" s="624"/>
      <c r="SFN41" s="624"/>
      <c r="SFO41" s="624"/>
      <c r="SFP41" s="624"/>
      <c r="SFQ41" s="624"/>
      <c r="SFR41" s="624"/>
      <c r="SFS41" s="624"/>
      <c r="SFT41" s="624"/>
      <c r="SFU41" s="624"/>
      <c r="SFV41" s="624"/>
      <c r="SFW41" s="624"/>
      <c r="SFX41" s="624"/>
      <c r="SFY41" s="624"/>
      <c r="SFZ41" s="624"/>
      <c r="SGA41" s="624"/>
      <c r="SGB41" s="624"/>
      <c r="SGC41" s="624"/>
      <c r="SGD41" s="624"/>
      <c r="SGE41" s="624"/>
      <c r="SGF41" s="624"/>
      <c r="SGG41" s="624"/>
      <c r="SGH41" s="624"/>
      <c r="SGI41" s="624"/>
      <c r="SGJ41" s="624"/>
      <c r="SGK41" s="624"/>
      <c r="SGL41" s="624"/>
      <c r="SGM41" s="624"/>
      <c r="SGN41" s="624"/>
      <c r="SGO41" s="624"/>
      <c r="SGP41" s="624"/>
      <c r="SGQ41" s="624"/>
      <c r="SGR41" s="624"/>
      <c r="SGS41" s="624"/>
      <c r="SGT41" s="624"/>
      <c r="SGU41" s="624"/>
      <c r="SGV41" s="624"/>
      <c r="SGW41" s="624"/>
      <c r="SGX41" s="624"/>
      <c r="SGY41" s="624"/>
      <c r="SGZ41" s="624"/>
      <c r="SHA41" s="624"/>
      <c r="SHB41" s="624"/>
      <c r="SHC41" s="624"/>
      <c r="SHD41" s="624"/>
      <c r="SHE41" s="624"/>
      <c r="SHF41" s="624"/>
      <c r="SHG41" s="624"/>
      <c r="SHH41" s="624"/>
      <c r="SHI41" s="624"/>
      <c r="SHJ41" s="624"/>
      <c r="SHK41" s="624"/>
      <c r="SHL41" s="624"/>
      <c r="SHM41" s="624"/>
      <c r="SHN41" s="624"/>
      <c r="SHO41" s="624"/>
      <c r="SHP41" s="624"/>
      <c r="SHQ41" s="624"/>
      <c r="SHR41" s="624"/>
      <c r="SHS41" s="624"/>
      <c r="SHT41" s="624"/>
      <c r="SHU41" s="624"/>
      <c r="SHV41" s="624"/>
      <c r="SHW41" s="624"/>
      <c r="SHX41" s="624"/>
      <c r="SHY41" s="624"/>
      <c r="SHZ41" s="624"/>
      <c r="SIA41" s="624"/>
      <c r="SIB41" s="624"/>
      <c r="SIC41" s="624"/>
      <c r="SID41" s="624"/>
      <c r="SIE41" s="624"/>
      <c r="SIF41" s="624"/>
      <c r="SIG41" s="624"/>
      <c r="SIH41" s="624"/>
      <c r="SII41" s="624"/>
      <c r="SIJ41" s="624"/>
      <c r="SIK41" s="624"/>
      <c r="SIL41" s="624"/>
      <c r="SIM41" s="624"/>
      <c r="SIN41" s="624"/>
      <c r="SIO41" s="624"/>
      <c r="SIP41" s="624"/>
      <c r="SIQ41" s="624"/>
      <c r="SIR41" s="624"/>
      <c r="SIS41" s="624"/>
      <c r="SIT41" s="624"/>
      <c r="SIU41" s="624"/>
      <c r="SIV41" s="624"/>
      <c r="SIW41" s="624"/>
      <c r="SIX41" s="624"/>
      <c r="SIY41" s="624"/>
      <c r="SIZ41" s="624"/>
      <c r="SJA41" s="624"/>
      <c r="SJB41" s="624"/>
      <c r="SJC41" s="624"/>
      <c r="SJD41" s="624"/>
      <c r="SJE41" s="624"/>
      <c r="SJF41" s="624"/>
      <c r="SJG41" s="624"/>
      <c r="SJH41" s="624"/>
      <c r="SJI41" s="624"/>
      <c r="SJJ41" s="624"/>
      <c r="SJK41" s="624"/>
      <c r="SJL41" s="624"/>
      <c r="SJM41" s="624"/>
      <c r="SJN41" s="624"/>
      <c r="SJO41" s="624"/>
      <c r="SJP41" s="624"/>
      <c r="SJQ41" s="624"/>
      <c r="SJR41" s="624"/>
      <c r="SJS41" s="624"/>
      <c r="SJT41" s="624"/>
      <c r="SJU41" s="624"/>
      <c r="SJV41" s="624"/>
      <c r="SJW41" s="624"/>
      <c r="SJX41" s="624"/>
      <c r="SJY41" s="624"/>
      <c r="SJZ41" s="624"/>
      <c r="SKA41" s="624"/>
      <c r="SKB41" s="624"/>
      <c r="SKC41" s="624"/>
      <c r="SKD41" s="624"/>
      <c r="SKE41" s="624"/>
      <c r="SKF41" s="624"/>
      <c r="SKG41" s="624"/>
      <c r="SKH41" s="624"/>
      <c r="SKI41" s="624"/>
      <c r="SKJ41" s="624"/>
      <c r="SKK41" s="624"/>
      <c r="SKL41" s="624"/>
      <c r="SKM41" s="624"/>
      <c r="SKN41" s="624"/>
      <c r="SKO41" s="624"/>
      <c r="SKP41" s="624"/>
      <c r="SKQ41" s="624"/>
      <c r="SKR41" s="624"/>
      <c r="SKS41" s="624"/>
      <c r="SKT41" s="624"/>
      <c r="SKU41" s="624"/>
      <c r="SKV41" s="624"/>
      <c r="SKW41" s="624"/>
      <c r="SKX41" s="624"/>
      <c r="SKY41" s="624"/>
      <c r="SKZ41" s="624"/>
      <c r="SLA41" s="624"/>
      <c r="SLB41" s="624"/>
      <c r="SLC41" s="624"/>
      <c r="SLD41" s="624"/>
      <c r="SLE41" s="624"/>
      <c r="SLF41" s="624"/>
      <c r="SLG41" s="624"/>
      <c r="SLH41" s="624"/>
      <c r="SLI41" s="624"/>
      <c r="SLJ41" s="624"/>
      <c r="SLK41" s="624"/>
      <c r="SLL41" s="624"/>
      <c r="SLM41" s="624"/>
      <c r="SLN41" s="624"/>
      <c r="SLO41" s="624"/>
      <c r="SLP41" s="624"/>
      <c r="SLQ41" s="624"/>
      <c r="SLR41" s="624"/>
      <c r="SLS41" s="624"/>
      <c r="SLT41" s="624"/>
      <c r="SLU41" s="624"/>
      <c r="SLV41" s="624"/>
      <c r="SLW41" s="624"/>
      <c r="SLX41" s="624"/>
      <c r="SLY41" s="624"/>
      <c r="SLZ41" s="624"/>
      <c r="SMA41" s="624"/>
      <c r="SMB41" s="624"/>
      <c r="SMC41" s="624"/>
      <c r="SMD41" s="624"/>
      <c r="SME41" s="624"/>
      <c r="SMF41" s="624"/>
      <c r="SMG41" s="624"/>
      <c r="SMH41" s="624"/>
      <c r="SMI41" s="624"/>
      <c r="SMJ41" s="624"/>
      <c r="SMK41" s="624"/>
      <c r="SML41" s="624"/>
      <c r="SMM41" s="624"/>
      <c r="SMN41" s="624"/>
      <c r="SMO41" s="624"/>
      <c r="SMP41" s="624"/>
      <c r="SMQ41" s="624"/>
      <c r="SMR41" s="624"/>
      <c r="SMS41" s="624"/>
      <c r="SMT41" s="624"/>
      <c r="SMU41" s="624"/>
      <c r="SMV41" s="624"/>
      <c r="SMW41" s="624"/>
      <c r="SMX41" s="624"/>
      <c r="SMY41" s="624"/>
      <c r="SMZ41" s="624"/>
      <c r="SNA41" s="624"/>
      <c r="SNB41" s="624"/>
      <c r="SNC41" s="624"/>
      <c r="SND41" s="624"/>
      <c r="SNE41" s="624"/>
      <c r="SNF41" s="624"/>
      <c r="SNG41" s="624"/>
      <c r="SNH41" s="624"/>
      <c r="SNI41" s="624"/>
      <c r="SNJ41" s="624"/>
      <c r="SNK41" s="624"/>
      <c r="SNL41" s="624"/>
      <c r="SNM41" s="624"/>
      <c r="SNN41" s="624"/>
      <c r="SNO41" s="624"/>
      <c r="SNP41" s="624"/>
      <c r="SNQ41" s="624"/>
      <c r="SNR41" s="624"/>
      <c r="SNS41" s="624"/>
      <c r="SNT41" s="624"/>
      <c r="SNU41" s="624"/>
      <c r="SNV41" s="624"/>
      <c r="SNW41" s="624"/>
      <c r="SNX41" s="624"/>
      <c r="SNY41" s="624"/>
      <c r="SNZ41" s="624"/>
      <c r="SOA41" s="624"/>
      <c r="SOB41" s="624"/>
      <c r="SOC41" s="624"/>
      <c r="SOD41" s="624"/>
      <c r="SOE41" s="624"/>
      <c r="SOF41" s="624"/>
      <c r="SOG41" s="624"/>
      <c r="SOH41" s="624"/>
      <c r="SOI41" s="624"/>
      <c r="SOJ41" s="624"/>
      <c r="SOK41" s="624"/>
      <c r="SOL41" s="624"/>
      <c r="SOM41" s="624"/>
      <c r="SON41" s="624"/>
      <c r="SOO41" s="624"/>
      <c r="SOP41" s="624"/>
      <c r="SOQ41" s="624"/>
      <c r="SOR41" s="624"/>
      <c r="SOS41" s="624"/>
      <c r="SOT41" s="624"/>
      <c r="SOU41" s="624"/>
      <c r="SOV41" s="624"/>
      <c r="SOW41" s="624"/>
      <c r="SOX41" s="624"/>
      <c r="SOY41" s="624"/>
      <c r="SOZ41" s="624"/>
      <c r="SPA41" s="624"/>
      <c r="SPB41" s="624"/>
      <c r="SPC41" s="624"/>
      <c r="SPD41" s="624"/>
      <c r="SPE41" s="624"/>
      <c r="SPF41" s="624"/>
      <c r="SPG41" s="624"/>
      <c r="SPH41" s="624"/>
      <c r="SPI41" s="624"/>
      <c r="SPJ41" s="624"/>
      <c r="SPK41" s="624"/>
      <c r="SPL41" s="624"/>
      <c r="SPM41" s="624"/>
      <c r="SPN41" s="624"/>
      <c r="SPO41" s="624"/>
      <c r="SPP41" s="624"/>
      <c r="SPQ41" s="624"/>
      <c r="SPR41" s="624"/>
      <c r="SPS41" s="624"/>
      <c r="SPT41" s="624"/>
      <c r="SPU41" s="624"/>
      <c r="SPV41" s="624"/>
      <c r="SPW41" s="624"/>
      <c r="SPX41" s="624"/>
      <c r="SPY41" s="624"/>
      <c r="SPZ41" s="624"/>
      <c r="SQA41" s="624"/>
      <c r="SQB41" s="624"/>
      <c r="SQC41" s="624"/>
      <c r="SQD41" s="624"/>
      <c r="SQE41" s="624"/>
      <c r="SQF41" s="624"/>
      <c r="SQG41" s="624"/>
      <c r="SQH41" s="624"/>
      <c r="SQI41" s="624"/>
      <c r="SQJ41" s="624"/>
      <c r="SQK41" s="624"/>
      <c r="SQL41" s="624"/>
      <c r="SQM41" s="624"/>
      <c r="SQN41" s="624"/>
      <c r="SQO41" s="624"/>
      <c r="SQP41" s="624"/>
      <c r="SQQ41" s="624"/>
      <c r="SQR41" s="624"/>
      <c r="SQS41" s="624"/>
      <c r="SQT41" s="624"/>
      <c r="SQU41" s="624"/>
      <c r="SQV41" s="624"/>
      <c r="SQW41" s="624"/>
      <c r="SQX41" s="624"/>
      <c r="SQY41" s="624"/>
      <c r="SQZ41" s="624"/>
      <c r="SRA41" s="624"/>
      <c r="SRB41" s="624"/>
      <c r="SRC41" s="624"/>
      <c r="SRD41" s="624"/>
      <c r="SRE41" s="624"/>
      <c r="SRF41" s="624"/>
      <c r="SRG41" s="624"/>
      <c r="SRH41" s="624"/>
      <c r="SRI41" s="624"/>
      <c r="SRJ41" s="624"/>
      <c r="SRK41" s="624"/>
      <c r="SRL41" s="624"/>
      <c r="SRM41" s="624"/>
      <c r="SRN41" s="624"/>
      <c r="SRO41" s="624"/>
      <c r="SRP41" s="624"/>
      <c r="SRQ41" s="624"/>
      <c r="SRR41" s="624"/>
      <c r="SRS41" s="624"/>
      <c r="SRT41" s="624"/>
      <c r="SRU41" s="624"/>
      <c r="SRV41" s="624"/>
      <c r="SRW41" s="624"/>
      <c r="SRX41" s="624"/>
      <c r="SRY41" s="624"/>
      <c r="SRZ41" s="624"/>
      <c r="SSA41" s="624"/>
      <c r="SSB41" s="624"/>
      <c r="SSC41" s="624"/>
      <c r="SSD41" s="624"/>
      <c r="SSE41" s="624"/>
      <c r="SSF41" s="624"/>
      <c r="SSG41" s="624"/>
      <c r="SSH41" s="624"/>
      <c r="SSI41" s="624"/>
      <c r="SSJ41" s="624"/>
      <c r="SSK41" s="624"/>
      <c r="SSL41" s="624"/>
      <c r="SSM41" s="624"/>
      <c r="SSN41" s="624"/>
      <c r="SSO41" s="624"/>
      <c r="SSP41" s="624"/>
      <c r="SSQ41" s="624"/>
      <c r="SSR41" s="624"/>
      <c r="SSS41" s="624"/>
      <c r="SST41" s="624"/>
      <c r="SSU41" s="624"/>
      <c r="SSV41" s="624"/>
      <c r="SSW41" s="624"/>
      <c r="SSX41" s="624"/>
      <c r="SSY41" s="624"/>
      <c r="SSZ41" s="624"/>
      <c r="STA41" s="624"/>
      <c r="STB41" s="624"/>
      <c r="STC41" s="624"/>
      <c r="STD41" s="624"/>
      <c r="STE41" s="624"/>
      <c r="STF41" s="624"/>
      <c r="STG41" s="624"/>
      <c r="STH41" s="624"/>
      <c r="STI41" s="624"/>
      <c r="STJ41" s="624"/>
      <c r="STK41" s="624"/>
      <c r="STL41" s="624"/>
      <c r="STM41" s="624"/>
      <c r="STN41" s="624"/>
      <c r="STO41" s="624"/>
      <c r="STP41" s="624"/>
      <c r="STQ41" s="624"/>
      <c r="STR41" s="624"/>
      <c r="STS41" s="624"/>
      <c r="STT41" s="624"/>
      <c r="STU41" s="624"/>
      <c r="STV41" s="624"/>
      <c r="STW41" s="624"/>
      <c r="STX41" s="624"/>
      <c r="STY41" s="624"/>
      <c r="STZ41" s="624"/>
      <c r="SUA41" s="624"/>
      <c r="SUB41" s="624"/>
      <c r="SUC41" s="624"/>
      <c r="SUD41" s="624"/>
      <c r="SUE41" s="624"/>
      <c r="SUF41" s="624"/>
      <c r="SUG41" s="624"/>
      <c r="SUH41" s="624"/>
      <c r="SUI41" s="624"/>
      <c r="SUJ41" s="624"/>
      <c r="SUK41" s="624"/>
      <c r="SUL41" s="624"/>
      <c r="SUM41" s="624"/>
      <c r="SUN41" s="624"/>
      <c r="SUO41" s="624"/>
      <c r="SUP41" s="624"/>
      <c r="SUQ41" s="624"/>
      <c r="SUR41" s="624"/>
      <c r="SUS41" s="624"/>
      <c r="SUT41" s="624"/>
      <c r="SUU41" s="624"/>
      <c r="SUV41" s="624"/>
      <c r="SUW41" s="624"/>
      <c r="SUX41" s="624"/>
      <c r="SUY41" s="624"/>
      <c r="SUZ41" s="624"/>
      <c r="SVA41" s="624"/>
      <c r="SVB41" s="624"/>
      <c r="SVC41" s="624"/>
      <c r="SVD41" s="624"/>
      <c r="SVE41" s="624"/>
      <c r="SVF41" s="624"/>
      <c r="SVG41" s="624"/>
      <c r="SVH41" s="624"/>
      <c r="SVI41" s="624"/>
      <c r="SVJ41" s="624"/>
      <c r="SVK41" s="624"/>
      <c r="SVL41" s="624"/>
      <c r="SVM41" s="624"/>
      <c r="SVN41" s="624"/>
      <c r="SVO41" s="624"/>
      <c r="SVP41" s="624"/>
      <c r="SVQ41" s="624"/>
      <c r="SVR41" s="624"/>
      <c r="SVS41" s="624"/>
      <c r="SVT41" s="624"/>
      <c r="SVU41" s="624"/>
      <c r="SVV41" s="624"/>
      <c r="SVW41" s="624"/>
      <c r="SVX41" s="624"/>
      <c r="SVY41" s="624"/>
      <c r="SVZ41" s="624"/>
      <c r="SWA41" s="624"/>
      <c r="SWB41" s="624"/>
      <c r="SWC41" s="624"/>
      <c r="SWD41" s="624"/>
      <c r="SWE41" s="624"/>
      <c r="SWF41" s="624"/>
      <c r="SWG41" s="624"/>
      <c r="SWH41" s="624"/>
      <c r="SWI41" s="624"/>
      <c r="SWJ41" s="624"/>
      <c r="SWK41" s="624"/>
      <c r="SWL41" s="624"/>
      <c r="SWM41" s="624"/>
      <c r="SWN41" s="624"/>
      <c r="SWO41" s="624"/>
      <c r="SWP41" s="624"/>
      <c r="SWQ41" s="624"/>
      <c r="SWR41" s="624"/>
      <c r="SWS41" s="624"/>
      <c r="SWT41" s="624"/>
      <c r="SWU41" s="624"/>
      <c r="SWV41" s="624"/>
      <c r="SWW41" s="624"/>
      <c r="SWX41" s="624"/>
      <c r="SWY41" s="624"/>
      <c r="SWZ41" s="624"/>
      <c r="SXA41" s="624"/>
      <c r="SXB41" s="624"/>
      <c r="SXC41" s="624"/>
      <c r="SXD41" s="624"/>
      <c r="SXE41" s="624"/>
      <c r="SXF41" s="624"/>
      <c r="SXG41" s="624"/>
      <c r="SXH41" s="624"/>
      <c r="SXI41" s="624"/>
      <c r="SXJ41" s="624"/>
      <c r="SXK41" s="624"/>
      <c r="SXL41" s="624"/>
      <c r="SXM41" s="624"/>
      <c r="SXN41" s="624"/>
      <c r="SXO41" s="624"/>
      <c r="SXP41" s="624"/>
      <c r="SXQ41" s="624"/>
      <c r="SXR41" s="624"/>
      <c r="SXS41" s="624"/>
      <c r="SXT41" s="624"/>
      <c r="SXU41" s="624"/>
      <c r="SXV41" s="624"/>
      <c r="SXW41" s="624"/>
      <c r="SXX41" s="624"/>
      <c r="SXY41" s="624"/>
      <c r="SXZ41" s="624"/>
      <c r="SYA41" s="624"/>
      <c r="SYB41" s="624"/>
      <c r="SYC41" s="624"/>
      <c r="SYD41" s="624"/>
      <c r="SYE41" s="624"/>
      <c r="SYF41" s="624"/>
      <c r="SYG41" s="624"/>
      <c r="SYH41" s="624"/>
      <c r="SYI41" s="624"/>
      <c r="SYJ41" s="624"/>
      <c r="SYK41" s="624"/>
      <c r="SYL41" s="624"/>
      <c r="SYM41" s="624"/>
      <c r="SYN41" s="624"/>
      <c r="SYO41" s="624"/>
      <c r="SYP41" s="624"/>
      <c r="SYQ41" s="624"/>
      <c r="SYR41" s="624"/>
      <c r="SYS41" s="624"/>
      <c r="SYT41" s="624"/>
      <c r="SYU41" s="624"/>
      <c r="SYV41" s="624"/>
      <c r="SYW41" s="624"/>
      <c r="SYX41" s="624"/>
      <c r="SYY41" s="624"/>
      <c r="SYZ41" s="624"/>
      <c r="SZA41" s="624"/>
      <c r="SZB41" s="624"/>
      <c r="SZC41" s="624"/>
      <c r="SZD41" s="624"/>
      <c r="SZE41" s="624"/>
      <c r="SZF41" s="624"/>
      <c r="SZG41" s="624"/>
      <c r="SZH41" s="624"/>
      <c r="SZI41" s="624"/>
      <c r="SZJ41" s="624"/>
      <c r="SZK41" s="624"/>
      <c r="SZL41" s="624"/>
      <c r="SZM41" s="624"/>
      <c r="SZN41" s="624"/>
      <c r="SZO41" s="624"/>
      <c r="SZP41" s="624"/>
      <c r="SZQ41" s="624"/>
      <c r="SZR41" s="624"/>
      <c r="SZS41" s="624"/>
      <c r="SZT41" s="624"/>
      <c r="SZU41" s="624"/>
      <c r="SZV41" s="624"/>
      <c r="SZW41" s="624"/>
      <c r="SZX41" s="624"/>
      <c r="SZY41" s="624"/>
      <c r="SZZ41" s="624"/>
      <c r="TAA41" s="624"/>
      <c r="TAB41" s="624"/>
      <c r="TAC41" s="624"/>
      <c r="TAD41" s="624"/>
      <c r="TAE41" s="624"/>
      <c r="TAF41" s="624"/>
      <c r="TAG41" s="624"/>
      <c r="TAH41" s="624"/>
      <c r="TAI41" s="624"/>
      <c r="TAJ41" s="624"/>
      <c r="TAK41" s="624"/>
      <c r="TAL41" s="624"/>
      <c r="TAM41" s="624"/>
      <c r="TAN41" s="624"/>
      <c r="TAO41" s="624"/>
      <c r="TAP41" s="624"/>
      <c r="TAQ41" s="624"/>
      <c r="TAR41" s="624"/>
      <c r="TAS41" s="624"/>
      <c r="TAT41" s="624"/>
      <c r="TAU41" s="624"/>
      <c r="TAV41" s="624"/>
      <c r="TAW41" s="624"/>
      <c r="TAX41" s="624"/>
      <c r="TAY41" s="624"/>
      <c r="TAZ41" s="624"/>
      <c r="TBA41" s="624"/>
      <c r="TBB41" s="624"/>
      <c r="TBC41" s="624"/>
      <c r="TBD41" s="624"/>
      <c r="TBE41" s="624"/>
      <c r="TBF41" s="624"/>
      <c r="TBG41" s="624"/>
      <c r="TBH41" s="624"/>
      <c r="TBI41" s="624"/>
      <c r="TBJ41" s="624"/>
      <c r="TBK41" s="624"/>
      <c r="TBL41" s="624"/>
      <c r="TBM41" s="624"/>
      <c r="TBN41" s="624"/>
      <c r="TBO41" s="624"/>
      <c r="TBP41" s="624"/>
      <c r="TBQ41" s="624"/>
      <c r="TBR41" s="624"/>
      <c r="TBS41" s="624"/>
      <c r="TBT41" s="624"/>
      <c r="TBU41" s="624"/>
      <c r="TBV41" s="624"/>
      <c r="TBW41" s="624"/>
      <c r="TBX41" s="624"/>
      <c r="TBY41" s="624"/>
      <c r="TBZ41" s="624"/>
      <c r="TCA41" s="624"/>
      <c r="TCB41" s="624"/>
      <c r="TCC41" s="624"/>
      <c r="TCD41" s="624"/>
      <c r="TCE41" s="624"/>
      <c r="TCF41" s="624"/>
      <c r="TCG41" s="624"/>
      <c r="TCH41" s="624"/>
      <c r="TCI41" s="624"/>
      <c r="TCJ41" s="624"/>
      <c r="TCK41" s="624"/>
      <c r="TCL41" s="624"/>
      <c r="TCM41" s="624"/>
      <c r="TCN41" s="624"/>
      <c r="TCO41" s="624"/>
      <c r="TCP41" s="624"/>
      <c r="TCQ41" s="624"/>
      <c r="TCR41" s="624"/>
      <c r="TCS41" s="624"/>
      <c r="TCT41" s="624"/>
      <c r="TCU41" s="624"/>
      <c r="TCV41" s="624"/>
      <c r="TCW41" s="624"/>
      <c r="TCX41" s="624"/>
      <c r="TCY41" s="624"/>
      <c r="TCZ41" s="624"/>
      <c r="TDA41" s="624"/>
      <c r="TDB41" s="624"/>
      <c r="TDC41" s="624"/>
      <c r="TDD41" s="624"/>
      <c r="TDE41" s="624"/>
      <c r="TDF41" s="624"/>
      <c r="TDG41" s="624"/>
      <c r="TDH41" s="624"/>
      <c r="TDI41" s="624"/>
      <c r="TDJ41" s="624"/>
      <c r="TDK41" s="624"/>
      <c r="TDL41" s="624"/>
      <c r="TDM41" s="624"/>
      <c r="TDN41" s="624"/>
      <c r="TDO41" s="624"/>
      <c r="TDP41" s="624"/>
      <c r="TDQ41" s="624"/>
      <c r="TDR41" s="624"/>
      <c r="TDS41" s="624"/>
      <c r="TDT41" s="624"/>
      <c r="TDU41" s="624"/>
      <c r="TDV41" s="624"/>
      <c r="TDW41" s="624"/>
      <c r="TDX41" s="624"/>
      <c r="TDY41" s="624"/>
      <c r="TDZ41" s="624"/>
      <c r="TEA41" s="624"/>
      <c r="TEB41" s="624"/>
      <c r="TEC41" s="624"/>
      <c r="TED41" s="624"/>
      <c r="TEE41" s="624"/>
      <c r="TEF41" s="624"/>
      <c r="TEG41" s="624"/>
      <c r="TEH41" s="624"/>
      <c r="TEI41" s="624"/>
      <c r="TEJ41" s="624"/>
      <c r="TEK41" s="624"/>
      <c r="TEL41" s="624"/>
      <c r="TEM41" s="624"/>
      <c r="TEN41" s="624"/>
      <c r="TEO41" s="624"/>
      <c r="TEP41" s="624"/>
      <c r="TEQ41" s="624"/>
      <c r="TER41" s="624"/>
      <c r="TES41" s="624"/>
      <c r="TET41" s="624"/>
      <c r="TEU41" s="624"/>
      <c r="TEV41" s="624"/>
      <c r="TEW41" s="624"/>
      <c r="TEX41" s="624"/>
      <c r="TEY41" s="624"/>
      <c r="TEZ41" s="624"/>
      <c r="TFA41" s="624"/>
      <c r="TFB41" s="624"/>
      <c r="TFC41" s="624"/>
      <c r="TFD41" s="624"/>
      <c r="TFE41" s="624"/>
      <c r="TFF41" s="624"/>
      <c r="TFG41" s="624"/>
      <c r="TFH41" s="624"/>
      <c r="TFI41" s="624"/>
      <c r="TFJ41" s="624"/>
      <c r="TFK41" s="624"/>
      <c r="TFL41" s="624"/>
      <c r="TFM41" s="624"/>
      <c r="TFN41" s="624"/>
      <c r="TFO41" s="624"/>
      <c r="TFP41" s="624"/>
      <c r="TFQ41" s="624"/>
      <c r="TFR41" s="624"/>
      <c r="TFS41" s="624"/>
      <c r="TFT41" s="624"/>
      <c r="TFU41" s="624"/>
      <c r="TFV41" s="624"/>
      <c r="TFW41" s="624"/>
      <c r="TFX41" s="624"/>
      <c r="TFY41" s="624"/>
      <c r="TFZ41" s="624"/>
      <c r="TGA41" s="624"/>
      <c r="TGB41" s="624"/>
      <c r="TGC41" s="624"/>
      <c r="TGD41" s="624"/>
      <c r="TGE41" s="624"/>
      <c r="TGF41" s="624"/>
      <c r="TGG41" s="624"/>
      <c r="TGH41" s="624"/>
      <c r="TGI41" s="624"/>
      <c r="TGJ41" s="624"/>
      <c r="TGK41" s="624"/>
      <c r="TGL41" s="624"/>
      <c r="TGM41" s="624"/>
      <c r="TGN41" s="624"/>
      <c r="TGO41" s="624"/>
      <c r="TGP41" s="624"/>
      <c r="TGQ41" s="624"/>
      <c r="TGR41" s="624"/>
      <c r="TGS41" s="624"/>
      <c r="TGT41" s="624"/>
      <c r="TGU41" s="624"/>
      <c r="TGV41" s="624"/>
      <c r="TGW41" s="624"/>
      <c r="TGX41" s="624"/>
      <c r="TGY41" s="624"/>
      <c r="TGZ41" s="624"/>
      <c r="THA41" s="624"/>
      <c r="THB41" s="624"/>
      <c r="THC41" s="624"/>
      <c r="THD41" s="624"/>
      <c r="THE41" s="624"/>
      <c r="THF41" s="624"/>
      <c r="THG41" s="624"/>
      <c r="THH41" s="624"/>
      <c r="THI41" s="624"/>
      <c r="THJ41" s="624"/>
      <c r="THK41" s="624"/>
      <c r="THL41" s="624"/>
      <c r="THM41" s="624"/>
      <c r="THN41" s="624"/>
      <c r="THO41" s="624"/>
      <c r="THP41" s="624"/>
      <c r="THQ41" s="624"/>
      <c r="THR41" s="624"/>
      <c r="THS41" s="624"/>
      <c r="THT41" s="624"/>
      <c r="THU41" s="624"/>
      <c r="THV41" s="624"/>
      <c r="THW41" s="624"/>
      <c r="THX41" s="624"/>
      <c r="THY41" s="624"/>
      <c r="THZ41" s="624"/>
      <c r="TIA41" s="624"/>
      <c r="TIB41" s="624"/>
      <c r="TIC41" s="624"/>
      <c r="TID41" s="624"/>
      <c r="TIE41" s="624"/>
      <c r="TIF41" s="624"/>
      <c r="TIG41" s="624"/>
      <c r="TIH41" s="624"/>
      <c r="TII41" s="624"/>
      <c r="TIJ41" s="624"/>
      <c r="TIK41" s="624"/>
      <c r="TIL41" s="624"/>
      <c r="TIM41" s="624"/>
      <c r="TIN41" s="624"/>
      <c r="TIO41" s="624"/>
      <c r="TIP41" s="624"/>
      <c r="TIQ41" s="624"/>
      <c r="TIR41" s="624"/>
      <c r="TIS41" s="624"/>
      <c r="TIT41" s="624"/>
      <c r="TIU41" s="624"/>
      <c r="TIV41" s="624"/>
      <c r="TIW41" s="624"/>
      <c r="TIX41" s="624"/>
      <c r="TIY41" s="624"/>
      <c r="TIZ41" s="624"/>
      <c r="TJA41" s="624"/>
      <c r="TJB41" s="624"/>
      <c r="TJC41" s="624"/>
      <c r="TJD41" s="624"/>
      <c r="TJE41" s="624"/>
      <c r="TJF41" s="624"/>
      <c r="TJG41" s="624"/>
      <c r="TJH41" s="624"/>
      <c r="TJI41" s="624"/>
      <c r="TJJ41" s="624"/>
      <c r="TJK41" s="624"/>
      <c r="TJL41" s="624"/>
      <c r="TJM41" s="624"/>
      <c r="TJN41" s="624"/>
      <c r="TJO41" s="624"/>
      <c r="TJP41" s="624"/>
      <c r="TJQ41" s="624"/>
      <c r="TJR41" s="624"/>
      <c r="TJS41" s="624"/>
      <c r="TJT41" s="624"/>
      <c r="TJU41" s="624"/>
      <c r="TJV41" s="624"/>
      <c r="TJW41" s="624"/>
      <c r="TJX41" s="624"/>
      <c r="TJY41" s="624"/>
      <c r="TJZ41" s="624"/>
      <c r="TKA41" s="624"/>
      <c r="TKB41" s="624"/>
      <c r="TKC41" s="624"/>
      <c r="TKD41" s="624"/>
      <c r="TKE41" s="624"/>
      <c r="TKF41" s="624"/>
      <c r="TKG41" s="624"/>
      <c r="TKH41" s="624"/>
      <c r="TKI41" s="624"/>
      <c r="TKJ41" s="624"/>
      <c r="TKK41" s="624"/>
      <c r="TKL41" s="624"/>
      <c r="TKM41" s="624"/>
      <c r="TKN41" s="624"/>
      <c r="TKO41" s="624"/>
      <c r="TKP41" s="624"/>
      <c r="TKQ41" s="624"/>
      <c r="TKR41" s="624"/>
      <c r="TKS41" s="624"/>
      <c r="TKT41" s="624"/>
      <c r="TKU41" s="624"/>
      <c r="TKV41" s="624"/>
      <c r="TKW41" s="624"/>
      <c r="TKX41" s="624"/>
      <c r="TKY41" s="624"/>
      <c r="TKZ41" s="624"/>
      <c r="TLA41" s="624"/>
      <c r="TLB41" s="624"/>
      <c r="TLC41" s="624"/>
      <c r="TLD41" s="624"/>
      <c r="TLE41" s="624"/>
      <c r="TLF41" s="624"/>
      <c r="TLG41" s="624"/>
      <c r="TLH41" s="624"/>
      <c r="TLI41" s="624"/>
      <c r="TLJ41" s="624"/>
      <c r="TLK41" s="624"/>
      <c r="TLL41" s="624"/>
      <c r="TLM41" s="624"/>
      <c r="TLN41" s="624"/>
      <c r="TLO41" s="624"/>
      <c r="TLP41" s="624"/>
      <c r="TLQ41" s="624"/>
      <c r="TLR41" s="624"/>
      <c r="TLS41" s="624"/>
      <c r="TLT41" s="624"/>
      <c r="TLU41" s="624"/>
      <c r="TLV41" s="624"/>
      <c r="TLW41" s="624"/>
      <c r="TLX41" s="624"/>
      <c r="TLY41" s="624"/>
      <c r="TLZ41" s="624"/>
      <c r="TMA41" s="624"/>
      <c r="TMB41" s="624"/>
      <c r="TMC41" s="624"/>
      <c r="TMD41" s="624"/>
      <c r="TME41" s="624"/>
      <c r="TMF41" s="624"/>
      <c r="TMG41" s="624"/>
      <c r="TMH41" s="624"/>
      <c r="TMI41" s="624"/>
      <c r="TMJ41" s="624"/>
      <c r="TMK41" s="624"/>
      <c r="TML41" s="624"/>
      <c r="TMM41" s="624"/>
      <c r="TMN41" s="624"/>
      <c r="TMO41" s="624"/>
      <c r="TMP41" s="624"/>
      <c r="TMQ41" s="624"/>
      <c r="TMR41" s="624"/>
      <c r="TMS41" s="624"/>
      <c r="TMT41" s="624"/>
      <c r="TMU41" s="624"/>
      <c r="TMV41" s="624"/>
      <c r="TMW41" s="624"/>
      <c r="TMX41" s="624"/>
      <c r="TMY41" s="624"/>
      <c r="TMZ41" s="624"/>
      <c r="TNA41" s="624"/>
      <c r="TNB41" s="624"/>
      <c r="TNC41" s="624"/>
      <c r="TND41" s="624"/>
      <c r="TNE41" s="624"/>
      <c r="TNF41" s="624"/>
      <c r="TNG41" s="624"/>
      <c r="TNH41" s="624"/>
      <c r="TNI41" s="624"/>
      <c r="TNJ41" s="624"/>
      <c r="TNK41" s="624"/>
      <c r="TNL41" s="624"/>
      <c r="TNM41" s="624"/>
      <c r="TNN41" s="624"/>
      <c r="TNO41" s="624"/>
      <c r="TNP41" s="624"/>
      <c r="TNQ41" s="624"/>
      <c r="TNR41" s="624"/>
      <c r="TNS41" s="624"/>
      <c r="TNT41" s="624"/>
      <c r="TNU41" s="624"/>
      <c r="TNV41" s="624"/>
      <c r="TNW41" s="624"/>
      <c r="TNX41" s="624"/>
      <c r="TNY41" s="624"/>
      <c r="TNZ41" s="624"/>
      <c r="TOA41" s="624"/>
      <c r="TOB41" s="624"/>
      <c r="TOC41" s="624"/>
      <c r="TOD41" s="624"/>
      <c r="TOE41" s="624"/>
      <c r="TOF41" s="624"/>
      <c r="TOG41" s="624"/>
      <c r="TOH41" s="624"/>
      <c r="TOI41" s="624"/>
      <c r="TOJ41" s="624"/>
      <c r="TOK41" s="624"/>
      <c r="TOL41" s="624"/>
      <c r="TOM41" s="624"/>
      <c r="TON41" s="624"/>
      <c r="TOO41" s="624"/>
      <c r="TOP41" s="624"/>
      <c r="TOQ41" s="624"/>
      <c r="TOR41" s="624"/>
      <c r="TOS41" s="624"/>
      <c r="TOT41" s="624"/>
      <c r="TOU41" s="624"/>
      <c r="TOV41" s="624"/>
      <c r="TOW41" s="624"/>
      <c r="TOX41" s="624"/>
      <c r="TOY41" s="624"/>
      <c r="TOZ41" s="624"/>
      <c r="TPA41" s="624"/>
      <c r="TPB41" s="624"/>
      <c r="TPC41" s="624"/>
      <c r="TPD41" s="624"/>
      <c r="TPE41" s="624"/>
      <c r="TPF41" s="624"/>
      <c r="TPG41" s="624"/>
      <c r="TPH41" s="624"/>
      <c r="TPI41" s="624"/>
      <c r="TPJ41" s="624"/>
      <c r="TPK41" s="624"/>
      <c r="TPL41" s="624"/>
      <c r="TPM41" s="624"/>
      <c r="TPN41" s="624"/>
      <c r="TPO41" s="624"/>
      <c r="TPP41" s="624"/>
      <c r="TPQ41" s="624"/>
      <c r="TPR41" s="624"/>
      <c r="TPS41" s="624"/>
      <c r="TPT41" s="624"/>
      <c r="TPU41" s="624"/>
      <c r="TPV41" s="624"/>
      <c r="TPW41" s="624"/>
      <c r="TPX41" s="624"/>
      <c r="TPY41" s="624"/>
      <c r="TPZ41" s="624"/>
      <c r="TQA41" s="624"/>
      <c r="TQB41" s="624"/>
      <c r="TQC41" s="624"/>
      <c r="TQD41" s="624"/>
      <c r="TQE41" s="624"/>
      <c r="TQF41" s="624"/>
      <c r="TQG41" s="624"/>
      <c r="TQH41" s="624"/>
      <c r="TQI41" s="624"/>
      <c r="TQJ41" s="624"/>
      <c r="TQK41" s="624"/>
      <c r="TQL41" s="624"/>
      <c r="TQM41" s="624"/>
      <c r="TQN41" s="624"/>
      <c r="TQO41" s="624"/>
      <c r="TQP41" s="624"/>
      <c r="TQQ41" s="624"/>
      <c r="TQR41" s="624"/>
      <c r="TQS41" s="624"/>
      <c r="TQT41" s="624"/>
      <c r="TQU41" s="624"/>
      <c r="TQV41" s="624"/>
      <c r="TQW41" s="624"/>
      <c r="TQX41" s="624"/>
      <c r="TQY41" s="624"/>
      <c r="TQZ41" s="624"/>
      <c r="TRA41" s="624"/>
      <c r="TRB41" s="624"/>
      <c r="TRC41" s="624"/>
      <c r="TRD41" s="624"/>
      <c r="TRE41" s="624"/>
      <c r="TRF41" s="624"/>
      <c r="TRG41" s="624"/>
      <c r="TRH41" s="624"/>
      <c r="TRI41" s="624"/>
      <c r="TRJ41" s="624"/>
      <c r="TRK41" s="624"/>
      <c r="TRL41" s="624"/>
      <c r="TRM41" s="624"/>
      <c r="TRN41" s="624"/>
      <c r="TRO41" s="624"/>
      <c r="TRP41" s="624"/>
      <c r="TRQ41" s="624"/>
      <c r="TRR41" s="624"/>
      <c r="TRS41" s="624"/>
      <c r="TRT41" s="624"/>
      <c r="TRU41" s="624"/>
      <c r="TRV41" s="624"/>
      <c r="TRW41" s="624"/>
      <c r="TRX41" s="624"/>
      <c r="TRY41" s="624"/>
      <c r="TRZ41" s="624"/>
      <c r="TSA41" s="624"/>
      <c r="TSB41" s="624"/>
      <c r="TSC41" s="624"/>
      <c r="TSD41" s="624"/>
      <c r="TSE41" s="624"/>
      <c r="TSF41" s="624"/>
      <c r="TSG41" s="624"/>
      <c r="TSH41" s="624"/>
      <c r="TSI41" s="624"/>
      <c r="TSJ41" s="624"/>
      <c r="TSK41" s="624"/>
      <c r="TSL41" s="624"/>
      <c r="TSM41" s="624"/>
      <c r="TSN41" s="624"/>
      <c r="TSO41" s="624"/>
      <c r="TSP41" s="624"/>
      <c r="TSQ41" s="624"/>
      <c r="TSR41" s="624"/>
      <c r="TSS41" s="624"/>
      <c r="TST41" s="624"/>
      <c r="TSU41" s="624"/>
      <c r="TSV41" s="624"/>
      <c r="TSW41" s="624"/>
      <c r="TSX41" s="624"/>
      <c r="TSY41" s="624"/>
      <c r="TSZ41" s="624"/>
      <c r="TTA41" s="624"/>
      <c r="TTB41" s="624"/>
      <c r="TTC41" s="624"/>
      <c r="TTD41" s="624"/>
      <c r="TTE41" s="624"/>
      <c r="TTF41" s="624"/>
      <c r="TTG41" s="624"/>
      <c r="TTH41" s="624"/>
      <c r="TTI41" s="624"/>
      <c r="TTJ41" s="624"/>
      <c r="TTK41" s="624"/>
      <c r="TTL41" s="624"/>
      <c r="TTM41" s="624"/>
      <c r="TTN41" s="624"/>
      <c r="TTO41" s="624"/>
      <c r="TTP41" s="624"/>
      <c r="TTQ41" s="624"/>
      <c r="TTR41" s="624"/>
      <c r="TTS41" s="624"/>
      <c r="TTT41" s="624"/>
      <c r="TTU41" s="624"/>
      <c r="TTV41" s="624"/>
      <c r="TTW41" s="624"/>
      <c r="TTX41" s="624"/>
      <c r="TTY41" s="624"/>
      <c r="TTZ41" s="624"/>
      <c r="TUA41" s="624"/>
      <c r="TUB41" s="624"/>
      <c r="TUC41" s="624"/>
      <c r="TUD41" s="624"/>
      <c r="TUE41" s="624"/>
      <c r="TUF41" s="624"/>
      <c r="TUG41" s="624"/>
      <c r="TUH41" s="624"/>
      <c r="TUI41" s="624"/>
      <c r="TUJ41" s="624"/>
      <c r="TUK41" s="624"/>
      <c r="TUL41" s="624"/>
      <c r="TUM41" s="624"/>
      <c r="TUN41" s="624"/>
      <c r="TUO41" s="624"/>
      <c r="TUP41" s="624"/>
      <c r="TUQ41" s="624"/>
      <c r="TUR41" s="624"/>
      <c r="TUS41" s="624"/>
      <c r="TUT41" s="624"/>
      <c r="TUU41" s="624"/>
      <c r="TUV41" s="624"/>
      <c r="TUW41" s="624"/>
      <c r="TUX41" s="624"/>
      <c r="TUY41" s="624"/>
      <c r="TUZ41" s="624"/>
      <c r="TVA41" s="624"/>
      <c r="TVB41" s="624"/>
      <c r="TVC41" s="624"/>
      <c r="TVD41" s="624"/>
      <c r="TVE41" s="624"/>
      <c r="TVF41" s="624"/>
      <c r="TVG41" s="624"/>
      <c r="TVH41" s="624"/>
      <c r="TVI41" s="624"/>
      <c r="TVJ41" s="624"/>
      <c r="TVK41" s="624"/>
      <c r="TVL41" s="624"/>
      <c r="TVM41" s="624"/>
      <c r="TVN41" s="624"/>
      <c r="TVO41" s="624"/>
      <c r="TVP41" s="624"/>
      <c r="TVQ41" s="624"/>
      <c r="TVR41" s="624"/>
      <c r="TVS41" s="624"/>
      <c r="TVT41" s="624"/>
      <c r="TVU41" s="624"/>
      <c r="TVV41" s="624"/>
      <c r="TVW41" s="624"/>
      <c r="TVX41" s="624"/>
      <c r="TVY41" s="624"/>
      <c r="TVZ41" s="624"/>
      <c r="TWA41" s="624"/>
      <c r="TWB41" s="624"/>
      <c r="TWC41" s="624"/>
      <c r="TWD41" s="624"/>
      <c r="TWE41" s="624"/>
      <c r="TWF41" s="624"/>
      <c r="TWG41" s="624"/>
      <c r="TWH41" s="624"/>
      <c r="TWI41" s="624"/>
      <c r="TWJ41" s="624"/>
      <c r="TWK41" s="624"/>
      <c r="TWL41" s="624"/>
      <c r="TWM41" s="624"/>
      <c r="TWN41" s="624"/>
      <c r="TWO41" s="624"/>
      <c r="TWP41" s="624"/>
      <c r="TWQ41" s="624"/>
      <c r="TWR41" s="624"/>
      <c r="TWS41" s="624"/>
      <c r="TWT41" s="624"/>
      <c r="TWU41" s="624"/>
      <c r="TWV41" s="624"/>
      <c r="TWW41" s="624"/>
      <c r="TWX41" s="624"/>
      <c r="TWY41" s="624"/>
      <c r="TWZ41" s="624"/>
      <c r="TXA41" s="624"/>
      <c r="TXB41" s="624"/>
      <c r="TXC41" s="624"/>
      <c r="TXD41" s="624"/>
      <c r="TXE41" s="624"/>
      <c r="TXF41" s="624"/>
      <c r="TXG41" s="624"/>
      <c r="TXH41" s="624"/>
      <c r="TXI41" s="624"/>
      <c r="TXJ41" s="624"/>
      <c r="TXK41" s="624"/>
      <c r="TXL41" s="624"/>
      <c r="TXM41" s="624"/>
      <c r="TXN41" s="624"/>
      <c r="TXO41" s="624"/>
      <c r="TXP41" s="624"/>
      <c r="TXQ41" s="624"/>
      <c r="TXR41" s="624"/>
      <c r="TXS41" s="624"/>
      <c r="TXT41" s="624"/>
      <c r="TXU41" s="624"/>
      <c r="TXV41" s="624"/>
      <c r="TXW41" s="624"/>
      <c r="TXX41" s="624"/>
      <c r="TXY41" s="624"/>
      <c r="TXZ41" s="624"/>
      <c r="TYA41" s="624"/>
      <c r="TYB41" s="624"/>
      <c r="TYC41" s="624"/>
      <c r="TYD41" s="624"/>
      <c r="TYE41" s="624"/>
      <c r="TYF41" s="624"/>
      <c r="TYG41" s="624"/>
      <c r="TYH41" s="624"/>
      <c r="TYI41" s="624"/>
      <c r="TYJ41" s="624"/>
      <c r="TYK41" s="624"/>
      <c r="TYL41" s="624"/>
      <c r="TYM41" s="624"/>
      <c r="TYN41" s="624"/>
      <c r="TYO41" s="624"/>
      <c r="TYP41" s="624"/>
      <c r="TYQ41" s="624"/>
      <c r="TYR41" s="624"/>
      <c r="TYS41" s="624"/>
      <c r="TYT41" s="624"/>
      <c r="TYU41" s="624"/>
      <c r="TYV41" s="624"/>
      <c r="TYW41" s="624"/>
      <c r="TYX41" s="624"/>
      <c r="TYY41" s="624"/>
      <c r="TYZ41" s="624"/>
      <c r="TZA41" s="624"/>
      <c r="TZB41" s="624"/>
      <c r="TZC41" s="624"/>
      <c r="TZD41" s="624"/>
      <c r="TZE41" s="624"/>
      <c r="TZF41" s="624"/>
      <c r="TZG41" s="624"/>
      <c r="TZH41" s="624"/>
      <c r="TZI41" s="624"/>
      <c r="TZJ41" s="624"/>
      <c r="TZK41" s="624"/>
      <c r="TZL41" s="624"/>
      <c r="TZM41" s="624"/>
      <c r="TZN41" s="624"/>
      <c r="TZO41" s="624"/>
      <c r="TZP41" s="624"/>
      <c r="TZQ41" s="624"/>
      <c r="TZR41" s="624"/>
      <c r="TZS41" s="624"/>
      <c r="TZT41" s="624"/>
      <c r="TZU41" s="624"/>
      <c r="TZV41" s="624"/>
      <c r="TZW41" s="624"/>
      <c r="TZX41" s="624"/>
      <c r="TZY41" s="624"/>
      <c r="TZZ41" s="624"/>
      <c r="UAA41" s="624"/>
      <c r="UAB41" s="624"/>
      <c r="UAC41" s="624"/>
      <c r="UAD41" s="624"/>
      <c r="UAE41" s="624"/>
      <c r="UAF41" s="624"/>
      <c r="UAG41" s="624"/>
      <c r="UAH41" s="624"/>
      <c r="UAI41" s="624"/>
      <c r="UAJ41" s="624"/>
      <c r="UAK41" s="624"/>
      <c r="UAL41" s="624"/>
      <c r="UAM41" s="624"/>
      <c r="UAN41" s="624"/>
      <c r="UAO41" s="624"/>
      <c r="UAP41" s="624"/>
      <c r="UAQ41" s="624"/>
      <c r="UAR41" s="624"/>
      <c r="UAS41" s="624"/>
      <c r="UAT41" s="624"/>
      <c r="UAU41" s="624"/>
      <c r="UAV41" s="624"/>
      <c r="UAW41" s="624"/>
      <c r="UAX41" s="624"/>
      <c r="UAY41" s="624"/>
      <c r="UAZ41" s="624"/>
      <c r="UBA41" s="624"/>
      <c r="UBB41" s="624"/>
      <c r="UBC41" s="624"/>
      <c r="UBD41" s="624"/>
      <c r="UBE41" s="624"/>
      <c r="UBF41" s="624"/>
      <c r="UBG41" s="624"/>
      <c r="UBH41" s="624"/>
      <c r="UBI41" s="624"/>
      <c r="UBJ41" s="624"/>
      <c r="UBK41" s="624"/>
      <c r="UBL41" s="624"/>
      <c r="UBM41" s="624"/>
      <c r="UBN41" s="624"/>
      <c r="UBO41" s="624"/>
      <c r="UBP41" s="624"/>
      <c r="UBQ41" s="624"/>
      <c r="UBR41" s="624"/>
      <c r="UBS41" s="624"/>
      <c r="UBT41" s="624"/>
      <c r="UBU41" s="624"/>
      <c r="UBV41" s="624"/>
      <c r="UBW41" s="624"/>
      <c r="UBX41" s="624"/>
      <c r="UBY41" s="624"/>
      <c r="UBZ41" s="624"/>
      <c r="UCA41" s="624"/>
      <c r="UCB41" s="624"/>
      <c r="UCC41" s="624"/>
      <c r="UCD41" s="624"/>
      <c r="UCE41" s="624"/>
      <c r="UCF41" s="624"/>
      <c r="UCG41" s="624"/>
      <c r="UCH41" s="624"/>
      <c r="UCI41" s="624"/>
      <c r="UCJ41" s="624"/>
      <c r="UCK41" s="624"/>
      <c r="UCL41" s="624"/>
      <c r="UCM41" s="624"/>
      <c r="UCN41" s="624"/>
      <c r="UCO41" s="624"/>
      <c r="UCP41" s="624"/>
      <c r="UCQ41" s="624"/>
      <c r="UCR41" s="624"/>
      <c r="UCS41" s="624"/>
      <c r="UCT41" s="624"/>
      <c r="UCU41" s="624"/>
      <c r="UCV41" s="624"/>
      <c r="UCW41" s="624"/>
      <c r="UCX41" s="624"/>
      <c r="UCY41" s="624"/>
      <c r="UCZ41" s="624"/>
      <c r="UDA41" s="624"/>
      <c r="UDB41" s="624"/>
      <c r="UDC41" s="624"/>
      <c r="UDD41" s="624"/>
      <c r="UDE41" s="624"/>
      <c r="UDF41" s="624"/>
      <c r="UDG41" s="624"/>
      <c r="UDH41" s="624"/>
      <c r="UDI41" s="624"/>
      <c r="UDJ41" s="624"/>
      <c r="UDK41" s="624"/>
      <c r="UDL41" s="624"/>
      <c r="UDM41" s="624"/>
      <c r="UDN41" s="624"/>
      <c r="UDO41" s="624"/>
      <c r="UDP41" s="624"/>
      <c r="UDQ41" s="624"/>
      <c r="UDR41" s="624"/>
      <c r="UDS41" s="624"/>
      <c r="UDT41" s="624"/>
      <c r="UDU41" s="624"/>
      <c r="UDV41" s="624"/>
      <c r="UDW41" s="624"/>
      <c r="UDX41" s="624"/>
      <c r="UDY41" s="624"/>
      <c r="UDZ41" s="624"/>
      <c r="UEA41" s="624"/>
      <c r="UEB41" s="624"/>
      <c r="UEC41" s="624"/>
      <c r="UED41" s="624"/>
      <c r="UEE41" s="624"/>
      <c r="UEF41" s="624"/>
      <c r="UEG41" s="624"/>
      <c r="UEH41" s="624"/>
      <c r="UEI41" s="624"/>
      <c r="UEJ41" s="624"/>
      <c r="UEK41" s="624"/>
      <c r="UEL41" s="624"/>
      <c r="UEM41" s="624"/>
      <c r="UEN41" s="624"/>
      <c r="UEO41" s="624"/>
      <c r="UEP41" s="624"/>
      <c r="UEQ41" s="624"/>
      <c r="UER41" s="624"/>
      <c r="UES41" s="624"/>
      <c r="UET41" s="624"/>
      <c r="UEU41" s="624"/>
      <c r="UEV41" s="624"/>
      <c r="UEW41" s="624"/>
      <c r="UEX41" s="624"/>
      <c r="UEY41" s="624"/>
      <c r="UEZ41" s="624"/>
      <c r="UFA41" s="624"/>
      <c r="UFB41" s="624"/>
      <c r="UFC41" s="624"/>
      <c r="UFD41" s="624"/>
      <c r="UFE41" s="624"/>
      <c r="UFF41" s="624"/>
      <c r="UFG41" s="624"/>
      <c r="UFH41" s="624"/>
      <c r="UFI41" s="624"/>
      <c r="UFJ41" s="624"/>
      <c r="UFK41" s="624"/>
      <c r="UFL41" s="624"/>
      <c r="UFM41" s="624"/>
      <c r="UFN41" s="624"/>
      <c r="UFO41" s="624"/>
      <c r="UFP41" s="624"/>
      <c r="UFQ41" s="624"/>
      <c r="UFR41" s="624"/>
      <c r="UFS41" s="624"/>
      <c r="UFT41" s="624"/>
      <c r="UFU41" s="624"/>
      <c r="UFV41" s="624"/>
      <c r="UFW41" s="624"/>
      <c r="UFX41" s="624"/>
      <c r="UFY41" s="624"/>
      <c r="UFZ41" s="624"/>
      <c r="UGA41" s="624"/>
      <c r="UGB41" s="624"/>
      <c r="UGC41" s="624"/>
      <c r="UGD41" s="624"/>
      <c r="UGE41" s="624"/>
      <c r="UGF41" s="624"/>
      <c r="UGG41" s="624"/>
      <c r="UGH41" s="624"/>
      <c r="UGI41" s="624"/>
      <c r="UGJ41" s="624"/>
      <c r="UGK41" s="624"/>
      <c r="UGL41" s="624"/>
      <c r="UGM41" s="624"/>
      <c r="UGN41" s="624"/>
      <c r="UGO41" s="624"/>
      <c r="UGP41" s="624"/>
      <c r="UGQ41" s="624"/>
      <c r="UGR41" s="624"/>
      <c r="UGS41" s="624"/>
      <c r="UGT41" s="624"/>
      <c r="UGU41" s="624"/>
      <c r="UGV41" s="624"/>
      <c r="UGW41" s="624"/>
      <c r="UGX41" s="624"/>
      <c r="UGY41" s="624"/>
      <c r="UGZ41" s="624"/>
      <c r="UHA41" s="624"/>
      <c r="UHB41" s="624"/>
      <c r="UHC41" s="624"/>
      <c r="UHD41" s="624"/>
      <c r="UHE41" s="624"/>
      <c r="UHF41" s="624"/>
      <c r="UHG41" s="624"/>
      <c r="UHH41" s="624"/>
      <c r="UHI41" s="624"/>
      <c r="UHJ41" s="624"/>
      <c r="UHK41" s="624"/>
      <c r="UHL41" s="624"/>
      <c r="UHM41" s="624"/>
      <c r="UHN41" s="624"/>
      <c r="UHO41" s="624"/>
      <c r="UHP41" s="624"/>
      <c r="UHQ41" s="624"/>
      <c r="UHR41" s="624"/>
      <c r="UHS41" s="624"/>
      <c r="UHT41" s="624"/>
      <c r="UHU41" s="624"/>
      <c r="UHV41" s="624"/>
      <c r="UHW41" s="624"/>
      <c r="UHX41" s="624"/>
      <c r="UHY41" s="624"/>
      <c r="UHZ41" s="624"/>
      <c r="UIA41" s="624"/>
      <c r="UIB41" s="624"/>
      <c r="UIC41" s="624"/>
      <c r="UID41" s="624"/>
      <c r="UIE41" s="624"/>
      <c r="UIF41" s="624"/>
      <c r="UIG41" s="624"/>
      <c r="UIH41" s="624"/>
      <c r="UII41" s="624"/>
      <c r="UIJ41" s="624"/>
      <c r="UIK41" s="624"/>
      <c r="UIL41" s="624"/>
      <c r="UIM41" s="624"/>
      <c r="UIN41" s="624"/>
      <c r="UIO41" s="624"/>
      <c r="UIP41" s="624"/>
      <c r="UIQ41" s="624"/>
      <c r="UIR41" s="624"/>
      <c r="UIS41" s="624"/>
      <c r="UIT41" s="624"/>
      <c r="UIU41" s="624"/>
      <c r="UIV41" s="624"/>
      <c r="UIW41" s="624"/>
      <c r="UIX41" s="624"/>
      <c r="UIY41" s="624"/>
      <c r="UIZ41" s="624"/>
      <c r="UJA41" s="624"/>
      <c r="UJB41" s="624"/>
      <c r="UJC41" s="624"/>
      <c r="UJD41" s="624"/>
      <c r="UJE41" s="624"/>
      <c r="UJF41" s="624"/>
      <c r="UJG41" s="624"/>
      <c r="UJH41" s="624"/>
      <c r="UJI41" s="624"/>
      <c r="UJJ41" s="624"/>
      <c r="UJK41" s="624"/>
      <c r="UJL41" s="624"/>
      <c r="UJM41" s="624"/>
      <c r="UJN41" s="624"/>
      <c r="UJO41" s="624"/>
      <c r="UJP41" s="624"/>
      <c r="UJQ41" s="624"/>
      <c r="UJR41" s="624"/>
      <c r="UJS41" s="624"/>
      <c r="UJT41" s="624"/>
      <c r="UJU41" s="624"/>
      <c r="UJV41" s="624"/>
      <c r="UJW41" s="624"/>
      <c r="UJX41" s="624"/>
      <c r="UJY41" s="624"/>
      <c r="UJZ41" s="624"/>
      <c r="UKA41" s="624"/>
      <c r="UKB41" s="624"/>
      <c r="UKC41" s="624"/>
      <c r="UKD41" s="624"/>
      <c r="UKE41" s="624"/>
      <c r="UKF41" s="624"/>
      <c r="UKG41" s="624"/>
      <c r="UKH41" s="624"/>
      <c r="UKI41" s="624"/>
      <c r="UKJ41" s="624"/>
      <c r="UKK41" s="624"/>
      <c r="UKL41" s="624"/>
      <c r="UKM41" s="624"/>
      <c r="UKN41" s="624"/>
      <c r="UKO41" s="624"/>
      <c r="UKP41" s="624"/>
      <c r="UKQ41" s="624"/>
      <c r="UKR41" s="624"/>
      <c r="UKS41" s="624"/>
      <c r="UKT41" s="624"/>
      <c r="UKU41" s="624"/>
      <c r="UKV41" s="624"/>
      <c r="UKW41" s="624"/>
      <c r="UKX41" s="624"/>
      <c r="UKY41" s="624"/>
      <c r="UKZ41" s="624"/>
      <c r="ULA41" s="624"/>
      <c r="ULB41" s="624"/>
      <c r="ULC41" s="624"/>
      <c r="ULD41" s="624"/>
      <c r="ULE41" s="624"/>
      <c r="ULF41" s="624"/>
      <c r="ULG41" s="624"/>
      <c r="ULH41" s="624"/>
      <c r="ULI41" s="624"/>
      <c r="ULJ41" s="624"/>
      <c r="ULK41" s="624"/>
      <c r="ULL41" s="624"/>
      <c r="ULM41" s="624"/>
      <c r="ULN41" s="624"/>
      <c r="ULO41" s="624"/>
      <c r="ULP41" s="624"/>
      <c r="ULQ41" s="624"/>
      <c r="ULR41" s="624"/>
      <c r="ULS41" s="624"/>
      <c r="ULT41" s="624"/>
      <c r="ULU41" s="624"/>
      <c r="ULV41" s="624"/>
      <c r="ULW41" s="624"/>
      <c r="ULX41" s="624"/>
      <c r="ULY41" s="624"/>
      <c r="ULZ41" s="624"/>
      <c r="UMA41" s="624"/>
      <c r="UMB41" s="624"/>
      <c r="UMC41" s="624"/>
      <c r="UMD41" s="624"/>
      <c r="UME41" s="624"/>
      <c r="UMF41" s="624"/>
      <c r="UMG41" s="624"/>
      <c r="UMH41" s="624"/>
      <c r="UMI41" s="624"/>
      <c r="UMJ41" s="624"/>
      <c r="UMK41" s="624"/>
      <c r="UML41" s="624"/>
      <c r="UMM41" s="624"/>
      <c r="UMN41" s="624"/>
      <c r="UMO41" s="624"/>
      <c r="UMP41" s="624"/>
      <c r="UMQ41" s="624"/>
      <c r="UMR41" s="624"/>
      <c r="UMS41" s="624"/>
      <c r="UMT41" s="624"/>
      <c r="UMU41" s="624"/>
      <c r="UMV41" s="624"/>
      <c r="UMW41" s="624"/>
      <c r="UMX41" s="624"/>
      <c r="UMY41" s="624"/>
      <c r="UMZ41" s="624"/>
      <c r="UNA41" s="624"/>
      <c r="UNB41" s="624"/>
      <c r="UNC41" s="624"/>
      <c r="UND41" s="624"/>
      <c r="UNE41" s="624"/>
      <c r="UNF41" s="624"/>
      <c r="UNG41" s="624"/>
      <c r="UNH41" s="624"/>
      <c r="UNI41" s="624"/>
      <c r="UNJ41" s="624"/>
      <c r="UNK41" s="624"/>
      <c r="UNL41" s="624"/>
      <c r="UNM41" s="624"/>
      <c r="UNN41" s="624"/>
      <c r="UNO41" s="624"/>
      <c r="UNP41" s="624"/>
      <c r="UNQ41" s="624"/>
      <c r="UNR41" s="624"/>
      <c r="UNS41" s="624"/>
      <c r="UNT41" s="624"/>
      <c r="UNU41" s="624"/>
      <c r="UNV41" s="624"/>
      <c r="UNW41" s="624"/>
      <c r="UNX41" s="624"/>
      <c r="UNY41" s="624"/>
      <c r="UNZ41" s="624"/>
      <c r="UOA41" s="624"/>
      <c r="UOB41" s="624"/>
      <c r="UOC41" s="624"/>
      <c r="UOD41" s="624"/>
      <c r="UOE41" s="624"/>
      <c r="UOF41" s="624"/>
      <c r="UOG41" s="624"/>
      <c r="UOH41" s="624"/>
      <c r="UOI41" s="624"/>
      <c r="UOJ41" s="624"/>
      <c r="UOK41" s="624"/>
      <c r="UOL41" s="624"/>
      <c r="UOM41" s="624"/>
      <c r="UON41" s="624"/>
      <c r="UOO41" s="624"/>
      <c r="UOP41" s="624"/>
      <c r="UOQ41" s="624"/>
      <c r="UOR41" s="624"/>
      <c r="UOS41" s="624"/>
      <c r="UOT41" s="624"/>
      <c r="UOU41" s="624"/>
      <c r="UOV41" s="624"/>
      <c r="UOW41" s="624"/>
      <c r="UOX41" s="624"/>
      <c r="UOY41" s="624"/>
      <c r="UOZ41" s="624"/>
      <c r="UPA41" s="624"/>
      <c r="UPB41" s="624"/>
      <c r="UPC41" s="624"/>
      <c r="UPD41" s="624"/>
      <c r="UPE41" s="624"/>
      <c r="UPF41" s="624"/>
      <c r="UPG41" s="624"/>
      <c r="UPH41" s="624"/>
      <c r="UPI41" s="624"/>
      <c r="UPJ41" s="624"/>
      <c r="UPK41" s="624"/>
      <c r="UPL41" s="624"/>
      <c r="UPM41" s="624"/>
      <c r="UPN41" s="624"/>
      <c r="UPO41" s="624"/>
      <c r="UPP41" s="624"/>
      <c r="UPQ41" s="624"/>
      <c r="UPR41" s="624"/>
      <c r="UPS41" s="624"/>
      <c r="UPT41" s="624"/>
      <c r="UPU41" s="624"/>
      <c r="UPV41" s="624"/>
      <c r="UPW41" s="624"/>
      <c r="UPX41" s="624"/>
      <c r="UPY41" s="624"/>
      <c r="UPZ41" s="624"/>
      <c r="UQA41" s="624"/>
      <c r="UQB41" s="624"/>
      <c r="UQC41" s="624"/>
      <c r="UQD41" s="624"/>
      <c r="UQE41" s="624"/>
      <c r="UQF41" s="624"/>
      <c r="UQG41" s="624"/>
      <c r="UQH41" s="624"/>
      <c r="UQI41" s="624"/>
      <c r="UQJ41" s="624"/>
      <c r="UQK41" s="624"/>
      <c r="UQL41" s="624"/>
      <c r="UQM41" s="624"/>
      <c r="UQN41" s="624"/>
      <c r="UQO41" s="624"/>
      <c r="UQP41" s="624"/>
      <c r="UQQ41" s="624"/>
      <c r="UQR41" s="624"/>
      <c r="UQS41" s="624"/>
      <c r="UQT41" s="624"/>
      <c r="UQU41" s="624"/>
      <c r="UQV41" s="624"/>
      <c r="UQW41" s="624"/>
      <c r="UQX41" s="624"/>
      <c r="UQY41" s="624"/>
      <c r="UQZ41" s="624"/>
      <c r="URA41" s="624"/>
      <c r="URB41" s="624"/>
      <c r="URC41" s="624"/>
      <c r="URD41" s="624"/>
      <c r="URE41" s="624"/>
      <c r="URF41" s="624"/>
      <c r="URG41" s="624"/>
      <c r="URH41" s="624"/>
      <c r="URI41" s="624"/>
      <c r="URJ41" s="624"/>
      <c r="URK41" s="624"/>
      <c r="URL41" s="624"/>
      <c r="URM41" s="624"/>
      <c r="URN41" s="624"/>
      <c r="URO41" s="624"/>
      <c r="URP41" s="624"/>
      <c r="URQ41" s="624"/>
      <c r="URR41" s="624"/>
      <c r="URS41" s="624"/>
      <c r="URT41" s="624"/>
      <c r="URU41" s="624"/>
      <c r="URV41" s="624"/>
      <c r="URW41" s="624"/>
      <c r="URX41" s="624"/>
      <c r="URY41" s="624"/>
      <c r="URZ41" s="624"/>
      <c r="USA41" s="624"/>
      <c r="USB41" s="624"/>
      <c r="USC41" s="624"/>
      <c r="USD41" s="624"/>
      <c r="USE41" s="624"/>
      <c r="USF41" s="624"/>
      <c r="USG41" s="624"/>
      <c r="USH41" s="624"/>
      <c r="USI41" s="624"/>
      <c r="USJ41" s="624"/>
      <c r="USK41" s="624"/>
      <c r="USL41" s="624"/>
      <c r="USM41" s="624"/>
      <c r="USN41" s="624"/>
      <c r="USO41" s="624"/>
      <c r="USP41" s="624"/>
      <c r="USQ41" s="624"/>
      <c r="USR41" s="624"/>
      <c r="USS41" s="624"/>
      <c r="UST41" s="624"/>
      <c r="USU41" s="624"/>
      <c r="USV41" s="624"/>
      <c r="USW41" s="624"/>
      <c r="USX41" s="624"/>
      <c r="USY41" s="624"/>
      <c r="USZ41" s="624"/>
      <c r="UTA41" s="624"/>
      <c r="UTB41" s="624"/>
      <c r="UTC41" s="624"/>
      <c r="UTD41" s="624"/>
      <c r="UTE41" s="624"/>
      <c r="UTF41" s="624"/>
      <c r="UTG41" s="624"/>
      <c r="UTH41" s="624"/>
      <c r="UTI41" s="624"/>
      <c r="UTJ41" s="624"/>
      <c r="UTK41" s="624"/>
      <c r="UTL41" s="624"/>
      <c r="UTM41" s="624"/>
      <c r="UTN41" s="624"/>
      <c r="UTO41" s="624"/>
      <c r="UTP41" s="624"/>
      <c r="UTQ41" s="624"/>
      <c r="UTR41" s="624"/>
      <c r="UTS41" s="624"/>
      <c r="UTT41" s="624"/>
      <c r="UTU41" s="624"/>
      <c r="UTV41" s="624"/>
      <c r="UTW41" s="624"/>
      <c r="UTX41" s="624"/>
      <c r="UTY41" s="624"/>
      <c r="UTZ41" s="624"/>
      <c r="UUA41" s="624"/>
      <c r="UUB41" s="624"/>
      <c r="UUC41" s="624"/>
      <c r="UUD41" s="624"/>
      <c r="UUE41" s="624"/>
      <c r="UUF41" s="624"/>
      <c r="UUG41" s="624"/>
      <c r="UUH41" s="624"/>
      <c r="UUI41" s="624"/>
      <c r="UUJ41" s="624"/>
      <c r="UUK41" s="624"/>
      <c r="UUL41" s="624"/>
      <c r="UUM41" s="624"/>
      <c r="UUN41" s="624"/>
      <c r="UUO41" s="624"/>
      <c r="UUP41" s="624"/>
      <c r="UUQ41" s="624"/>
      <c r="UUR41" s="624"/>
      <c r="UUS41" s="624"/>
      <c r="UUT41" s="624"/>
      <c r="UUU41" s="624"/>
      <c r="UUV41" s="624"/>
      <c r="UUW41" s="624"/>
      <c r="UUX41" s="624"/>
      <c r="UUY41" s="624"/>
      <c r="UUZ41" s="624"/>
      <c r="UVA41" s="624"/>
      <c r="UVB41" s="624"/>
      <c r="UVC41" s="624"/>
      <c r="UVD41" s="624"/>
      <c r="UVE41" s="624"/>
      <c r="UVF41" s="624"/>
      <c r="UVG41" s="624"/>
      <c r="UVH41" s="624"/>
      <c r="UVI41" s="624"/>
      <c r="UVJ41" s="624"/>
      <c r="UVK41" s="624"/>
      <c r="UVL41" s="624"/>
      <c r="UVM41" s="624"/>
      <c r="UVN41" s="624"/>
      <c r="UVO41" s="624"/>
      <c r="UVP41" s="624"/>
      <c r="UVQ41" s="624"/>
      <c r="UVR41" s="624"/>
      <c r="UVS41" s="624"/>
      <c r="UVT41" s="624"/>
      <c r="UVU41" s="624"/>
      <c r="UVV41" s="624"/>
      <c r="UVW41" s="624"/>
      <c r="UVX41" s="624"/>
      <c r="UVY41" s="624"/>
      <c r="UVZ41" s="624"/>
      <c r="UWA41" s="624"/>
      <c r="UWB41" s="624"/>
      <c r="UWC41" s="624"/>
      <c r="UWD41" s="624"/>
      <c r="UWE41" s="624"/>
      <c r="UWF41" s="624"/>
      <c r="UWG41" s="624"/>
      <c r="UWH41" s="624"/>
      <c r="UWI41" s="624"/>
      <c r="UWJ41" s="624"/>
      <c r="UWK41" s="624"/>
      <c r="UWL41" s="624"/>
      <c r="UWM41" s="624"/>
      <c r="UWN41" s="624"/>
      <c r="UWO41" s="624"/>
      <c r="UWP41" s="624"/>
      <c r="UWQ41" s="624"/>
      <c r="UWR41" s="624"/>
      <c r="UWS41" s="624"/>
      <c r="UWT41" s="624"/>
      <c r="UWU41" s="624"/>
      <c r="UWV41" s="624"/>
      <c r="UWW41" s="624"/>
      <c r="UWX41" s="624"/>
      <c r="UWY41" s="624"/>
      <c r="UWZ41" s="624"/>
      <c r="UXA41" s="624"/>
      <c r="UXB41" s="624"/>
      <c r="UXC41" s="624"/>
      <c r="UXD41" s="624"/>
      <c r="UXE41" s="624"/>
      <c r="UXF41" s="624"/>
      <c r="UXG41" s="624"/>
      <c r="UXH41" s="624"/>
      <c r="UXI41" s="624"/>
      <c r="UXJ41" s="624"/>
      <c r="UXK41" s="624"/>
      <c r="UXL41" s="624"/>
      <c r="UXM41" s="624"/>
      <c r="UXN41" s="624"/>
      <c r="UXO41" s="624"/>
      <c r="UXP41" s="624"/>
      <c r="UXQ41" s="624"/>
      <c r="UXR41" s="624"/>
      <c r="UXS41" s="624"/>
      <c r="UXT41" s="624"/>
      <c r="UXU41" s="624"/>
      <c r="UXV41" s="624"/>
      <c r="UXW41" s="624"/>
      <c r="UXX41" s="624"/>
      <c r="UXY41" s="624"/>
      <c r="UXZ41" s="624"/>
      <c r="UYA41" s="624"/>
      <c r="UYB41" s="624"/>
      <c r="UYC41" s="624"/>
      <c r="UYD41" s="624"/>
      <c r="UYE41" s="624"/>
      <c r="UYF41" s="624"/>
      <c r="UYG41" s="624"/>
      <c r="UYH41" s="624"/>
      <c r="UYI41" s="624"/>
      <c r="UYJ41" s="624"/>
      <c r="UYK41" s="624"/>
      <c r="UYL41" s="624"/>
      <c r="UYM41" s="624"/>
      <c r="UYN41" s="624"/>
      <c r="UYO41" s="624"/>
      <c r="UYP41" s="624"/>
      <c r="UYQ41" s="624"/>
      <c r="UYR41" s="624"/>
      <c r="UYS41" s="624"/>
      <c r="UYT41" s="624"/>
      <c r="UYU41" s="624"/>
      <c r="UYV41" s="624"/>
      <c r="UYW41" s="624"/>
      <c r="UYX41" s="624"/>
      <c r="UYY41" s="624"/>
      <c r="UYZ41" s="624"/>
      <c r="UZA41" s="624"/>
      <c r="UZB41" s="624"/>
      <c r="UZC41" s="624"/>
      <c r="UZD41" s="624"/>
      <c r="UZE41" s="624"/>
      <c r="UZF41" s="624"/>
      <c r="UZG41" s="624"/>
      <c r="UZH41" s="624"/>
      <c r="UZI41" s="624"/>
      <c r="UZJ41" s="624"/>
      <c r="UZK41" s="624"/>
      <c r="UZL41" s="624"/>
      <c r="UZM41" s="624"/>
      <c r="UZN41" s="624"/>
      <c r="UZO41" s="624"/>
      <c r="UZP41" s="624"/>
      <c r="UZQ41" s="624"/>
      <c r="UZR41" s="624"/>
      <c r="UZS41" s="624"/>
      <c r="UZT41" s="624"/>
      <c r="UZU41" s="624"/>
      <c r="UZV41" s="624"/>
      <c r="UZW41" s="624"/>
      <c r="UZX41" s="624"/>
      <c r="UZY41" s="624"/>
      <c r="UZZ41" s="624"/>
      <c r="VAA41" s="624"/>
      <c r="VAB41" s="624"/>
      <c r="VAC41" s="624"/>
      <c r="VAD41" s="624"/>
      <c r="VAE41" s="624"/>
      <c r="VAF41" s="624"/>
      <c r="VAG41" s="624"/>
      <c r="VAH41" s="624"/>
      <c r="VAI41" s="624"/>
      <c r="VAJ41" s="624"/>
      <c r="VAK41" s="624"/>
      <c r="VAL41" s="624"/>
      <c r="VAM41" s="624"/>
      <c r="VAN41" s="624"/>
      <c r="VAO41" s="624"/>
      <c r="VAP41" s="624"/>
      <c r="VAQ41" s="624"/>
      <c r="VAR41" s="624"/>
      <c r="VAS41" s="624"/>
      <c r="VAT41" s="624"/>
      <c r="VAU41" s="624"/>
      <c r="VAV41" s="624"/>
      <c r="VAW41" s="624"/>
      <c r="VAX41" s="624"/>
      <c r="VAY41" s="624"/>
      <c r="VAZ41" s="624"/>
      <c r="VBA41" s="624"/>
      <c r="VBB41" s="624"/>
      <c r="VBC41" s="624"/>
      <c r="VBD41" s="624"/>
      <c r="VBE41" s="624"/>
      <c r="VBF41" s="624"/>
      <c r="VBG41" s="624"/>
      <c r="VBH41" s="624"/>
      <c r="VBI41" s="624"/>
      <c r="VBJ41" s="624"/>
      <c r="VBK41" s="624"/>
      <c r="VBL41" s="624"/>
      <c r="VBM41" s="624"/>
      <c r="VBN41" s="624"/>
      <c r="VBO41" s="624"/>
      <c r="VBP41" s="624"/>
      <c r="VBQ41" s="624"/>
      <c r="VBR41" s="624"/>
      <c r="VBS41" s="624"/>
      <c r="VBT41" s="624"/>
      <c r="VBU41" s="624"/>
      <c r="VBV41" s="624"/>
      <c r="VBW41" s="624"/>
      <c r="VBX41" s="624"/>
      <c r="VBY41" s="624"/>
      <c r="VBZ41" s="624"/>
      <c r="VCA41" s="624"/>
      <c r="VCB41" s="624"/>
      <c r="VCC41" s="624"/>
      <c r="VCD41" s="624"/>
      <c r="VCE41" s="624"/>
      <c r="VCF41" s="624"/>
      <c r="VCG41" s="624"/>
      <c r="VCH41" s="624"/>
      <c r="VCI41" s="624"/>
      <c r="VCJ41" s="624"/>
      <c r="VCK41" s="624"/>
      <c r="VCL41" s="624"/>
      <c r="VCM41" s="624"/>
      <c r="VCN41" s="624"/>
      <c r="VCO41" s="624"/>
      <c r="VCP41" s="624"/>
      <c r="VCQ41" s="624"/>
      <c r="VCR41" s="624"/>
      <c r="VCS41" s="624"/>
      <c r="VCT41" s="624"/>
      <c r="VCU41" s="624"/>
      <c r="VCV41" s="624"/>
      <c r="VCW41" s="624"/>
      <c r="VCX41" s="624"/>
      <c r="VCY41" s="624"/>
      <c r="VCZ41" s="624"/>
      <c r="VDA41" s="624"/>
      <c r="VDB41" s="624"/>
      <c r="VDC41" s="624"/>
      <c r="VDD41" s="624"/>
      <c r="VDE41" s="624"/>
      <c r="VDF41" s="624"/>
      <c r="VDG41" s="624"/>
      <c r="VDH41" s="624"/>
      <c r="VDI41" s="624"/>
      <c r="VDJ41" s="624"/>
      <c r="VDK41" s="624"/>
      <c r="VDL41" s="624"/>
      <c r="VDM41" s="624"/>
      <c r="VDN41" s="624"/>
      <c r="VDO41" s="624"/>
      <c r="VDP41" s="624"/>
      <c r="VDQ41" s="624"/>
      <c r="VDR41" s="624"/>
      <c r="VDS41" s="624"/>
      <c r="VDT41" s="624"/>
      <c r="VDU41" s="624"/>
      <c r="VDV41" s="624"/>
      <c r="VDW41" s="624"/>
      <c r="VDX41" s="624"/>
      <c r="VDY41" s="624"/>
      <c r="VDZ41" s="624"/>
      <c r="VEA41" s="624"/>
      <c r="VEB41" s="624"/>
      <c r="VEC41" s="624"/>
      <c r="VED41" s="624"/>
      <c r="VEE41" s="624"/>
      <c r="VEF41" s="624"/>
      <c r="VEG41" s="624"/>
      <c r="VEH41" s="624"/>
      <c r="VEI41" s="624"/>
      <c r="VEJ41" s="624"/>
      <c r="VEK41" s="624"/>
      <c r="VEL41" s="624"/>
      <c r="VEM41" s="624"/>
      <c r="VEN41" s="624"/>
      <c r="VEO41" s="624"/>
      <c r="VEP41" s="624"/>
      <c r="VEQ41" s="624"/>
      <c r="VER41" s="624"/>
      <c r="VES41" s="624"/>
      <c r="VET41" s="624"/>
      <c r="VEU41" s="624"/>
      <c r="VEV41" s="624"/>
      <c r="VEW41" s="624"/>
      <c r="VEX41" s="624"/>
      <c r="VEY41" s="624"/>
      <c r="VEZ41" s="624"/>
      <c r="VFA41" s="624"/>
      <c r="VFB41" s="624"/>
      <c r="VFC41" s="624"/>
      <c r="VFD41" s="624"/>
      <c r="VFE41" s="624"/>
      <c r="VFF41" s="624"/>
      <c r="VFG41" s="624"/>
      <c r="VFH41" s="624"/>
      <c r="VFI41" s="624"/>
      <c r="VFJ41" s="624"/>
      <c r="VFK41" s="624"/>
      <c r="VFL41" s="624"/>
      <c r="VFM41" s="624"/>
      <c r="VFN41" s="624"/>
      <c r="VFO41" s="624"/>
      <c r="VFP41" s="624"/>
      <c r="VFQ41" s="624"/>
      <c r="VFR41" s="624"/>
      <c r="VFS41" s="624"/>
      <c r="VFT41" s="624"/>
      <c r="VFU41" s="624"/>
      <c r="VFV41" s="624"/>
      <c r="VFW41" s="624"/>
      <c r="VFX41" s="624"/>
      <c r="VFY41" s="624"/>
      <c r="VFZ41" s="624"/>
      <c r="VGA41" s="624"/>
      <c r="VGB41" s="624"/>
      <c r="VGC41" s="624"/>
      <c r="VGD41" s="624"/>
      <c r="VGE41" s="624"/>
      <c r="VGF41" s="624"/>
      <c r="VGG41" s="624"/>
      <c r="VGH41" s="624"/>
      <c r="VGI41" s="624"/>
      <c r="VGJ41" s="624"/>
      <c r="VGK41" s="624"/>
      <c r="VGL41" s="624"/>
      <c r="VGM41" s="624"/>
      <c r="VGN41" s="624"/>
      <c r="VGO41" s="624"/>
      <c r="VGP41" s="624"/>
      <c r="VGQ41" s="624"/>
      <c r="VGR41" s="624"/>
      <c r="VGS41" s="624"/>
      <c r="VGT41" s="624"/>
      <c r="VGU41" s="624"/>
      <c r="VGV41" s="624"/>
      <c r="VGW41" s="624"/>
      <c r="VGX41" s="624"/>
      <c r="VGY41" s="624"/>
      <c r="VGZ41" s="624"/>
      <c r="VHA41" s="624"/>
      <c r="VHB41" s="624"/>
      <c r="VHC41" s="624"/>
      <c r="VHD41" s="624"/>
      <c r="VHE41" s="624"/>
      <c r="VHF41" s="624"/>
      <c r="VHG41" s="624"/>
      <c r="VHH41" s="624"/>
      <c r="VHI41" s="624"/>
      <c r="VHJ41" s="624"/>
      <c r="VHK41" s="624"/>
      <c r="VHL41" s="624"/>
      <c r="VHM41" s="624"/>
      <c r="VHN41" s="624"/>
      <c r="VHO41" s="624"/>
      <c r="VHP41" s="624"/>
      <c r="VHQ41" s="624"/>
      <c r="VHR41" s="624"/>
      <c r="VHS41" s="624"/>
      <c r="VHT41" s="624"/>
      <c r="VHU41" s="624"/>
      <c r="VHV41" s="624"/>
      <c r="VHW41" s="624"/>
      <c r="VHX41" s="624"/>
      <c r="VHY41" s="624"/>
      <c r="VHZ41" s="624"/>
      <c r="VIA41" s="624"/>
      <c r="VIB41" s="624"/>
      <c r="VIC41" s="624"/>
      <c r="VID41" s="624"/>
      <c r="VIE41" s="624"/>
      <c r="VIF41" s="624"/>
      <c r="VIG41" s="624"/>
      <c r="VIH41" s="624"/>
      <c r="VII41" s="624"/>
      <c r="VIJ41" s="624"/>
      <c r="VIK41" s="624"/>
      <c r="VIL41" s="624"/>
      <c r="VIM41" s="624"/>
      <c r="VIN41" s="624"/>
      <c r="VIO41" s="624"/>
      <c r="VIP41" s="624"/>
      <c r="VIQ41" s="624"/>
      <c r="VIR41" s="624"/>
      <c r="VIS41" s="624"/>
      <c r="VIT41" s="624"/>
      <c r="VIU41" s="624"/>
      <c r="VIV41" s="624"/>
      <c r="VIW41" s="624"/>
      <c r="VIX41" s="624"/>
      <c r="VIY41" s="624"/>
      <c r="VIZ41" s="624"/>
      <c r="VJA41" s="624"/>
      <c r="VJB41" s="624"/>
      <c r="VJC41" s="624"/>
      <c r="VJD41" s="624"/>
      <c r="VJE41" s="624"/>
      <c r="VJF41" s="624"/>
      <c r="VJG41" s="624"/>
      <c r="VJH41" s="624"/>
      <c r="VJI41" s="624"/>
      <c r="VJJ41" s="624"/>
      <c r="VJK41" s="624"/>
      <c r="VJL41" s="624"/>
      <c r="VJM41" s="624"/>
      <c r="VJN41" s="624"/>
      <c r="VJO41" s="624"/>
      <c r="VJP41" s="624"/>
      <c r="VJQ41" s="624"/>
      <c r="VJR41" s="624"/>
      <c r="VJS41" s="624"/>
      <c r="VJT41" s="624"/>
      <c r="VJU41" s="624"/>
      <c r="VJV41" s="624"/>
      <c r="VJW41" s="624"/>
      <c r="VJX41" s="624"/>
      <c r="VJY41" s="624"/>
      <c r="VJZ41" s="624"/>
      <c r="VKA41" s="624"/>
      <c r="VKB41" s="624"/>
      <c r="VKC41" s="624"/>
      <c r="VKD41" s="624"/>
      <c r="VKE41" s="624"/>
      <c r="VKF41" s="624"/>
      <c r="VKG41" s="624"/>
      <c r="VKH41" s="624"/>
      <c r="VKI41" s="624"/>
      <c r="VKJ41" s="624"/>
      <c r="VKK41" s="624"/>
      <c r="VKL41" s="624"/>
      <c r="VKM41" s="624"/>
      <c r="VKN41" s="624"/>
      <c r="VKO41" s="624"/>
      <c r="VKP41" s="624"/>
      <c r="VKQ41" s="624"/>
      <c r="VKR41" s="624"/>
      <c r="VKS41" s="624"/>
      <c r="VKT41" s="624"/>
      <c r="VKU41" s="624"/>
      <c r="VKV41" s="624"/>
      <c r="VKW41" s="624"/>
      <c r="VKX41" s="624"/>
      <c r="VKY41" s="624"/>
      <c r="VKZ41" s="624"/>
      <c r="VLA41" s="624"/>
      <c r="VLB41" s="624"/>
      <c r="VLC41" s="624"/>
      <c r="VLD41" s="624"/>
      <c r="VLE41" s="624"/>
      <c r="VLF41" s="624"/>
      <c r="VLG41" s="624"/>
      <c r="VLH41" s="624"/>
      <c r="VLI41" s="624"/>
      <c r="VLJ41" s="624"/>
      <c r="VLK41" s="624"/>
      <c r="VLL41" s="624"/>
      <c r="VLM41" s="624"/>
      <c r="VLN41" s="624"/>
      <c r="VLO41" s="624"/>
      <c r="VLP41" s="624"/>
      <c r="VLQ41" s="624"/>
      <c r="VLR41" s="624"/>
      <c r="VLS41" s="624"/>
      <c r="VLT41" s="624"/>
      <c r="VLU41" s="624"/>
      <c r="VLV41" s="624"/>
      <c r="VLW41" s="624"/>
      <c r="VLX41" s="624"/>
      <c r="VLY41" s="624"/>
      <c r="VLZ41" s="624"/>
      <c r="VMA41" s="624"/>
      <c r="VMB41" s="624"/>
      <c r="VMC41" s="624"/>
      <c r="VMD41" s="624"/>
      <c r="VME41" s="624"/>
      <c r="VMF41" s="624"/>
      <c r="VMG41" s="624"/>
      <c r="VMH41" s="624"/>
      <c r="VMI41" s="624"/>
      <c r="VMJ41" s="624"/>
      <c r="VMK41" s="624"/>
      <c r="VML41" s="624"/>
      <c r="VMM41" s="624"/>
      <c r="VMN41" s="624"/>
      <c r="VMO41" s="624"/>
      <c r="VMP41" s="624"/>
      <c r="VMQ41" s="624"/>
      <c r="VMR41" s="624"/>
      <c r="VMS41" s="624"/>
      <c r="VMT41" s="624"/>
      <c r="VMU41" s="624"/>
      <c r="VMV41" s="624"/>
      <c r="VMW41" s="624"/>
      <c r="VMX41" s="624"/>
      <c r="VMY41" s="624"/>
      <c r="VMZ41" s="624"/>
      <c r="VNA41" s="624"/>
      <c r="VNB41" s="624"/>
      <c r="VNC41" s="624"/>
      <c r="VND41" s="624"/>
      <c r="VNE41" s="624"/>
      <c r="VNF41" s="624"/>
      <c r="VNG41" s="624"/>
      <c r="VNH41" s="624"/>
      <c r="VNI41" s="624"/>
      <c r="VNJ41" s="624"/>
      <c r="VNK41" s="624"/>
      <c r="VNL41" s="624"/>
      <c r="VNM41" s="624"/>
      <c r="VNN41" s="624"/>
      <c r="VNO41" s="624"/>
      <c r="VNP41" s="624"/>
      <c r="VNQ41" s="624"/>
      <c r="VNR41" s="624"/>
      <c r="VNS41" s="624"/>
      <c r="VNT41" s="624"/>
      <c r="VNU41" s="624"/>
      <c r="VNV41" s="624"/>
      <c r="VNW41" s="624"/>
      <c r="VNX41" s="624"/>
      <c r="VNY41" s="624"/>
      <c r="VNZ41" s="624"/>
      <c r="VOA41" s="624"/>
      <c r="VOB41" s="624"/>
      <c r="VOC41" s="624"/>
      <c r="VOD41" s="624"/>
      <c r="VOE41" s="624"/>
      <c r="VOF41" s="624"/>
      <c r="VOG41" s="624"/>
      <c r="VOH41" s="624"/>
      <c r="VOI41" s="624"/>
      <c r="VOJ41" s="624"/>
      <c r="VOK41" s="624"/>
      <c r="VOL41" s="624"/>
      <c r="VOM41" s="624"/>
      <c r="VON41" s="624"/>
      <c r="VOO41" s="624"/>
      <c r="VOP41" s="624"/>
      <c r="VOQ41" s="624"/>
      <c r="VOR41" s="624"/>
      <c r="VOS41" s="624"/>
      <c r="VOT41" s="624"/>
      <c r="VOU41" s="624"/>
      <c r="VOV41" s="624"/>
      <c r="VOW41" s="624"/>
      <c r="VOX41" s="624"/>
      <c r="VOY41" s="624"/>
      <c r="VOZ41" s="624"/>
      <c r="VPA41" s="624"/>
      <c r="VPB41" s="624"/>
      <c r="VPC41" s="624"/>
      <c r="VPD41" s="624"/>
      <c r="VPE41" s="624"/>
      <c r="VPF41" s="624"/>
      <c r="VPG41" s="624"/>
      <c r="VPH41" s="624"/>
      <c r="VPI41" s="624"/>
      <c r="VPJ41" s="624"/>
      <c r="VPK41" s="624"/>
      <c r="VPL41" s="624"/>
      <c r="VPM41" s="624"/>
      <c r="VPN41" s="624"/>
      <c r="VPO41" s="624"/>
      <c r="VPP41" s="624"/>
      <c r="VPQ41" s="624"/>
      <c r="VPR41" s="624"/>
      <c r="VPS41" s="624"/>
      <c r="VPT41" s="624"/>
      <c r="VPU41" s="624"/>
      <c r="VPV41" s="624"/>
      <c r="VPW41" s="624"/>
      <c r="VPX41" s="624"/>
      <c r="VPY41" s="624"/>
      <c r="VPZ41" s="624"/>
      <c r="VQA41" s="624"/>
      <c r="VQB41" s="624"/>
      <c r="VQC41" s="624"/>
      <c r="VQD41" s="624"/>
      <c r="VQE41" s="624"/>
      <c r="VQF41" s="624"/>
      <c r="VQG41" s="624"/>
      <c r="VQH41" s="624"/>
      <c r="VQI41" s="624"/>
      <c r="VQJ41" s="624"/>
      <c r="VQK41" s="624"/>
      <c r="VQL41" s="624"/>
      <c r="VQM41" s="624"/>
      <c r="VQN41" s="624"/>
      <c r="VQO41" s="624"/>
      <c r="VQP41" s="624"/>
      <c r="VQQ41" s="624"/>
      <c r="VQR41" s="624"/>
      <c r="VQS41" s="624"/>
      <c r="VQT41" s="624"/>
      <c r="VQU41" s="624"/>
      <c r="VQV41" s="624"/>
      <c r="VQW41" s="624"/>
      <c r="VQX41" s="624"/>
      <c r="VQY41" s="624"/>
      <c r="VQZ41" s="624"/>
      <c r="VRA41" s="624"/>
      <c r="VRB41" s="624"/>
      <c r="VRC41" s="624"/>
      <c r="VRD41" s="624"/>
      <c r="VRE41" s="624"/>
      <c r="VRF41" s="624"/>
      <c r="VRG41" s="624"/>
      <c r="VRH41" s="624"/>
      <c r="VRI41" s="624"/>
      <c r="VRJ41" s="624"/>
      <c r="VRK41" s="624"/>
      <c r="VRL41" s="624"/>
      <c r="VRM41" s="624"/>
      <c r="VRN41" s="624"/>
      <c r="VRO41" s="624"/>
      <c r="VRP41" s="624"/>
      <c r="VRQ41" s="624"/>
      <c r="VRR41" s="624"/>
      <c r="VRS41" s="624"/>
      <c r="VRT41" s="624"/>
      <c r="VRU41" s="624"/>
      <c r="VRV41" s="624"/>
      <c r="VRW41" s="624"/>
      <c r="VRX41" s="624"/>
      <c r="VRY41" s="624"/>
      <c r="VRZ41" s="624"/>
      <c r="VSA41" s="624"/>
      <c r="VSB41" s="624"/>
      <c r="VSC41" s="624"/>
      <c r="VSD41" s="624"/>
      <c r="VSE41" s="624"/>
      <c r="VSF41" s="624"/>
      <c r="VSG41" s="624"/>
      <c r="VSH41" s="624"/>
      <c r="VSI41" s="624"/>
      <c r="VSJ41" s="624"/>
      <c r="VSK41" s="624"/>
      <c r="VSL41" s="624"/>
      <c r="VSM41" s="624"/>
      <c r="VSN41" s="624"/>
      <c r="VSO41" s="624"/>
      <c r="VSP41" s="624"/>
      <c r="VSQ41" s="624"/>
      <c r="VSR41" s="624"/>
      <c r="VSS41" s="624"/>
      <c r="VST41" s="624"/>
      <c r="VSU41" s="624"/>
      <c r="VSV41" s="624"/>
      <c r="VSW41" s="624"/>
      <c r="VSX41" s="624"/>
      <c r="VSY41" s="624"/>
      <c r="VSZ41" s="624"/>
      <c r="VTA41" s="624"/>
      <c r="VTB41" s="624"/>
      <c r="VTC41" s="624"/>
      <c r="VTD41" s="624"/>
      <c r="VTE41" s="624"/>
      <c r="VTF41" s="624"/>
      <c r="VTG41" s="624"/>
      <c r="VTH41" s="624"/>
      <c r="VTI41" s="624"/>
      <c r="VTJ41" s="624"/>
      <c r="VTK41" s="624"/>
      <c r="VTL41" s="624"/>
      <c r="VTM41" s="624"/>
      <c r="VTN41" s="624"/>
      <c r="VTO41" s="624"/>
      <c r="VTP41" s="624"/>
      <c r="VTQ41" s="624"/>
      <c r="VTR41" s="624"/>
      <c r="VTS41" s="624"/>
      <c r="VTT41" s="624"/>
      <c r="VTU41" s="624"/>
      <c r="VTV41" s="624"/>
      <c r="VTW41" s="624"/>
      <c r="VTX41" s="624"/>
      <c r="VTY41" s="624"/>
      <c r="VTZ41" s="624"/>
      <c r="VUA41" s="624"/>
      <c r="VUB41" s="624"/>
      <c r="VUC41" s="624"/>
      <c r="VUD41" s="624"/>
      <c r="VUE41" s="624"/>
      <c r="VUF41" s="624"/>
      <c r="VUG41" s="624"/>
      <c r="VUH41" s="624"/>
      <c r="VUI41" s="624"/>
      <c r="VUJ41" s="624"/>
      <c r="VUK41" s="624"/>
      <c r="VUL41" s="624"/>
      <c r="VUM41" s="624"/>
      <c r="VUN41" s="624"/>
      <c r="VUO41" s="624"/>
      <c r="VUP41" s="624"/>
      <c r="VUQ41" s="624"/>
      <c r="VUR41" s="624"/>
      <c r="VUS41" s="624"/>
      <c r="VUT41" s="624"/>
      <c r="VUU41" s="624"/>
      <c r="VUV41" s="624"/>
      <c r="VUW41" s="624"/>
      <c r="VUX41" s="624"/>
      <c r="VUY41" s="624"/>
      <c r="VUZ41" s="624"/>
      <c r="VVA41" s="624"/>
      <c r="VVB41" s="624"/>
      <c r="VVC41" s="624"/>
      <c r="VVD41" s="624"/>
      <c r="VVE41" s="624"/>
      <c r="VVF41" s="624"/>
      <c r="VVG41" s="624"/>
      <c r="VVH41" s="624"/>
      <c r="VVI41" s="624"/>
      <c r="VVJ41" s="624"/>
      <c r="VVK41" s="624"/>
      <c r="VVL41" s="624"/>
      <c r="VVM41" s="624"/>
      <c r="VVN41" s="624"/>
      <c r="VVO41" s="624"/>
      <c r="VVP41" s="624"/>
      <c r="VVQ41" s="624"/>
      <c r="VVR41" s="624"/>
      <c r="VVS41" s="624"/>
      <c r="VVT41" s="624"/>
      <c r="VVU41" s="624"/>
      <c r="VVV41" s="624"/>
      <c r="VVW41" s="624"/>
      <c r="VVX41" s="624"/>
      <c r="VVY41" s="624"/>
      <c r="VVZ41" s="624"/>
      <c r="VWA41" s="624"/>
      <c r="VWB41" s="624"/>
      <c r="VWC41" s="624"/>
      <c r="VWD41" s="624"/>
      <c r="VWE41" s="624"/>
      <c r="VWF41" s="624"/>
      <c r="VWG41" s="624"/>
      <c r="VWH41" s="624"/>
      <c r="VWI41" s="624"/>
      <c r="VWJ41" s="624"/>
      <c r="VWK41" s="624"/>
      <c r="VWL41" s="624"/>
      <c r="VWM41" s="624"/>
      <c r="VWN41" s="624"/>
      <c r="VWO41" s="624"/>
      <c r="VWP41" s="624"/>
      <c r="VWQ41" s="624"/>
      <c r="VWR41" s="624"/>
      <c r="VWS41" s="624"/>
      <c r="VWT41" s="624"/>
      <c r="VWU41" s="624"/>
      <c r="VWV41" s="624"/>
      <c r="VWW41" s="624"/>
      <c r="VWX41" s="624"/>
      <c r="VWY41" s="624"/>
      <c r="VWZ41" s="624"/>
      <c r="VXA41" s="624"/>
      <c r="VXB41" s="624"/>
      <c r="VXC41" s="624"/>
      <c r="VXD41" s="624"/>
      <c r="VXE41" s="624"/>
      <c r="VXF41" s="624"/>
      <c r="VXG41" s="624"/>
      <c r="VXH41" s="624"/>
      <c r="VXI41" s="624"/>
      <c r="VXJ41" s="624"/>
      <c r="VXK41" s="624"/>
      <c r="VXL41" s="624"/>
      <c r="VXM41" s="624"/>
      <c r="VXN41" s="624"/>
      <c r="VXO41" s="624"/>
      <c r="VXP41" s="624"/>
      <c r="VXQ41" s="624"/>
      <c r="VXR41" s="624"/>
      <c r="VXS41" s="624"/>
      <c r="VXT41" s="624"/>
      <c r="VXU41" s="624"/>
      <c r="VXV41" s="624"/>
      <c r="VXW41" s="624"/>
      <c r="VXX41" s="624"/>
      <c r="VXY41" s="624"/>
      <c r="VXZ41" s="624"/>
      <c r="VYA41" s="624"/>
      <c r="VYB41" s="624"/>
      <c r="VYC41" s="624"/>
      <c r="VYD41" s="624"/>
      <c r="VYE41" s="624"/>
      <c r="VYF41" s="624"/>
      <c r="VYG41" s="624"/>
      <c r="VYH41" s="624"/>
      <c r="VYI41" s="624"/>
      <c r="VYJ41" s="624"/>
      <c r="VYK41" s="624"/>
      <c r="VYL41" s="624"/>
      <c r="VYM41" s="624"/>
      <c r="VYN41" s="624"/>
      <c r="VYO41" s="624"/>
      <c r="VYP41" s="624"/>
      <c r="VYQ41" s="624"/>
      <c r="VYR41" s="624"/>
      <c r="VYS41" s="624"/>
      <c r="VYT41" s="624"/>
      <c r="VYU41" s="624"/>
      <c r="VYV41" s="624"/>
      <c r="VYW41" s="624"/>
      <c r="VYX41" s="624"/>
      <c r="VYY41" s="624"/>
      <c r="VYZ41" s="624"/>
      <c r="VZA41" s="624"/>
      <c r="VZB41" s="624"/>
      <c r="VZC41" s="624"/>
      <c r="VZD41" s="624"/>
      <c r="VZE41" s="624"/>
      <c r="VZF41" s="624"/>
      <c r="VZG41" s="624"/>
      <c r="VZH41" s="624"/>
      <c r="VZI41" s="624"/>
      <c r="VZJ41" s="624"/>
      <c r="VZK41" s="624"/>
      <c r="VZL41" s="624"/>
      <c r="VZM41" s="624"/>
      <c r="VZN41" s="624"/>
      <c r="VZO41" s="624"/>
      <c r="VZP41" s="624"/>
      <c r="VZQ41" s="624"/>
      <c r="VZR41" s="624"/>
      <c r="VZS41" s="624"/>
      <c r="VZT41" s="624"/>
      <c r="VZU41" s="624"/>
      <c r="VZV41" s="624"/>
      <c r="VZW41" s="624"/>
      <c r="VZX41" s="624"/>
      <c r="VZY41" s="624"/>
      <c r="VZZ41" s="624"/>
      <c r="WAA41" s="624"/>
      <c r="WAB41" s="624"/>
      <c r="WAC41" s="624"/>
      <c r="WAD41" s="624"/>
      <c r="WAE41" s="624"/>
      <c r="WAF41" s="624"/>
      <c r="WAG41" s="624"/>
      <c r="WAH41" s="624"/>
      <c r="WAI41" s="624"/>
      <c r="WAJ41" s="624"/>
      <c r="WAK41" s="624"/>
      <c r="WAL41" s="624"/>
      <c r="WAM41" s="624"/>
      <c r="WAN41" s="624"/>
      <c r="WAO41" s="624"/>
      <c r="WAP41" s="624"/>
      <c r="WAQ41" s="624"/>
      <c r="WAR41" s="624"/>
      <c r="WAS41" s="624"/>
      <c r="WAT41" s="624"/>
      <c r="WAU41" s="624"/>
      <c r="WAV41" s="624"/>
      <c r="WAW41" s="624"/>
      <c r="WAX41" s="624"/>
      <c r="WAY41" s="624"/>
      <c r="WAZ41" s="624"/>
      <c r="WBA41" s="624"/>
      <c r="WBB41" s="624"/>
      <c r="WBC41" s="624"/>
      <c r="WBD41" s="624"/>
      <c r="WBE41" s="624"/>
      <c r="WBF41" s="624"/>
      <c r="WBG41" s="624"/>
      <c r="WBH41" s="624"/>
      <c r="WBI41" s="624"/>
      <c r="WBJ41" s="624"/>
      <c r="WBK41" s="624"/>
      <c r="WBL41" s="624"/>
      <c r="WBM41" s="624"/>
      <c r="WBN41" s="624"/>
      <c r="WBO41" s="624"/>
      <c r="WBP41" s="624"/>
      <c r="WBQ41" s="624"/>
      <c r="WBR41" s="624"/>
      <c r="WBS41" s="624"/>
      <c r="WBT41" s="624"/>
      <c r="WBU41" s="624"/>
      <c r="WBV41" s="624"/>
      <c r="WBW41" s="624"/>
      <c r="WBX41" s="624"/>
      <c r="WBY41" s="624"/>
      <c r="WBZ41" s="624"/>
      <c r="WCA41" s="624"/>
      <c r="WCB41" s="624"/>
      <c r="WCC41" s="624"/>
      <c r="WCD41" s="624"/>
      <c r="WCE41" s="624"/>
      <c r="WCF41" s="624"/>
      <c r="WCG41" s="624"/>
      <c r="WCH41" s="624"/>
      <c r="WCI41" s="624"/>
      <c r="WCJ41" s="624"/>
      <c r="WCK41" s="624"/>
      <c r="WCL41" s="624"/>
      <c r="WCM41" s="624"/>
      <c r="WCN41" s="624"/>
      <c r="WCO41" s="624"/>
      <c r="WCP41" s="624"/>
      <c r="WCQ41" s="624"/>
      <c r="WCR41" s="624"/>
      <c r="WCS41" s="624"/>
      <c r="WCT41" s="624"/>
      <c r="WCU41" s="624"/>
      <c r="WCV41" s="624"/>
      <c r="WCW41" s="624"/>
      <c r="WCX41" s="624"/>
      <c r="WCY41" s="624"/>
      <c r="WCZ41" s="624"/>
      <c r="WDA41" s="624"/>
      <c r="WDB41" s="624"/>
      <c r="WDC41" s="624"/>
      <c r="WDD41" s="624"/>
      <c r="WDE41" s="624"/>
      <c r="WDF41" s="624"/>
      <c r="WDG41" s="624"/>
      <c r="WDH41" s="624"/>
      <c r="WDI41" s="624"/>
      <c r="WDJ41" s="624"/>
      <c r="WDK41" s="624"/>
      <c r="WDL41" s="624"/>
      <c r="WDM41" s="624"/>
      <c r="WDN41" s="624"/>
      <c r="WDO41" s="624"/>
      <c r="WDP41" s="624"/>
      <c r="WDQ41" s="624"/>
      <c r="WDR41" s="624"/>
      <c r="WDS41" s="624"/>
      <c r="WDT41" s="624"/>
      <c r="WDU41" s="624"/>
      <c r="WDV41" s="624"/>
      <c r="WDW41" s="624"/>
      <c r="WDX41" s="624"/>
      <c r="WDY41" s="624"/>
      <c r="WDZ41" s="624"/>
      <c r="WEA41" s="624"/>
      <c r="WEB41" s="624"/>
      <c r="WEC41" s="624"/>
      <c r="WED41" s="624"/>
      <c r="WEE41" s="624"/>
      <c r="WEF41" s="624"/>
      <c r="WEG41" s="624"/>
      <c r="WEH41" s="624"/>
      <c r="WEI41" s="624"/>
      <c r="WEJ41" s="624"/>
      <c r="WEK41" s="624"/>
      <c r="WEL41" s="624"/>
      <c r="WEM41" s="624"/>
      <c r="WEN41" s="624"/>
      <c r="WEO41" s="624"/>
      <c r="WEP41" s="624"/>
      <c r="WEQ41" s="624"/>
      <c r="WER41" s="624"/>
      <c r="WES41" s="624"/>
      <c r="WET41" s="624"/>
      <c r="WEU41" s="624"/>
      <c r="WEV41" s="624"/>
      <c r="WEW41" s="624"/>
      <c r="WEX41" s="624"/>
      <c r="WEY41" s="624"/>
      <c r="WEZ41" s="624"/>
      <c r="WFA41" s="624"/>
      <c r="WFB41" s="624"/>
      <c r="WFC41" s="624"/>
      <c r="WFD41" s="624"/>
      <c r="WFE41" s="624"/>
      <c r="WFF41" s="624"/>
      <c r="WFG41" s="624"/>
      <c r="WFH41" s="624"/>
      <c r="WFI41" s="624"/>
      <c r="WFJ41" s="624"/>
      <c r="WFK41" s="624"/>
      <c r="WFL41" s="624"/>
      <c r="WFM41" s="624"/>
      <c r="WFN41" s="624"/>
      <c r="WFO41" s="624"/>
      <c r="WFP41" s="624"/>
      <c r="WFQ41" s="624"/>
      <c r="WFR41" s="624"/>
      <c r="WFS41" s="624"/>
      <c r="WFT41" s="624"/>
      <c r="WFU41" s="624"/>
      <c r="WFV41" s="624"/>
      <c r="WFW41" s="624"/>
      <c r="WFX41" s="624"/>
      <c r="WFY41" s="624"/>
      <c r="WFZ41" s="624"/>
      <c r="WGA41" s="624"/>
      <c r="WGB41" s="624"/>
      <c r="WGC41" s="624"/>
      <c r="WGD41" s="624"/>
      <c r="WGE41" s="624"/>
      <c r="WGF41" s="624"/>
      <c r="WGG41" s="624"/>
      <c r="WGH41" s="624"/>
      <c r="WGI41" s="624"/>
      <c r="WGJ41" s="624"/>
      <c r="WGK41" s="624"/>
      <c r="WGL41" s="624"/>
      <c r="WGM41" s="624"/>
      <c r="WGN41" s="624"/>
      <c r="WGO41" s="624"/>
      <c r="WGP41" s="624"/>
      <c r="WGQ41" s="624"/>
      <c r="WGR41" s="624"/>
      <c r="WGS41" s="624"/>
      <c r="WGT41" s="624"/>
      <c r="WGU41" s="624"/>
      <c r="WGV41" s="624"/>
      <c r="WGW41" s="624"/>
      <c r="WGX41" s="624"/>
      <c r="WGY41" s="624"/>
      <c r="WGZ41" s="624"/>
      <c r="WHA41" s="624"/>
      <c r="WHB41" s="624"/>
      <c r="WHC41" s="624"/>
      <c r="WHD41" s="624"/>
      <c r="WHE41" s="624"/>
      <c r="WHF41" s="624"/>
      <c r="WHG41" s="624"/>
      <c r="WHH41" s="624"/>
      <c r="WHI41" s="624"/>
      <c r="WHJ41" s="624"/>
      <c r="WHK41" s="624"/>
      <c r="WHL41" s="624"/>
      <c r="WHM41" s="624"/>
      <c r="WHN41" s="624"/>
      <c r="WHO41" s="624"/>
      <c r="WHP41" s="624"/>
      <c r="WHQ41" s="624"/>
      <c r="WHR41" s="624"/>
      <c r="WHS41" s="624"/>
      <c r="WHT41" s="624"/>
      <c r="WHU41" s="624"/>
      <c r="WHV41" s="624"/>
      <c r="WHW41" s="624"/>
      <c r="WHX41" s="624"/>
      <c r="WHY41" s="624"/>
      <c r="WHZ41" s="624"/>
      <c r="WIA41" s="624"/>
      <c r="WIB41" s="624"/>
      <c r="WIC41" s="624"/>
      <c r="WID41" s="624"/>
      <c r="WIE41" s="624"/>
      <c r="WIF41" s="624"/>
      <c r="WIG41" s="624"/>
      <c r="WIH41" s="624"/>
      <c r="WII41" s="624"/>
      <c r="WIJ41" s="624"/>
      <c r="WIK41" s="624"/>
      <c r="WIL41" s="624"/>
      <c r="WIM41" s="624"/>
      <c r="WIN41" s="624"/>
      <c r="WIO41" s="624"/>
      <c r="WIP41" s="624"/>
      <c r="WIQ41" s="624"/>
      <c r="WIR41" s="624"/>
      <c r="WIS41" s="624"/>
      <c r="WIT41" s="624"/>
      <c r="WIU41" s="624"/>
      <c r="WIV41" s="624"/>
      <c r="WIW41" s="624"/>
      <c r="WIX41" s="624"/>
      <c r="WIY41" s="624"/>
      <c r="WIZ41" s="624"/>
      <c r="WJA41" s="624"/>
      <c r="WJB41" s="624"/>
      <c r="WJC41" s="624"/>
      <c r="WJD41" s="624"/>
      <c r="WJE41" s="624"/>
      <c r="WJF41" s="624"/>
      <c r="WJG41" s="624"/>
      <c r="WJH41" s="624"/>
      <c r="WJI41" s="624"/>
      <c r="WJJ41" s="624"/>
      <c r="WJK41" s="624"/>
      <c r="WJL41" s="624"/>
      <c r="WJM41" s="624"/>
      <c r="WJN41" s="624"/>
      <c r="WJO41" s="624"/>
      <c r="WJP41" s="624"/>
      <c r="WJQ41" s="624"/>
      <c r="WJR41" s="624"/>
      <c r="WJS41" s="624"/>
      <c r="WJT41" s="624"/>
      <c r="WJU41" s="624"/>
      <c r="WJV41" s="624"/>
      <c r="WJW41" s="624"/>
      <c r="WJX41" s="624"/>
      <c r="WJY41" s="624"/>
      <c r="WJZ41" s="624"/>
      <c r="WKA41" s="624"/>
      <c r="WKB41" s="624"/>
      <c r="WKC41" s="624"/>
      <c r="WKD41" s="624"/>
      <c r="WKE41" s="624"/>
      <c r="WKF41" s="624"/>
      <c r="WKG41" s="624"/>
      <c r="WKH41" s="624"/>
      <c r="WKI41" s="624"/>
      <c r="WKJ41" s="624"/>
      <c r="WKK41" s="624"/>
      <c r="WKL41" s="624"/>
      <c r="WKM41" s="624"/>
      <c r="WKN41" s="624"/>
      <c r="WKO41" s="624"/>
      <c r="WKP41" s="624"/>
      <c r="WKQ41" s="624"/>
      <c r="WKR41" s="624"/>
      <c r="WKS41" s="624"/>
      <c r="WKT41" s="624"/>
      <c r="WKU41" s="624"/>
      <c r="WKV41" s="624"/>
      <c r="WKW41" s="624"/>
      <c r="WKX41" s="624"/>
      <c r="WKY41" s="624"/>
      <c r="WKZ41" s="624"/>
      <c r="WLA41" s="624"/>
      <c r="WLB41" s="624"/>
      <c r="WLC41" s="624"/>
      <c r="WLD41" s="624"/>
      <c r="WLE41" s="624"/>
      <c r="WLF41" s="624"/>
      <c r="WLG41" s="624"/>
      <c r="WLH41" s="624"/>
      <c r="WLI41" s="624"/>
      <c r="WLJ41" s="624"/>
      <c r="WLK41" s="624"/>
      <c r="WLL41" s="624"/>
      <c r="WLM41" s="624"/>
      <c r="WLN41" s="624"/>
      <c r="WLO41" s="624"/>
      <c r="WLP41" s="624"/>
      <c r="WLQ41" s="624"/>
      <c r="WLR41" s="624"/>
      <c r="WLS41" s="624"/>
      <c r="WLT41" s="624"/>
      <c r="WLU41" s="624"/>
      <c r="WLV41" s="624"/>
      <c r="WLW41" s="624"/>
      <c r="WLX41" s="624"/>
      <c r="WLY41" s="624"/>
      <c r="WLZ41" s="624"/>
      <c r="WMA41" s="624"/>
      <c r="WMB41" s="624"/>
      <c r="WMC41" s="624"/>
      <c r="WMD41" s="624"/>
      <c r="WME41" s="624"/>
      <c r="WMF41" s="624"/>
      <c r="WMG41" s="624"/>
      <c r="WMH41" s="624"/>
      <c r="WMI41" s="624"/>
      <c r="WMJ41" s="624"/>
      <c r="WMK41" s="624"/>
      <c r="WML41" s="624"/>
      <c r="WMM41" s="624"/>
      <c r="WMN41" s="624"/>
      <c r="WMO41" s="624"/>
      <c r="WMP41" s="624"/>
      <c r="WMQ41" s="624"/>
      <c r="WMR41" s="624"/>
      <c r="WMS41" s="624"/>
      <c r="WMT41" s="624"/>
      <c r="WMU41" s="624"/>
      <c r="WMV41" s="624"/>
      <c r="WMW41" s="624"/>
      <c r="WMX41" s="624"/>
      <c r="WMY41" s="624"/>
      <c r="WMZ41" s="624"/>
      <c r="WNA41" s="624"/>
      <c r="WNB41" s="624"/>
      <c r="WNC41" s="624"/>
      <c r="WND41" s="624"/>
      <c r="WNE41" s="624"/>
      <c r="WNF41" s="624"/>
      <c r="WNG41" s="624"/>
      <c r="WNH41" s="624"/>
      <c r="WNI41" s="624"/>
      <c r="WNJ41" s="624"/>
      <c r="WNK41" s="624"/>
      <c r="WNL41" s="624"/>
      <c r="WNM41" s="624"/>
      <c r="WNN41" s="624"/>
      <c r="WNO41" s="624"/>
      <c r="WNP41" s="624"/>
      <c r="WNQ41" s="624"/>
      <c r="WNR41" s="624"/>
      <c r="WNS41" s="624"/>
      <c r="WNT41" s="624"/>
      <c r="WNU41" s="624"/>
      <c r="WNV41" s="624"/>
      <c r="WNW41" s="624"/>
      <c r="WNX41" s="624"/>
      <c r="WNY41" s="624"/>
      <c r="WNZ41" s="624"/>
      <c r="WOA41" s="624"/>
      <c r="WOB41" s="624"/>
      <c r="WOC41" s="624"/>
      <c r="WOD41" s="624"/>
      <c r="WOE41" s="624"/>
      <c r="WOF41" s="624"/>
      <c r="WOG41" s="624"/>
      <c r="WOH41" s="624"/>
      <c r="WOI41" s="624"/>
      <c r="WOJ41" s="624"/>
      <c r="WOK41" s="624"/>
      <c r="WOL41" s="624"/>
      <c r="WOM41" s="624"/>
      <c r="WON41" s="624"/>
      <c r="WOO41" s="624"/>
      <c r="WOP41" s="624"/>
      <c r="WOQ41" s="624"/>
      <c r="WOR41" s="624"/>
      <c r="WOS41" s="624"/>
      <c r="WOT41" s="624"/>
      <c r="WOU41" s="624"/>
      <c r="WOV41" s="624"/>
      <c r="WOW41" s="624"/>
      <c r="WOX41" s="624"/>
      <c r="WOY41" s="624"/>
      <c r="WOZ41" s="624"/>
      <c r="WPA41" s="624"/>
      <c r="WPB41" s="624"/>
      <c r="WPC41" s="624"/>
      <c r="WPD41" s="624"/>
      <c r="WPE41" s="624"/>
      <c r="WPF41" s="624"/>
      <c r="WPG41" s="624"/>
      <c r="WPH41" s="624"/>
      <c r="WPI41" s="624"/>
      <c r="WPJ41" s="624"/>
      <c r="WPK41" s="624"/>
      <c r="WPL41" s="624"/>
      <c r="WPM41" s="624"/>
      <c r="WPN41" s="624"/>
      <c r="WPO41" s="624"/>
      <c r="WPP41" s="624"/>
      <c r="WPQ41" s="624"/>
      <c r="WPR41" s="624"/>
      <c r="WPS41" s="624"/>
      <c r="WPT41" s="624"/>
      <c r="WPU41" s="624"/>
      <c r="WPV41" s="624"/>
      <c r="WPW41" s="624"/>
      <c r="WPX41" s="624"/>
      <c r="WPY41" s="624"/>
      <c r="WPZ41" s="624"/>
      <c r="WQA41" s="624"/>
      <c r="WQB41" s="624"/>
      <c r="WQC41" s="624"/>
      <c r="WQD41" s="624"/>
      <c r="WQE41" s="624"/>
      <c r="WQF41" s="624"/>
      <c r="WQG41" s="624"/>
      <c r="WQH41" s="624"/>
      <c r="WQI41" s="624"/>
      <c r="WQJ41" s="624"/>
      <c r="WQK41" s="624"/>
      <c r="WQL41" s="624"/>
      <c r="WQM41" s="624"/>
      <c r="WQN41" s="624"/>
      <c r="WQO41" s="624"/>
      <c r="WQP41" s="624"/>
      <c r="WQQ41" s="624"/>
      <c r="WQR41" s="624"/>
      <c r="WQS41" s="624"/>
      <c r="WQT41" s="624"/>
      <c r="WQU41" s="624"/>
      <c r="WQV41" s="624"/>
      <c r="WQW41" s="624"/>
      <c r="WQX41" s="624"/>
      <c r="WQY41" s="624"/>
      <c r="WQZ41" s="624"/>
      <c r="WRA41" s="624"/>
      <c r="WRB41" s="624"/>
      <c r="WRC41" s="624"/>
      <c r="WRD41" s="624"/>
      <c r="WRE41" s="624"/>
      <c r="WRF41" s="624"/>
      <c r="WRG41" s="624"/>
      <c r="WRH41" s="624"/>
      <c r="WRI41" s="624"/>
      <c r="WRJ41" s="624"/>
      <c r="WRK41" s="624"/>
      <c r="WRL41" s="624"/>
      <c r="WRM41" s="624"/>
      <c r="WRN41" s="624"/>
      <c r="WRO41" s="624"/>
      <c r="WRP41" s="624"/>
      <c r="WRQ41" s="624"/>
      <c r="WRR41" s="624"/>
      <c r="WRS41" s="624"/>
      <c r="WRT41" s="624"/>
      <c r="WRU41" s="624"/>
      <c r="WRV41" s="624"/>
      <c r="WRW41" s="624"/>
      <c r="WRX41" s="624"/>
      <c r="WRY41" s="624"/>
      <c r="WRZ41" s="624"/>
      <c r="WSA41" s="624"/>
      <c r="WSB41" s="624"/>
      <c r="WSC41" s="624"/>
      <c r="WSD41" s="624"/>
      <c r="WSE41" s="624"/>
      <c r="WSF41" s="624"/>
      <c r="WSG41" s="624"/>
      <c r="WSH41" s="624"/>
      <c r="WSI41" s="624"/>
      <c r="WSJ41" s="624"/>
      <c r="WSK41" s="624"/>
      <c r="WSL41" s="624"/>
      <c r="WSM41" s="624"/>
      <c r="WSN41" s="624"/>
      <c r="WSO41" s="624"/>
      <c r="WSP41" s="624"/>
      <c r="WSQ41" s="624"/>
      <c r="WSR41" s="624"/>
      <c r="WSS41" s="624"/>
      <c r="WST41" s="624"/>
      <c r="WSU41" s="624"/>
      <c r="WSV41" s="624"/>
      <c r="WSW41" s="624"/>
      <c r="WSX41" s="624"/>
      <c r="WSY41" s="624"/>
      <c r="WSZ41" s="624"/>
      <c r="WTA41" s="624"/>
      <c r="WTB41" s="624"/>
      <c r="WTC41" s="624"/>
      <c r="WTD41" s="624"/>
      <c r="WTE41" s="624"/>
      <c r="WTF41" s="624"/>
      <c r="WTG41" s="624"/>
      <c r="WTH41" s="624"/>
      <c r="WTI41" s="624"/>
      <c r="WTJ41" s="624"/>
      <c r="WTK41" s="624"/>
      <c r="WTL41" s="624"/>
      <c r="WTM41" s="624"/>
      <c r="WTN41" s="624"/>
      <c r="WTO41" s="624"/>
      <c r="WTP41" s="624"/>
      <c r="WTQ41" s="624"/>
      <c r="WTR41" s="624"/>
      <c r="WTS41" s="624"/>
      <c r="WTT41" s="624"/>
      <c r="WTU41" s="624"/>
      <c r="WTV41" s="624"/>
      <c r="WTW41" s="624"/>
      <c r="WTX41" s="624"/>
      <c r="WTY41" s="624"/>
      <c r="WTZ41" s="624"/>
      <c r="WUA41" s="624"/>
      <c r="WUB41" s="624"/>
      <c r="WUC41" s="624"/>
      <c r="WUD41" s="624"/>
      <c r="WUE41" s="624"/>
      <c r="WUF41" s="624"/>
      <c r="WUG41" s="624"/>
      <c r="WUH41" s="624"/>
      <c r="WUI41" s="624"/>
      <c r="WUJ41" s="624"/>
      <c r="WUK41" s="624"/>
      <c r="WUL41" s="624"/>
      <c r="WUM41" s="624"/>
      <c r="WUN41" s="624"/>
      <c r="WUO41" s="624"/>
      <c r="WUP41" s="624"/>
      <c r="WUQ41" s="624"/>
      <c r="WUR41" s="624"/>
      <c r="WUS41" s="624"/>
      <c r="WUT41" s="624"/>
      <c r="WUU41" s="624"/>
      <c r="WUV41" s="624"/>
      <c r="WUW41" s="624"/>
      <c r="WUX41" s="624"/>
      <c r="WUY41" s="624"/>
      <c r="WUZ41" s="624"/>
      <c r="WVA41" s="624"/>
      <c r="WVB41" s="624"/>
      <c r="WVC41" s="624"/>
      <c r="WVD41" s="624"/>
      <c r="WVE41" s="624"/>
      <c r="WVF41" s="624"/>
      <c r="WVG41" s="624"/>
      <c r="WVH41" s="624"/>
      <c r="WVI41" s="624"/>
      <c r="WVJ41" s="624"/>
      <c r="WVK41" s="624"/>
      <c r="WVL41" s="624"/>
      <c r="WVM41" s="624"/>
      <c r="WVN41" s="624"/>
      <c r="WVO41" s="624"/>
      <c r="WVP41" s="624"/>
      <c r="WVQ41" s="624"/>
      <c r="WVR41" s="624"/>
      <c r="WVS41" s="624"/>
      <c r="WVT41" s="624"/>
      <c r="WVU41" s="624"/>
      <c r="WVV41" s="624"/>
      <c r="WVW41" s="624"/>
      <c r="WVX41" s="624"/>
      <c r="WVY41" s="624"/>
      <c r="WVZ41" s="624"/>
      <c r="WWA41" s="624"/>
      <c r="WWB41" s="624"/>
      <c r="WWC41" s="624"/>
      <c r="WWD41" s="624"/>
      <c r="WWE41" s="624"/>
      <c r="WWF41" s="624"/>
      <c r="WWG41" s="624"/>
      <c r="WWH41" s="624"/>
      <c r="WWI41" s="624"/>
      <c r="WWJ41" s="624"/>
      <c r="WWK41" s="624"/>
      <c r="WWL41" s="624"/>
      <c r="WWM41" s="624"/>
      <c r="WWN41" s="624"/>
      <c r="WWO41" s="624"/>
      <c r="WWP41" s="624"/>
      <c r="WWQ41" s="624"/>
      <c r="WWR41" s="624"/>
      <c r="WWS41" s="624"/>
      <c r="WWT41" s="624"/>
      <c r="WWU41" s="624"/>
      <c r="WWV41" s="624"/>
      <c r="WWW41" s="624"/>
      <c r="WWX41" s="624"/>
      <c r="WWY41" s="624"/>
      <c r="WWZ41" s="624"/>
      <c r="WXA41" s="624"/>
      <c r="WXB41" s="624"/>
      <c r="WXC41" s="624"/>
      <c r="WXD41" s="624"/>
      <c r="WXE41" s="624"/>
      <c r="WXF41" s="624"/>
      <c r="WXG41" s="624"/>
      <c r="WXH41" s="624"/>
      <c r="WXI41" s="624"/>
      <c r="WXJ41" s="624"/>
      <c r="WXK41" s="624"/>
      <c r="WXL41" s="624"/>
      <c r="WXM41" s="624"/>
      <c r="WXN41" s="624"/>
      <c r="WXO41" s="624"/>
      <c r="WXP41" s="624"/>
      <c r="WXQ41" s="624"/>
      <c r="WXR41" s="624"/>
      <c r="WXS41" s="624"/>
      <c r="WXT41" s="624"/>
      <c r="WXU41" s="624"/>
      <c r="WXV41" s="624"/>
      <c r="WXW41" s="624"/>
      <c r="WXX41" s="624"/>
      <c r="WXY41" s="624"/>
      <c r="WXZ41" s="624"/>
      <c r="WYA41" s="624"/>
      <c r="WYB41" s="624"/>
      <c r="WYC41" s="624"/>
      <c r="WYD41" s="624"/>
      <c r="WYE41" s="624"/>
      <c r="WYF41" s="624"/>
      <c r="WYG41" s="624"/>
      <c r="WYH41" s="624"/>
      <c r="WYI41" s="624"/>
      <c r="WYJ41" s="624"/>
      <c r="WYK41" s="624"/>
      <c r="WYL41" s="624"/>
      <c r="WYM41" s="624"/>
      <c r="WYN41" s="624"/>
      <c r="WYO41" s="624"/>
      <c r="WYP41" s="624"/>
      <c r="WYQ41" s="624"/>
      <c r="WYR41" s="624"/>
      <c r="WYS41" s="624"/>
      <c r="WYT41" s="624"/>
      <c r="WYU41" s="624"/>
      <c r="WYV41" s="624"/>
      <c r="WYW41" s="624"/>
      <c r="WYX41" s="624"/>
      <c r="WYY41" s="624"/>
      <c r="WYZ41" s="624"/>
      <c r="WZA41" s="624"/>
      <c r="WZB41" s="624"/>
      <c r="WZC41" s="624"/>
      <c r="WZD41" s="624"/>
      <c r="WZE41" s="624"/>
      <c r="WZF41" s="624"/>
      <c r="WZG41" s="624"/>
      <c r="WZH41" s="624"/>
      <c r="WZI41" s="624"/>
      <c r="WZJ41" s="624"/>
      <c r="WZK41" s="624"/>
      <c r="WZL41" s="624"/>
      <c r="WZM41" s="624"/>
      <c r="WZN41" s="624"/>
      <c r="WZO41" s="624"/>
      <c r="WZP41" s="624"/>
      <c r="WZQ41" s="624"/>
      <c r="WZR41" s="624"/>
      <c r="WZS41" s="624"/>
      <c r="WZT41" s="624"/>
      <c r="WZU41" s="624"/>
      <c r="WZV41" s="624"/>
      <c r="WZW41" s="624"/>
      <c r="WZX41" s="624"/>
      <c r="WZY41" s="624"/>
      <c r="WZZ41" s="624"/>
      <c r="XAA41" s="624"/>
      <c r="XAB41" s="624"/>
      <c r="XAC41" s="624"/>
      <c r="XAD41" s="624"/>
      <c r="XAE41" s="624"/>
      <c r="XAF41" s="624"/>
      <c r="XAG41" s="624"/>
      <c r="XAH41" s="624"/>
      <c r="XAI41" s="624"/>
      <c r="XAJ41" s="624"/>
      <c r="XAK41" s="624"/>
      <c r="XAL41" s="624"/>
      <c r="XAM41" s="624"/>
      <c r="XAN41" s="624"/>
      <c r="XAO41" s="624"/>
      <c r="XAP41" s="624"/>
      <c r="XAQ41" s="624"/>
      <c r="XAR41" s="624"/>
      <c r="XAS41" s="624"/>
      <c r="XAT41" s="624"/>
      <c r="XAU41" s="624"/>
      <c r="XAV41" s="624"/>
      <c r="XAW41" s="624"/>
      <c r="XAX41" s="624"/>
      <c r="XAY41" s="624"/>
      <c r="XAZ41" s="624"/>
      <c r="XBA41" s="624"/>
      <c r="XBB41" s="624"/>
      <c r="XBC41" s="624"/>
      <c r="XBD41" s="624"/>
      <c r="XBE41" s="624"/>
      <c r="XBF41" s="624"/>
      <c r="XBG41" s="624"/>
      <c r="XBH41" s="624"/>
      <c r="XBI41" s="624"/>
      <c r="XBJ41" s="624"/>
      <c r="XBK41" s="624"/>
      <c r="XBL41" s="624"/>
      <c r="XBM41" s="624"/>
      <c r="XBN41" s="624"/>
      <c r="XBO41" s="624"/>
      <c r="XBP41" s="624"/>
      <c r="XBQ41" s="624"/>
      <c r="XBR41" s="624"/>
      <c r="XBS41" s="624"/>
      <c r="XBT41" s="624"/>
      <c r="XBU41" s="624"/>
      <c r="XBV41" s="624"/>
      <c r="XBW41" s="624"/>
      <c r="XBX41" s="624"/>
      <c r="XBY41" s="624"/>
      <c r="XBZ41" s="624"/>
      <c r="XCA41" s="624"/>
      <c r="XCB41" s="624"/>
      <c r="XCC41" s="624"/>
      <c r="XCD41" s="624"/>
      <c r="XCE41" s="624"/>
      <c r="XCF41" s="624"/>
      <c r="XCG41" s="624"/>
      <c r="XCH41" s="624"/>
      <c r="XCI41" s="624"/>
      <c r="XCJ41" s="624"/>
      <c r="XCK41" s="624"/>
      <c r="XCL41" s="624"/>
      <c r="XCM41" s="624"/>
      <c r="XCN41" s="624"/>
      <c r="XCO41" s="624"/>
      <c r="XCP41" s="624"/>
      <c r="XCQ41" s="624"/>
      <c r="XCR41" s="624"/>
      <c r="XCS41" s="624"/>
      <c r="XCT41" s="624"/>
      <c r="XCU41" s="624"/>
      <c r="XCV41" s="624"/>
      <c r="XCW41" s="624"/>
      <c r="XCX41" s="624"/>
      <c r="XCY41" s="624"/>
      <c r="XCZ41" s="624"/>
      <c r="XDA41" s="624"/>
      <c r="XDB41" s="624"/>
      <c r="XDC41" s="624"/>
      <c r="XDD41" s="624"/>
      <c r="XDE41" s="624"/>
      <c r="XDF41" s="624"/>
      <c r="XDG41" s="624"/>
      <c r="XDH41" s="624"/>
      <c r="XDI41" s="624"/>
      <c r="XDJ41" s="624"/>
      <c r="XDK41" s="624"/>
      <c r="XDL41" s="624"/>
      <c r="XDM41" s="624"/>
      <c r="XDN41" s="624"/>
      <c r="XDO41" s="624"/>
      <c r="XDP41" s="624"/>
      <c r="XDQ41" s="624"/>
      <c r="XDR41" s="624"/>
      <c r="XDS41" s="624"/>
      <c r="XDT41" s="624"/>
      <c r="XDU41" s="624"/>
      <c r="XDV41" s="624"/>
      <c r="XDW41" s="624"/>
      <c r="XDX41" s="624"/>
      <c r="XDY41" s="624"/>
      <c r="XDZ41" s="624"/>
      <c r="XEA41" s="624"/>
      <c r="XEB41" s="624"/>
      <c r="XEC41" s="624"/>
      <c r="XED41" s="624"/>
      <c r="XEE41" s="624"/>
      <c r="XEF41" s="624"/>
      <c r="XEG41" s="624"/>
      <c r="XEH41" s="624"/>
      <c r="XEI41" s="624"/>
      <c r="XEJ41" s="624"/>
      <c r="XEK41" s="624"/>
      <c r="XEL41" s="624"/>
      <c r="XEM41" s="624"/>
      <c r="XEN41" s="624"/>
      <c r="XEO41" s="624"/>
      <c r="XEP41" s="624"/>
      <c r="XEQ41" s="624"/>
      <c r="XER41" s="624"/>
      <c r="XES41" s="624"/>
      <c r="XET41" s="624"/>
      <c r="XEU41" s="624"/>
      <c r="XEV41" s="624"/>
      <c r="XEW41" s="624"/>
      <c r="XEX41" s="624"/>
      <c r="XEY41" s="624"/>
      <c r="XEZ41" s="624"/>
      <c r="XFA41" s="624"/>
      <c r="XFB41" s="624"/>
      <c r="XFC41" s="624"/>
      <c r="XFD41" s="624"/>
    </row>
    <row r="42" spans="2:16384" s="618" customFormat="1" hidden="1" outlineLevel="1">
      <c r="B42" s="644"/>
      <c r="D42" s="645"/>
      <c r="E42" s="645"/>
      <c r="F42" s="645"/>
      <c r="G42" s="645"/>
      <c r="H42" s="644"/>
      <c r="I42" s="645"/>
      <c r="J42" s="644"/>
      <c r="K42" s="645"/>
      <c r="L42" s="644"/>
      <c r="M42" s="644"/>
      <c r="N42" s="645"/>
      <c r="O42" s="645"/>
      <c r="P42" s="645"/>
      <c r="Q42" s="645"/>
      <c r="R42" s="644"/>
      <c r="S42" s="645"/>
      <c r="T42" s="644"/>
      <c r="U42" s="645"/>
      <c r="V42" s="645"/>
      <c r="W42" s="644"/>
      <c r="X42" s="645"/>
      <c r="Y42" s="645"/>
      <c r="Z42" s="645"/>
      <c r="AA42" s="645"/>
      <c r="AB42" s="644"/>
      <c r="AC42" s="645"/>
      <c r="AD42" s="645"/>
      <c r="AE42" s="645"/>
      <c r="AF42" s="645"/>
      <c r="AG42" s="644"/>
      <c r="AH42" s="645"/>
      <c r="AI42" s="645"/>
      <c r="AJ42" s="645"/>
      <c r="AK42" s="645"/>
      <c r="AL42" s="644"/>
      <c r="AM42" s="645"/>
      <c r="AN42" s="645"/>
      <c r="AO42" s="645"/>
      <c r="AP42" s="645"/>
      <c r="AQ42" s="644"/>
      <c r="AR42" s="645"/>
      <c r="AS42" s="645"/>
      <c r="AT42" s="645"/>
      <c r="AU42" s="645"/>
      <c r="AV42" s="644"/>
    </row>
    <row r="43" spans="2:16384" s="618" customFormat="1" hidden="1" outlineLevel="1">
      <c r="B43" s="644"/>
      <c r="D43" s="645"/>
      <c r="E43" s="645"/>
      <c r="F43" s="645"/>
      <c r="G43" s="645"/>
      <c r="H43" s="644"/>
      <c r="I43" s="645"/>
      <c r="J43" s="644"/>
      <c r="K43" s="645"/>
      <c r="L43" s="644"/>
      <c r="M43" s="644"/>
      <c r="N43" s="645"/>
      <c r="O43" s="645"/>
      <c r="P43" s="645"/>
      <c r="Q43" s="645"/>
      <c r="R43" s="644"/>
      <c r="S43" s="645"/>
      <c r="T43" s="644"/>
      <c r="U43" s="645"/>
      <c r="V43" s="645"/>
      <c r="W43" s="644"/>
      <c r="X43" s="645"/>
      <c r="Y43" s="645"/>
      <c r="Z43" s="645"/>
      <c r="AA43" s="645"/>
      <c r="AB43" s="644"/>
      <c r="AC43" s="645"/>
      <c r="AD43" s="645"/>
      <c r="AE43" s="645"/>
      <c r="AF43" s="645"/>
      <c r="AG43" s="644"/>
      <c r="AH43" s="645"/>
      <c r="AI43" s="645"/>
      <c r="AJ43" s="645"/>
      <c r="AK43" s="645"/>
      <c r="AL43" s="644"/>
      <c r="AM43" s="645"/>
      <c r="AN43" s="645"/>
      <c r="AO43" s="645"/>
      <c r="AP43" s="645"/>
      <c r="AQ43" s="644"/>
      <c r="AR43" s="645"/>
      <c r="AS43" s="645"/>
      <c r="AT43" s="645"/>
      <c r="AU43" s="645"/>
      <c r="AV43" s="644"/>
    </row>
    <row r="44" spans="2:16384" s="618" customFormat="1" hidden="1" outlineLevel="1">
      <c r="B44" s="644"/>
      <c r="D44" s="645"/>
      <c r="E44" s="645"/>
      <c r="F44" s="645"/>
      <c r="G44" s="645"/>
      <c r="H44" s="644"/>
      <c r="I44" s="645"/>
      <c r="J44" s="644"/>
      <c r="K44" s="645"/>
      <c r="L44" s="644" t="s">
        <v>379</v>
      </c>
      <c r="M44" s="644">
        <v>0</v>
      </c>
      <c r="N44" s="645"/>
      <c r="O44" s="645"/>
      <c r="P44" s="645"/>
      <c r="Q44" s="645"/>
      <c r="R44" s="644"/>
      <c r="S44" s="645"/>
      <c r="T44" s="644"/>
      <c r="U44" s="645"/>
      <c r="V44" s="645">
        <v>9</v>
      </c>
      <c r="W44" s="644"/>
      <c r="X44" s="645"/>
      <c r="Y44" s="645"/>
      <c r="Z44" s="645"/>
      <c r="AA44" s="645"/>
      <c r="AB44" s="644"/>
      <c r="AC44" s="645"/>
      <c r="AD44" s="645"/>
      <c r="AE44" s="645"/>
      <c r="AF44" s="645">
        <v>23</v>
      </c>
      <c r="AG44" s="644"/>
      <c r="AH44" s="645"/>
      <c r="AI44" s="645"/>
      <c r="AJ44" s="645"/>
      <c r="AK44" s="645"/>
      <c r="AL44" s="644"/>
      <c r="AM44" s="645"/>
      <c r="AN44" s="645"/>
      <c r="AO44" s="645"/>
      <c r="AP44" s="645"/>
      <c r="AQ44" s="644"/>
      <c r="AR44" s="645"/>
      <c r="AS44" s="645"/>
      <c r="AT44" s="645"/>
      <c r="AU44" s="645"/>
      <c r="AV44" s="644"/>
    </row>
    <row r="45" spans="2:16384" s="618" customFormat="1" ht="15.2" hidden="1" customHeight="1" outlineLevel="1"/>
    <row r="46" spans="2:16384" s="618" customFormat="1" ht="15.2" hidden="1" customHeight="1" outlineLevel="1" thickBot="1"/>
    <row r="47" spans="2:16384" s="618" customFormat="1" ht="15.2" hidden="1" customHeight="1" outlineLevel="1" thickBot="1">
      <c r="AC47" s="646"/>
      <c r="AD47" s="646"/>
      <c r="AE47" s="646"/>
      <c r="AF47" s="646"/>
      <c r="AG47" s="809"/>
      <c r="AH47" s="809"/>
      <c r="AI47" s="809"/>
      <c r="AJ47" s="809"/>
      <c r="AK47" s="809"/>
      <c r="AL47" s="644"/>
      <c r="AM47" s="809"/>
      <c r="AN47" s="809"/>
      <c r="AO47" s="809"/>
      <c r="AP47" s="809"/>
      <c r="AQ47" s="644"/>
      <c r="AR47" s="809"/>
      <c r="AS47" s="809"/>
      <c r="AT47" s="809"/>
      <c r="AU47" s="809"/>
      <c r="AV47" s="644"/>
    </row>
    <row r="48" spans="2:16384" ht="15.2" hidden="1" customHeight="1" outlineLevel="1">
      <c r="AC48" s="624"/>
      <c r="AD48" s="624"/>
      <c r="AE48" s="624"/>
      <c r="AF48" s="624"/>
      <c r="AK48" s="624"/>
      <c r="AP48" s="624"/>
      <c r="AU48" s="624"/>
    </row>
    <row r="49" spans="8:27" ht="15.2" hidden="1" customHeight="1" outlineLevel="1"/>
    <row r="50" spans="8:27" ht="15.2" hidden="1" customHeight="1" outlineLevel="1">
      <c r="S50" s="647"/>
      <c r="T50" s="647"/>
      <c r="U50" s="647"/>
      <c r="V50" s="647"/>
      <c r="W50" s="647"/>
      <c r="X50" s="647"/>
      <c r="Y50" s="647"/>
      <c r="Z50" s="647"/>
      <c r="AA50" s="647"/>
    </row>
    <row r="51" spans="8:27" ht="15.2" hidden="1" customHeight="1" outlineLevel="1">
      <c r="R51" s="617"/>
      <c r="S51" s="648"/>
      <c r="T51" s="648"/>
      <c r="U51" s="648"/>
      <c r="V51" s="648"/>
      <c r="W51" s="649"/>
      <c r="X51" s="649"/>
      <c r="Y51" s="649"/>
      <c r="Z51" s="649"/>
      <c r="AA51" s="649"/>
    </row>
    <row r="52" spans="8:27" ht="15.2" hidden="1" customHeight="1" outlineLevel="1">
      <c r="M52" s="558">
        <v>2018</v>
      </c>
      <c r="N52" s="558">
        <v>2020</v>
      </c>
      <c r="R52" s="617"/>
    </row>
    <row r="53" spans="8:27" ht="15.2" hidden="1" customHeight="1" outlineLevel="1">
      <c r="H53" s="558" t="s">
        <v>382</v>
      </c>
      <c r="M53" s="558">
        <v>0</v>
      </c>
      <c r="N53" s="558">
        <v>9</v>
      </c>
    </row>
    <row r="54" spans="8:27" ht="15.2" hidden="1" customHeight="1" outlineLevel="1">
      <c r="H54" s="558" t="s">
        <v>381</v>
      </c>
      <c r="M54" s="558">
        <v>7</v>
      </c>
      <c r="N54" s="558">
        <v>30</v>
      </c>
    </row>
    <row r="55" spans="8:27" ht="15.2" hidden="1" customHeight="1" outlineLevel="1">
      <c r="H55" s="558" t="s">
        <v>380</v>
      </c>
      <c r="M55" s="558">
        <v>27</v>
      </c>
      <c r="N55" s="558">
        <v>63</v>
      </c>
    </row>
    <row r="56" spans="8:27" ht="15.2" hidden="1" customHeight="1" outlineLevel="1">
      <c r="H56" s="558" t="s">
        <v>376</v>
      </c>
      <c r="M56" s="558">
        <v>77</v>
      </c>
      <c r="N56" s="558">
        <v>141</v>
      </c>
    </row>
    <row r="57" spans="8:27" ht="15.2" hidden="1" customHeight="1" outlineLevel="1">
      <c r="H57" s="558" t="s">
        <v>375</v>
      </c>
      <c r="M57" s="558">
        <v>137</v>
      </c>
      <c r="N57" s="558">
        <v>262</v>
      </c>
    </row>
    <row r="58" spans="8:27" ht="15.2" hidden="1" customHeight="1" outlineLevel="1"/>
    <row r="59" spans="8:27" ht="15.2" hidden="1" customHeight="1" outlineLevel="1"/>
    <row r="60" spans="8:27" ht="15.2" hidden="1" customHeight="1" outlineLevel="1"/>
    <row r="61" spans="8:27" ht="15.2" hidden="1" customHeight="1" outlineLevel="1"/>
    <row r="62" spans="8:27" ht="15.2" hidden="1" customHeight="1" outlineLevel="1"/>
    <row r="63" spans="8:27" ht="15.2" hidden="1" customHeight="1" outlineLevel="1"/>
    <row r="64" spans="8:27" ht="15.2" hidden="1" customHeight="1" outlineLevel="1"/>
    <row r="65" ht="15.2" hidden="1" customHeight="1" outlineLevel="1"/>
    <row r="66" ht="15.2" hidden="1" customHeight="1" outlineLevel="1"/>
    <row r="67" ht="15.2" hidden="1" customHeight="1" outlineLevel="1"/>
    <row r="68" ht="15.2" hidden="1" customHeight="1" outlineLevel="1"/>
    <row r="69" ht="15.2" hidden="1" customHeight="1" outlineLevel="1"/>
    <row r="70" ht="15.2" hidden="1" customHeight="1" outlineLevel="1"/>
    <row r="71" ht="15.2" hidden="1" customHeight="1" outlineLevel="1"/>
    <row r="72" ht="15.2" hidden="1" customHeight="1" outlineLevel="1"/>
    <row r="73" ht="15.2" hidden="1" customHeight="1" outlineLevel="1"/>
    <row r="74" ht="15.2" hidden="1" customHeight="1" outlineLevel="1"/>
    <row r="75" ht="15.2" hidden="1" customHeight="1" collapsed="1"/>
    <row r="76" ht="15.2" hidden="1" customHeight="1"/>
    <row r="77" ht="15.2" customHeight="1"/>
    <row r="78" ht="15.2" customHeight="1"/>
    <row r="79" ht="15.2" customHeight="1"/>
    <row r="80" ht="15.2" customHeight="1"/>
    <row r="81" ht="15.2" customHeight="1"/>
    <row r="82" ht="15.2" customHeight="1"/>
  </sheetData>
  <pageMargins left="0.17" right="0.17" top="0.75" bottom="0.75" header="0.3" footer="0.3"/>
  <pageSetup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9479D-44B2-4D68-8820-83C09BFE67B5}">
  <dimension ref="B1:AE42"/>
  <sheetViews>
    <sheetView showGridLines="0" topLeftCell="A27" zoomScaleNormal="100" workbookViewId="0">
      <selection activeCell="E33" sqref="E33"/>
    </sheetView>
  </sheetViews>
  <sheetFormatPr defaultColWidth="8.625" defaultRowHeight="14.25" outlineLevelCol="2"/>
  <cols>
    <col min="1" max="1" width="1.625" style="469" customWidth="1"/>
    <col min="2" max="2" width="18.125" style="469" customWidth="1" outlineLevel="1"/>
    <col min="3" max="3" width="8.625" style="469" customWidth="1" outlineLevel="1"/>
    <col min="4" max="4" width="8.625" style="469" customWidth="1"/>
    <col min="5" max="5" width="22.625" style="469" bestFit="1" customWidth="1"/>
    <col min="6" max="9" width="8.625" style="469" hidden="1" customWidth="1" outlineLevel="1"/>
    <col min="10" max="10" width="8.625" style="469" collapsed="1"/>
    <col min="11" max="14" width="8.625" style="469" hidden="1" customWidth="1" outlineLevel="1"/>
    <col min="15" max="15" width="8.625" style="469" collapsed="1"/>
    <col min="16" max="19" width="8.625" style="469" hidden="1" customWidth="1" outlineLevel="1"/>
    <col min="20" max="20" width="8.625" style="469" collapsed="1"/>
    <col min="21" max="24" width="8.625" style="469" hidden="1" customWidth="1" outlineLevel="2"/>
    <col min="25" max="25" width="8.625" style="469" collapsed="1"/>
    <col min="26" max="29" width="0" style="469" hidden="1" customWidth="1" outlineLevel="1"/>
    <col min="30" max="30" width="8.625" style="469" collapsed="1"/>
    <col min="31" max="31" width="9.5" style="469" customWidth="1"/>
    <col min="32" max="16384" width="8.625" style="469"/>
  </cols>
  <sheetData>
    <row r="1" spans="2:31" ht="10.5" customHeight="1"/>
    <row r="2" spans="2:31" ht="14.65" customHeight="1">
      <c r="Y2" s="469" t="s">
        <v>428</v>
      </c>
    </row>
    <row r="3" spans="2:31" ht="14.65" customHeight="1">
      <c r="B3" s="900" t="s">
        <v>267</v>
      </c>
      <c r="C3" s="901" t="s">
        <v>397</v>
      </c>
      <c r="E3" s="900" t="s">
        <v>268</v>
      </c>
    </row>
    <row r="4" spans="2:31" ht="5.45" customHeight="1">
      <c r="E4" s="900"/>
    </row>
    <row r="5" spans="2:31" ht="14.65" customHeight="1">
      <c r="B5" s="469" t="s">
        <v>227</v>
      </c>
      <c r="C5" s="902" t="e">
        <f ca="1">_xll.FDSZ(C3,"P_PRICE(NOW)")</f>
        <v>#NAME?</v>
      </c>
      <c r="E5" s="903" t="s">
        <v>269</v>
      </c>
      <c r="F5" s="904"/>
      <c r="G5" s="904"/>
      <c r="H5" s="904"/>
      <c r="I5" s="904"/>
      <c r="J5" s="904">
        <v>43830</v>
      </c>
      <c r="K5" s="904"/>
      <c r="L5" s="904"/>
      <c r="M5" s="904"/>
      <c r="N5" s="904"/>
      <c r="O5" s="904">
        <f>J5+365</f>
        <v>44195</v>
      </c>
      <c r="P5" s="904"/>
      <c r="Q5" s="904"/>
      <c r="R5" s="904"/>
      <c r="S5" s="904"/>
      <c r="T5" s="905">
        <f>O5+365</f>
        <v>44560</v>
      </c>
      <c r="U5" s="903"/>
      <c r="V5" s="903"/>
      <c r="W5" s="903"/>
      <c r="X5" s="903"/>
      <c r="Y5" s="905">
        <f>T5+365</f>
        <v>44925</v>
      </c>
      <c r="Z5" s="905"/>
      <c r="AA5" s="905"/>
      <c r="AB5" s="905"/>
      <c r="AC5" s="905"/>
      <c r="AD5" s="905">
        <f>Y5+365</f>
        <v>45290</v>
      </c>
      <c r="AE5" s="906" t="s">
        <v>270</v>
      </c>
    </row>
    <row r="6" spans="2:31" ht="14.65" customHeight="1">
      <c r="B6" s="469" t="s">
        <v>271</v>
      </c>
      <c r="C6" s="907">
        <v>1000</v>
      </c>
      <c r="E6" s="469" t="s">
        <v>123</v>
      </c>
      <c r="F6" s="908"/>
      <c r="G6" s="908"/>
      <c r="H6" s="908"/>
      <c r="I6" s="908"/>
      <c r="J6" s="908">
        <f>IS!H11/V!$C$6</f>
        <v>48.555999999999997</v>
      </c>
      <c r="K6" s="908"/>
      <c r="L6" s="908"/>
      <c r="M6" s="908"/>
      <c r="N6" s="908"/>
      <c r="O6" s="908">
        <f>IS!M11/V!$C$6</f>
        <v>68.444000000000003</v>
      </c>
      <c r="P6" s="908"/>
      <c r="Q6" s="908"/>
      <c r="R6" s="908"/>
      <c r="S6" s="908"/>
      <c r="T6" s="908">
        <f>IS!R11/V!$C$6</f>
        <v>114.342</v>
      </c>
      <c r="Y6" s="908">
        <f>IS!W11/V!$C$6</f>
        <v>135.19</v>
      </c>
      <c r="Z6" s="908"/>
      <c r="AA6" s="908"/>
      <c r="AB6" s="908"/>
      <c r="AC6" s="908"/>
      <c r="AD6" s="908">
        <f>IS!AB11/V!$C$6</f>
        <v>138.09</v>
      </c>
    </row>
    <row r="7" spans="2:31">
      <c r="B7" s="909" t="s">
        <v>272</v>
      </c>
      <c r="C7" s="910">
        <v>4.5</v>
      </c>
      <c r="E7" s="469" t="s">
        <v>273</v>
      </c>
      <c r="F7" s="908"/>
      <c r="G7" s="908"/>
      <c r="H7" s="908"/>
      <c r="I7" s="908"/>
      <c r="J7" s="908">
        <f>IS!H15/V!$C$6</f>
        <v>34.106000000000002</v>
      </c>
      <c r="K7" s="908"/>
      <c r="L7" s="908"/>
      <c r="M7" s="908"/>
      <c r="N7" s="908"/>
      <c r="O7" s="908">
        <f>IS!M15/V!$C$6</f>
        <v>48.023000000000003</v>
      </c>
      <c r="P7" s="908"/>
      <c r="Q7" s="908"/>
      <c r="R7" s="908"/>
      <c r="S7" s="908"/>
      <c r="T7" s="908">
        <f>IS!R15/V!$C$6</f>
        <v>83.301000000000002</v>
      </c>
      <c r="Y7" s="908">
        <f>IS!W15/V!$C$6</f>
        <v>101.965</v>
      </c>
      <c r="Z7" s="908"/>
      <c r="AA7" s="908"/>
      <c r="AB7" s="908"/>
      <c r="AC7" s="908"/>
      <c r="AD7" s="908">
        <f>IS!AB15/V!$C$6</f>
        <v>104.178</v>
      </c>
    </row>
    <row r="8" spans="2:31">
      <c r="B8" s="469" t="s">
        <v>274</v>
      </c>
      <c r="C8" s="911">
        <f>AE25</f>
        <v>14.609311391706342</v>
      </c>
      <c r="E8" s="469" t="s">
        <v>275</v>
      </c>
      <c r="F8" s="908"/>
      <c r="G8" s="908"/>
      <c r="H8" s="908"/>
      <c r="I8" s="908"/>
      <c r="J8" s="908">
        <f>IS!H27/V!$C$6</f>
        <v>-26.23</v>
      </c>
      <c r="K8" s="908"/>
      <c r="L8" s="908"/>
      <c r="M8" s="908"/>
      <c r="N8" s="908"/>
      <c r="O8" s="908">
        <f>IS!M27/V!$C$6</f>
        <v>-21.565000000000001</v>
      </c>
      <c r="P8" s="908"/>
      <c r="Q8" s="908"/>
      <c r="R8" s="908"/>
      <c r="S8" s="908"/>
      <c r="T8" s="908">
        <f>IS!R27/V!$C$6</f>
        <v>-18.225999999999999</v>
      </c>
      <c r="Y8" s="908">
        <f>IS!W27/V!$C$6</f>
        <v>-48.018000000000001</v>
      </c>
      <c r="Z8" s="908"/>
      <c r="AA8" s="908"/>
      <c r="AB8" s="908"/>
      <c r="AC8" s="908"/>
      <c r="AD8" s="908">
        <f>IS!AB27/V!$C$6</f>
        <v>-30.523</v>
      </c>
    </row>
    <row r="9" spans="2:31">
      <c r="B9" s="469" t="s">
        <v>276</v>
      </c>
      <c r="C9" s="912" t="e">
        <f ca="1">C8/C5-1</f>
        <v>#NAME?</v>
      </c>
      <c r="E9" s="469" t="s">
        <v>277</v>
      </c>
      <c r="F9" s="908"/>
      <c r="G9" s="908"/>
      <c r="H9" s="908"/>
      <c r="I9" s="908"/>
      <c r="J9" s="908">
        <f>IS!H50/V!$C$6</f>
        <v>-25.428000000000001</v>
      </c>
      <c r="K9" s="908"/>
      <c r="L9" s="908"/>
      <c r="M9" s="908"/>
      <c r="N9" s="908"/>
      <c r="O9" s="908">
        <f>IS!M50/V!$C$6</f>
        <v>-19.940999999999999</v>
      </c>
      <c r="P9" s="908"/>
      <c r="Q9" s="908"/>
      <c r="R9" s="908"/>
      <c r="S9" s="908"/>
      <c r="T9" s="908">
        <f>IS!R50/V!$C$6</f>
        <v>-16.391999999999999</v>
      </c>
      <c r="Y9" s="908">
        <f>IS!W50/V!$C$6</f>
        <v>-44.524000000000001</v>
      </c>
      <c r="Z9" s="908"/>
      <c r="AA9" s="908"/>
      <c r="AB9" s="908"/>
      <c r="AC9" s="908"/>
      <c r="AD9" s="908">
        <f>IS!AB50/V!$C$6</f>
        <v>-25.893999999999998</v>
      </c>
    </row>
    <row r="10" spans="2:31" s="913" customFormat="1" ht="14.65" customHeight="1">
      <c r="E10" s="913" t="s">
        <v>139</v>
      </c>
      <c r="F10" s="914"/>
      <c r="G10" s="914"/>
      <c r="H10" s="914"/>
      <c r="I10" s="914"/>
      <c r="J10" s="915">
        <f>IS!H65</f>
        <v>-0.39799693503196543</v>
      </c>
      <c r="K10" s="914"/>
      <c r="L10" s="914"/>
      <c r="M10" s="914"/>
      <c r="N10" s="914"/>
      <c r="O10" s="915">
        <f>IS!M65</f>
        <v>-0.33824164302454668</v>
      </c>
      <c r="P10" s="914"/>
      <c r="Q10" s="914"/>
      <c r="R10" s="914"/>
      <c r="S10" s="914"/>
      <c r="T10" s="915">
        <f>IS!R65</f>
        <v>-0.40359859803272335</v>
      </c>
      <c r="Y10" s="915">
        <f>IS!W65</f>
        <v>-0.80280962004332357</v>
      </c>
      <c r="Z10" s="915"/>
      <c r="AA10" s="915"/>
      <c r="AB10" s="915"/>
      <c r="AC10" s="915"/>
      <c r="AD10" s="915">
        <f>IS!AB65</f>
        <v>-0.37979253491718867</v>
      </c>
    </row>
    <row r="11" spans="2:31" s="913" customFormat="1" ht="20.25" customHeight="1">
      <c r="E11" s="913" t="s">
        <v>170</v>
      </c>
      <c r="F11" s="916"/>
      <c r="G11" s="916"/>
      <c r="H11" s="916"/>
      <c r="I11" s="916"/>
      <c r="J11" s="916">
        <f>CF!H36/V!$C$6</f>
        <v>-30.623999999999999</v>
      </c>
      <c r="K11" s="916"/>
      <c r="L11" s="916"/>
      <c r="M11" s="916"/>
      <c r="N11" s="916"/>
      <c r="O11" s="916">
        <f>CF!M36/V!$C$6</f>
        <v>-24.616</v>
      </c>
      <c r="P11" s="916"/>
      <c r="Q11" s="916"/>
      <c r="R11" s="916"/>
      <c r="S11" s="916"/>
      <c r="T11" s="916">
        <f>CF!R36/V!$C$6</f>
        <v>-24.748999999999999</v>
      </c>
      <c r="Y11" s="916">
        <f>CF!W36/V!$C$6</f>
        <v>-50.392000000000003</v>
      </c>
      <c r="Z11" s="916"/>
      <c r="AA11" s="916"/>
      <c r="AB11" s="916"/>
      <c r="AC11" s="916"/>
      <c r="AD11" s="916">
        <f>CF!AB36/V!$C$6</f>
        <v>-30.39</v>
      </c>
    </row>
    <row r="12" spans="2:31">
      <c r="B12" s="900" t="s">
        <v>278</v>
      </c>
      <c r="E12" s="903" t="s">
        <v>279</v>
      </c>
      <c r="F12" s="903"/>
      <c r="G12" s="903"/>
      <c r="H12" s="903"/>
      <c r="I12" s="903"/>
      <c r="J12" s="903"/>
      <c r="K12" s="903"/>
      <c r="L12" s="903"/>
      <c r="M12" s="903"/>
      <c r="N12" s="903"/>
      <c r="O12" s="903"/>
      <c r="P12" s="903"/>
      <c r="Q12" s="903"/>
      <c r="R12" s="903"/>
      <c r="S12" s="903"/>
      <c r="T12" s="903"/>
      <c r="U12" s="903"/>
      <c r="V12" s="903"/>
      <c r="W12" s="903"/>
      <c r="X12" s="903"/>
      <c r="Y12" s="903"/>
      <c r="Z12" s="903"/>
      <c r="AA12" s="903"/>
      <c r="AB12" s="903"/>
      <c r="AC12" s="903"/>
      <c r="AD12" s="903"/>
      <c r="AE12" s="903"/>
    </row>
    <row r="13" spans="2:31">
      <c r="B13" s="469" t="s">
        <v>280</v>
      </c>
      <c r="C13" s="917">
        <v>10</v>
      </c>
      <c r="E13" s="469" t="s">
        <v>281</v>
      </c>
      <c r="F13" s="918"/>
      <c r="G13" s="918"/>
      <c r="H13" s="918"/>
      <c r="I13" s="918"/>
      <c r="J13" s="918" t="e">
        <f ca="1">J24/J6</f>
        <v>#NAME?</v>
      </c>
      <c r="K13" s="918"/>
      <c r="L13" s="918"/>
      <c r="M13" s="918"/>
      <c r="N13" s="918"/>
      <c r="O13" s="918" t="e">
        <f ca="1">O24/O6</f>
        <v>#NAME?</v>
      </c>
      <c r="P13" s="918"/>
      <c r="Q13" s="918"/>
      <c r="R13" s="918"/>
      <c r="S13" s="918"/>
      <c r="T13" s="918" t="e">
        <f ca="1">T24/T6</f>
        <v>#NAME?</v>
      </c>
      <c r="U13" s="918"/>
      <c r="V13" s="918"/>
      <c r="W13" s="918"/>
      <c r="X13" s="918"/>
      <c r="Y13" s="918" t="e">
        <f ca="1">Y24/Y6</f>
        <v>#NAME?</v>
      </c>
      <c r="Z13" s="918"/>
      <c r="AA13" s="918"/>
      <c r="AB13" s="918"/>
      <c r="AC13" s="918"/>
      <c r="AD13" s="918" t="e">
        <f ca="1">AD24/AD6</f>
        <v>#NAME?</v>
      </c>
      <c r="AE13" s="919">
        <f>C7</f>
        <v>4.5</v>
      </c>
    </row>
    <row r="14" spans="2:31">
      <c r="B14" s="469" t="s">
        <v>272</v>
      </c>
      <c r="C14" s="917">
        <v>12</v>
      </c>
      <c r="E14" s="469" t="s">
        <v>282</v>
      </c>
      <c r="F14" s="918"/>
      <c r="G14" s="918"/>
      <c r="H14" s="918"/>
      <c r="I14" s="918"/>
      <c r="J14" s="918" t="e">
        <f ca="1">J24/J7</f>
        <v>#NAME?</v>
      </c>
      <c r="K14" s="918"/>
      <c r="L14" s="918"/>
      <c r="M14" s="918"/>
      <c r="N14" s="918"/>
      <c r="O14" s="918" t="e">
        <f ca="1">O24/O7</f>
        <v>#NAME?</v>
      </c>
      <c r="P14" s="918"/>
      <c r="Q14" s="918"/>
      <c r="R14" s="918"/>
      <c r="S14" s="918"/>
      <c r="T14" s="918" t="e">
        <f ca="1">T24/T7</f>
        <v>#NAME?</v>
      </c>
      <c r="U14" s="918"/>
      <c r="V14" s="918"/>
      <c r="W14" s="918"/>
      <c r="X14" s="918"/>
      <c r="Y14" s="918" t="e">
        <f ca="1">Y24/Y7</f>
        <v>#NAME?</v>
      </c>
      <c r="Z14" s="918"/>
      <c r="AA14" s="918"/>
      <c r="AB14" s="918"/>
      <c r="AC14" s="918"/>
      <c r="AD14" s="918" t="e">
        <f ca="1">AD24/AD7</f>
        <v>#NAME?</v>
      </c>
      <c r="AE14" s="918">
        <f>AE24/Y7</f>
        <v>5.9663119697935567</v>
      </c>
    </row>
    <row r="15" spans="2:31">
      <c r="B15" s="469" t="s">
        <v>283</v>
      </c>
      <c r="C15" s="917">
        <v>14</v>
      </c>
      <c r="E15" s="469" t="s">
        <v>284</v>
      </c>
      <c r="F15" s="918"/>
      <c r="G15" s="918"/>
      <c r="H15" s="918"/>
      <c r="I15" s="918"/>
      <c r="J15" s="918" t="str">
        <f>IF(J8&gt;0, J24/J8, "NM ")</f>
        <v xml:space="preserve">NM </v>
      </c>
      <c r="K15" s="918"/>
      <c r="L15" s="918"/>
      <c r="M15" s="918"/>
      <c r="N15" s="918"/>
      <c r="O15" s="918" t="str">
        <f>IF(O8&gt;0, O24/O8, "NM ")</f>
        <v xml:space="preserve">NM </v>
      </c>
      <c r="P15" s="918"/>
      <c r="Q15" s="918"/>
      <c r="R15" s="918"/>
      <c r="S15" s="918"/>
      <c r="T15" s="918" t="str">
        <f>IF(T8&gt;0, T24/T8, "NM ")</f>
        <v xml:space="preserve">NM </v>
      </c>
      <c r="U15" s="918"/>
      <c r="V15" s="918"/>
      <c r="W15" s="918"/>
      <c r="X15" s="918"/>
      <c r="Y15" s="918" t="str">
        <f>IF(Y8&gt;0, Y24/Y8, "NM ")</f>
        <v xml:space="preserve">NM </v>
      </c>
      <c r="Z15" s="918"/>
      <c r="AA15" s="918"/>
      <c r="AB15" s="918"/>
      <c r="AC15" s="918"/>
      <c r="AD15" s="918" t="str">
        <f>IF(AD8&gt;0, AD24/AD8, "NM ")</f>
        <v xml:space="preserve">NM </v>
      </c>
      <c r="AE15" s="918" t="str">
        <f>IF(Y8&gt;0, AE24/Y8, "NM ")</f>
        <v xml:space="preserve">NM </v>
      </c>
    </row>
    <row r="16" spans="2:31">
      <c r="E16" s="469" t="s">
        <v>285</v>
      </c>
      <c r="F16" s="918"/>
      <c r="G16" s="918"/>
      <c r="H16" s="918"/>
      <c r="I16" s="918"/>
      <c r="J16" s="918" t="str">
        <f>IF(J9&gt;0, J24/J9, "NM ")</f>
        <v xml:space="preserve">NM </v>
      </c>
      <c r="K16" s="918"/>
      <c r="L16" s="918"/>
      <c r="M16" s="918"/>
      <c r="N16" s="918"/>
      <c r="O16" s="918" t="str">
        <f>IF(O9&gt;0, O24/O9, "NM ")</f>
        <v xml:space="preserve">NM </v>
      </c>
      <c r="P16" s="918"/>
      <c r="Q16" s="918"/>
      <c r="R16" s="918"/>
      <c r="S16" s="918"/>
      <c r="T16" s="918" t="str">
        <f>IF(T9&gt;0, T24/T9, "NM ")</f>
        <v xml:space="preserve">NM </v>
      </c>
      <c r="U16" s="918"/>
      <c r="V16" s="918"/>
      <c r="W16" s="918"/>
      <c r="X16" s="918"/>
      <c r="Y16" s="918" t="str">
        <f>IF(Y9&gt;0, Y24/Y9, "NM ")</f>
        <v xml:space="preserve">NM </v>
      </c>
      <c r="Z16" s="918"/>
      <c r="AA16" s="918"/>
      <c r="AB16" s="918"/>
      <c r="AC16" s="918"/>
      <c r="AD16" s="918" t="str">
        <f>IF(AD9&gt;0, AD24/AD9, "NM ")</f>
        <v xml:space="preserve">NM </v>
      </c>
      <c r="AE16" s="918" t="str">
        <f>IF(Y9&gt;0, AE24/Y9, "NM ")</f>
        <v xml:space="preserve">NM </v>
      </c>
    </row>
    <row r="17" spans="2:31" s="913" customFormat="1" ht="14.65" customHeight="1">
      <c r="E17" s="913" t="s">
        <v>286</v>
      </c>
      <c r="F17" s="920"/>
      <c r="G17" s="920"/>
      <c r="H17" s="920"/>
      <c r="I17" s="920"/>
      <c r="J17" s="920" t="str">
        <f>IF(J10&gt;0, $C$5/J10, "NM ")</f>
        <v xml:space="preserve">NM </v>
      </c>
      <c r="K17" s="920"/>
      <c r="L17" s="920"/>
      <c r="M17" s="920"/>
      <c r="N17" s="920"/>
      <c r="O17" s="920" t="str">
        <f>IF(O10&gt;0, $C$5/O10, "NM ")</f>
        <v xml:space="preserve">NM </v>
      </c>
      <c r="P17" s="920"/>
      <c r="Q17" s="920"/>
      <c r="R17" s="920"/>
      <c r="S17" s="920"/>
      <c r="T17" s="920" t="str">
        <f>IF(T10&gt;0, $C$5/T10, "NM ")</f>
        <v xml:space="preserve">NM </v>
      </c>
      <c r="U17" s="920"/>
      <c r="V17" s="920"/>
      <c r="W17" s="920"/>
      <c r="X17" s="920"/>
      <c r="Y17" s="920" t="str">
        <f>IF(Y10&gt;0, $C$5/Y10, "NM ")</f>
        <v xml:space="preserve">NM </v>
      </c>
      <c r="Z17" s="920"/>
      <c r="AA17" s="920"/>
      <c r="AB17" s="920"/>
      <c r="AC17" s="920"/>
      <c r="AD17" s="920" t="str">
        <f>IF(AD10&gt;0, $C$5/AD10, "NM ")</f>
        <v xml:space="preserve">NM </v>
      </c>
      <c r="AE17" s="920" t="str">
        <f>IF(Y10&gt;0, $C$5/Y10, "NM ")</f>
        <v xml:space="preserve">NM </v>
      </c>
    </row>
    <row r="18" spans="2:31" s="913" customFormat="1" ht="20.25" customHeight="1">
      <c r="E18" s="913" t="s">
        <v>112</v>
      </c>
      <c r="F18" s="920"/>
      <c r="G18" s="920"/>
      <c r="H18" s="920"/>
      <c r="I18" s="920"/>
      <c r="J18" s="920" t="str">
        <f>IF(J11&gt;0, J24/J11, "NM ")</f>
        <v xml:space="preserve">NM </v>
      </c>
      <c r="K18" s="920"/>
      <c r="L18" s="920"/>
      <c r="M18" s="920"/>
      <c r="N18" s="920"/>
      <c r="O18" s="920" t="str">
        <f>IF(O11&gt;0, O24/O11, "NM ")</f>
        <v xml:space="preserve">NM </v>
      </c>
      <c r="P18" s="920"/>
      <c r="Q18" s="920"/>
      <c r="R18" s="920"/>
      <c r="S18" s="920"/>
      <c r="T18" s="920" t="str">
        <f>IF(T11&gt;0, T24/T11, "NM ")</f>
        <v xml:space="preserve">NM </v>
      </c>
      <c r="U18" s="920"/>
      <c r="V18" s="920"/>
      <c r="W18" s="920"/>
      <c r="X18" s="920"/>
      <c r="Y18" s="920" t="str">
        <f>IF(Y11&gt;0, Y24/Y11, "NM ")</f>
        <v xml:space="preserve">NM </v>
      </c>
      <c r="Z18" s="920"/>
      <c r="AA18" s="920"/>
      <c r="AB18" s="920"/>
      <c r="AC18" s="920"/>
      <c r="AD18" s="920" t="str">
        <f>IF(AD11&gt;0, AD24/AD11, "NM ")</f>
        <v xml:space="preserve">NM </v>
      </c>
      <c r="AE18" s="920" t="str">
        <f>IF(Y11&gt;0, AE24/Y11, "NM ")</f>
        <v xml:space="preserve">NM </v>
      </c>
    </row>
    <row r="19" spans="2:31">
      <c r="B19" s="900" t="s">
        <v>287</v>
      </c>
      <c r="E19" s="903" t="s">
        <v>288</v>
      </c>
      <c r="F19" s="903"/>
      <c r="G19" s="903"/>
      <c r="H19" s="903"/>
      <c r="I19" s="903"/>
      <c r="J19" s="903"/>
      <c r="K19" s="903"/>
      <c r="L19" s="903"/>
      <c r="M19" s="903"/>
      <c r="N19" s="903"/>
      <c r="O19" s="903"/>
      <c r="P19" s="903"/>
      <c r="Q19" s="903"/>
      <c r="R19" s="903"/>
      <c r="S19" s="903"/>
      <c r="T19" s="903"/>
      <c r="U19" s="903"/>
      <c r="V19" s="903"/>
      <c r="W19" s="903"/>
      <c r="X19" s="903"/>
      <c r="Y19" s="903"/>
      <c r="Z19" s="903"/>
      <c r="AA19" s="903"/>
      <c r="AB19" s="903"/>
      <c r="AC19" s="903"/>
      <c r="AD19" s="903"/>
      <c r="AE19" s="903"/>
    </row>
    <row r="20" spans="2:31">
      <c r="B20" s="469" t="s">
        <v>86</v>
      </c>
      <c r="C20" s="908">
        <f>BS!S6/V!$C$6</f>
        <v>238.57599999999999</v>
      </c>
      <c r="E20" s="469" t="s">
        <v>86</v>
      </c>
      <c r="F20" s="908"/>
      <c r="G20" s="908"/>
      <c r="H20" s="908"/>
      <c r="I20" s="908"/>
      <c r="J20" s="921">
        <f>BS!H6/$C$6</f>
        <v>23.224</v>
      </c>
      <c r="K20" s="908"/>
      <c r="L20" s="908"/>
      <c r="M20" s="908"/>
      <c r="N20" s="908"/>
      <c r="O20" s="921">
        <f>BS!M6/$C$6</f>
        <v>58.569000000000003</v>
      </c>
      <c r="P20" s="908"/>
      <c r="Q20" s="908"/>
      <c r="R20" s="908"/>
      <c r="S20" s="908"/>
      <c r="T20" s="921">
        <f>BS!R6/$C$6</f>
        <v>255.477</v>
      </c>
      <c r="Y20" s="921">
        <f>BS!W6/$C$6</f>
        <v>203.244</v>
      </c>
      <c r="Z20" s="921"/>
      <c r="AA20" s="921"/>
      <c r="AB20" s="921"/>
      <c r="AC20" s="921"/>
      <c r="AD20" s="921">
        <f>BS!AB6/$C$6</f>
        <v>159.55099999999999</v>
      </c>
      <c r="AE20" s="922">
        <f>C20</f>
        <v>238.57599999999999</v>
      </c>
    </row>
    <row r="21" spans="2:31">
      <c r="B21" s="469" t="s">
        <v>229</v>
      </c>
      <c r="C21" s="923">
        <f>(BS!S24+BS!S29)/V!$C$6</f>
        <v>0</v>
      </c>
      <c r="E21" s="469" t="s">
        <v>229</v>
      </c>
      <c r="F21" s="908"/>
      <c r="G21" s="908"/>
      <c r="H21" s="908"/>
      <c r="I21" s="908"/>
      <c r="J21" s="923">
        <f>(BS!H24+BS!H29)/V!$C$6</f>
        <v>0</v>
      </c>
      <c r="K21" s="924"/>
      <c r="L21" s="924"/>
      <c r="M21" s="924"/>
      <c r="N21" s="924"/>
      <c r="O21" s="923">
        <f>(BS!M24+BS!M29)/V!$C$6</f>
        <v>0</v>
      </c>
      <c r="P21" s="924"/>
      <c r="Q21" s="924"/>
      <c r="R21" s="924"/>
      <c r="S21" s="924"/>
      <c r="T21" s="923">
        <f>(BS!R24+BS!R29)/V!$C$6</f>
        <v>0</v>
      </c>
      <c r="U21" s="925"/>
      <c r="V21" s="925"/>
      <c r="W21" s="925"/>
      <c r="X21" s="925"/>
      <c r="Y21" s="923">
        <f>(BS!W24+BS!W29)/V!$C$6</f>
        <v>0</v>
      </c>
      <c r="Z21" s="923"/>
      <c r="AA21" s="923"/>
      <c r="AB21" s="923"/>
      <c r="AC21" s="923"/>
      <c r="AD21" s="923">
        <f>(BS!AB24+BS!AB29)/V!$C$6</f>
        <v>0</v>
      </c>
      <c r="AE21" s="922">
        <f>C21</f>
        <v>0</v>
      </c>
    </row>
    <row r="22" spans="2:31" ht="14.65" customHeight="1">
      <c r="B22" s="469" t="s">
        <v>289</v>
      </c>
      <c r="C22" s="926">
        <f>IS!S71/V!$C$6</f>
        <v>57.972000000000001</v>
      </c>
      <c r="E22" s="469" t="s">
        <v>289</v>
      </c>
      <c r="F22" s="927"/>
      <c r="G22" s="927"/>
      <c r="H22" s="927"/>
      <c r="I22" s="927"/>
      <c r="J22" s="926">
        <f>IS!H71/V!$C$6</f>
        <v>64.600999999999999</v>
      </c>
      <c r="K22" s="927"/>
      <c r="L22" s="927"/>
      <c r="M22" s="927"/>
      <c r="N22" s="927"/>
      <c r="O22" s="926">
        <f>IS!M71/V!$C$6</f>
        <v>65.855999999999995</v>
      </c>
      <c r="P22" s="927"/>
      <c r="Q22" s="927"/>
      <c r="R22" s="927"/>
      <c r="S22" s="927"/>
      <c r="T22" s="926">
        <f>IS!R71/V!$C$6</f>
        <v>46.434750000000001</v>
      </c>
      <c r="U22" s="927"/>
      <c r="V22" s="927"/>
      <c r="W22" s="927"/>
      <c r="X22" s="927"/>
      <c r="Y22" s="926">
        <f>IS!W71/V!$C$6</f>
        <v>58.513249999999999</v>
      </c>
      <c r="Z22" s="926"/>
      <c r="AA22" s="926"/>
      <c r="AB22" s="926"/>
      <c r="AC22" s="926"/>
      <c r="AD22" s="926">
        <f>IS!AB71/V!$C$6</f>
        <v>60.106499999999997</v>
      </c>
      <c r="AE22" s="928">
        <f>C22</f>
        <v>57.972000000000001</v>
      </c>
    </row>
    <row r="23" spans="2:31" ht="14.65" customHeight="1">
      <c r="B23" s="469" t="s">
        <v>399</v>
      </c>
      <c r="C23" s="921" t="e">
        <f ca="1">C22*C5</f>
        <v>#NAME?</v>
      </c>
      <c r="E23" s="469" t="s">
        <v>290</v>
      </c>
      <c r="F23" s="921"/>
      <c r="G23" s="921"/>
      <c r="H23" s="921"/>
      <c r="I23" s="921"/>
      <c r="J23" s="921" t="e">
        <f ca="1">J22*$C$5</f>
        <v>#NAME?</v>
      </c>
      <c r="K23" s="921"/>
      <c r="L23" s="921"/>
      <c r="M23" s="921"/>
      <c r="N23" s="921"/>
      <c r="O23" s="921" t="e">
        <f ca="1">O22*$C$5</f>
        <v>#NAME?</v>
      </c>
      <c r="P23" s="921"/>
      <c r="Q23" s="921"/>
      <c r="R23" s="921"/>
      <c r="S23" s="921"/>
      <c r="T23" s="921" t="e">
        <f ca="1">T22*$C$5</f>
        <v>#NAME?</v>
      </c>
      <c r="U23" s="921"/>
      <c r="V23" s="921"/>
      <c r="W23" s="921"/>
      <c r="X23" s="921"/>
      <c r="Y23" s="921" t="e">
        <f ca="1">Y22*$C$5</f>
        <v>#NAME?</v>
      </c>
      <c r="Z23" s="921"/>
      <c r="AA23" s="921"/>
      <c r="AB23" s="921"/>
      <c r="AC23" s="921"/>
      <c r="AD23" s="921" t="e">
        <f ca="1">AD22*$C$5</f>
        <v>#NAME?</v>
      </c>
      <c r="AE23" s="921">
        <f>AE24+AE20-AE21</f>
        <v>846.93100000000004</v>
      </c>
    </row>
    <row r="24" spans="2:31" ht="14.65" customHeight="1">
      <c r="B24" s="469" t="s">
        <v>400</v>
      </c>
      <c r="C24" s="921" t="e">
        <f ca="1">C23-C20</f>
        <v>#NAME?</v>
      </c>
      <c r="E24" s="913" t="s">
        <v>291</v>
      </c>
      <c r="F24" s="929"/>
      <c r="G24" s="929"/>
      <c r="H24" s="929"/>
      <c r="I24" s="929"/>
      <c r="J24" s="929" t="e">
        <f ca="1">J23-J20+J21</f>
        <v>#NAME?</v>
      </c>
      <c r="K24" s="929"/>
      <c r="L24" s="929"/>
      <c r="M24" s="929"/>
      <c r="N24" s="929"/>
      <c r="O24" s="929" t="e">
        <f ca="1">O23-O20+O21</f>
        <v>#NAME?</v>
      </c>
      <c r="P24" s="929"/>
      <c r="Q24" s="929"/>
      <c r="R24" s="929"/>
      <c r="S24" s="929"/>
      <c r="T24" s="929" t="e">
        <f ca="1">T23-T20+T21</f>
        <v>#NAME?</v>
      </c>
      <c r="U24" s="929"/>
      <c r="V24" s="929"/>
      <c r="W24" s="929"/>
      <c r="X24" s="929"/>
      <c r="Y24" s="929" t="e">
        <f ca="1">Y23-Y20+Y21</f>
        <v>#NAME?</v>
      </c>
      <c r="Z24" s="929"/>
      <c r="AA24" s="929"/>
      <c r="AB24" s="929"/>
      <c r="AC24" s="929"/>
      <c r="AD24" s="929" t="e">
        <f ca="1">AD23-AD20+AD21</f>
        <v>#NAME?</v>
      </c>
      <c r="AE24" s="929">
        <f>AE13*Y6</f>
        <v>608.35500000000002</v>
      </c>
    </row>
    <row r="25" spans="2:31">
      <c r="E25" s="903" t="s">
        <v>228</v>
      </c>
      <c r="F25" s="930"/>
      <c r="G25" s="930"/>
      <c r="H25" s="930"/>
      <c r="I25" s="930"/>
      <c r="J25" s="930"/>
      <c r="K25" s="930"/>
      <c r="L25" s="930"/>
      <c r="M25" s="930"/>
      <c r="N25" s="930"/>
      <c r="O25" s="930"/>
      <c r="P25" s="930"/>
      <c r="Q25" s="930"/>
      <c r="R25" s="930"/>
      <c r="S25" s="930"/>
      <c r="T25" s="930"/>
      <c r="U25" s="930"/>
      <c r="V25" s="930"/>
      <c r="W25" s="930"/>
      <c r="X25" s="930"/>
      <c r="Y25" s="930"/>
      <c r="Z25" s="930"/>
      <c r="AA25" s="930"/>
      <c r="AB25" s="930"/>
      <c r="AC25" s="930"/>
      <c r="AD25" s="930"/>
      <c r="AE25" s="930">
        <f>AE23/AE22</f>
        <v>14.609311391706342</v>
      </c>
    </row>
    <row r="26" spans="2:31">
      <c r="F26" s="921"/>
      <c r="G26" s="921"/>
      <c r="H26" s="921"/>
      <c r="I26" s="921"/>
      <c r="J26" s="921"/>
      <c r="K26" s="921"/>
      <c r="L26" s="921"/>
      <c r="M26" s="921"/>
      <c r="N26" s="921"/>
      <c r="O26" s="921"/>
      <c r="P26" s="921"/>
      <c r="Q26" s="921"/>
      <c r="R26" s="921"/>
      <c r="S26" s="921"/>
      <c r="T26" s="921"/>
      <c r="U26" s="921"/>
      <c r="V26" s="921"/>
      <c r="W26" s="921"/>
      <c r="X26" s="921"/>
      <c r="Y26" s="921"/>
      <c r="Z26" s="921"/>
      <c r="AA26" s="921"/>
      <c r="AB26" s="921"/>
      <c r="AC26" s="921"/>
      <c r="AD26" s="921"/>
    </row>
    <row r="27" spans="2:31">
      <c r="F27" s="921"/>
      <c r="G27" s="921"/>
      <c r="H27" s="921"/>
      <c r="I27" s="921"/>
      <c r="J27" s="921"/>
      <c r="K27" s="921"/>
      <c r="L27" s="921"/>
      <c r="M27" s="921"/>
      <c r="N27" s="921"/>
      <c r="O27" s="921"/>
      <c r="P27" s="921"/>
      <c r="Q27" s="921"/>
      <c r="R27" s="921"/>
      <c r="S27" s="921"/>
      <c r="T27" s="921"/>
      <c r="U27" s="921"/>
      <c r="V27" s="921"/>
      <c r="W27" s="921"/>
      <c r="X27" s="921"/>
      <c r="Y27" s="921"/>
      <c r="Z27" s="921"/>
      <c r="AA27" s="921"/>
      <c r="AB27" s="921"/>
      <c r="AC27" s="921"/>
      <c r="AD27" s="921"/>
    </row>
    <row r="28" spans="2:31">
      <c r="E28" s="469" t="s">
        <v>123</v>
      </c>
      <c r="J28" s="921">
        <f>J6</f>
        <v>48.555999999999997</v>
      </c>
      <c r="K28" s="921"/>
      <c r="L28" s="921"/>
      <c r="M28" s="921"/>
      <c r="N28" s="921"/>
      <c r="O28" s="921">
        <f>O6</f>
        <v>68.444000000000003</v>
      </c>
      <c r="P28" s="921"/>
      <c r="Q28" s="921"/>
      <c r="R28" s="921"/>
      <c r="S28" s="921"/>
      <c r="T28" s="921">
        <f>T6</f>
        <v>114.342</v>
      </c>
      <c r="U28" s="921"/>
      <c r="V28" s="921"/>
      <c r="W28" s="921"/>
      <c r="X28" s="921"/>
      <c r="Y28" s="921">
        <f>Y6</f>
        <v>135.19</v>
      </c>
      <c r="Z28" s="921"/>
      <c r="AA28" s="921"/>
      <c r="AB28" s="921"/>
      <c r="AC28" s="921"/>
      <c r="AD28" s="921">
        <f>AD6</f>
        <v>138.09</v>
      </c>
    </row>
    <row r="29" spans="2:31">
      <c r="E29" s="469" t="s">
        <v>401</v>
      </c>
      <c r="J29" s="931" t="e">
        <f ca="1">$C$24/J28</f>
        <v>#NAME?</v>
      </c>
      <c r="O29" s="931" t="e">
        <f ca="1">$C$24/O28</f>
        <v>#NAME?</v>
      </c>
      <c r="T29" s="931" t="e">
        <f ca="1">$C$24/T28</f>
        <v>#NAME?</v>
      </c>
      <c r="Y29" s="931" t="e">
        <f ca="1">$C$24/Y28</f>
        <v>#NAME?</v>
      </c>
      <c r="Z29" s="931"/>
      <c r="AA29" s="931"/>
      <c r="AB29" s="931"/>
      <c r="AC29" s="931"/>
      <c r="AD29" s="931" t="e">
        <f ca="1">$C$24/AD28</f>
        <v>#NAME?</v>
      </c>
    </row>
    <row r="33" spans="2:3">
      <c r="B33" s="469" t="s">
        <v>228</v>
      </c>
      <c r="C33" s="469">
        <v>6.22</v>
      </c>
    </row>
    <row r="34" spans="2:3">
      <c r="B34" s="469" t="s">
        <v>289</v>
      </c>
      <c r="C34" s="469">
        <f>IS!AJ71</f>
        <v>62094</v>
      </c>
    </row>
    <row r="35" spans="2:3">
      <c r="B35" s="469" t="s">
        <v>482</v>
      </c>
      <c r="C35" s="469">
        <f>C33*C34</f>
        <v>386224.68</v>
      </c>
    </row>
    <row r="36" spans="2:3">
      <c r="B36" s="469" t="s">
        <v>483</v>
      </c>
      <c r="C36" s="469">
        <f>BS!AJ6</f>
        <v>113486</v>
      </c>
    </row>
    <row r="37" spans="2:3">
      <c r="B37" s="469" t="s">
        <v>291</v>
      </c>
      <c r="C37" s="469">
        <f>C35-C36</f>
        <v>272738.68</v>
      </c>
    </row>
    <row r="38" spans="2:3">
      <c r="B38" s="469" t="s">
        <v>484</v>
      </c>
      <c r="C38" s="469">
        <f>IS!AL11</f>
        <v>156849</v>
      </c>
    </row>
    <row r="39" spans="2:3">
      <c r="B39" s="469" t="s">
        <v>110</v>
      </c>
      <c r="C39" s="469">
        <f>C37/C38</f>
        <v>1.7388614527347959</v>
      </c>
    </row>
    <row r="41" spans="2:3">
      <c r="B41" s="469" t="s">
        <v>484</v>
      </c>
      <c r="C41" s="469">
        <f>IS!AQ11</f>
        <v>172004.69</v>
      </c>
    </row>
    <row r="42" spans="2:3">
      <c r="B42" s="469" t="s">
        <v>110</v>
      </c>
      <c r="C42" s="469">
        <f>C37/C41</f>
        <v>1.5856467634690659</v>
      </c>
    </row>
  </sheetData>
  <dataValidations disablePrompts="1" count="1">
    <dataValidation type="list" allowBlank="1" showInputMessage="1" showErrorMessage="1" sqref="B7" xr:uid="{E7BCFB10-21AA-4A2D-8A94-FF3109CC319A}">
      <formula1>$B$13:$B$15</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V48"/>
  <sheetViews>
    <sheetView topLeftCell="Q4" workbookViewId="0">
      <selection activeCell="R14" sqref="R14"/>
    </sheetView>
  </sheetViews>
  <sheetFormatPr defaultColWidth="14.125" defaultRowHeight="15" outlineLevelCol="1"/>
  <cols>
    <col min="1" max="1" width="49.75" style="8" customWidth="1"/>
    <col min="2" max="2" width="16.75" style="8" bestFit="1" customWidth="1"/>
    <col min="3" max="3" width="12.625" style="13" bestFit="1" customWidth="1"/>
    <col min="4" max="4" width="13.625" style="9" customWidth="1" outlineLevel="1"/>
    <col min="5" max="5" width="9.75" style="9" customWidth="1" outlineLevel="1"/>
    <col min="6" max="7" width="11.125" style="9" customWidth="1" outlineLevel="1"/>
    <col min="8" max="8" width="11.125" style="9" customWidth="1"/>
    <col min="9" max="12" width="11.125" style="9" customWidth="1" outlineLevel="1"/>
    <col min="13" max="13" width="11.125" style="9" customWidth="1"/>
    <col min="14" max="17" width="11.125" style="9" customWidth="1" outlineLevel="1"/>
    <col min="18" max="18" width="11.125" style="9" customWidth="1"/>
    <col min="19" max="22" width="11.125" style="9" customWidth="1" outlineLevel="1"/>
    <col min="23" max="23" width="11.125" style="9" customWidth="1"/>
    <col min="24" max="27" width="11.125" style="9" customWidth="1" outlineLevel="1"/>
    <col min="28" max="28" width="11.125" style="9" customWidth="1"/>
    <col min="29" max="29" width="17.125" style="9" bestFit="1" customWidth="1"/>
    <col min="30" max="30" width="1.625" style="9" bestFit="1" customWidth="1"/>
    <col min="31" max="31" width="15.125" style="9" bestFit="1" customWidth="1"/>
    <col min="32" max="202" width="14.125" style="9"/>
    <col min="203" max="203" width="50.125" style="9" customWidth="1"/>
    <col min="204" max="204" width="54.625" style="9" customWidth="1"/>
    <col min="205" max="205" width="12.125" style="9" customWidth="1"/>
    <col min="206" max="206" width="11.125" style="9" customWidth="1"/>
    <col min="207" max="210" width="0" style="9" hidden="1" customWidth="1"/>
    <col min="211" max="211" width="11.125" style="9" bestFit="1" customWidth="1"/>
    <col min="212" max="215" width="0" style="9" hidden="1" customWidth="1"/>
    <col min="216" max="216" width="11.5" style="9" bestFit="1" customWidth="1"/>
    <col min="217" max="220" width="0" style="9" hidden="1" customWidth="1"/>
    <col min="221" max="221" width="11.5" style="9" bestFit="1" customWidth="1"/>
    <col min="222" max="225" width="10.125" style="9" bestFit="1" customWidth="1"/>
    <col min="226" max="226" width="12.625" style="9" bestFit="1" customWidth="1"/>
    <col min="227" max="256" width="14.125" style="9"/>
    <col min="257" max="257" width="49.75" style="9" customWidth="1"/>
    <col min="258" max="258" width="16.75" style="9" bestFit="1" customWidth="1"/>
    <col min="259" max="259" width="12.625" style="9" bestFit="1" customWidth="1"/>
    <col min="260" max="279" width="11.125" style="9" customWidth="1"/>
    <col min="280" max="283" width="14.125" style="9"/>
    <col min="284" max="284" width="1.5" style="9" bestFit="1" customWidth="1"/>
    <col min="285" max="285" width="17.125" style="9" bestFit="1" customWidth="1"/>
    <col min="286" max="286" width="1.625" style="9" bestFit="1" customWidth="1"/>
    <col min="287" max="287" width="15.125" style="9" bestFit="1" customWidth="1"/>
    <col min="288" max="458" width="14.125" style="9"/>
    <col min="459" max="459" width="50.125" style="9" customWidth="1"/>
    <col min="460" max="460" width="54.625" style="9" customWidth="1"/>
    <col min="461" max="461" width="12.125" style="9" customWidth="1"/>
    <col min="462" max="462" width="11.125" style="9" customWidth="1"/>
    <col min="463" max="466" width="0" style="9" hidden="1" customWidth="1"/>
    <col min="467" max="467" width="11.125" style="9" bestFit="1" customWidth="1"/>
    <col min="468" max="471" width="0" style="9" hidden="1" customWidth="1"/>
    <col min="472" max="472" width="11.5" style="9" bestFit="1" customWidth="1"/>
    <col min="473" max="476" width="0" style="9" hidden="1" customWidth="1"/>
    <col min="477" max="477" width="11.5" style="9" bestFit="1" customWidth="1"/>
    <col min="478" max="481" width="10.125" style="9" bestFit="1" customWidth="1"/>
    <col min="482" max="482" width="12.625" style="9" bestFit="1" customWidth="1"/>
    <col min="483" max="512" width="14.125" style="9"/>
    <col min="513" max="513" width="49.75" style="9" customWidth="1"/>
    <col min="514" max="514" width="16.75" style="9" bestFit="1" customWidth="1"/>
    <col min="515" max="515" width="12.625" style="9" bestFit="1" customWidth="1"/>
    <col min="516" max="535" width="11.125" style="9" customWidth="1"/>
    <col min="536" max="539" width="14.125" style="9"/>
    <col min="540" max="540" width="1.5" style="9" bestFit="1" customWidth="1"/>
    <col min="541" max="541" width="17.125" style="9" bestFit="1" customWidth="1"/>
    <col min="542" max="542" width="1.625" style="9" bestFit="1" customWidth="1"/>
    <col min="543" max="543" width="15.125" style="9" bestFit="1" customWidth="1"/>
    <col min="544" max="714" width="14.125" style="9"/>
    <col min="715" max="715" width="50.125" style="9" customWidth="1"/>
    <col min="716" max="716" width="54.625" style="9" customWidth="1"/>
    <col min="717" max="717" width="12.125" style="9" customWidth="1"/>
    <col min="718" max="718" width="11.125" style="9" customWidth="1"/>
    <col min="719" max="722" width="0" style="9" hidden="1" customWidth="1"/>
    <col min="723" max="723" width="11.125" style="9" bestFit="1" customWidth="1"/>
    <col min="724" max="727" width="0" style="9" hidden="1" customWidth="1"/>
    <col min="728" max="728" width="11.5" style="9" bestFit="1" customWidth="1"/>
    <col min="729" max="732" width="0" style="9" hidden="1" customWidth="1"/>
    <col min="733" max="733" width="11.5" style="9" bestFit="1" customWidth="1"/>
    <col min="734" max="737" width="10.125" style="9" bestFit="1" customWidth="1"/>
    <col min="738" max="738" width="12.625" style="9" bestFit="1" customWidth="1"/>
    <col min="739" max="768" width="14.125" style="9"/>
    <col min="769" max="769" width="49.75" style="9" customWidth="1"/>
    <col min="770" max="770" width="16.75" style="9" bestFit="1" customWidth="1"/>
    <col min="771" max="771" width="12.625" style="9" bestFit="1" customWidth="1"/>
    <col min="772" max="791" width="11.125" style="9" customWidth="1"/>
    <col min="792" max="795" width="14.125" style="9"/>
    <col min="796" max="796" width="1.5" style="9" bestFit="1" customWidth="1"/>
    <col min="797" max="797" width="17.125" style="9" bestFit="1" customWidth="1"/>
    <col min="798" max="798" width="1.625" style="9" bestFit="1" customWidth="1"/>
    <col min="799" max="799" width="15.125" style="9" bestFit="1" customWidth="1"/>
    <col min="800" max="970" width="14.125" style="9"/>
    <col min="971" max="971" width="50.125" style="9" customWidth="1"/>
    <col min="972" max="972" width="54.625" style="9" customWidth="1"/>
    <col min="973" max="973" width="12.125" style="9" customWidth="1"/>
    <col min="974" max="974" width="11.125" style="9" customWidth="1"/>
    <col min="975" max="978" width="0" style="9" hidden="1" customWidth="1"/>
    <col min="979" max="979" width="11.125" style="9" bestFit="1" customWidth="1"/>
    <col min="980" max="983" width="0" style="9" hidden="1" customWidth="1"/>
    <col min="984" max="984" width="11.5" style="9" bestFit="1" customWidth="1"/>
    <col min="985" max="988" width="0" style="9" hidden="1" customWidth="1"/>
    <col min="989" max="989" width="11.5" style="9" bestFit="1" customWidth="1"/>
    <col min="990" max="993" width="10.125" style="9" bestFit="1" customWidth="1"/>
    <col min="994" max="994" width="12.625" style="9" bestFit="1" customWidth="1"/>
    <col min="995" max="1024" width="14.125" style="9"/>
    <col min="1025" max="1025" width="49.75" style="9" customWidth="1"/>
    <col min="1026" max="1026" width="16.75" style="9" bestFit="1" customWidth="1"/>
    <col min="1027" max="1027" width="12.625" style="9" bestFit="1" customWidth="1"/>
    <col min="1028" max="1047" width="11.125" style="9" customWidth="1"/>
    <col min="1048" max="1051" width="14.125" style="9"/>
    <col min="1052" max="1052" width="1.5" style="9" bestFit="1" customWidth="1"/>
    <col min="1053" max="1053" width="17.125" style="9" bestFit="1" customWidth="1"/>
    <col min="1054" max="1054" width="1.625" style="9" bestFit="1" customWidth="1"/>
    <col min="1055" max="1055" width="15.125" style="9" bestFit="1" customWidth="1"/>
    <col min="1056" max="1226" width="14.125" style="9"/>
    <col min="1227" max="1227" width="50.125" style="9" customWidth="1"/>
    <col min="1228" max="1228" width="54.625" style="9" customWidth="1"/>
    <col min="1229" max="1229" width="12.125" style="9" customWidth="1"/>
    <col min="1230" max="1230" width="11.125" style="9" customWidth="1"/>
    <col min="1231" max="1234" width="0" style="9" hidden="1" customWidth="1"/>
    <col min="1235" max="1235" width="11.125" style="9" bestFit="1" customWidth="1"/>
    <col min="1236" max="1239" width="0" style="9" hidden="1" customWidth="1"/>
    <col min="1240" max="1240" width="11.5" style="9" bestFit="1" customWidth="1"/>
    <col min="1241" max="1244" width="0" style="9" hidden="1" customWidth="1"/>
    <col min="1245" max="1245" width="11.5" style="9" bestFit="1" customWidth="1"/>
    <col min="1246" max="1249" width="10.125" style="9" bestFit="1" customWidth="1"/>
    <col min="1250" max="1250" width="12.625" style="9" bestFit="1" customWidth="1"/>
    <col min="1251" max="1280" width="14.125" style="9"/>
    <col min="1281" max="1281" width="49.75" style="9" customWidth="1"/>
    <col min="1282" max="1282" width="16.75" style="9" bestFit="1" customWidth="1"/>
    <col min="1283" max="1283" width="12.625" style="9" bestFit="1" customWidth="1"/>
    <col min="1284" max="1303" width="11.125" style="9" customWidth="1"/>
    <col min="1304" max="1307" width="14.125" style="9"/>
    <col min="1308" max="1308" width="1.5" style="9" bestFit="1" customWidth="1"/>
    <col min="1309" max="1309" width="17.125" style="9" bestFit="1" customWidth="1"/>
    <col min="1310" max="1310" width="1.625" style="9" bestFit="1" customWidth="1"/>
    <col min="1311" max="1311" width="15.125" style="9" bestFit="1" customWidth="1"/>
    <col min="1312" max="1482" width="14.125" style="9"/>
    <col min="1483" max="1483" width="50.125" style="9" customWidth="1"/>
    <col min="1484" max="1484" width="54.625" style="9" customWidth="1"/>
    <col min="1485" max="1485" width="12.125" style="9" customWidth="1"/>
    <col min="1486" max="1486" width="11.125" style="9" customWidth="1"/>
    <col min="1487" max="1490" width="0" style="9" hidden="1" customWidth="1"/>
    <col min="1491" max="1491" width="11.125" style="9" bestFit="1" customWidth="1"/>
    <col min="1492" max="1495" width="0" style="9" hidden="1" customWidth="1"/>
    <col min="1496" max="1496" width="11.5" style="9" bestFit="1" customWidth="1"/>
    <col min="1497" max="1500" width="0" style="9" hidden="1" customWidth="1"/>
    <col min="1501" max="1501" width="11.5" style="9" bestFit="1" customWidth="1"/>
    <col min="1502" max="1505" width="10.125" style="9" bestFit="1" customWidth="1"/>
    <col min="1506" max="1506" width="12.625" style="9" bestFit="1" customWidth="1"/>
    <col min="1507" max="1536" width="14.125" style="9"/>
    <col min="1537" max="1537" width="49.75" style="9" customWidth="1"/>
    <col min="1538" max="1538" width="16.75" style="9" bestFit="1" customWidth="1"/>
    <col min="1539" max="1539" width="12.625" style="9" bestFit="1" customWidth="1"/>
    <col min="1540" max="1559" width="11.125" style="9" customWidth="1"/>
    <col min="1560" max="1563" width="14.125" style="9"/>
    <col min="1564" max="1564" width="1.5" style="9" bestFit="1" customWidth="1"/>
    <col min="1565" max="1565" width="17.125" style="9" bestFit="1" customWidth="1"/>
    <col min="1566" max="1566" width="1.625" style="9" bestFit="1" customWidth="1"/>
    <col min="1567" max="1567" width="15.125" style="9" bestFit="1" customWidth="1"/>
    <col min="1568" max="1738" width="14.125" style="9"/>
    <col min="1739" max="1739" width="50.125" style="9" customWidth="1"/>
    <col min="1740" max="1740" width="54.625" style="9" customWidth="1"/>
    <col min="1741" max="1741" width="12.125" style="9" customWidth="1"/>
    <col min="1742" max="1742" width="11.125" style="9" customWidth="1"/>
    <col min="1743" max="1746" width="0" style="9" hidden="1" customWidth="1"/>
    <col min="1747" max="1747" width="11.125" style="9" bestFit="1" customWidth="1"/>
    <col min="1748" max="1751" width="0" style="9" hidden="1" customWidth="1"/>
    <col min="1752" max="1752" width="11.5" style="9" bestFit="1" customWidth="1"/>
    <col min="1753" max="1756" width="0" style="9" hidden="1" customWidth="1"/>
    <col min="1757" max="1757" width="11.5" style="9" bestFit="1" customWidth="1"/>
    <col min="1758" max="1761" width="10.125" style="9" bestFit="1" customWidth="1"/>
    <col min="1762" max="1762" width="12.625" style="9" bestFit="1" customWidth="1"/>
    <col min="1763" max="1792" width="14.125" style="9"/>
    <col min="1793" max="1793" width="49.75" style="9" customWidth="1"/>
    <col min="1794" max="1794" width="16.75" style="9" bestFit="1" customWidth="1"/>
    <col min="1795" max="1795" width="12.625" style="9" bestFit="1" customWidth="1"/>
    <col min="1796" max="1815" width="11.125" style="9" customWidth="1"/>
    <col min="1816" max="1819" width="14.125" style="9"/>
    <col min="1820" max="1820" width="1.5" style="9" bestFit="1" customWidth="1"/>
    <col min="1821" max="1821" width="17.125" style="9" bestFit="1" customWidth="1"/>
    <col min="1822" max="1822" width="1.625" style="9" bestFit="1" customWidth="1"/>
    <col min="1823" max="1823" width="15.125" style="9" bestFit="1" customWidth="1"/>
    <col min="1824" max="1994" width="14.125" style="9"/>
    <col min="1995" max="1995" width="50.125" style="9" customWidth="1"/>
    <col min="1996" max="1996" width="54.625" style="9" customWidth="1"/>
    <col min="1997" max="1997" width="12.125" style="9" customWidth="1"/>
    <col min="1998" max="1998" width="11.125" style="9" customWidth="1"/>
    <col min="1999" max="2002" width="0" style="9" hidden="1" customWidth="1"/>
    <col min="2003" max="2003" width="11.125" style="9" bestFit="1" customWidth="1"/>
    <col min="2004" max="2007" width="0" style="9" hidden="1" customWidth="1"/>
    <col min="2008" max="2008" width="11.5" style="9" bestFit="1" customWidth="1"/>
    <col min="2009" max="2012" width="0" style="9" hidden="1" customWidth="1"/>
    <col min="2013" max="2013" width="11.5" style="9" bestFit="1" customWidth="1"/>
    <col min="2014" max="2017" width="10.125" style="9" bestFit="1" customWidth="1"/>
    <col min="2018" max="2018" width="12.625" style="9" bestFit="1" customWidth="1"/>
    <col min="2019" max="2048" width="14.125" style="9"/>
    <col min="2049" max="2049" width="49.75" style="9" customWidth="1"/>
    <col min="2050" max="2050" width="16.75" style="9" bestFit="1" customWidth="1"/>
    <col min="2051" max="2051" width="12.625" style="9" bestFit="1" customWidth="1"/>
    <col min="2052" max="2071" width="11.125" style="9" customWidth="1"/>
    <col min="2072" max="2075" width="14.125" style="9"/>
    <col min="2076" max="2076" width="1.5" style="9" bestFit="1" customWidth="1"/>
    <col min="2077" max="2077" width="17.125" style="9" bestFit="1" customWidth="1"/>
    <col min="2078" max="2078" width="1.625" style="9" bestFit="1" customWidth="1"/>
    <col min="2079" max="2079" width="15.125" style="9" bestFit="1" customWidth="1"/>
    <col min="2080" max="2250" width="14.125" style="9"/>
    <col min="2251" max="2251" width="50.125" style="9" customWidth="1"/>
    <col min="2252" max="2252" width="54.625" style="9" customWidth="1"/>
    <col min="2253" max="2253" width="12.125" style="9" customWidth="1"/>
    <col min="2254" max="2254" width="11.125" style="9" customWidth="1"/>
    <col min="2255" max="2258" width="0" style="9" hidden="1" customWidth="1"/>
    <col min="2259" max="2259" width="11.125" style="9" bestFit="1" customWidth="1"/>
    <col min="2260" max="2263" width="0" style="9" hidden="1" customWidth="1"/>
    <col min="2264" max="2264" width="11.5" style="9" bestFit="1" customWidth="1"/>
    <col min="2265" max="2268" width="0" style="9" hidden="1" customWidth="1"/>
    <col min="2269" max="2269" width="11.5" style="9" bestFit="1" customWidth="1"/>
    <col min="2270" max="2273" width="10.125" style="9" bestFit="1" customWidth="1"/>
    <col min="2274" max="2274" width="12.625" style="9" bestFit="1" customWidth="1"/>
    <col min="2275" max="2304" width="14.125" style="9"/>
    <col min="2305" max="2305" width="49.75" style="9" customWidth="1"/>
    <col min="2306" max="2306" width="16.75" style="9" bestFit="1" customWidth="1"/>
    <col min="2307" max="2307" width="12.625" style="9" bestFit="1" customWidth="1"/>
    <col min="2308" max="2327" width="11.125" style="9" customWidth="1"/>
    <col min="2328" max="2331" width="14.125" style="9"/>
    <col min="2332" max="2332" width="1.5" style="9" bestFit="1" customWidth="1"/>
    <col min="2333" max="2333" width="17.125" style="9" bestFit="1" customWidth="1"/>
    <col min="2334" max="2334" width="1.625" style="9" bestFit="1" customWidth="1"/>
    <col min="2335" max="2335" width="15.125" style="9" bestFit="1" customWidth="1"/>
    <col min="2336" max="2506" width="14.125" style="9"/>
    <col min="2507" max="2507" width="50.125" style="9" customWidth="1"/>
    <col min="2508" max="2508" width="54.625" style="9" customWidth="1"/>
    <col min="2509" max="2509" width="12.125" style="9" customWidth="1"/>
    <col min="2510" max="2510" width="11.125" style="9" customWidth="1"/>
    <col min="2511" max="2514" width="0" style="9" hidden="1" customWidth="1"/>
    <col min="2515" max="2515" width="11.125" style="9" bestFit="1" customWidth="1"/>
    <col min="2516" max="2519" width="0" style="9" hidden="1" customWidth="1"/>
    <col min="2520" max="2520" width="11.5" style="9" bestFit="1" customWidth="1"/>
    <col min="2521" max="2524" width="0" style="9" hidden="1" customWidth="1"/>
    <col min="2525" max="2525" width="11.5" style="9" bestFit="1" customWidth="1"/>
    <col min="2526" max="2529" width="10.125" style="9" bestFit="1" customWidth="1"/>
    <col min="2530" max="2530" width="12.625" style="9" bestFit="1" customWidth="1"/>
    <col min="2531" max="2560" width="14.125" style="9"/>
    <col min="2561" max="2561" width="49.75" style="9" customWidth="1"/>
    <col min="2562" max="2562" width="16.75" style="9" bestFit="1" customWidth="1"/>
    <col min="2563" max="2563" width="12.625" style="9" bestFit="1" customWidth="1"/>
    <col min="2564" max="2583" width="11.125" style="9" customWidth="1"/>
    <col min="2584" max="2587" width="14.125" style="9"/>
    <col min="2588" max="2588" width="1.5" style="9" bestFit="1" customWidth="1"/>
    <col min="2589" max="2589" width="17.125" style="9" bestFit="1" customWidth="1"/>
    <col min="2590" max="2590" width="1.625" style="9" bestFit="1" customWidth="1"/>
    <col min="2591" max="2591" width="15.125" style="9" bestFit="1" customWidth="1"/>
    <col min="2592" max="2762" width="14.125" style="9"/>
    <col min="2763" max="2763" width="50.125" style="9" customWidth="1"/>
    <col min="2764" max="2764" width="54.625" style="9" customWidth="1"/>
    <col min="2765" max="2765" width="12.125" style="9" customWidth="1"/>
    <col min="2766" max="2766" width="11.125" style="9" customWidth="1"/>
    <col min="2767" max="2770" width="0" style="9" hidden="1" customWidth="1"/>
    <col min="2771" max="2771" width="11.125" style="9" bestFit="1" customWidth="1"/>
    <col min="2772" max="2775" width="0" style="9" hidden="1" customWidth="1"/>
    <col min="2776" max="2776" width="11.5" style="9" bestFit="1" customWidth="1"/>
    <col min="2777" max="2780" width="0" style="9" hidden="1" customWidth="1"/>
    <col min="2781" max="2781" width="11.5" style="9" bestFit="1" customWidth="1"/>
    <col min="2782" max="2785" width="10.125" style="9" bestFit="1" customWidth="1"/>
    <col min="2786" max="2786" width="12.625" style="9" bestFit="1" customWidth="1"/>
    <col min="2787" max="2816" width="14.125" style="9"/>
    <col min="2817" max="2817" width="49.75" style="9" customWidth="1"/>
    <col min="2818" max="2818" width="16.75" style="9" bestFit="1" customWidth="1"/>
    <col min="2819" max="2819" width="12.625" style="9" bestFit="1" customWidth="1"/>
    <col min="2820" max="2839" width="11.125" style="9" customWidth="1"/>
    <col min="2840" max="2843" width="14.125" style="9"/>
    <col min="2844" max="2844" width="1.5" style="9" bestFit="1" customWidth="1"/>
    <col min="2845" max="2845" width="17.125" style="9" bestFit="1" customWidth="1"/>
    <col min="2846" max="2846" width="1.625" style="9" bestFit="1" customWidth="1"/>
    <col min="2847" max="2847" width="15.125" style="9" bestFit="1" customWidth="1"/>
    <col min="2848" max="3018" width="14.125" style="9"/>
    <col min="3019" max="3019" width="50.125" style="9" customWidth="1"/>
    <col min="3020" max="3020" width="54.625" style="9" customWidth="1"/>
    <col min="3021" max="3021" width="12.125" style="9" customWidth="1"/>
    <col min="3022" max="3022" width="11.125" style="9" customWidth="1"/>
    <col min="3023" max="3026" width="0" style="9" hidden="1" customWidth="1"/>
    <col min="3027" max="3027" width="11.125" style="9" bestFit="1" customWidth="1"/>
    <col min="3028" max="3031" width="0" style="9" hidden="1" customWidth="1"/>
    <col min="3032" max="3032" width="11.5" style="9" bestFit="1" customWidth="1"/>
    <col min="3033" max="3036" width="0" style="9" hidden="1" customWidth="1"/>
    <col min="3037" max="3037" width="11.5" style="9" bestFit="1" customWidth="1"/>
    <col min="3038" max="3041" width="10.125" style="9" bestFit="1" customWidth="1"/>
    <col min="3042" max="3042" width="12.625" style="9" bestFit="1" customWidth="1"/>
    <col min="3043" max="3072" width="14.125" style="9"/>
    <col min="3073" max="3073" width="49.75" style="9" customWidth="1"/>
    <col min="3074" max="3074" width="16.75" style="9" bestFit="1" customWidth="1"/>
    <col min="3075" max="3075" width="12.625" style="9" bestFit="1" customWidth="1"/>
    <col min="3076" max="3095" width="11.125" style="9" customWidth="1"/>
    <col min="3096" max="3099" width="14.125" style="9"/>
    <col min="3100" max="3100" width="1.5" style="9" bestFit="1" customWidth="1"/>
    <col min="3101" max="3101" width="17.125" style="9" bestFit="1" customWidth="1"/>
    <col min="3102" max="3102" width="1.625" style="9" bestFit="1" customWidth="1"/>
    <col min="3103" max="3103" width="15.125" style="9" bestFit="1" customWidth="1"/>
    <col min="3104" max="3274" width="14.125" style="9"/>
    <col min="3275" max="3275" width="50.125" style="9" customWidth="1"/>
    <col min="3276" max="3276" width="54.625" style="9" customWidth="1"/>
    <col min="3277" max="3277" width="12.125" style="9" customWidth="1"/>
    <col min="3278" max="3278" width="11.125" style="9" customWidth="1"/>
    <col min="3279" max="3282" width="0" style="9" hidden="1" customWidth="1"/>
    <col min="3283" max="3283" width="11.125" style="9" bestFit="1" customWidth="1"/>
    <col min="3284" max="3287" width="0" style="9" hidden="1" customWidth="1"/>
    <col min="3288" max="3288" width="11.5" style="9" bestFit="1" customWidth="1"/>
    <col min="3289" max="3292" width="0" style="9" hidden="1" customWidth="1"/>
    <col min="3293" max="3293" width="11.5" style="9" bestFit="1" customWidth="1"/>
    <col min="3294" max="3297" width="10.125" style="9" bestFit="1" customWidth="1"/>
    <col min="3298" max="3298" width="12.625" style="9" bestFit="1" customWidth="1"/>
    <col min="3299" max="3328" width="14.125" style="9"/>
    <col min="3329" max="3329" width="49.75" style="9" customWidth="1"/>
    <col min="3330" max="3330" width="16.75" style="9" bestFit="1" customWidth="1"/>
    <col min="3331" max="3331" width="12.625" style="9" bestFit="1" customWidth="1"/>
    <col min="3332" max="3351" width="11.125" style="9" customWidth="1"/>
    <col min="3352" max="3355" width="14.125" style="9"/>
    <col min="3356" max="3356" width="1.5" style="9" bestFit="1" customWidth="1"/>
    <col min="3357" max="3357" width="17.125" style="9" bestFit="1" customWidth="1"/>
    <col min="3358" max="3358" width="1.625" style="9" bestFit="1" customWidth="1"/>
    <col min="3359" max="3359" width="15.125" style="9" bestFit="1" customWidth="1"/>
    <col min="3360" max="3530" width="14.125" style="9"/>
    <col min="3531" max="3531" width="50.125" style="9" customWidth="1"/>
    <col min="3532" max="3532" width="54.625" style="9" customWidth="1"/>
    <col min="3533" max="3533" width="12.125" style="9" customWidth="1"/>
    <col min="3534" max="3534" width="11.125" style="9" customWidth="1"/>
    <col min="3535" max="3538" width="0" style="9" hidden="1" customWidth="1"/>
    <col min="3539" max="3539" width="11.125" style="9" bestFit="1" customWidth="1"/>
    <col min="3540" max="3543" width="0" style="9" hidden="1" customWidth="1"/>
    <col min="3544" max="3544" width="11.5" style="9" bestFit="1" customWidth="1"/>
    <col min="3545" max="3548" width="0" style="9" hidden="1" customWidth="1"/>
    <col min="3549" max="3549" width="11.5" style="9" bestFit="1" customWidth="1"/>
    <col min="3550" max="3553" width="10.125" style="9" bestFit="1" customWidth="1"/>
    <col min="3554" max="3554" width="12.625" style="9" bestFit="1" customWidth="1"/>
    <col min="3555" max="3584" width="14.125" style="9"/>
    <col min="3585" max="3585" width="49.75" style="9" customWidth="1"/>
    <col min="3586" max="3586" width="16.75" style="9" bestFit="1" customWidth="1"/>
    <col min="3587" max="3587" width="12.625" style="9" bestFit="1" customWidth="1"/>
    <col min="3588" max="3607" width="11.125" style="9" customWidth="1"/>
    <col min="3608" max="3611" width="14.125" style="9"/>
    <col min="3612" max="3612" width="1.5" style="9" bestFit="1" customWidth="1"/>
    <col min="3613" max="3613" width="17.125" style="9" bestFit="1" customWidth="1"/>
    <col min="3614" max="3614" width="1.625" style="9" bestFit="1" customWidth="1"/>
    <col min="3615" max="3615" width="15.125" style="9" bestFit="1" customWidth="1"/>
    <col min="3616" max="3786" width="14.125" style="9"/>
    <col min="3787" max="3787" width="50.125" style="9" customWidth="1"/>
    <col min="3788" max="3788" width="54.625" style="9" customWidth="1"/>
    <col min="3789" max="3789" width="12.125" style="9" customWidth="1"/>
    <col min="3790" max="3790" width="11.125" style="9" customWidth="1"/>
    <col min="3791" max="3794" width="0" style="9" hidden="1" customWidth="1"/>
    <col min="3795" max="3795" width="11.125" style="9" bestFit="1" customWidth="1"/>
    <col min="3796" max="3799" width="0" style="9" hidden="1" customWidth="1"/>
    <col min="3800" max="3800" width="11.5" style="9" bestFit="1" customWidth="1"/>
    <col min="3801" max="3804" width="0" style="9" hidden="1" customWidth="1"/>
    <col min="3805" max="3805" width="11.5" style="9" bestFit="1" customWidth="1"/>
    <col min="3806" max="3809" width="10.125" style="9" bestFit="1" customWidth="1"/>
    <col min="3810" max="3810" width="12.625" style="9" bestFit="1" customWidth="1"/>
    <col min="3811" max="3840" width="14.125" style="9"/>
    <col min="3841" max="3841" width="49.75" style="9" customWidth="1"/>
    <col min="3842" max="3842" width="16.75" style="9" bestFit="1" customWidth="1"/>
    <col min="3843" max="3843" width="12.625" style="9" bestFit="1" customWidth="1"/>
    <col min="3844" max="3863" width="11.125" style="9" customWidth="1"/>
    <col min="3864" max="3867" width="14.125" style="9"/>
    <col min="3868" max="3868" width="1.5" style="9" bestFit="1" customWidth="1"/>
    <col min="3869" max="3869" width="17.125" style="9" bestFit="1" customWidth="1"/>
    <col min="3870" max="3870" width="1.625" style="9" bestFit="1" customWidth="1"/>
    <col min="3871" max="3871" width="15.125" style="9" bestFit="1" customWidth="1"/>
    <col min="3872" max="4042" width="14.125" style="9"/>
    <col min="4043" max="4043" width="50.125" style="9" customWidth="1"/>
    <col min="4044" max="4044" width="54.625" style="9" customWidth="1"/>
    <col min="4045" max="4045" width="12.125" style="9" customWidth="1"/>
    <col min="4046" max="4046" width="11.125" style="9" customWidth="1"/>
    <col min="4047" max="4050" width="0" style="9" hidden="1" customWidth="1"/>
    <col min="4051" max="4051" width="11.125" style="9" bestFit="1" customWidth="1"/>
    <col min="4052" max="4055" width="0" style="9" hidden="1" customWidth="1"/>
    <col min="4056" max="4056" width="11.5" style="9" bestFit="1" customWidth="1"/>
    <col min="4057" max="4060" width="0" style="9" hidden="1" customWidth="1"/>
    <col min="4061" max="4061" width="11.5" style="9" bestFit="1" customWidth="1"/>
    <col min="4062" max="4065" width="10.125" style="9" bestFit="1" customWidth="1"/>
    <col min="4066" max="4066" width="12.625" style="9" bestFit="1" customWidth="1"/>
    <col min="4067" max="4096" width="14.125" style="9"/>
    <col min="4097" max="4097" width="49.75" style="9" customWidth="1"/>
    <col min="4098" max="4098" width="16.75" style="9" bestFit="1" customWidth="1"/>
    <col min="4099" max="4099" width="12.625" style="9" bestFit="1" customWidth="1"/>
    <col min="4100" max="4119" width="11.125" style="9" customWidth="1"/>
    <col min="4120" max="4123" width="14.125" style="9"/>
    <col min="4124" max="4124" width="1.5" style="9" bestFit="1" customWidth="1"/>
    <col min="4125" max="4125" width="17.125" style="9" bestFit="1" customWidth="1"/>
    <col min="4126" max="4126" width="1.625" style="9" bestFit="1" customWidth="1"/>
    <col min="4127" max="4127" width="15.125" style="9" bestFit="1" customWidth="1"/>
    <col min="4128" max="4298" width="14.125" style="9"/>
    <col min="4299" max="4299" width="50.125" style="9" customWidth="1"/>
    <col min="4300" max="4300" width="54.625" style="9" customWidth="1"/>
    <col min="4301" max="4301" width="12.125" style="9" customWidth="1"/>
    <col min="4302" max="4302" width="11.125" style="9" customWidth="1"/>
    <col min="4303" max="4306" width="0" style="9" hidden="1" customWidth="1"/>
    <col min="4307" max="4307" width="11.125" style="9" bestFit="1" customWidth="1"/>
    <col min="4308" max="4311" width="0" style="9" hidden="1" customWidth="1"/>
    <col min="4312" max="4312" width="11.5" style="9" bestFit="1" customWidth="1"/>
    <col min="4313" max="4316" width="0" style="9" hidden="1" customWidth="1"/>
    <col min="4317" max="4317" width="11.5" style="9" bestFit="1" customWidth="1"/>
    <col min="4318" max="4321" width="10.125" style="9" bestFit="1" customWidth="1"/>
    <col min="4322" max="4322" width="12.625" style="9" bestFit="1" customWidth="1"/>
    <col min="4323" max="4352" width="14.125" style="9"/>
    <col min="4353" max="4353" width="49.75" style="9" customWidth="1"/>
    <col min="4354" max="4354" width="16.75" style="9" bestFit="1" customWidth="1"/>
    <col min="4355" max="4355" width="12.625" style="9" bestFit="1" customWidth="1"/>
    <col min="4356" max="4375" width="11.125" style="9" customWidth="1"/>
    <col min="4376" max="4379" width="14.125" style="9"/>
    <col min="4380" max="4380" width="1.5" style="9" bestFit="1" customWidth="1"/>
    <col min="4381" max="4381" width="17.125" style="9" bestFit="1" customWidth="1"/>
    <col min="4382" max="4382" width="1.625" style="9" bestFit="1" customWidth="1"/>
    <col min="4383" max="4383" width="15.125" style="9" bestFit="1" customWidth="1"/>
    <col min="4384" max="4554" width="14.125" style="9"/>
    <col min="4555" max="4555" width="50.125" style="9" customWidth="1"/>
    <col min="4556" max="4556" width="54.625" style="9" customWidth="1"/>
    <col min="4557" max="4557" width="12.125" style="9" customWidth="1"/>
    <col min="4558" max="4558" width="11.125" style="9" customWidth="1"/>
    <col min="4559" max="4562" width="0" style="9" hidden="1" customWidth="1"/>
    <col min="4563" max="4563" width="11.125" style="9" bestFit="1" customWidth="1"/>
    <col min="4564" max="4567" width="0" style="9" hidden="1" customWidth="1"/>
    <col min="4568" max="4568" width="11.5" style="9" bestFit="1" customWidth="1"/>
    <col min="4569" max="4572" width="0" style="9" hidden="1" customWidth="1"/>
    <col min="4573" max="4573" width="11.5" style="9" bestFit="1" customWidth="1"/>
    <col min="4574" max="4577" width="10.125" style="9" bestFit="1" customWidth="1"/>
    <col min="4578" max="4578" width="12.625" style="9" bestFit="1" customWidth="1"/>
    <col min="4579" max="4608" width="14.125" style="9"/>
    <col min="4609" max="4609" width="49.75" style="9" customWidth="1"/>
    <col min="4610" max="4610" width="16.75" style="9" bestFit="1" customWidth="1"/>
    <col min="4611" max="4611" width="12.625" style="9" bestFit="1" customWidth="1"/>
    <col min="4612" max="4631" width="11.125" style="9" customWidth="1"/>
    <col min="4632" max="4635" width="14.125" style="9"/>
    <col min="4636" max="4636" width="1.5" style="9" bestFit="1" customWidth="1"/>
    <col min="4637" max="4637" width="17.125" style="9" bestFit="1" customWidth="1"/>
    <col min="4638" max="4638" width="1.625" style="9" bestFit="1" customWidth="1"/>
    <col min="4639" max="4639" width="15.125" style="9" bestFit="1" customWidth="1"/>
    <col min="4640" max="4810" width="14.125" style="9"/>
    <col min="4811" max="4811" width="50.125" style="9" customWidth="1"/>
    <col min="4812" max="4812" width="54.625" style="9" customWidth="1"/>
    <col min="4813" max="4813" width="12.125" style="9" customWidth="1"/>
    <col min="4814" max="4814" width="11.125" style="9" customWidth="1"/>
    <col min="4815" max="4818" width="0" style="9" hidden="1" customWidth="1"/>
    <col min="4819" max="4819" width="11.125" style="9" bestFit="1" customWidth="1"/>
    <col min="4820" max="4823" width="0" style="9" hidden="1" customWidth="1"/>
    <col min="4824" max="4824" width="11.5" style="9" bestFit="1" customWidth="1"/>
    <col min="4825" max="4828" width="0" style="9" hidden="1" customWidth="1"/>
    <col min="4829" max="4829" width="11.5" style="9" bestFit="1" customWidth="1"/>
    <col min="4830" max="4833" width="10.125" style="9" bestFit="1" customWidth="1"/>
    <col min="4834" max="4834" width="12.625" style="9" bestFit="1" customWidth="1"/>
    <col min="4835" max="4864" width="14.125" style="9"/>
    <col min="4865" max="4865" width="49.75" style="9" customWidth="1"/>
    <col min="4866" max="4866" width="16.75" style="9" bestFit="1" customWidth="1"/>
    <col min="4867" max="4867" width="12.625" style="9" bestFit="1" customWidth="1"/>
    <col min="4868" max="4887" width="11.125" style="9" customWidth="1"/>
    <col min="4888" max="4891" width="14.125" style="9"/>
    <col min="4892" max="4892" width="1.5" style="9" bestFit="1" customWidth="1"/>
    <col min="4893" max="4893" width="17.125" style="9" bestFit="1" customWidth="1"/>
    <col min="4894" max="4894" width="1.625" style="9" bestFit="1" customWidth="1"/>
    <col min="4895" max="4895" width="15.125" style="9" bestFit="1" customWidth="1"/>
    <col min="4896" max="5066" width="14.125" style="9"/>
    <col min="5067" max="5067" width="50.125" style="9" customWidth="1"/>
    <col min="5068" max="5068" width="54.625" style="9" customWidth="1"/>
    <col min="5069" max="5069" width="12.125" style="9" customWidth="1"/>
    <col min="5070" max="5070" width="11.125" style="9" customWidth="1"/>
    <col min="5071" max="5074" width="0" style="9" hidden="1" customWidth="1"/>
    <col min="5075" max="5075" width="11.125" style="9" bestFit="1" customWidth="1"/>
    <col min="5076" max="5079" width="0" style="9" hidden="1" customWidth="1"/>
    <col min="5080" max="5080" width="11.5" style="9" bestFit="1" customWidth="1"/>
    <col min="5081" max="5084" width="0" style="9" hidden="1" customWidth="1"/>
    <col min="5085" max="5085" width="11.5" style="9" bestFit="1" customWidth="1"/>
    <col min="5086" max="5089" width="10.125" style="9" bestFit="1" customWidth="1"/>
    <col min="5090" max="5090" width="12.625" style="9" bestFit="1" customWidth="1"/>
    <col min="5091" max="5120" width="14.125" style="9"/>
    <col min="5121" max="5121" width="49.75" style="9" customWidth="1"/>
    <col min="5122" max="5122" width="16.75" style="9" bestFit="1" customWidth="1"/>
    <col min="5123" max="5123" width="12.625" style="9" bestFit="1" customWidth="1"/>
    <col min="5124" max="5143" width="11.125" style="9" customWidth="1"/>
    <col min="5144" max="5147" width="14.125" style="9"/>
    <col min="5148" max="5148" width="1.5" style="9" bestFit="1" customWidth="1"/>
    <col min="5149" max="5149" width="17.125" style="9" bestFit="1" customWidth="1"/>
    <col min="5150" max="5150" width="1.625" style="9" bestFit="1" customWidth="1"/>
    <col min="5151" max="5151" width="15.125" style="9" bestFit="1" customWidth="1"/>
    <col min="5152" max="5322" width="14.125" style="9"/>
    <col min="5323" max="5323" width="50.125" style="9" customWidth="1"/>
    <col min="5324" max="5324" width="54.625" style="9" customWidth="1"/>
    <col min="5325" max="5325" width="12.125" style="9" customWidth="1"/>
    <col min="5326" max="5326" width="11.125" style="9" customWidth="1"/>
    <col min="5327" max="5330" width="0" style="9" hidden="1" customWidth="1"/>
    <col min="5331" max="5331" width="11.125" style="9" bestFit="1" customWidth="1"/>
    <col min="5332" max="5335" width="0" style="9" hidden="1" customWidth="1"/>
    <col min="5336" max="5336" width="11.5" style="9" bestFit="1" customWidth="1"/>
    <col min="5337" max="5340" width="0" style="9" hidden="1" customWidth="1"/>
    <col min="5341" max="5341" width="11.5" style="9" bestFit="1" customWidth="1"/>
    <col min="5342" max="5345" width="10.125" style="9" bestFit="1" customWidth="1"/>
    <col min="5346" max="5346" width="12.625" style="9" bestFit="1" customWidth="1"/>
    <col min="5347" max="5376" width="14.125" style="9"/>
    <col min="5377" max="5377" width="49.75" style="9" customWidth="1"/>
    <col min="5378" max="5378" width="16.75" style="9" bestFit="1" customWidth="1"/>
    <col min="5379" max="5379" width="12.625" style="9" bestFit="1" customWidth="1"/>
    <col min="5380" max="5399" width="11.125" style="9" customWidth="1"/>
    <col min="5400" max="5403" width="14.125" style="9"/>
    <col min="5404" max="5404" width="1.5" style="9" bestFit="1" customWidth="1"/>
    <col min="5405" max="5405" width="17.125" style="9" bestFit="1" customWidth="1"/>
    <col min="5406" max="5406" width="1.625" style="9" bestFit="1" customWidth="1"/>
    <col min="5407" max="5407" width="15.125" style="9" bestFit="1" customWidth="1"/>
    <col min="5408" max="5578" width="14.125" style="9"/>
    <col min="5579" max="5579" width="50.125" style="9" customWidth="1"/>
    <col min="5580" max="5580" width="54.625" style="9" customWidth="1"/>
    <col min="5581" max="5581" width="12.125" style="9" customWidth="1"/>
    <col min="5582" max="5582" width="11.125" style="9" customWidth="1"/>
    <col min="5583" max="5586" width="0" style="9" hidden="1" customWidth="1"/>
    <col min="5587" max="5587" width="11.125" style="9" bestFit="1" customWidth="1"/>
    <col min="5588" max="5591" width="0" style="9" hidden="1" customWidth="1"/>
    <col min="5592" max="5592" width="11.5" style="9" bestFit="1" customWidth="1"/>
    <col min="5593" max="5596" width="0" style="9" hidden="1" customWidth="1"/>
    <col min="5597" max="5597" width="11.5" style="9" bestFit="1" customWidth="1"/>
    <col min="5598" max="5601" width="10.125" style="9" bestFit="1" customWidth="1"/>
    <col min="5602" max="5602" width="12.625" style="9" bestFit="1" customWidth="1"/>
    <col min="5603" max="5632" width="14.125" style="9"/>
    <col min="5633" max="5633" width="49.75" style="9" customWidth="1"/>
    <col min="5634" max="5634" width="16.75" style="9" bestFit="1" customWidth="1"/>
    <col min="5635" max="5635" width="12.625" style="9" bestFit="1" customWidth="1"/>
    <col min="5636" max="5655" width="11.125" style="9" customWidth="1"/>
    <col min="5656" max="5659" width="14.125" style="9"/>
    <col min="5660" max="5660" width="1.5" style="9" bestFit="1" customWidth="1"/>
    <col min="5661" max="5661" width="17.125" style="9" bestFit="1" customWidth="1"/>
    <col min="5662" max="5662" width="1.625" style="9" bestFit="1" customWidth="1"/>
    <col min="5663" max="5663" width="15.125" style="9" bestFit="1" customWidth="1"/>
    <col min="5664" max="5834" width="14.125" style="9"/>
    <col min="5835" max="5835" width="50.125" style="9" customWidth="1"/>
    <col min="5836" max="5836" width="54.625" style="9" customWidth="1"/>
    <col min="5837" max="5837" width="12.125" style="9" customWidth="1"/>
    <col min="5838" max="5838" width="11.125" style="9" customWidth="1"/>
    <col min="5839" max="5842" width="0" style="9" hidden="1" customWidth="1"/>
    <col min="5843" max="5843" width="11.125" style="9" bestFit="1" customWidth="1"/>
    <col min="5844" max="5847" width="0" style="9" hidden="1" customWidth="1"/>
    <col min="5848" max="5848" width="11.5" style="9" bestFit="1" customWidth="1"/>
    <col min="5849" max="5852" width="0" style="9" hidden="1" customWidth="1"/>
    <col min="5853" max="5853" width="11.5" style="9" bestFit="1" customWidth="1"/>
    <col min="5854" max="5857" width="10.125" style="9" bestFit="1" customWidth="1"/>
    <col min="5858" max="5858" width="12.625" style="9" bestFit="1" customWidth="1"/>
    <col min="5859" max="5888" width="14.125" style="9"/>
    <col min="5889" max="5889" width="49.75" style="9" customWidth="1"/>
    <col min="5890" max="5890" width="16.75" style="9" bestFit="1" customWidth="1"/>
    <col min="5891" max="5891" width="12.625" style="9" bestFit="1" customWidth="1"/>
    <col min="5892" max="5911" width="11.125" style="9" customWidth="1"/>
    <col min="5912" max="5915" width="14.125" style="9"/>
    <col min="5916" max="5916" width="1.5" style="9" bestFit="1" customWidth="1"/>
    <col min="5917" max="5917" width="17.125" style="9" bestFit="1" customWidth="1"/>
    <col min="5918" max="5918" width="1.625" style="9" bestFit="1" customWidth="1"/>
    <col min="5919" max="5919" width="15.125" style="9" bestFit="1" customWidth="1"/>
    <col min="5920" max="6090" width="14.125" style="9"/>
    <col min="6091" max="6091" width="50.125" style="9" customWidth="1"/>
    <col min="6092" max="6092" width="54.625" style="9" customWidth="1"/>
    <col min="6093" max="6093" width="12.125" style="9" customWidth="1"/>
    <col min="6094" max="6094" width="11.125" style="9" customWidth="1"/>
    <col min="6095" max="6098" width="0" style="9" hidden="1" customWidth="1"/>
    <col min="6099" max="6099" width="11.125" style="9" bestFit="1" customWidth="1"/>
    <col min="6100" max="6103" width="0" style="9" hidden="1" customWidth="1"/>
    <col min="6104" max="6104" width="11.5" style="9" bestFit="1" customWidth="1"/>
    <col min="6105" max="6108" width="0" style="9" hidden="1" customWidth="1"/>
    <col min="6109" max="6109" width="11.5" style="9" bestFit="1" customWidth="1"/>
    <col min="6110" max="6113" width="10.125" style="9" bestFit="1" customWidth="1"/>
    <col min="6114" max="6114" width="12.625" style="9" bestFit="1" customWidth="1"/>
    <col min="6115" max="6144" width="14.125" style="9"/>
    <col min="6145" max="6145" width="49.75" style="9" customWidth="1"/>
    <col min="6146" max="6146" width="16.75" style="9" bestFit="1" customWidth="1"/>
    <col min="6147" max="6147" width="12.625" style="9" bestFit="1" customWidth="1"/>
    <col min="6148" max="6167" width="11.125" style="9" customWidth="1"/>
    <col min="6168" max="6171" width="14.125" style="9"/>
    <col min="6172" max="6172" width="1.5" style="9" bestFit="1" customWidth="1"/>
    <col min="6173" max="6173" width="17.125" style="9" bestFit="1" customWidth="1"/>
    <col min="6174" max="6174" width="1.625" style="9" bestFit="1" customWidth="1"/>
    <col min="6175" max="6175" width="15.125" style="9" bestFit="1" customWidth="1"/>
    <col min="6176" max="6346" width="14.125" style="9"/>
    <col min="6347" max="6347" width="50.125" style="9" customWidth="1"/>
    <col min="6348" max="6348" width="54.625" style="9" customWidth="1"/>
    <col min="6349" max="6349" width="12.125" style="9" customWidth="1"/>
    <col min="6350" max="6350" width="11.125" style="9" customWidth="1"/>
    <col min="6351" max="6354" width="0" style="9" hidden="1" customWidth="1"/>
    <col min="6355" max="6355" width="11.125" style="9" bestFit="1" customWidth="1"/>
    <col min="6356" max="6359" width="0" style="9" hidden="1" customWidth="1"/>
    <col min="6360" max="6360" width="11.5" style="9" bestFit="1" customWidth="1"/>
    <col min="6361" max="6364" width="0" style="9" hidden="1" customWidth="1"/>
    <col min="6365" max="6365" width="11.5" style="9" bestFit="1" customWidth="1"/>
    <col min="6366" max="6369" width="10.125" style="9" bestFit="1" customWidth="1"/>
    <col min="6370" max="6370" width="12.625" style="9" bestFit="1" customWidth="1"/>
    <col min="6371" max="6400" width="14.125" style="9"/>
    <col min="6401" max="6401" width="49.75" style="9" customWidth="1"/>
    <col min="6402" max="6402" width="16.75" style="9" bestFit="1" customWidth="1"/>
    <col min="6403" max="6403" width="12.625" style="9" bestFit="1" customWidth="1"/>
    <col min="6404" max="6423" width="11.125" style="9" customWidth="1"/>
    <col min="6424" max="6427" width="14.125" style="9"/>
    <col min="6428" max="6428" width="1.5" style="9" bestFit="1" customWidth="1"/>
    <col min="6429" max="6429" width="17.125" style="9" bestFit="1" customWidth="1"/>
    <col min="6430" max="6430" width="1.625" style="9" bestFit="1" customWidth="1"/>
    <col min="6431" max="6431" width="15.125" style="9" bestFit="1" customWidth="1"/>
    <col min="6432" max="6602" width="14.125" style="9"/>
    <col min="6603" max="6603" width="50.125" style="9" customWidth="1"/>
    <col min="6604" max="6604" width="54.625" style="9" customWidth="1"/>
    <col min="6605" max="6605" width="12.125" style="9" customWidth="1"/>
    <col min="6606" max="6606" width="11.125" style="9" customWidth="1"/>
    <col min="6607" max="6610" width="0" style="9" hidden="1" customWidth="1"/>
    <col min="6611" max="6611" width="11.125" style="9" bestFit="1" customWidth="1"/>
    <col min="6612" max="6615" width="0" style="9" hidden="1" customWidth="1"/>
    <col min="6616" max="6616" width="11.5" style="9" bestFit="1" customWidth="1"/>
    <col min="6617" max="6620" width="0" style="9" hidden="1" customWidth="1"/>
    <col min="6621" max="6621" width="11.5" style="9" bestFit="1" customWidth="1"/>
    <col min="6622" max="6625" width="10.125" style="9" bestFit="1" customWidth="1"/>
    <col min="6626" max="6626" width="12.625" style="9" bestFit="1" customWidth="1"/>
    <col min="6627" max="6656" width="14.125" style="9"/>
    <col min="6657" max="6657" width="49.75" style="9" customWidth="1"/>
    <col min="6658" max="6658" width="16.75" style="9" bestFit="1" customWidth="1"/>
    <col min="6659" max="6659" width="12.625" style="9" bestFit="1" customWidth="1"/>
    <col min="6660" max="6679" width="11.125" style="9" customWidth="1"/>
    <col min="6680" max="6683" width="14.125" style="9"/>
    <col min="6684" max="6684" width="1.5" style="9" bestFit="1" customWidth="1"/>
    <col min="6685" max="6685" width="17.125" style="9" bestFit="1" customWidth="1"/>
    <col min="6686" max="6686" width="1.625" style="9" bestFit="1" customWidth="1"/>
    <col min="6687" max="6687" width="15.125" style="9" bestFit="1" customWidth="1"/>
    <col min="6688" max="6858" width="14.125" style="9"/>
    <col min="6859" max="6859" width="50.125" style="9" customWidth="1"/>
    <col min="6860" max="6860" width="54.625" style="9" customWidth="1"/>
    <col min="6861" max="6861" width="12.125" style="9" customWidth="1"/>
    <col min="6862" max="6862" width="11.125" style="9" customWidth="1"/>
    <col min="6863" max="6866" width="0" style="9" hidden="1" customWidth="1"/>
    <col min="6867" max="6867" width="11.125" style="9" bestFit="1" customWidth="1"/>
    <col min="6868" max="6871" width="0" style="9" hidden="1" customWidth="1"/>
    <col min="6872" max="6872" width="11.5" style="9" bestFit="1" customWidth="1"/>
    <col min="6873" max="6876" width="0" style="9" hidden="1" customWidth="1"/>
    <col min="6877" max="6877" width="11.5" style="9" bestFit="1" customWidth="1"/>
    <col min="6878" max="6881" width="10.125" style="9" bestFit="1" customWidth="1"/>
    <col min="6882" max="6882" width="12.625" style="9" bestFit="1" customWidth="1"/>
    <col min="6883" max="6912" width="14.125" style="9"/>
    <col min="6913" max="6913" width="49.75" style="9" customWidth="1"/>
    <col min="6914" max="6914" width="16.75" style="9" bestFit="1" customWidth="1"/>
    <col min="6915" max="6915" width="12.625" style="9" bestFit="1" customWidth="1"/>
    <col min="6916" max="6935" width="11.125" style="9" customWidth="1"/>
    <col min="6936" max="6939" width="14.125" style="9"/>
    <col min="6940" max="6940" width="1.5" style="9" bestFit="1" customWidth="1"/>
    <col min="6941" max="6941" width="17.125" style="9" bestFit="1" customWidth="1"/>
    <col min="6942" max="6942" width="1.625" style="9" bestFit="1" customWidth="1"/>
    <col min="6943" max="6943" width="15.125" style="9" bestFit="1" customWidth="1"/>
    <col min="6944" max="7114" width="14.125" style="9"/>
    <col min="7115" max="7115" width="50.125" style="9" customWidth="1"/>
    <col min="7116" max="7116" width="54.625" style="9" customWidth="1"/>
    <col min="7117" max="7117" width="12.125" style="9" customWidth="1"/>
    <col min="7118" max="7118" width="11.125" style="9" customWidth="1"/>
    <col min="7119" max="7122" width="0" style="9" hidden="1" customWidth="1"/>
    <col min="7123" max="7123" width="11.125" style="9" bestFit="1" customWidth="1"/>
    <col min="7124" max="7127" width="0" style="9" hidden="1" customWidth="1"/>
    <col min="7128" max="7128" width="11.5" style="9" bestFit="1" customWidth="1"/>
    <col min="7129" max="7132" width="0" style="9" hidden="1" customWidth="1"/>
    <col min="7133" max="7133" width="11.5" style="9" bestFit="1" customWidth="1"/>
    <col min="7134" max="7137" width="10.125" style="9" bestFit="1" customWidth="1"/>
    <col min="7138" max="7138" width="12.625" style="9" bestFit="1" customWidth="1"/>
    <col min="7139" max="7168" width="14.125" style="9"/>
    <col min="7169" max="7169" width="49.75" style="9" customWidth="1"/>
    <col min="7170" max="7170" width="16.75" style="9" bestFit="1" customWidth="1"/>
    <col min="7171" max="7171" width="12.625" style="9" bestFit="1" customWidth="1"/>
    <col min="7172" max="7191" width="11.125" style="9" customWidth="1"/>
    <col min="7192" max="7195" width="14.125" style="9"/>
    <col min="7196" max="7196" width="1.5" style="9" bestFit="1" customWidth="1"/>
    <col min="7197" max="7197" width="17.125" style="9" bestFit="1" customWidth="1"/>
    <col min="7198" max="7198" width="1.625" style="9" bestFit="1" customWidth="1"/>
    <col min="7199" max="7199" width="15.125" style="9" bestFit="1" customWidth="1"/>
    <col min="7200" max="7370" width="14.125" style="9"/>
    <col min="7371" max="7371" width="50.125" style="9" customWidth="1"/>
    <col min="7372" max="7372" width="54.625" style="9" customWidth="1"/>
    <col min="7373" max="7373" width="12.125" style="9" customWidth="1"/>
    <col min="7374" max="7374" width="11.125" style="9" customWidth="1"/>
    <col min="7375" max="7378" width="0" style="9" hidden="1" customWidth="1"/>
    <col min="7379" max="7379" width="11.125" style="9" bestFit="1" customWidth="1"/>
    <col min="7380" max="7383" width="0" style="9" hidden="1" customWidth="1"/>
    <col min="7384" max="7384" width="11.5" style="9" bestFit="1" customWidth="1"/>
    <col min="7385" max="7388" width="0" style="9" hidden="1" customWidth="1"/>
    <col min="7389" max="7389" width="11.5" style="9" bestFit="1" customWidth="1"/>
    <col min="7390" max="7393" width="10.125" style="9" bestFit="1" customWidth="1"/>
    <col min="7394" max="7394" width="12.625" style="9" bestFit="1" customWidth="1"/>
    <col min="7395" max="7424" width="14.125" style="9"/>
    <col min="7425" max="7425" width="49.75" style="9" customWidth="1"/>
    <col min="7426" max="7426" width="16.75" style="9" bestFit="1" customWidth="1"/>
    <col min="7427" max="7427" width="12.625" style="9" bestFit="1" customWidth="1"/>
    <col min="7428" max="7447" width="11.125" style="9" customWidth="1"/>
    <col min="7448" max="7451" width="14.125" style="9"/>
    <col min="7452" max="7452" width="1.5" style="9" bestFit="1" customWidth="1"/>
    <col min="7453" max="7453" width="17.125" style="9" bestFit="1" customWidth="1"/>
    <col min="7454" max="7454" width="1.625" style="9" bestFit="1" customWidth="1"/>
    <col min="7455" max="7455" width="15.125" style="9" bestFit="1" customWidth="1"/>
    <col min="7456" max="7626" width="14.125" style="9"/>
    <col min="7627" max="7627" width="50.125" style="9" customWidth="1"/>
    <col min="7628" max="7628" width="54.625" style="9" customWidth="1"/>
    <col min="7629" max="7629" width="12.125" style="9" customWidth="1"/>
    <col min="7630" max="7630" width="11.125" style="9" customWidth="1"/>
    <col min="7631" max="7634" width="0" style="9" hidden="1" customWidth="1"/>
    <col min="7635" max="7635" width="11.125" style="9" bestFit="1" customWidth="1"/>
    <col min="7636" max="7639" width="0" style="9" hidden="1" customWidth="1"/>
    <col min="7640" max="7640" width="11.5" style="9" bestFit="1" customWidth="1"/>
    <col min="7641" max="7644" width="0" style="9" hidden="1" customWidth="1"/>
    <col min="7645" max="7645" width="11.5" style="9" bestFit="1" customWidth="1"/>
    <col min="7646" max="7649" width="10.125" style="9" bestFit="1" customWidth="1"/>
    <col min="7650" max="7650" width="12.625" style="9" bestFit="1" customWidth="1"/>
    <col min="7651" max="7680" width="14.125" style="9"/>
    <col min="7681" max="7681" width="49.75" style="9" customWidth="1"/>
    <col min="7682" max="7682" width="16.75" style="9" bestFit="1" customWidth="1"/>
    <col min="7683" max="7683" width="12.625" style="9" bestFit="1" customWidth="1"/>
    <col min="7684" max="7703" width="11.125" style="9" customWidth="1"/>
    <col min="7704" max="7707" width="14.125" style="9"/>
    <col min="7708" max="7708" width="1.5" style="9" bestFit="1" customWidth="1"/>
    <col min="7709" max="7709" width="17.125" style="9" bestFit="1" customWidth="1"/>
    <col min="7710" max="7710" width="1.625" style="9" bestFit="1" customWidth="1"/>
    <col min="7711" max="7711" width="15.125" style="9" bestFit="1" customWidth="1"/>
    <col min="7712" max="7882" width="14.125" style="9"/>
    <col min="7883" max="7883" width="50.125" style="9" customWidth="1"/>
    <col min="7884" max="7884" width="54.625" style="9" customWidth="1"/>
    <col min="7885" max="7885" width="12.125" style="9" customWidth="1"/>
    <col min="7886" max="7886" width="11.125" style="9" customWidth="1"/>
    <col min="7887" max="7890" width="0" style="9" hidden="1" customWidth="1"/>
    <col min="7891" max="7891" width="11.125" style="9" bestFit="1" customWidth="1"/>
    <col min="7892" max="7895" width="0" style="9" hidden="1" customWidth="1"/>
    <col min="7896" max="7896" width="11.5" style="9" bestFit="1" customWidth="1"/>
    <col min="7897" max="7900" width="0" style="9" hidden="1" customWidth="1"/>
    <col min="7901" max="7901" width="11.5" style="9" bestFit="1" customWidth="1"/>
    <col min="7902" max="7905" width="10.125" style="9" bestFit="1" customWidth="1"/>
    <col min="7906" max="7906" width="12.625" style="9" bestFit="1" customWidth="1"/>
    <col min="7907" max="7936" width="14.125" style="9"/>
    <col min="7937" max="7937" width="49.75" style="9" customWidth="1"/>
    <col min="7938" max="7938" width="16.75" style="9" bestFit="1" customWidth="1"/>
    <col min="7939" max="7939" width="12.625" style="9" bestFit="1" customWidth="1"/>
    <col min="7940" max="7959" width="11.125" style="9" customWidth="1"/>
    <col min="7960" max="7963" width="14.125" style="9"/>
    <col min="7964" max="7964" width="1.5" style="9" bestFit="1" customWidth="1"/>
    <col min="7965" max="7965" width="17.125" style="9" bestFit="1" customWidth="1"/>
    <col min="7966" max="7966" width="1.625" style="9" bestFit="1" customWidth="1"/>
    <col min="7967" max="7967" width="15.125" style="9" bestFit="1" customWidth="1"/>
    <col min="7968" max="8138" width="14.125" style="9"/>
    <col min="8139" max="8139" width="50.125" style="9" customWidth="1"/>
    <col min="8140" max="8140" width="54.625" style="9" customWidth="1"/>
    <col min="8141" max="8141" width="12.125" style="9" customWidth="1"/>
    <col min="8142" max="8142" width="11.125" style="9" customWidth="1"/>
    <col min="8143" max="8146" width="0" style="9" hidden="1" customWidth="1"/>
    <col min="8147" max="8147" width="11.125" style="9" bestFit="1" customWidth="1"/>
    <col min="8148" max="8151" width="0" style="9" hidden="1" customWidth="1"/>
    <col min="8152" max="8152" width="11.5" style="9" bestFit="1" customWidth="1"/>
    <col min="8153" max="8156" width="0" style="9" hidden="1" customWidth="1"/>
    <col min="8157" max="8157" width="11.5" style="9" bestFit="1" customWidth="1"/>
    <col min="8158" max="8161" width="10.125" style="9" bestFit="1" customWidth="1"/>
    <col min="8162" max="8162" width="12.625" style="9" bestFit="1" customWidth="1"/>
    <col min="8163" max="8192" width="14.125" style="9"/>
    <col min="8193" max="8193" width="49.75" style="9" customWidth="1"/>
    <col min="8194" max="8194" width="16.75" style="9" bestFit="1" customWidth="1"/>
    <col min="8195" max="8195" width="12.625" style="9" bestFit="1" customWidth="1"/>
    <col min="8196" max="8215" width="11.125" style="9" customWidth="1"/>
    <col min="8216" max="8219" width="14.125" style="9"/>
    <col min="8220" max="8220" width="1.5" style="9" bestFit="1" customWidth="1"/>
    <col min="8221" max="8221" width="17.125" style="9" bestFit="1" customWidth="1"/>
    <col min="8222" max="8222" width="1.625" style="9" bestFit="1" customWidth="1"/>
    <col min="8223" max="8223" width="15.125" style="9" bestFit="1" customWidth="1"/>
    <col min="8224" max="8394" width="14.125" style="9"/>
    <col min="8395" max="8395" width="50.125" style="9" customWidth="1"/>
    <col min="8396" max="8396" width="54.625" style="9" customWidth="1"/>
    <col min="8397" max="8397" width="12.125" style="9" customWidth="1"/>
    <col min="8398" max="8398" width="11.125" style="9" customWidth="1"/>
    <col min="8399" max="8402" width="0" style="9" hidden="1" customWidth="1"/>
    <col min="8403" max="8403" width="11.125" style="9" bestFit="1" customWidth="1"/>
    <col min="8404" max="8407" width="0" style="9" hidden="1" customWidth="1"/>
    <col min="8408" max="8408" width="11.5" style="9" bestFit="1" customWidth="1"/>
    <col min="8409" max="8412" width="0" style="9" hidden="1" customWidth="1"/>
    <col min="8413" max="8413" width="11.5" style="9" bestFit="1" customWidth="1"/>
    <col min="8414" max="8417" width="10.125" style="9" bestFit="1" customWidth="1"/>
    <col min="8418" max="8418" width="12.625" style="9" bestFit="1" customWidth="1"/>
    <col min="8419" max="8448" width="14.125" style="9"/>
    <col min="8449" max="8449" width="49.75" style="9" customWidth="1"/>
    <col min="8450" max="8450" width="16.75" style="9" bestFit="1" customWidth="1"/>
    <col min="8451" max="8451" width="12.625" style="9" bestFit="1" customWidth="1"/>
    <col min="8452" max="8471" width="11.125" style="9" customWidth="1"/>
    <col min="8472" max="8475" width="14.125" style="9"/>
    <col min="8476" max="8476" width="1.5" style="9" bestFit="1" customWidth="1"/>
    <col min="8477" max="8477" width="17.125" style="9" bestFit="1" customWidth="1"/>
    <col min="8478" max="8478" width="1.625" style="9" bestFit="1" customWidth="1"/>
    <col min="8479" max="8479" width="15.125" style="9" bestFit="1" customWidth="1"/>
    <col min="8480" max="8650" width="14.125" style="9"/>
    <col min="8651" max="8651" width="50.125" style="9" customWidth="1"/>
    <col min="8652" max="8652" width="54.625" style="9" customWidth="1"/>
    <col min="8653" max="8653" width="12.125" style="9" customWidth="1"/>
    <col min="8654" max="8654" width="11.125" style="9" customWidth="1"/>
    <col min="8655" max="8658" width="0" style="9" hidden="1" customWidth="1"/>
    <col min="8659" max="8659" width="11.125" style="9" bestFit="1" customWidth="1"/>
    <col min="8660" max="8663" width="0" style="9" hidden="1" customWidth="1"/>
    <col min="8664" max="8664" width="11.5" style="9" bestFit="1" customWidth="1"/>
    <col min="8665" max="8668" width="0" style="9" hidden="1" customWidth="1"/>
    <col min="8669" max="8669" width="11.5" style="9" bestFit="1" customWidth="1"/>
    <col min="8670" max="8673" width="10.125" style="9" bestFit="1" customWidth="1"/>
    <col min="8674" max="8674" width="12.625" style="9" bestFit="1" customWidth="1"/>
    <col min="8675" max="8704" width="14.125" style="9"/>
    <col min="8705" max="8705" width="49.75" style="9" customWidth="1"/>
    <col min="8706" max="8706" width="16.75" style="9" bestFit="1" customWidth="1"/>
    <col min="8707" max="8707" width="12.625" style="9" bestFit="1" customWidth="1"/>
    <col min="8708" max="8727" width="11.125" style="9" customWidth="1"/>
    <col min="8728" max="8731" width="14.125" style="9"/>
    <col min="8732" max="8732" width="1.5" style="9" bestFit="1" customWidth="1"/>
    <col min="8733" max="8733" width="17.125" style="9" bestFit="1" customWidth="1"/>
    <col min="8734" max="8734" width="1.625" style="9" bestFit="1" customWidth="1"/>
    <col min="8735" max="8735" width="15.125" style="9" bestFit="1" customWidth="1"/>
    <col min="8736" max="8906" width="14.125" style="9"/>
    <col min="8907" max="8907" width="50.125" style="9" customWidth="1"/>
    <col min="8908" max="8908" width="54.625" style="9" customWidth="1"/>
    <col min="8909" max="8909" width="12.125" style="9" customWidth="1"/>
    <col min="8910" max="8910" width="11.125" style="9" customWidth="1"/>
    <col min="8911" max="8914" width="0" style="9" hidden="1" customWidth="1"/>
    <col min="8915" max="8915" width="11.125" style="9" bestFit="1" customWidth="1"/>
    <col min="8916" max="8919" width="0" style="9" hidden="1" customWidth="1"/>
    <col min="8920" max="8920" width="11.5" style="9" bestFit="1" customWidth="1"/>
    <col min="8921" max="8924" width="0" style="9" hidden="1" customWidth="1"/>
    <col min="8925" max="8925" width="11.5" style="9" bestFit="1" customWidth="1"/>
    <col min="8926" max="8929" width="10.125" style="9" bestFit="1" customWidth="1"/>
    <col min="8930" max="8930" width="12.625" style="9" bestFit="1" customWidth="1"/>
    <col min="8931" max="8960" width="14.125" style="9"/>
    <col min="8961" max="8961" width="49.75" style="9" customWidth="1"/>
    <col min="8962" max="8962" width="16.75" style="9" bestFit="1" customWidth="1"/>
    <col min="8963" max="8963" width="12.625" style="9" bestFit="1" customWidth="1"/>
    <col min="8964" max="8983" width="11.125" style="9" customWidth="1"/>
    <col min="8984" max="8987" width="14.125" style="9"/>
    <col min="8988" max="8988" width="1.5" style="9" bestFit="1" customWidth="1"/>
    <col min="8989" max="8989" width="17.125" style="9" bestFit="1" customWidth="1"/>
    <col min="8990" max="8990" width="1.625" style="9" bestFit="1" customWidth="1"/>
    <col min="8991" max="8991" width="15.125" style="9" bestFit="1" customWidth="1"/>
    <col min="8992" max="9162" width="14.125" style="9"/>
    <col min="9163" max="9163" width="50.125" style="9" customWidth="1"/>
    <col min="9164" max="9164" width="54.625" style="9" customWidth="1"/>
    <col min="9165" max="9165" width="12.125" style="9" customWidth="1"/>
    <col min="9166" max="9166" width="11.125" style="9" customWidth="1"/>
    <col min="9167" max="9170" width="0" style="9" hidden="1" customWidth="1"/>
    <col min="9171" max="9171" width="11.125" style="9" bestFit="1" customWidth="1"/>
    <col min="9172" max="9175" width="0" style="9" hidden="1" customWidth="1"/>
    <col min="9176" max="9176" width="11.5" style="9" bestFit="1" customWidth="1"/>
    <col min="9177" max="9180" width="0" style="9" hidden="1" customWidth="1"/>
    <col min="9181" max="9181" width="11.5" style="9" bestFit="1" customWidth="1"/>
    <col min="9182" max="9185" width="10.125" style="9" bestFit="1" customWidth="1"/>
    <col min="9186" max="9186" width="12.625" style="9" bestFit="1" customWidth="1"/>
    <col min="9187" max="9216" width="14.125" style="9"/>
    <col min="9217" max="9217" width="49.75" style="9" customWidth="1"/>
    <col min="9218" max="9218" width="16.75" style="9" bestFit="1" customWidth="1"/>
    <col min="9219" max="9219" width="12.625" style="9" bestFit="1" customWidth="1"/>
    <col min="9220" max="9239" width="11.125" style="9" customWidth="1"/>
    <col min="9240" max="9243" width="14.125" style="9"/>
    <col min="9244" max="9244" width="1.5" style="9" bestFit="1" customWidth="1"/>
    <col min="9245" max="9245" width="17.125" style="9" bestFit="1" customWidth="1"/>
    <col min="9246" max="9246" width="1.625" style="9" bestFit="1" customWidth="1"/>
    <col min="9247" max="9247" width="15.125" style="9" bestFit="1" customWidth="1"/>
    <col min="9248" max="9418" width="14.125" style="9"/>
    <col min="9419" max="9419" width="50.125" style="9" customWidth="1"/>
    <col min="9420" max="9420" width="54.625" style="9" customWidth="1"/>
    <col min="9421" max="9421" width="12.125" style="9" customWidth="1"/>
    <col min="9422" max="9422" width="11.125" style="9" customWidth="1"/>
    <col min="9423" max="9426" width="0" style="9" hidden="1" customWidth="1"/>
    <col min="9427" max="9427" width="11.125" style="9" bestFit="1" customWidth="1"/>
    <col min="9428" max="9431" width="0" style="9" hidden="1" customWidth="1"/>
    <col min="9432" max="9432" width="11.5" style="9" bestFit="1" customWidth="1"/>
    <col min="9433" max="9436" width="0" style="9" hidden="1" customWidth="1"/>
    <col min="9437" max="9437" width="11.5" style="9" bestFit="1" customWidth="1"/>
    <col min="9438" max="9441" width="10.125" style="9" bestFit="1" customWidth="1"/>
    <col min="9442" max="9442" width="12.625" style="9" bestFit="1" customWidth="1"/>
    <col min="9443" max="9472" width="14.125" style="9"/>
    <col min="9473" max="9473" width="49.75" style="9" customWidth="1"/>
    <col min="9474" max="9474" width="16.75" style="9" bestFit="1" customWidth="1"/>
    <col min="9475" max="9475" width="12.625" style="9" bestFit="1" customWidth="1"/>
    <col min="9476" max="9495" width="11.125" style="9" customWidth="1"/>
    <col min="9496" max="9499" width="14.125" style="9"/>
    <col min="9500" max="9500" width="1.5" style="9" bestFit="1" customWidth="1"/>
    <col min="9501" max="9501" width="17.125" style="9" bestFit="1" customWidth="1"/>
    <col min="9502" max="9502" width="1.625" style="9" bestFit="1" customWidth="1"/>
    <col min="9503" max="9503" width="15.125" style="9" bestFit="1" customWidth="1"/>
    <col min="9504" max="9674" width="14.125" style="9"/>
    <col min="9675" max="9675" width="50.125" style="9" customWidth="1"/>
    <col min="9676" max="9676" width="54.625" style="9" customWidth="1"/>
    <col min="9677" max="9677" width="12.125" style="9" customWidth="1"/>
    <col min="9678" max="9678" width="11.125" style="9" customWidth="1"/>
    <col min="9679" max="9682" width="0" style="9" hidden="1" customWidth="1"/>
    <col min="9683" max="9683" width="11.125" style="9" bestFit="1" customWidth="1"/>
    <col min="9684" max="9687" width="0" style="9" hidden="1" customWidth="1"/>
    <col min="9688" max="9688" width="11.5" style="9" bestFit="1" customWidth="1"/>
    <col min="9689" max="9692" width="0" style="9" hidden="1" customWidth="1"/>
    <col min="9693" max="9693" width="11.5" style="9" bestFit="1" customWidth="1"/>
    <col min="9694" max="9697" width="10.125" style="9" bestFit="1" customWidth="1"/>
    <col min="9698" max="9698" width="12.625" style="9" bestFit="1" customWidth="1"/>
    <col min="9699" max="9728" width="14.125" style="9"/>
    <col min="9729" max="9729" width="49.75" style="9" customWidth="1"/>
    <col min="9730" max="9730" width="16.75" style="9" bestFit="1" customWidth="1"/>
    <col min="9731" max="9731" width="12.625" style="9" bestFit="1" customWidth="1"/>
    <col min="9732" max="9751" width="11.125" style="9" customWidth="1"/>
    <col min="9752" max="9755" width="14.125" style="9"/>
    <col min="9756" max="9756" width="1.5" style="9" bestFit="1" customWidth="1"/>
    <col min="9757" max="9757" width="17.125" style="9" bestFit="1" customWidth="1"/>
    <col min="9758" max="9758" width="1.625" style="9" bestFit="1" customWidth="1"/>
    <col min="9759" max="9759" width="15.125" style="9" bestFit="1" customWidth="1"/>
    <col min="9760" max="9930" width="14.125" style="9"/>
    <col min="9931" max="9931" width="50.125" style="9" customWidth="1"/>
    <col min="9932" max="9932" width="54.625" style="9" customWidth="1"/>
    <col min="9933" max="9933" width="12.125" style="9" customWidth="1"/>
    <col min="9934" max="9934" width="11.125" style="9" customWidth="1"/>
    <col min="9935" max="9938" width="0" style="9" hidden="1" customWidth="1"/>
    <col min="9939" max="9939" width="11.125" style="9" bestFit="1" customWidth="1"/>
    <col min="9940" max="9943" width="0" style="9" hidden="1" customWidth="1"/>
    <col min="9944" max="9944" width="11.5" style="9" bestFit="1" customWidth="1"/>
    <col min="9945" max="9948" width="0" style="9" hidden="1" customWidth="1"/>
    <col min="9949" max="9949" width="11.5" style="9" bestFit="1" customWidth="1"/>
    <col min="9950" max="9953" width="10.125" style="9" bestFit="1" customWidth="1"/>
    <col min="9954" max="9954" width="12.625" style="9" bestFit="1" customWidth="1"/>
    <col min="9955" max="9984" width="14.125" style="9"/>
    <col min="9985" max="9985" width="49.75" style="9" customWidth="1"/>
    <col min="9986" max="9986" width="16.75" style="9" bestFit="1" customWidth="1"/>
    <col min="9987" max="9987" width="12.625" style="9" bestFit="1" customWidth="1"/>
    <col min="9988" max="10007" width="11.125" style="9" customWidth="1"/>
    <col min="10008" max="10011" width="14.125" style="9"/>
    <col min="10012" max="10012" width="1.5" style="9" bestFit="1" customWidth="1"/>
    <col min="10013" max="10013" width="17.125" style="9" bestFit="1" customWidth="1"/>
    <col min="10014" max="10014" width="1.625" style="9" bestFit="1" customWidth="1"/>
    <col min="10015" max="10015" width="15.125" style="9" bestFit="1" customWidth="1"/>
    <col min="10016" max="10186" width="14.125" style="9"/>
    <col min="10187" max="10187" width="50.125" style="9" customWidth="1"/>
    <col min="10188" max="10188" width="54.625" style="9" customWidth="1"/>
    <col min="10189" max="10189" width="12.125" style="9" customWidth="1"/>
    <col min="10190" max="10190" width="11.125" style="9" customWidth="1"/>
    <col min="10191" max="10194" width="0" style="9" hidden="1" customWidth="1"/>
    <col min="10195" max="10195" width="11.125" style="9" bestFit="1" customWidth="1"/>
    <col min="10196" max="10199" width="0" style="9" hidden="1" customWidth="1"/>
    <col min="10200" max="10200" width="11.5" style="9" bestFit="1" customWidth="1"/>
    <col min="10201" max="10204" width="0" style="9" hidden="1" customWidth="1"/>
    <col min="10205" max="10205" width="11.5" style="9" bestFit="1" customWidth="1"/>
    <col min="10206" max="10209" width="10.125" style="9" bestFit="1" customWidth="1"/>
    <col min="10210" max="10210" width="12.625" style="9" bestFit="1" customWidth="1"/>
    <col min="10211" max="10240" width="14.125" style="9"/>
    <col min="10241" max="10241" width="49.75" style="9" customWidth="1"/>
    <col min="10242" max="10242" width="16.75" style="9" bestFit="1" customWidth="1"/>
    <col min="10243" max="10243" width="12.625" style="9" bestFit="1" customWidth="1"/>
    <col min="10244" max="10263" width="11.125" style="9" customWidth="1"/>
    <col min="10264" max="10267" width="14.125" style="9"/>
    <col min="10268" max="10268" width="1.5" style="9" bestFit="1" customWidth="1"/>
    <col min="10269" max="10269" width="17.125" style="9" bestFit="1" customWidth="1"/>
    <col min="10270" max="10270" width="1.625" style="9" bestFit="1" customWidth="1"/>
    <col min="10271" max="10271" width="15.125" style="9" bestFit="1" customWidth="1"/>
    <col min="10272" max="10442" width="14.125" style="9"/>
    <col min="10443" max="10443" width="50.125" style="9" customWidth="1"/>
    <col min="10444" max="10444" width="54.625" style="9" customWidth="1"/>
    <col min="10445" max="10445" width="12.125" style="9" customWidth="1"/>
    <col min="10446" max="10446" width="11.125" style="9" customWidth="1"/>
    <col min="10447" max="10450" width="0" style="9" hidden="1" customWidth="1"/>
    <col min="10451" max="10451" width="11.125" style="9" bestFit="1" customWidth="1"/>
    <col min="10452" max="10455" width="0" style="9" hidden="1" customWidth="1"/>
    <col min="10456" max="10456" width="11.5" style="9" bestFit="1" customWidth="1"/>
    <col min="10457" max="10460" width="0" style="9" hidden="1" customWidth="1"/>
    <col min="10461" max="10461" width="11.5" style="9" bestFit="1" customWidth="1"/>
    <col min="10462" max="10465" width="10.125" style="9" bestFit="1" customWidth="1"/>
    <col min="10466" max="10466" width="12.625" style="9" bestFit="1" customWidth="1"/>
    <col min="10467" max="10496" width="14.125" style="9"/>
    <col min="10497" max="10497" width="49.75" style="9" customWidth="1"/>
    <col min="10498" max="10498" width="16.75" style="9" bestFit="1" customWidth="1"/>
    <col min="10499" max="10499" width="12.625" style="9" bestFit="1" customWidth="1"/>
    <col min="10500" max="10519" width="11.125" style="9" customWidth="1"/>
    <col min="10520" max="10523" width="14.125" style="9"/>
    <col min="10524" max="10524" width="1.5" style="9" bestFit="1" customWidth="1"/>
    <col min="10525" max="10525" width="17.125" style="9" bestFit="1" customWidth="1"/>
    <col min="10526" max="10526" width="1.625" style="9" bestFit="1" customWidth="1"/>
    <col min="10527" max="10527" width="15.125" style="9" bestFit="1" customWidth="1"/>
    <col min="10528" max="10698" width="14.125" style="9"/>
    <col min="10699" max="10699" width="50.125" style="9" customWidth="1"/>
    <col min="10700" max="10700" width="54.625" style="9" customWidth="1"/>
    <col min="10701" max="10701" width="12.125" style="9" customWidth="1"/>
    <col min="10702" max="10702" width="11.125" style="9" customWidth="1"/>
    <col min="10703" max="10706" width="0" style="9" hidden="1" customWidth="1"/>
    <col min="10707" max="10707" width="11.125" style="9" bestFit="1" customWidth="1"/>
    <col min="10708" max="10711" width="0" style="9" hidden="1" customWidth="1"/>
    <col min="10712" max="10712" width="11.5" style="9" bestFit="1" customWidth="1"/>
    <col min="10713" max="10716" width="0" style="9" hidden="1" customWidth="1"/>
    <col min="10717" max="10717" width="11.5" style="9" bestFit="1" customWidth="1"/>
    <col min="10718" max="10721" width="10.125" style="9" bestFit="1" customWidth="1"/>
    <col min="10722" max="10722" width="12.625" style="9" bestFit="1" customWidth="1"/>
    <col min="10723" max="10752" width="14.125" style="9"/>
    <col min="10753" max="10753" width="49.75" style="9" customWidth="1"/>
    <col min="10754" max="10754" width="16.75" style="9" bestFit="1" customWidth="1"/>
    <col min="10755" max="10755" width="12.625" style="9" bestFit="1" customWidth="1"/>
    <col min="10756" max="10775" width="11.125" style="9" customWidth="1"/>
    <col min="10776" max="10779" width="14.125" style="9"/>
    <col min="10780" max="10780" width="1.5" style="9" bestFit="1" customWidth="1"/>
    <col min="10781" max="10781" width="17.125" style="9" bestFit="1" customWidth="1"/>
    <col min="10782" max="10782" width="1.625" style="9" bestFit="1" customWidth="1"/>
    <col min="10783" max="10783" width="15.125" style="9" bestFit="1" customWidth="1"/>
    <col min="10784" max="10954" width="14.125" style="9"/>
    <col min="10955" max="10955" width="50.125" style="9" customWidth="1"/>
    <col min="10956" max="10956" width="54.625" style="9" customWidth="1"/>
    <col min="10957" max="10957" width="12.125" style="9" customWidth="1"/>
    <col min="10958" max="10958" width="11.125" style="9" customWidth="1"/>
    <col min="10959" max="10962" width="0" style="9" hidden="1" customWidth="1"/>
    <col min="10963" max="10963" width="11.125" style="9" bestFit="1" customWidth="1"/>
    <col min="10964" max="10967" width="0" style="9" hidden="1" customWidth="1"/>
    <col min="10968" max="10968" width="11.5" style="9" bestFit="1" customWidth="1"/>
    <col min="10969" max="10972" width="0" style="9" hidden="1" customWidth="1"/>
    <col min="10973" max="10973" width="11.5" style="9" bestFit="1" customWidth="1"/>
    <col min="10974" max="10977" width="10.125" style="9" bestFit="1" customWidth="1"/>
    <col min="10978" max="10978" width="12.625" style="9" bestFit="1" customWidth="1"/>
    <col min="10979" max="11008" width="14.125" style="9"/>
    <col min="11009" max="11009" width="49.75" style="9" customWidth="1"/>
    <col min="11010" max="11010" width="16.75" style="9" bestFit="1" customWidth="1"/>
    <col min="11011" max="11011" width="12.625" style="9" bestFit="1" customWidth="1"/>
    <col min="11012" max="11031" width="11.125" style="9" customWidth="1"/>
    <col min="11032" max="11035" width="14.125" style="9"/>
    <col min="11036" max="11036" width="1.5" style="9" bestFit="1" customWidth="1"/>
    <col min="11037" max="11037" width="17.125" style="9" bestFit="1" customWidth="1"/>
    <col min="11038" max="11038" width="1.625" style="9" bestFit="1" customWidth="1"/>
    <col min="11039" max="11039" width="15.125" style="9" bestFit="1" customWidth="1"/>
    <col min="11040" max="11210" width="14.125" style="9"/>
    <col min="11211" max="11211" width="50.125" style="9" customWidth="1"/>
    <col min="11212" max="11212" width="54.625" style="9" customWidth="1"/>
    <col min="11213" max="11213" width="12.125" style="9" customWidth="1"/>
    <col min="11214" max="11214" width="11.125" style="9" customWidth="1"/>
    <col min="11215" max="11218" width="0" style="9" hidden="1" customWidth="1"/>
    <col min="11219" max="11219" width="11.125" style="9" bestFit="1" customWidth="1"/>
    <col min="11220" max="11223" width="0" style="9" hidden="1" customWidth="1"/>
    <col min="11224" max="11224" width="11.5" style="9" bestFit="1" customWidth="1"/>
    <col min="11225" max="11228" width="0" style="9" hidden="1" customWidth="1"/>
    <col min="11229" max="11229" width="11.5" style="9" bestFit="1" customWidth="1"/>
    <col min="11230" max="11233" width="10.125" style="9" bestFit="1" customWidth="1"/>
    <col min="11234" max="11234" width="12.625" style="9" bestFit="1" customWidth="1"/>
    <col min="11235" max="11264" width="14.125" style="9"/>
    <col min="11265" max="11265" width="49.75" style="9" customWidth="1"/>
    <col min="11266" max="11266" width="16.75" style="9" bestFit="1" customWidth="1"/>
    <col min="11267" max="11267" width="12.625" style="9" bestFit="1" customWidth="1"/>
    <col min="11268" max="11287" width="11.125" style="9" customWidth="1"/>
    <col min="11288" max="11291" width="14.125" style="9"/>
    <col min="11292" max="11292" width="1.5" style="9" bestFit="1" customWidth="1"/>
    <col min="11293" max="11293" width="17.125" style="9" bestFit="1" customWidth="1"/>
    <col min="11294" max="11294" width="1.625" style="9" bestFit="1" customWidth="1"/>
    <col min="11295" max="11295" width="15.125" style="9" bestFit="1" customWidth="1"/>
    <col min="11296" max="11466" width="14.125" style="9"/>
    <col min="11467" max="11467" width="50.125" style="9" customWidth="1"/>
    <col min="11468" max="11468" width="54.625" style="9" customWidth="1"/>
    <col min="11469" max="11469" width="12.125" style="9" customWidth="1"/>
    <col min="11470" max="11470" width="11.125" style="9" customWidth="1"/>
    <col min="11471" max="11474" width="0" style="9" hidden="1" customWidth="1"/>
    <col min="11475" max="11475" width="11.125" style="9" bestFit="1" customWidth="1"/>
    <col min="11476" max="11479" width="0" style="9" hidden="1" customWidth="1"/>
    <col min="11480" max="11480" width="11.5" style="9" bestFit="1" customWidth="1"/>
    <col min="11481" max="11484" width="0" style="9" hidden="1" customWidth="1"/>
    <col min="11485" max="11485" width="11.5" style="9" bestFit="1" customWidth="1"/>
    <col min="11486" max="11489" width="10.125" style="9" bestFit="1" customWidth="1"/>
    <col min="11490" max="11490" width="12.625" style="9" bestFit="1" customWidth="1"/>
    <col min="11491" max="11520" width="14.125" style="9"/>
    <col min="11521" max="11521" width="49.75" style="9" customWidth="1"/>
    <col min="11522" max="11522" width="16.75" style="9" bestFit="1" customWidth="1"/>
    <col min="11523" max="11523" width="12.625" style="9" bestFit="1" customWidth="1"/>
    <col min="11524" max="11543" width="11.125" style="9" customWidth="1"/>
    <col min="11544" max="11547" width="14.125" style="9"/>
    <col min="11548" max="11548" width="1.5" style="9" bestFit="1" customWidth="1"/>
    <col min="11549" max="11549" width="17.125" style="9" bestFit="1" customWidth="1"/>
    <col min="11550" max="11550" width="1.625" style="9" bestFit="1" customWidth="1"/>
    <col min="11551" max="11551" width="15.125" style="9" bestFit="1" customWidth="1"/>
    <col min="11552" max="11722" width="14.125" style="9"/>
    <col min="11723" max="11723" width="50.125" style="9" customWidth="1"/>
    <col min="11724" max="11724" width="54.625" style="9" customWidth="1"/>
    <col min="11725" max="11725" width="12.125" style="9" customWidth="1"/>
    <col min="11726" max="11726" width="11.125" style="9" customWidth="1"/>
    <col min="11727" max="11730" width="0" style="9" hidden="1" customWidth="1"/>
    <col min="11731" max="11731" width="11.125" style="9" bestFit="1" customWidth="1"/>
    <col min="11732" max="11735" width="0" style="9" hidden="1" customWidth="1"/>
    <col min="11736" max="11736" width="11.5" style="9" bestFit="1" customWidth="1"/>
    <col min="11737" max="11740" width="0" style="9" hidden="1" customWidth="1"/>
    <col min="11741" max="11741" width="11.5" style="9" bestFit="1" customWidth="1"/>
    <col min="11742" max="11745" width="10.125" style="9" bestFit="1" customWidth="1"/>
    <col min="11746" max="11746" width="12.625" style="9" bestFit="1" customWidth="1"/>
    <col min="11747" max="11776" width="14.125" style="9"/>
    <col min="11777" max="11777" width="49.75" style="9" customWidth="1"/>
    <col min="11778" max="11778" width="16.75" style="9" bestFit="1" customWidth="1"/>
    <col min="11779" max="11779" width="12.625" style="9" bestFit="1" customWidth="1"/>
    <col min="11780" max="11799" width="11.125" style="9" customWidth="1"/>
    <col min="11800" max="11803" width="14.125" style="9"/>
    <col min="11804" max="11804" width="1.5" style="9" bestFit="1" customWidth="1"/>
    <col min="11805" max="11805" width="17.125" style="9" bestFit="1" customWidth="1"/>
    <col min="11806" max="11806" width="1.625" style="9" bestFit="1" customWidth="1"/>
    <col min="11807" max="11807" width="15.125" style="9" bestFit="1" customWidth="1"/>
    <col min="11808" max="11978" width="14.125" style="9"/>
    <col min="11979" max="11979" width="50.125" style="9" customWidth="1"/>
    <col min="11980" max="11980" width="54.625" style="9" customWidth="1"/>
    <col min="11981" max="11981" width="12.125" style="9" customWidth="1"/>
    <col min="11982" max="11982" width="11.125" style="9" customWidth="1"/>
    <col min="11983" max="11986" width="0" style="9" hidden="1" customWidth="1"/>
    <col min="11987" max="11987" width="11.125" style="9" bestFit="1" customWidth="1"/>
    <col min="11988" max="11991" width="0" style="9" hidden="1" customWidth="1"/>
    <col min="11992" max="11992" width="11.5" style="9" bestFit="1" customWidth="1"/>
    <col min="11993" max="11996" width="0" style="9" hidden="1" customWidth="1"/>
    <col min="11997" max="11997" width="11.5" style="9" bestFit="1" customWidth="1"/>
    <col min="11998" max="12001" width="10.125" style="9" bestFit="1" customWidth="1"/>
    <col min="12002" max="12002" width="12.625" style="9" bestFit="1" customWidth="1"/>
    <col min="12003" max="12032" width="14.125" style="9"/>
    <col min="12033" max="12033" width="49.75" style="9" customWidth="1"/>
    <col min="12034" max="12034" width="16.75" style="9" bestFit="1" customWidth="1"/>
    <col min="12035" max="12035" width="12.625" style="9" bestFit="1" customWidth="1"/>
    <col min="12036" max="12055" width="11.125" style="9" customWidth="1"/>
    <col min="12056" max="12059" width="14.125" style="9"/>
    <col min="12060" max="12060" width="1.5" style="9" bestFit="1" customWidth="1"/>
    <col min="12061" max="12061" width="17.125" style="9" bestFit="1" customWidth="1"/>
    <col min="12062" max="12062" width="1.625" style="9" bestFit="1" customWidth="1"/>
    <col min="12063" max="12063" width="15.125" style="9" bestFit="1" customWidth="1"/>
    <col min="12064" max="12234" width="14.125" style="9"/>
    <col min="12235" max="12235" width="50.125" style="9" customWidth="1"/>
    <col min="12236" max="12236" width="54.625" style="9" customWidth="1"/>
    <col min="12237" max="12237" width="12.125" style="9" customWidth="1"/>
    <col min="12238" max="12238" width="11.125" style="9" customWidth="1"/>
    <col min="12239" max="12242" width="0" style="9" hidden="1" customWidth="1"/>
    <col min="12243" max="12243" width="11.125" style="9" bestFit="1" customWidth="1"/>
    <col min="12244" max="12247" width="0" style="9" hidden="1" customWidth="1"/>
    <col min="12248" max="12248" width="11.5" style="9" bestFit="1" customWidth="1"/>
    <col min="12249" max="12252" width="0" style="9" hidden="1" customWidth="1"/>
    <col min="12253" max="12253" width="11.5" style="9" bestFit="1" customWidth="1"/>
    <col min="12254" max="12257" width="10.125" style="9" bestFit="1" customWidth="1"/>
    <col min="12258" max="12258" width="12.625" style="9" bestFit="1" customWidth="1"/>
    <col min="12259" max="12288" width="14.125" style="9"/>
    <col min="12289" max="12289" width="49.75" style="9" customWidth="1"/>
    <col min="12290" max="12290" width="16.75" style="9" bestFit="1" customWidth="1"/>
    <col min="12291" max="12291" width="12.625" style="9" bestFit="1" customWidth="1"/>
    <col min="12292" max="12311" width="11.125" style="9" customWidth="1"/>
    <col min="12312" max="12315" width="14.125" style="9"/>
    <col min="12316" max="12316" width="1.5" style="9" bestFit="1" customWidth="1"/>
    <col min="12317" max="12317" width="17.125" style="9" bestFit="1" customWidth="1"/>
    <col min="12318" max="12318" width="1.625" style="9" bestFit="1" customWidth="1"/>
    <col min="12319" max="12319" width="15.125" style="9" bestFit="1" customWidth="1"/>
    <col min="12320" max="12490" width="14.125" style="9"/>
    <col min="12491" max="12491" width="50.125" style="9" customWidth="1"/>
    <col min="12492" max="12492" width="54.625" style="9" customWidth="1"/>
    <col min="12493" max="12493" width="12.125" style="9" customWidth="1"/>
    <col min="12494" max="12494" width="11.125" style="9" customWidth="1"/>
    <col min="12495" max="12498" width="0" style="9" hidden="1" customWidth="1"/>
    <col min="12499" max="12499" width="11.125" style="9" bestFit="1" customWidth="1"/>
    <col min="12500" max="12503" width="0" style="9" hidden="1" customWidth="1"/>
    <col min="12504" max="12504" width="11.5" style="9" bestFit="1" customWidth="1"/>
    <col min="12505" max="12508" width="0" style="9" hidden="1" customWidth="1"/>
    <col min="12509" max="12509" width="11.5" style="9" bestFit="1" customWidth="1"/>
    <col min="12510" max="12513" width="10.125" style="9" bestFit="1" customWidth="1"/>
    <col min="12514" max="12514" width="12.625" style="9" bestFit="1" customWidth="1"/>
    <col min="12515" max="12544" width="14.125" style="9"/>
    <col min="12545" max="12545" width="49.75" style="9" customWidth="1"/>
    <col min="12546" max="12546" width="16.75" style="9" bestFit="1" customWidth="1"/>
    <col min="12547" max="12547" width="12.625" style="9" bestFit="1" customWidth="1"/>
    <col min="12548" max="12567" width="11.125" style="9" customWidth="1"/>
    <col min="12568" max="12571" width="14.125" style="9"/>
    <col min="12572" max="12572" width="1.5" style="9" bestFit="1" customWidth="1"/>
    <col min="12573" max="12573" width="17.125" style="9" bestFit="1" customWidth="1"/>
    <col min="12574" max="12574" width="1.625" style="9" bestFit="1" customWidth="1"/>
    <col min="12575" max="12575" width="15.125" style="9" bestFit="1" customWidth="1"/>
    <col min="12576" max="12746" width="14.125" style="9"/>
    <col min="12747" max="12747" width="50.125" style="9" customWidth="1"/>
    <col min="12748" max="12748" width="54.625" style="9" customWidth="1"/>
    <col min="12749" max="12749" width="12.125" style="9" customWidth="1"/>
    <col min="12750" max="12750" width="11.125" style="9" customWidth="1"/>
    <col min="12751" max="12754" width="0" style="9" hidden="1" customWidth="1"/>
    <col min="12755" max="12755" width="11.125" style="9" bestFit="1" customWidth="1"/>
    <col min="12756" max="12759" width="0" style="9" hidden="1" customWidth="1"/>
    <col min="12760" max="12760" width="11.5" style="9" bestFit="1" customWidth="1"/>
    <col min="12761" max="12764" width="0" style="9" hidden="1" customWidth="1"/>
    <col min="12765" max="12765" width="11.5" style="9" bestFit="1" customWidth="1"/>
    <col min="12766" max="12769" width="10.125" style="9" bestFit="1" customWidth="1"/>
    <col min="12770" max="12770" width="12.625" style="9" bestFit="1" customWidth="1"/>
    <col min="12771" max="12800" width="14.125" style="9"/>
    <col min="12801" max="12801" width="49.75" style="9" customWidth="1"/>
    <col min="12802" max="12802" width="16.75" style="9" bestFit="1" customWidth="1"/>
    <col min="12803" max="12803" width="12.625" style="9" bestFit="1" customWidth="1"/>
    <col min="12804" max="12823" width="11.125" style="9" customWidth="1"/>
    <col min="12824" max="12827" width="14.125" style="9"/>
    <col min="12828" max="12828" width="1.5" style="9" bestFit="1" customWidth="1"/>
    <col min="12829" max="12829" width="17.125" style="9" bestFit="1" customWidth="1"/>
    <col min="12830" max="12830" width="1.625" style="9" bestFit="1" customWidth="1"/>
    <col min="12831" max="12831" width="15.125" style="9" bestFit="1" customWidth="1"/>
    <col min="12832" max="13002" width="14.125" style="9"/>
    <col min="13003" max="13003" width="50.125" style="9" customWidth="1"/>
    <col min="13004" max="13004" width="54.625" style="9" customWidth="1"/>
    <col min="13005" max="13005" width="12.125" style="9" customWidth="1"/>
    <col min="13006" max="13006" width="11.125" style="9" customWidth="1"/>
    <col min="13007" max="13010" width="0" style="9" hidden="1" customWidth="1"/>
    <col min="13011" max="13011" width="11.125" style="9" bestFit="1" customWidth="1"/>
    <col min="13012" max="13015" width="0" style="9" hidden="1" customWidth="1"/>
    <col min="13016" max="13016" width="11.5" style="9" bestFit="1" customWidth="1"/>
    <col min="13017" max="13020" width="0" style="9" hidden="1" customWidth="1"/>
    <col min="13021" max="13021" width="11.5" style="9" bestFit="1" customWidth="1"/>
    <col min="13022" max="13025" width="10.125" style="9" bestFit="1" customWidth="1"/>
    <col min="13026" max="13026" width="12.625" style="9" bestFit="1" customWidth="1"/>
    <col min="13027" max="13056" width="14.125" style="9"/>
    <col min="13057" max="13057" width="49.75" style="9" customWidth="1"/>
    <col min="13058" max="13058" width="16.75" style="9" bestFit="1" customWidth="1"/>
    <col min="13059" max="13059" width="12.625" style="9" bestFit="1" customWidth="1"/>
    <col min="13060" max="13079" width="11.125" style="9" customWidth="1"/>
    <col min="13080" max="13083" width="14.125" style="9"/>
    <col min="13084" max="13084" width="1.5" style="9" bestFit="1" customWidth="1"/>
    <col min="13085" max="13085" width="17.125" style="9" bestFit="1" customWidth="1"/>
    <col min="13086" max="13086" width="1.625" style="9" bestFit="1" customWidth="1"/>
    <col min="13087" max="13087" width="15.125" style="9" bestFit="1" customWidth="1"/>
    <col min="13088" max="13258" width="14.125" style="9"/>
    <col min="13259" max="13259" width="50.125" style="9" customWidth="1"/>
    <col min="13260" max="13260" width="54.625" style="9" customWidth="1"/>
    <col min="13261" max="13261" width="12.125" style="9" customWidth="1"/>
    <col min="13262" max="13262" width="11.125" style="9" customWidth="1"/>
    <col min="13263" max="13266" width="0" style="9" hidden="1" customWidth="1"/>
    <col min="13267" max="13267" width="11.125" style="9" bestFit="1" customWidth="1"/>
    <col min="13268" max="13271" width="0" style="9" hidden="1" customWidth="1"/>
    <col min="13272" max="13272" width="11.5" style="9" bestFit="1" customWidth="1"/>
    <col min="13273" max="13276" width="0" style="9" hidden="1" customWidth="1"/>
    <col min="13277" max="13277" width="11.5" style="9" bestFit="1" customWidth="1"/>
    <col min="13278" max="13281" width="10.125" style="9" bestFit="1" customWidth="1"/>
    <col min="13282" max="13282" width="12.625" style="9" bestFit="1" customWidth="1"/>
    <col min="13283" max="13312" width="14.125" style="9"/>
    <col min="13313" max="13313" width="49.75" style="9" customWidth="1"/>
    <col min="13314" max="13314" width="16.75" style="9" bestFit="1" customWidth="1"/>
    <col min="13315" max="13315" width="12.625" style="9" bestFit="1" customWidth="1"/>
    <col min="13316" max="13335" width="11.125" style="9" customWidth="1"/>
    <col min="13336" max="13339" width="14.125" style="9"/>
    <col min="13340" max="13340" width="1.5" style="9" bestFit="1" customWidth="1"/>
    <col min="13341" max="13341" width="17.125" style="9" bestFit="1" customWidth="1"/>
    <col min="13342" max="13342" width="1.625" style="9" bestFit="1" customWidth="1"/>
    <col min="13343" max="13343" width="15.125" style="9" bestFit="1" customWidth="1"/>
    <col min="13344" max="13514" width="14.125" style="9"/>
    <col min="13515" max="13515" width="50.125" style="9" customWidth="1"/>
    <col min="13516" max="13516" width="54.625" style="9" customWidth="1"/>
    <col min="13517" max="13517" width="12.125" style="9" customWidth="1"/>
    <col min="13518" max="13518" width="11.125" style="9" customWidth="1"/>
    <col min="13519" max="13522" width="0" style="9" hidden="1" customWidth="1"/>
    <col min="13523" max="13523" width="11.125" style="9" bestFit="1" customWidth="1"/>
    <col min="13524" max="13527" width="0" style="9" hidden="1" customWidth="1"/>
    <col min="13528" max="13528" width="11.5" style="9" bestFit="1" customWidth="1"/>
    <col min="13529" max="13532" width="0" style="9" hidden="1" customWidth="1"/>
    <col min="13533" max="13533" width="11.5" style="9" bestFit="1" customWidth="1"/>
    <col min="13534" max="13537" width="10.125" style="9" bestFit="1" customWidth="1"/>
    <col min="13538" max="13538" width="12.625" style="9" bestFit="1" customWidth="1"/>
    <col min="13539" max="13568" width="14.125" style="9"/>
    <col min="13569" max="13569" width="49.75" style="9" customWidth="1"/>
    <col min="13570" max="13570" width="16.75" style="9" bestFit="1" customWidth="1"/>
    <col min="13571" max="13571" width="12.625" style="9" bestFit="1" customWidth="1"/>
    <col min="13572" max="13591" width="11.125" style="9" customWidth="1"/>
    <col min="13592" max="13595" width="14.125" style="9"/>
    <col min="13596" max="13596" width="1.5" style="9" bestFit="1" customWidth="1"/>
    <col min="13597" max="13597" width="17.125" style="9" bestFit="1" customWidth="1"/>
    <col min="13598" max="13598" width="1.625" style="9" bestFit="1" customWidth="1"/>
    <col min="13599" max="13599" width="15.125" style="9" bestFit="1" customWidth="1"/>
    <col min="13600" max="13770" width="14.125" style="9"/>
    <col min="13771" max="13771" width="50.125" style="9" customWidth="1"/>
    <col min="13772" max="13772" width="54.625" style="9" customWidth="1"/>
    <col min="13773" max="13773" width="12.125" style="9" customWidth="1"/>
    <col min="13774" max="13774" width="11.125" style="9" customWidth="1"/>
    <col min="13775" max="13778" width="0" style="9" hidden="1" customWidth="1"/>
    <col min="13779" max="13779" width="11.125" style="9" bestFit="1" customWidth="1"/>
    <col min="13780" max="13783" width="0" style="9" hidden="1" customWidth="1"/>
    <col min="13784" max="13784" width="11.5" style="9" bestFit="1" customWidth="1"/>
    <col min="13785" max="13788" width="0" style="9" hidden="1" customWidth="1"/>
    <col min="13789" max="13789" width="11.5" style="9" bestFit="1" customWidth="1"/>
    <col min="13790" max="13793" width="10.125" style="9" bestFit="1" customWidth="1"/>
    <col min="13794" max="13794" width="12.625" style="9" bestFit="1" customWidth="1"/>
    <col min="13795" max="13824" width="14.125" style="9"/>
    <col min="13825" max="13825" width="49.75" style="9" customWidth="1"/>
    <col min="13826" max="13826" width="16.75" style="9" bestFit="1" customWidth="1"/>
    <col min="13827" max="13827" width="12.625" style="9" bestFit="1" customWidth="1"/>
    <col min="13828" max="13847" width="11.125" style="9" customWidth="1"/>
    <col min="13848" max="13851" width="14.125" style="9"/>
    <col min="13852" max="13852" width="1.5" style="9" bestFit="1" customWidth="1"/>
    <col min="13853" max="13853" width="17.125" style="9" bestFit="1" customWidth="1"/>
    <col min="13854" max="13854" width="1.625" style="9" bestFit="1" customWidth="1"/>
    <col min="13855" max="13855" width="15.125" style="9" bestFit="1" customWidth="1"/>
    <col min="13856" max="14026" width="14.125" style="9"/>
    <col min="14027" max="14027" width="50.125" style="9" customWidth="1"/>
    <col min="14028" max="14028" width="54.625" style="9" customWidth="1"/>
    <col min="14029" max="14029" width="12.125" style="9" customWidth="1"/>
    <col min="14030" max="14030" width="11.125" style="9" customWidth="1"/>
    <col min="14031" max="14034" width="0" style="9" hidden="1" customWidth="1"/>
    <col min="14035" max="14035" width="11.125" style="9" bestFit="1" customWidth="1"/>
    <col min="14036" max="14039" width="0" style="9" hidden="1" customWidth="1"/>
    <col min="14040" max="14040" width="11.5" style="9" bestFit="1" customWidth="1"/>
    <col min="14041" max="14044" width="0" style="9" hidden="1" customWidth="1"/>
    <col min="14045" max="14045" width="11.5" style="9" bestFit="1" customWidth="1"/>
    <col min="14046" max="14049" width="10.125" style="9" bestFit="1" customWidth="1"/>
    <col min="14050" max="14050" width="12.625" style="9" bestFit="1" customWidth="1"/>
    <col min="14051" max="14080" width="14.125" style="9"/>
    <col min="14081" max="14081" width="49.75" style="9" customWidth="1"/>
    <col min="14082" max="14082" width="16.75" style="9" bestFit="1" customWidth="1"/>
    <col min="14083" max="14083" width="12.625" style="9" bestFit="1" customWidth="1"/>
    <col min="14084" max="14103" width="11.125" style="9" customWidth="1"/>
    <col min="14104" max="14107" width="14.125" style="9"/>
    <col min="14108" max="14108" width="1.5" style="9" bestFit="1" customWidth="1"/>
    <col min="14109" max="14109" width="17.125" style="9" bestFit="1" customWidth="1"/>
    <col min="14110" max="14110" width="1.625" style="9" bestFit="1" customWidth="1"/>
    <col min="14111" max="14111" width="15.125" style="9" bestFit="1" customWidth="1"/>
    <col min="14112" max="14282" width="14.125" style="9"/>
    <col min="14283" max="14283" width="50.125" style="9" customWidth="1"/>
    <col min="14284" max="14284" width="54.625" style="9" customWidth="1"/>
    <col min="14285" max="14285" width="12.125" style="9" customWidth="1"/>
    <col min="14286" max="14286" width="11.125" style="9" customWidth="1"/>
    <col min="14287" max="14290" width="0" style="9" hidden="1" customWidth="1"/>
    <col min="14291" max="14291" width="11.125" style="9" bestFit="1" customWidth="1"/>
    <col min="14292" max="14295" width="0" style="9" hidden="1" customWidth="1"/>
    <col min="14296" max="14296" width="11.5" style="9" bestFit="1" customWidth="1"/>
    <col min="14297" max="14300" width="0" style="9" hidden="1" customWidth="1"/>
    <col min="14301" max="14301" width="11.5" style="9" bestFit="1" customWidth="1"/>
    <col min="14302" max="14305" width="10.125" style="9" bestFit="1" customWidth="1"/>
    <col min="14306" max="14306" width="12.625" style="9" bestFit="1" customWidth="1"/>
    <col min="14307" max="14336" width="14.125" style="9"/>
    <col min="14337" max="14337" width="49.75" style="9" customWidth="1"/>
    <col min="14338" max="14338" width="16.75" style="9" bestFit="1" customWidth="1"/>
    <col min="14339" max="14339" width="12.625" style="9" bestFit="1" customWidth="1"/>
    <col min="14340" max="14359" width="11.125" style="9" customWidth="1"/>
    <col min="14360" max="14363" width="14.125" style="9"/>
    <col min="14364" max="14364" width="1.5" style="9" bestFit="1" customWidth="1"/>
    <col min="14365" max="14365" width="17.125" style="9" bestFit="1" customWidth="1"/>
    <col min="14366" max="14366" width="1.625" style="9" bestFit="1" customWidth="1"/>
    <col min="14367" max="14367" width="15.125" style="9" bestFit="1" customWidth="1"/>
    <col min="14368" max="14538" width="14.125" style="9"/>
    <col min="14539" max="14539" width="50.125" style="9" customWidth="1"/>
    <col min="14540" max="14540" width="54.625" style="9" customWidth="1"/>
    <col min="14541" max="14541" width="12.125" style="9" customWidth="1"/>
    <col min="14542" max="14542" width="11.125" style="9" customWidth="1"/>
    <col min="14543" max="14546" width="0" style="9" hidden="1" customWidth="1"/>
    <col min="14547" max="14547" width="11.125" style="9" bestFit="1" customWidth="1"/>
    <col min="14548" max="14551" width="0" style="9" hidden="1" customWidth="1"/>
    <col min="14552" max="14552" width="11.5" style="9" bestFit="1" customWidth="1"/>
    <col min="14553" max="14556" width="0" style="9" hidden="1" customWidth="1"/>
    <col min="14557" max="14557" width="11.5" style="9" bestFit="1" customWidth="1"/>
    <col min="14558" max="14561" width="10.125" style="9" bestFit="1" customWidth="1"/>
    <col min="14562" max="14562" width="12.625" style="9" bestFit="1" customWidth="1"/>
    <col min="14563" max="14592" width="14.125" style="9"/>
    <col min="14593" max="14593" width="49.75" style="9" customWidth="1"/>
    <col min="14594" max="14594" width="16.75" style="9" bestFit="1" customWidth="1"/>
    <col min="14595" max="14595" width="12.625" style="9" bestFit="1" customWidth="1"/>
    <col min="14596" max="14615" width="11.125" style="9" customWidth="1"/>
    <col min="14616" max="14619" width="14.125" style="9"/>
    <col min="14620" max="14620" width="1.5" style="9" bestFit="1" customWidth="1"/>
    <col min="14621" max="14621" width="17.125" style="9" bestFit="1" customWidth="1"/>
    <col min="14622" max="14622" width="1.625" style="9" bestFit="1" customWidth="1"/>
    <col min="14623" max="14623" width="15.125" style="9" bestFit="1" customWidth="1"/>
    <col min="14624" max="14794" width="14.125" style="9"/>
    <col min="14795" max="14795" width="50.125" style="9" customWidth="1"/>
    <col min="14796" max="14796" width="54.625" style="9" customWidth="1"/>
    <col min="14797" max="14797" width="12.125" style="9" customWidth="1"/>
    <col min="14798" max="14798" width="11.125" style="9" customWidth="1"/>
    <col min="14799" max="14802" width="0" style="9" hidden="1" customWidth="1"/>
    <col min="14803" max="14803" width="11.125" style="9" bestFit="1" customWidth="1"/>
    <col min="14804" max="14807" width="0" style="9" hidden="1" customWidth="1"/>
    <col min="14808" max="14808" width="11.5" style="9" bestFit="1" customWidth="1"/>
    <col min="14809" max="14812" width="0" style="9" hidden="1" customWidth="1"/>
    <col min="14813" max="14813" width="11.5" style="9" bestFit="1" customWidth="1"/>
    <col min="14814" max="14817" width="10.125" style="9" bestFit="1" customWidth="1"/>
    <col min="14818" max="14818" width="12.625" style="9" bestFit="1" customWidth="1"/>
    <col min="14819" max="14848" width="14.125" style="9"/>
    <col min="14849" max="14849" width="49.75" style="9" customWidth="1"/>
    <col min="14850" max="14850" width="16.75" style="9" bestFit="1" customWidth="1"/>
    <col min="14851" max="14851" width="12.625" style="9" bestFit="1" customWidth="1"/>
    <col min="14852" max="14871" width="11.125" style="9" customWidth="1"/>
    <col min="14872" max="14875" width="14.125" style="9"/>
    <col min="14876" max="14876" width="1.5" style="9" bestFit="1" customWidth="1"/>
    <col min="14877" max="14877" width="17.125" style="9" bestFit="1" customWidth="1"/>
    <col min="14878" max="14878" width="1.625" style="9" bestFit="1" customWidth="1"/>
    <col min="14879" max="14879" width="15.125" style="9" bestFit="1" customWidth="1"/>
    <col min="14880" max="15050" width="14.125" style="9"/>
    <col min="15051" max="15051" width="50.125" style="9" customWidth="1"/>
    <col min="15052" max="15052" width="54.625" style="9" customWidth="1"/>
    <col min="15053" max="15053" width="12.125" style="9" customWidth="1"/>
    <col min="15054" max="15054" width="11.125" style="9" customWidth="1"/>
    <col min="15055" max="15058" width="0" style="9" hidden="1" customWidth="1"/>
    <col min="15059" max="15059" width="11.125" style="9" bestFit="1" customWidth="1"/>
    <col min="15060" max="15063" width="0" style="9" hidden="1" customWidth="1"/>
    <col min="15064" max="15064" width="11.5" style="9" bestFit="1" customWidth="1"/>
    <col min="15065" max="15068" width="0" style="9" hidden="1" customWidth="1"/>
    <col min="15069" max="15069" width="11.5" style="9" bestFit="1" customWidth="1"/>
    <col min="15070" max="15073" width="10.125" style="9" bestFit="1" customWidth="1"/>
    <col min="15074" max="15074" width="12.625" style="9" bestFit="1" customWidth="1"/>
    <col min="15075" max="15104" width="14.125" style="9"/>
    <col min="15105" max="15105" width="49.75" style="9" customWidth="1"/>
    <col min="15106" max="15106" width="16.75" style="9" bestFit="1" customWidth="1"/>
    <col min="15107" max="15107" width="12.625" style="9" bestFit="1" customWidth="1"/>
    <col min="15108" max="15127" width="11.125" style="9" customWidth="1"/>
    <col min="15128" max="15131" width="14.125" style="9"/>
    <col min="15132" max="15132" width="1.5" style="9" bestFit="1" customWidth="1"/>
    <col min="15133" max="15133" width="17.125" style="9" bestFit="1" customWidth="1"/>
    <col min="15134" max="15134" width="1.625" style="9" bestFit="1" customWidth="1"/>
    <col min="15135" max="15135" width="15.125" style="9" bestFit="1" customWidth="1"/>
    <col min="15136" max="15306" width="14.125" style="9"/>
    <col min="15307" max="15307" width="50.125" style="9" customWidth="1"/>
    <col min="15308" max="15308" width="54.625" style="9" customWidth="1"/>
    <col min="15309" max="15309" width="12.125" style="9" customWidth="1"/>
    <col min="15310" max="15310" width="11.125" style="9" customWidth="1"/>
    <col min="15311" max="15314" width="0" style="9" hidden="1" customWidth="1"/>
    <col min="15315" max="15315" width="11.125" style="9" bestFit="1" customWidth="1"/>
    <col min="15316" max="15319" width="0" style="9" hidden="1" customWidth="1"/>
    <col min="15320" max="15320" width="11.5" style="9" bestFit="1" customWidth="1"/>
    <col min="15321" max="15324" width="0" style="9" hidden="1" customWidth="1"/>
    <col min="15325" max="15325" width="11.5" style="9" bestFit="1" customWidth="1"/>
    <col min="15326" max="15329" width="10.125" style="9" bestFit="1" customWidth="1"/>
    <col min="15330" max="15330" width="12.625" style="9" bestFit="1" customWidth="1"/>
    <col min="15331" max="15360" width="14.125" style="9"/>
    <col min="15361" max="15361" width="49.75" style="9" customWidth="1"/>
    <col min="15362" max="15362" width="16.75" style="9" bestFit="1" customWidth="1"/>
    <col min="15363" max="15363" width="12.625" style="9" bestFit="1" customWidth="1"/>
    <col min="15364" max="15383" width="11.125" style="9" customWidth="1"/>
    <col min="15384" max="15387" width="14.125" style="9"/>
    <col min="15388" max="15388" width="1.5" style="9" bestFit="1" customWidth="1"/>
    <col min="15389" max="15389" width="17.125" style="9" bestFit="1" customWidth="1"/>
    <col min="15390" max="15390" width="1.625" style="9" bestFit="1" customWidth="1"/>
    <col min="15391" max="15391" width="15.125" style="9" bestFit="1" customWidth="1"/>
    <col min="15392" max="15562" width="14.125" style="9"/>
    <col min="15563" max="15563" width="50.125" style="9" customWidth="1"/>
    <col min="15564" max="15564" width="54.625" style="9" customWidth="1"/>
    <col min="15565" max="15565" width="12.125" style="9" customWidth="1"/>
    <col min="15566" max="15566" width="11.125" style="9" customWidth="1"/>
    <col min="15567" max="15570" width="0" style="9" hidden="1" customWidth="1"/>
    <col min="15571" max="15571" width="11.125" style="9" bestFit="1" customWidth="1"/>
    <col min="15572" max="15575" width="0" style="9" hidden="1" customWidth="1"/>
    <col min="15576" max="15576" width="11.5" style="9" bestFit="1" customWidth="1"/>
    <col min="15577" max="15580" width="0" style="9" hidden="1" customWidth="1"/>
    <col min="15581" max="15581" width="11.5" style="9" bestFit="1" customWidth="1"/>
    <col min="15582" max="15585" width="10.125" style="9" bestFit="1" customWidth="1"/>
    <col min="15586" max="15586" width="12.625" style="9" bestFit="1" customWidth="1"/>
    <col min="15587" max="15616" width="14.125" style="9"/>
    <col min="15617" max="15617" width="49.75" style="9" customWidth="1"/>
    <col min="15618" max="15618" width="16.75" style="9" bestFit="1" customWidth="1"/>
    <col min="15619" max="15619" width="12.625" style="9" bestFit="1" customWidth="1"/>
    <col min="15620" max="15639" width="11.125" style="9" customWidth="1"/>
    <col min="15640" max="15643" width="14.125" style="9"/>
    <col min="15644" max="15644" width="1.5" style="9" bestFit="1" customWidth="1"/>
    <col min="15645" max="15645" width="17.125" style="9" bestFit="1" customWidth="1"/>
    <col min="15646" max="15646" width="1.625" style="9" bestFit="1" customWidth="1"/>
    <col min="15647" max="15647" width="15.125" style="9" bestFit="1" customWidth="1"/>
    <col min="15648" max="15818" width="14.125" style="9"/>
    <col min="15819" max="15819" width="50.125" style="9" customWidth="1"/>
    <col min="15820" max="15820" width="54.625" style="9" customWidth="1"/>
    <col min="15821" max="15821" width="12.125" style="9" customWidth="1"/>
    <col min="15822" max="15822" width="11.125" style="9" customWidth="1"/>
    <col min="15823" max="15826" width="0" style="9" hidden="1" customWidth="1"/>
    <col min="15827" max="15827" width="11.125" style="9" bestFit="1" customWidth="1"/>
    <col min="15828" max="15831" width="0" style="9" hidden="1" customWidth="1"/>
    <col min="15832" max="15832" width="11.5" style="9" bestFit="1" customWidth="1"/>
    <col min="15833" max="15836" width="0" style="9" hidden="1" customWidth="1"/>
    <col min="15837" max="15837" width="11.5" style="9" bestFit="1" customWidth="1"/>
    <col min="15838" max="15841" width="10.125" style="9" bestFit="1" customWidth="1"/>
    <col min="15842" max="15842" width="12.625" style="9" bestFit="1" customWidth="1"/>
    <col min="15843" max="15872" width="14.125" style="9"/>
    <col min="15873" max="15873" width="49.75" style="9" customWidth="1"/>
    <col min="15874" max="15874" width="16.75" style="9" bestFit="1" customWidth="1"/>
    <col min="15875" max="15875" width="12.625" style="9" bestFit="1" customWidth="1"/>
    <col min="15876" max="15895" width="11.125" style="9" customWidth="1"/>
    <col min="15896" max="15899" width="14.125" style="9"/>
    <col min="15900" max="15900" width="1.5" style="9" bestFit="1" customWidth="1"/>
    <col min="15901" max="15901" width="17.125" style="9" bestFit="1" customWidth="1"/>
    <col min="15902" max="15902" width="1.625" style="9" bestFit="1" customWidth="1"/>
    <col min="15903" max="15903" width="15.125" style="9" bestFit="1" customWidth="1"/>
    <col min="15904" max="16074" width="14.125" style="9"/>
    <col min="16075" max="16075" width="50.125" style="9" customWidth="1"/>
    <col min="16076" max="16076" width="54.625" style="9" customWidth="1"/>
    <col min="16077" max="16077" width="12.125" style="9" customWidth="1"/>
    <col min="16078" max="16078" width="11.125" style="9" customWidth="1"/>
    <col min="16079" max="16082" width="0" style="9" hidden="1" customWidth="1"/>
    <col min="16083" max="16083" width="11.125" style="9" bestFit="1" customWidth="1"/>
    <col min="16084" max="16087" width="0" style="9" hidden="1" customWidth="1"/>
    <col min="16088" max="16088" width="11.5" style="9" bestFit="1" customWidth="1"/>
    <col min="16089" max="16092" width="0" style="9" hidden="1" customWidth="1"/>
    <col min="16093" max="16093" width="11.5" style="9" bestFit="1" customWidth="1"/>
    <col min="16094" max="16097" width="10.125" style="9" bestFit="1" customWidth="1"/>
    <col min="16098" max="16098" width="12.625" style="9" bestFit="1" customWidth="1"/>
    <col min="16099" max="16128" width="14.125" style="9"/>
    <col min="16129" max="16129" width="49.75" style="9" customWidth="1"/>
    <col min="16130" max="16130" width="16.75" style="9" bestFit="1" customWidth="1"/>
    <col min="16131" max="16131" width="12.625" style="9" bestFit="1" customWidth="1"/>
    <col min="16132" max="16151" width="11.125" style="9" customWidth="1"/>
    <col min="16152" max="16155" width="14.125" style="9"/>
    <col min="16156" max="16156" width="1.5" style="9" bestFit="1" customWidth="1"/>
    <col min="16157" max="16157" width="17.125" style="9" bestFit="1" customWidth="1"/>
    <col min="16158" max="16158" width="1.625" style="9" bestFit="1" customWidth="1"/>
    <col min="16159" max="16159" width="15.125" style="9" bestFit="1" customWidth="1"/>
    <col min="16160" max="16330" width="14.125" style="9"/>
    <col min="16331" max="16331" width="50.125" style="9" customWidth="1"/>
    <col min="16332" max="16332" width="54.625" style="9" customWidth="1"/>
    <col min="16333" max="16333" width="12.125" style="9" customWidth="1"/>
    <col min="16334" max="16334" width="11.125" style="9" customWidth="1"/>
    <col min="16335" max="16338" width="0" style="9" hidden="1" customWidth="1"/>
    <col min="16339" max="16339" width="11.125" style="9" bestFit="1" customWidth="1"/>
    <col min="16340" max="16343" width="0" style="9" hidden="1" customWidth="1"/>
    <col min="16344" max="16344" width="11.5" style="9" bestFit="1" customWidth="1"/>
    <col min="16345" max="16348" width="0" style="9" hidden="1" customWidth="1"/>
    <col min="16349" max="16349" width="11.5" style="9" bestFit="1" customWidth="1"/>
    <col min="16350" max="16353" width="10.125" style="9" bestFit="1" customWidth="1"/>
    <col min="16354" max="16354" width="12.625" style="9" bestFit="1" customWidth="1"/>
    <col min="16355" max="16384" width="14.125" style="9"/>
  </cols>
  <sheetData>
    <row r="1" spans="1:256">
      <c r="A1" s="1" t="s">
        <v>12</v>
      </c>
      <c r="B1" s="2"/>
      <c r="C1" s="3"/>
      <c r="D1" s="3"/>
      <c r="E1" s="3"/>
      <c r="F1" s="3"/>
      <c r="G1" s="3"/>
      <c r="H1" s="3"/>
      <c r="I1" s="3"/>
      <c r="J1" s="3"/>
      <c r="K1" s="3"/>
      <c r="L1" s="3"/>
      <c r="M1" s="3"/>
      <c r="N1" s="3"/>
      <c r="O1" s="3"/>
      <c r="P1" s="3"/>
      <c r="Q1" s="3"/>
      <c r="R1" s="3"/>
      <c r="S1" s="3"/>
      <c r="T1" s="3"/>
      <c r="U1" s="3"/>
      <c r="V1" s="3"/>
      <c r="W1" s="3"/>
      <c r="X1" s="3"/>
      <c r="Y1" s="3"/>
      <c r="Z1" s="3"/>
      <c r="AA1" s="3"/>
      <c r="AB1" s="3"/>
      <c r="AC1" s="3"/>
      <c r="AD1" s="3"/>
      <c r="AE1" t="s">
        <v>13</v>
      </c>
      <c r="AF1" s="2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row>
    <row r="2" spans="1:256">
      <c r="A2" s="1" t="s">
        <v>14</v>
      </c>
      <c r="B2" s="2"/>
      <c r="C2" s="3"/>
      <c r="D2" s="3"/>
      <c r="E2" s="3"/>
      <c r="F2" s="3"/>
      <c r="G2" s="3"/>
      <c r="H2" s="3"/>
      <c r="I2" s="3"/>
      <c r="J2" s="3"/>
      <c r="K2" s="3"/>
      <c r="L2" s="3"/>
      <c r="M2" s="3"/>
      <c r="N2" s="3"/>
      <c r="O2" s="3"/>
      <c r="P2" s="3"/>
      <c r="Q2" s="3"/>
      <c r="R2" s="3"/>
      <c r="S2" s="3"/>
      <c r="T2" s="3"/>
      <c r="U2" s="3"/>
      <c r="V2" s="3"/>
      <c r="W2" s="3"/>
      <c r="X2" s="3"/>
      <c r="Y2" s="3"/>
      <c r="Z2" s="3"/>
      <c r="AA2" s="3"/>
      <c r="AB2" s="3"/>
      <c r="AC2" s="3"/>
      <c r="AD2" s="3"/>
      <c r="AE2" t="s">
        <v>15</v>
      </c>
      <c r="AF2" s="2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row>
    <row r="3" spans="1:256">
      <c r="A3" s="1" t="s">
        <v>16</v>
      </c>
      <c r="B3" s="2"/>
      <c r="C3" s="3"/>
      <c r="D3" s="3"/>
      <c r="E3" s="3"/>
      <c r="F3" s="3"/>
      <c r="G3" s="3"/>
      <c r="H3" s="3"/>
      <c r="I3" s="3"/>
      <c r="J3" s="3"/>
      <c r="K3" s="3"/>
      <c r="L3" s="3"/>
      <c r="M3" s="3"/>
      <c r="N3" s="3"/>
      <c r="O3" s="3"/>
      <c r="P3" s="3"/>
      <c r="Q3" s="3"/>
      <c r="R3" s="3"/>
      <c r="S3" s="3"/>
      <c r="T3" s="3"/>
      <c r="U3" s="3"/>
      <c r="V3" s="3"/>
      <c r="W3" s="3"/>
      <c r="X3" s="3"/>
      <c r="Y3" s="3"/>
      <c r="Z3" s="3"/>
      <c r="AA3" s="3"/>
      <c r="AB3" s="3"/>
      <c r="AC3" s="3"/>
      <c r="AD3" s="3"/>
      <c r="AE3" t="s">
        <v>17</v>
      </c>
      <c r="AF3" s="2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row>
    <row r="4" spans="1:256" ht="21">
      <c r="A4" s="24" t="s">
        <v>18</v>
      </c>
      <c r="B4" s="2"/>
      <c r="C4" s="4"/>
      <c r="D4" s="3"/>
      <c r="E4" s="3"/>
      <c r="F4" s="3"/>
      <c r="G4" s="3"/>
      <c r="H4" s="3"/>
      <c r="I4" s="3"/>
      <c r="J4" s="3"/>
      <c r="K4" s="3"/>
      <c r="L4" s="3"/>
      <c r="M4" s="3"/>
      <c r="N4" s="3"/>
      <c r="O4" s="3"/>
      <c r="P4" s="3"/>
      <c r="Q4" s="3"/>
      <c r="R4" s="3"/>
      <c r="S4" s="3"/>
      <c r="T4" s="3"/>
      <c r="U4" s="3"/>
      <c r="V4" s="3"/>
      <c r="W4" s="3"/>
      <c r="X4" s="3"/>
      <c r="Y4" s="3"/>
      <c r="Z4" s="3"/>
      <c r="AA4" s="3"/>
      <c r="AB4" s="3"/>
      <c r="AC4" s="3"/>
      <c r="AD4" s="3"/>
      <c r="AE4" t="s">
        <v>19</v>
      </c>
      <c r="AF4" s="2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row>
    <row r="5" spans="1:256" ht="21">
      <c r="A5" s="24"/>
      <c r="B5" s="2"/>
      <c r="C5" s="4"/>
      <c r="D5" s="3"/>
      <c r="E5" s="3"/>
      <c r="F5" s="3"/>
      <c r="G5" s="3"/>
      <c r="H5" s="3"/>
      <c r="I5" s="2"/>
      <c r="J5" s="3"/>
      <c r="K5" s="3"/>
      <c r="L5" s="3"/>
      <c r="M5" s="3"/>
      <c r="N5" s="3"/>
      <c r="O5" s="3"/>
      <c r="P5" s="3"/>
      <c r="Q5" s="3"/>
      <c r="R5" s="3"/>
      <c r="S5" s="3"/>
      <c r="T5" s="3"/>
      <c r="U5" s="3"/>
      <c r="V5" s="3"/>
      <c r="W5" s="3"/>
      <c r="X5" s="3"/>
      <c r="Y5" s="3"/>
      <c r="Z5" s="3"/>
      <c r="AA5" s="3"/>
      <c r="AB5" s="3"/>
      <c r="AC5" s="5" t="s">
        <v>20</v>
      </c>
      <c r="AD5" s="2"/>
      <c r="AE5" t="s">
        <v>21</v>
      </c>
      <c r="AF5" s="23"/>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row>
    <row r="6" spans="1:256" ht="21">
      <c r="A6" s="24"/>
      <c r="B6" s="2"/>
      <c r="C6" s="4"/>
      <c r="D6" s="3"/>
      <c r="E6" s="3"/>
      <c r="F6" s="3"/>
      <c r="G6" s="3"/>
      <c r="H6" s="3"/>
      <c r="I6" s="3"/>
      <c r="J6" s="3"/>
      <c r="K6" s="3"/>
      <c r="L6" s="3"/>
      <c r="M6" s="3"/>
      <c r="N6" s="3"/>
      <c r="O6" s="3"/>
      <c r="P6" s="3"/>
      <c r="Q6" s="3"/>
      <c r="R6" s="3"/>
      <c r="S6" s="3"/>
      <c r="T6" s="3"/>
      <c r="U6" s="3"/>
      <c r="V6" s="3"/>
      <c r="W6" s="3"/>
      <c r="X6" s="3"/>
      <c r="Y6" s="3"/>
      <c r="Z6" s="3"/>
      <c r="AA6" s="3"/>
      <c r="AB6" s="3"/>
      <c r="AC6" s="5" t="s">
        <v>22</v>
      </c>
      <c r="AD6" s="3"/>
      <c r="AE6" t="s">
        <v>23</v>
      </c>
      <c r="AF6" s="2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row>
    <row r="7" spans="1:256" ht="21">
      <c r="A7" s="24"/>
      <c r="B7" s="2"/>
      <c r="C7" s="4"/>
      <c r="D7" s="3"/>
      <c r="E7" s="3"/>
      <c r="F7" s="3"/>
      <c r="G7" s="3"/>
      <c r="H7" s="3"/>
      <c r="I7" s="3"/>
      <c r="J7" s="3"/>
      <c r="K7" s="3"/>
      <c r="L7" s="3"/>
      <c r="M7" s="3"/>
      <c r="N7" s="3"/>
      <c r="O7" s="3"/>
      <c r="P7" s="3"/>
      <c r="Q7" s="3"/>
      <c r="R7" s="3"/>
      <c r="S7" s="3"/>
      <c r="T7" s="3"/>
      <c r="U7" s="3"/>
      <c r="V7" s="3"/>
      <c r="W7" s="3"/>
      <c r="X7" s="3"/>
      <c r="Y7" s="3"/>
      <c r="Z7" s="3"/>
      <c r="AA7" s="3"/>
      <c r="AB7" s="3"/>
      <c r="AC7" s="5" t="s">
        <v>24</v>
      </c>
      <c r="AD7" s="3"/>
      <c r="AE7" t="s">
        <v>25</v>
      </c>
      <c r="AF7" s="2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row>
    <row r="8" spans="1:256" ht="21">
      <c r="A8" s="24"/>
      <c r="B8" s="2"/>
      <c r="C8" s="4"/>
      <c r="D8" s="3"/>
      <c r="E8" s="3"/>
      <c r="F8" s="3"/>
      <c r="G8" s="3"/>
      <c r="H8" s="3"/>
      <c r="I8" s="3"/>
      <c r="J8" s="3"/>
      <c r="K8" s="3"/>
      <c r="L8" s="3"/>
      <c r="M8" s="3"/>
      <c r="N8" s="3"/>
      <c r="O8" s="3"/>
      <c r="P8" s="3"/>
      <c r="Q8" s="3"/>
      <c r="R8" s="3"/>
      <c r="S8" s="3"/>
      <c r="T8" s="3"/>
      <c r="U8" s="3"/>
      <c r="V8" s="3"/>
      <c r="W8" s="3"/>
      <c r="X8" s="3"/>
      <c r="Y8" s="3"/>
      <c r="Z8" s="3"/>
      <c r="AA8" s="3"/>
      <c r="AB8" s="3"/>
      <c r="AC8" s="5" t="s">
        <v>26</v>
      </c>
      <c r="AD8" s="3"/>
      <c r="AE8" t="s">
        <v>27</v>
      </c>
      <c r="AF8" s="2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row>
    <row r="9" spans="1:256" ht="17.649999999999999">
      <c r="A9" s="6" t="s">
        <v>28</v>
      </c>
      <c r="B9" s="25"/>
      <c r="C9" s="26" t="s">
        <v>398</v>
      </c>
      <c r="D9" s="2"/>
      <c r="E9" s="2"/>
      <c r="F9" s="2"/>
      <c r="G9" s="2"/>
      <c r="H9" s="2"/>
      <c r="I9" s="2"/>
      <c r="J9" s="2"/>
      <c r="K9" s="2"/>
      <c r="L9" s="2"/>
      <c r="M9" s="2"/>
      <c r="N9" s="2"/>
      <c r="O9" s="2"/>
      <c r="P9" s="2"/>
      <c r="Q9" s="2"/>
      <c r="R9" s="2"/>
      <c r="S9" s="2"/>
      <c r="T9" s="2"/>
      <c r="U9" s="2"/>
      <c r="V9" s="2"/>
      <c r="W9" s="2"/>
      <c r="X9" s="2"/>
      <c r="Y9" s="2"/>
      <c r="Z9" s="2"/>
      <c r="AA9" s="2"/>
      <c r="AB9" s="2"/>
      <c r="AC9" s="5" t="s">
        <v>29</v>
      </c>
      <c r="AD9" s="3"/>
      <c r="AE9" t="s">
        <v>30</v>
      </c>
      <c r="AF9" s="2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row>
    <row r="10" spans="1:256">
      <c r="A10" s="3" t="s">
        <v>31</v>
      </c>
      <c r="B10" s="7" t="s">
        <v>32</v>
      </c>
      <c r="C10" s="26" t="s">
        <v>22</v>
      </c>
      <c r="D10" s="27" t="e">
        <f ca="1">_xll.BLUEMATRIX2("/servlet/excelData",C10, $C$14,$B10)</f>
        <v>#NAME?</v>
      </c>
      <c r="E10" s="3"/>
      <c r="F10" s="3"/>
      <c r="G10" s="3"/>
      <c r="H10" s="3"/>
      <c r="I10" s="3"/>
      <c r="J10" s="3"/>
      <c r="K10" s="3"/>
      <c r="L10" s="3"/>
      <c r="M10" s="3"/>
      <c r="N10" s="3"/>
      <c r="O10" s="3"/>
      <c r="P10" s="3"/>
      <c r="Q10" s="3"/>
      <c r="R10" s="3"/>
      <c r="S10" s="3"/>
      <c r="T10" s="3"/>
      <c r="U10" s="3"/>
      <c r="V10" s="3"/>
      <c r="W10" s="3"/>
      <c r="X10" s="3"/>
      <c r="Y10" s="3"/>
      <c r="Z10" s="3"/>
      <c r="AA10" s="3"/>
      <c r="AB10" s="3"/>
      <c r="AC10" s="5" t="s">
        <v>33</v>
      </c>
      <c r="AD10" s="3"/>
      <c r="AE10" t="s">
        <v>34</v>
      </c>
      <c r="AF10" s="2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row>
    <row r="11" spans="1:256">
      <c r="A11" s="3" t="s">
        <v>35</v>
      </c>
      <c r="B11" s="7"/>
      <c r="C11" s="26" t="s">
        <v>36</v>
      </c>
      <c r="D11" s="3"/>
      <c r="E11" s="3"/>
      <c r="F11" s="3"/>
      <c r="G11" s="3"/>
      <c r="H11" s="3"/>
      <c r="I11" s="3"/>
      <c r="J11" s="3"/>
      <c r="K11" s="3"/>
      <c r="L11" s="3"/>
      <c r="M11" s="3"/>
      <c r="N11" s="3"/>
      <c r="O11" s="3"/>
      <c r="P11" s="3"/>
      <c r="Q11" s="3"/>
      <c r="R11" s="3"/>
      <c r="S11" s="3"/>
      <c r="T11" s="3"/>
      <c r="U11" s="3"/>
      <c r="V11" s="3"/>
      <c r="W11" s="3"/>
      <c r="X11" s="3"/>
      <c r="Y11" s="3"/>
      <c r="Z11" s="3"/>
      <c r="AA11" s="3"/>
      <c r="AB11" s="3"/>
      <c r="AC11" s="5" t="s">
        <v>37</v>
      </c>
      <c r="AD11" s="3"/>
      <c r="AE11" t="s">
        <v>38</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row>
    <row r="12" spans="1:256">
      <c r="A12" s="3"/>
      <c r="B12" s="7"/>
      <c r="C12" s="28"/>
      <c r="D12" s="3"/>
      <c r="E12" s="3"/>
      <c r="F12" s="3"/>
      <c r="G12" s="3"/>
      <c r="H12" s="3"/>
      <c r="I12" s="3"/>
      <c r="J12" s="3"/>
      <c r="K12" s="3"/>
      <c r="L12" s="3"/>
      <c r="M12" s="3"/>
      <c r="N12" s="3"/>
      <c r="O12" s="3"/>
      <c r="P12" s="3"/>
      <c r="Q12" s="3"/>
      <c r="R12" s="3"/>
      <c r="S12" s="3"/>
      <c r="T12" s="3"/>
      <c r="U12" s="3"/>
      <c r="V12" s="3"/>
      <c r="W12" s="3"/>
      <c r="X12" s="3"/>
      <c r="Y12" s="3"/>
      <c r="Z12" s="3"/>
      <c r="AA12" s="3"/>
      <c r="AB12" s="3"/>
      <c r="AC12" s="9" t="s">
        <v>39</v>
      </c>
      <c r="AD12" s="8"/>
      <c r="AE12" t="s">
        <v>40</v>
      </c>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row>
    <row r="13" spans="1:256">
      <c r="A13" s="3" t="s">
        <v>41</v>
      </c>
      <c r="B13" s="7" t="s">
        <v>42</v>
      </c>
      <c r="C13" s="29">
        <v>10</v>
      </c>
      <c r="D13" s="27" t="e">
        <f ca="1">_xll.BLUEMATRIX2("/servlet/excelData",C13, $C$14,$B13)</f>
        <v>#NAME?</v>
      </c>
      <c r="E13" s="3"/>
      <c r="F13" s="3"/>
      <c r="G13" s="3"/>
      <c r="H13" s="3"/>
      <c r="I13" s="3"/>
      <c r="J13" s="3"/>
      <c r="K13" s="3"/>
      <c r="L13" s="3"/>
      <c r="M13" s="3"/>
      <c r="N13" s="3"/>
      <c r="O13" s="3"/>
      <c r="P13" s="3"/>
      <c r="Q13" s="3"/>
      <c r="R13" s="3"/>
      <c r="S13" s="3"/>
      <c r="T13" s="3"/>
      <c r="U13" s="3"/>
      <c r="V13" s="3"/>
      <c r="W13" s="3"/>
      <c r="X13" s="3"/>
      <c r="Y13" s="3"/>
      <c r="Z13" s="3"/>
      <c r="AA13" s="3"/>
      <c r="AB13" s="3"/>
      <c r="AC13" s="8"/>
      <c r="AD13" s="8"/>
      <c r="AE13" t="s">
        <v>43</v>
      </c>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row>
    <row r="14" spans="1:256">
      <c r="A14" s="3" t="s">
        <v>44</v>
      </c>
      <c r="B14" s="10"/>
      <c r="C14" s="30" t="s">
        <v>397</v>
      </c>
      <c r="D14" s="3"/>
      <c r="E14" s="3"/>
      <c r="F14" s="3"/>
      <c r="G14" s="3"/>
      <c r="H14" s="3"/>
      <c r="I14" s="3"/>
      <c r="J14" s="3"/>
      <c r="K14" s="3"/>
      <c r="L14" s="3"/>
      <c r="M14" s="3"/>
      <c r="N14" s="3"/>
      <c r="O14" s="3"/>
      <c r="P14" s="3"/>
      <c r="Q14" s="3"/>
      <c r="R14" s="3"/>
      <c r="S14" s="3"/>
      <c r="T14" s="3"/>
      <c r="U14" s="3"/>
      <c r="V14" s="3"/>
      <c r="W14" s="3"/>
      <c r="X14" s="3"/>
      <c r="Y14" s="3"/>
      <c r="Z14" s="3"/>
      <c r="AA14" s="3"/>
      <c r="AB14" s="3"/>
      <c r="AC14" s="31" t="s">
        <v>46</v>
      </c>
      <c r="AD14" s="31" t="s">
        <v>45</v>
      </c>
      <c r="AE14" t="s">
        <v>47</v>
      </c>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row>
    <row r="15" spans="1:256">
      <c r="A15" s="11"/>
      <c r="B15" s="32"/>
      <c r="C15" s="12"/>
      <c r="D15" s="3"/>
      <c r="E15" s="3"/>
      <c r="F15" s="3"/>
      <c r="G15" s="3"/>
      <c r="H15" s="3"/>
      <c r="I15" s="3"/>
      <c r="J15" s="3"/>
      <c r="K15" s="3"/>
      <c r="L15" s="3"/>
      <c r="M15" s="3"/>
      <c r="N15" s="3"/>
      <c r="O15" s="3"/>
      <c r="P15" s="3"/>
      <c r="Q15" s="3"/>
      <c r="R15" s="3"/>
      <c r="S15" s="3"/>
      <c r="T15" s="3"/>
      <c r="U15" s="3"/>
      <c r="V15" s="3"/>
      <c r="W15" s="3"/>
      <c r="X15" s="3"/>
      <c r="Y15" s="3"/>
      <c r="Z15" s="3"/>
      <c r="AA15" s="3"/>
      <c r="AB15" s="3"/>
      <c r="AC15" s="31" t="s">
        <v>45</v>
      </c>
      <c r="AD15" s="31" t="s">
        <v>46</v>
      </c>
      <c r="AE15" t="s">
        <v>48</v>
      </c>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row>
    <row r="16" spans="1:256">
      <c r="B16" s="33"/>
      <c r="D16" s="34">
        <f>$B$17-1</f>
        <v>2022</v>
      </c>
      <c r="E16" s="34">
        <f>$B$17-1</f>
        <v>2022</v>
      </c>
      <c r="F16" s="34">
        <f>$B$17-1</f>
        <v>2022</v>
      </c>
      <c r="G16" s="34">
        <f>$B$17-1</f>
        <v>2022</v>
      </c>
      <c r="H16" s="34">
        <f>$B$17-1</f>
        <v>2022</v>
      </c>
      <c r="I16" s="35">
        <f>$B$17</f>
        <v>2023</v>
      </c>
      <c r="J16" s="34">
        <f>$B$17</f>
        <v>2023</v>
      </c>
      <c r="K16" s="34">
        <f>$B$17</f>
        <v>2023</v>
      </c>
      <c r="L16" s="34">
        <f>$B$17</f>
        <v>2023</v>
      </c>
      <c r="M16" s="34">
        <f>$B$17</f>
        <v>2023</v>
      </c>
      <c r="N16" s="35">
        <f>$B$17+1</f>
        <v>2024</v>
      </c>
      <c r="O16" s="34">
        <f>$B$17+1</f>
        <v>2024</v>
      </c>
      <c r="P16" s="34">
        <f>$B$17+1</f>
        <v>2024</v>
      </c>
      <c r="Q16" s="34">
        <f>$B$17+1</f>
        <v>2024</v>
      </c>
      <c r="R16" s="34">
        <f>$B$17+1</f>
        <v>2024</v>
      </c>
      <c r="S16" s="35">
        <f t="shared" ref="S16:AB16" si="0">N16+1</f>
        <v>2025</v>
      </c>
      <c r="T16" s="35">
        <f t="shared" si="0"/>
        <v>2025</v>
      </c>
      <c r="U16" s="35">
        <f t="shared" si="0"/>
        <v>2025</v>
      </c>
      <c r="V16" s="35">
        <f t="shared" si="0"/>
        <v>2025</v>
      </c>
      <c r="W16" s="35">
        <f t="shared" si="0"/>
        <v>2025</v>
      </c>
      <c r="X16" s="35">
        <f t="shared" si="0"/>
        <v>2026</v>
      </c>
      <c r="Y16" s="35">
        <f t="shared" si="0"/>
        <v>2026</v>
      </c>
      <c r="Z16" s="35">
        <f t="shared" si="0"/>
        <v>2026</v>
      </c>
      <c r="AA16" s="35">
        <f t="shared" si="0"/>
        <v>2026</v>
      </c>
      <c r="AB16" s="35">
        <f t="shared" si="0"/>
        <v>2026</v>
      </c>
      <c r="AE16" t="s">
        <v>49</v>
      </c>
    </row>
    <row r="17" spans="1:256" ht="30.75">
      <c r="A17" s="14" t="s">
        <v>50</v>
      </c>
      <c r="B17" s="36">
        <v>2023</v>
      </c>
      <c r="D17" s="37" t="str">
        <f>IF(RIGHT(IS!S4)="E","E","A")</f>
        <v>A</v>
      </c>
      <c r="E17" s="37" t="str">
        <f>IF(RIGHT(IS!T4)="E","E","A")</f>
        <v>A</v>
      </c>
      <c r="F17" s="37" t="str">
        <f>IF(RIGHT(IS!U4)="E","E","A")</f>
        <v>A</v>
      </c>
      <c r="G17" s="37" t="str">
        <f>IF(RIGHT(IS!V4)="E","E","A")</f>
        <v>A</v>
      </c>
      <c r="H17" s="37" t="str">
        <f>IF(RIGHT(IS!W4)="E","E","A")</f>
        <v>A</v>
      </c>
      <c r="I17" s="37" t="str">
        <f>IF(RIGHT(IS!X4)="E","E","A")</f>
        <v>A</v>
      </c>
      <c r="J17" s="37" t="str">
        <f>IF(RIGHT(IS!Y4)="E","E","A")</f>
        <v>A</v>
      </c>
      <c r="K17" s="37" t="str">
        <f>IF(RIGHT(IS!Z4)="E","E","A")</f>
        <v>A</v>
      </c>
      <c r="L17" s="37" t="str">
        <f>IF(RIGHT(IS!AA4)="E","E","A")</f>
        <v>A</v>
      </c>
      <c r="M17" s="37" t="str">
        <f>IF(RIGHT(IS!AB4)="E","E","A")</f>
        <v>A</v>
      </c>
      <c r="N17" s="37" t="str">
        <f>IF(RIGHT(IS!AC4)="E","E","A")</f>
        <v>A</v>
      </c>
      <c r="O17" s="37" t="str">
        <f>IF(RIGHT(IS!AD4)="E","E","A")</f>
        <v>A</v>
      </c>
      <c r="P17" s="37" t="str">
        <f>IF(RIGHT(IS!AE4)="E","E","A")</f>
        <v>A</v>
      </c>
      <c r="Q17" s="37" t="str">
        <f>IF(RIGHT(IS!AF4)="E","E","A")</f>
        <v>A</v>
      </c>
      <c r="R17" s="37" t="str">
        <f>IF(RIGHT(IS!AG4)="E","E","A")</f>
        <v>A</v>
      </c>
      <c r="S17" s="37" t="str">
        <f>IF(RIGHT(IS!AH4)="E","E","A")</f>
        <v>A</v>
      </c>
      <c r="T17" s="37" t="str">
        <f>IF(RIGHT(IS!AI4)="E","E","A")</f>
        <v>A</v>
      </c>
      <c r="U17" s="37" t="str">
        <f>IF(RIGHT(IS!AJ4)="E","E","A")</f>
        <v>A</v>
      </c>
      <c r="V17" s="37" t="str">
        <f>IF(RIGHT(IS!AK4)="E","E","A")</f>
        <v>A</v>
      </c>
      <c r="W17" s="37" t="str">
        <f>IF(RIGHT(IS!AL4)="E","E","A")</f>
        <v>A</v>
      </c>
      <c r="X17" s="37" t="str">
        <f>IF(RIGHT(IS!AM4)="E","E","A")</f>
        <v>E</v>
      </c>
      <c r="Y17" s="37" t="str">
        <f>IF(RIGHT(IS!AN4)="E","E","A")</f>
        <v>E</v>
      </c>
      <c r="Z17" s="37" t="str">
        <f>IF(RIGHT(IS!AO4)="E","E","A")</f>
        <v>E</v>
      </c>
      <c r="AA17" s="37" t="str">
        <f>IF(RIGHT(IS!AP4)="E","E","A")</f>
        <v>E</v>
      </c>
      <c r="AB17" s="37" t="str">
        <f>IF(RIGHT(IS!AQ4)="E","E","A")</f>
        <v>E</v>
      </c>
      <c r="AE17" t="s">
        <v>51</v>
      </c>
    </row>
    <row r="18" spans="1:256" ht="30.75">
      <c r="A18" s="14" t="s">
        <v>52</v>
      </c>
      <c r="B18" s="38" t="s">
        <v>56</v>
      </c>
      <c r="D18" s="39" t="str">
        <f>D16&amp;D19</f>
        <v>2022Q1</v>
      </c>
      <c r="E18" s="39" t="str">
        <f>E16&amp;E19</f>
        <v>2022Q2</v>
      </c>
      <c r="F18" s="39" t="str">
        <f>F16&amp;F19</f>
        <v>2022Q3</v>
      </c>
      <c r="G18" s="39" t="str">
        <f>G16&amp;G19</f>
        <v>2022Q4</v>
      </c>
      <c r="H18" s="39">
        <f>H16</f>
        <v>2022</v>
      </c>
      <c r="I18" s="40" t="str">
        <f>I16&amp;I19&amp;I17</f>
        <v>2023Q1A</v>
      </c>
      <c r="J18" s="39" t="str">
        <f>J16&amp;J19&amp;J17</f>
        <v>2023Q2A</v>
      </c>
      <c r="K18" s="39" t="str">
        <f>K16&amp;K19&amp;K17</f>
        <v>2023Q3A</v>
      </c>
      <c r="L18" s="39" t="str">
        <f>L16&amp;L19&amp;L17</f>
        <v>2023Q4A</v>
      </c>
      <c r="M18" s="39" t="str">
        <f>M16&amp;M17</f>
        <v>2023A</v>
      </c>
      <c r="N18" s="40" t="str">
        <f>N16&amp;N19&amp;N17</f>
        <v>2024Q1A</v>
      </c>
      <c r="O18" s="39" t="str">
        <f>O16&amp;O19&amp;O17</f>
        <v>2024Q2A</v>
      </c>
      <c r="P18" s="39" t="str">
        <f>P16&amp;P19&amp;P17</f>
        <v>2024Q3A</v>
      </c>
      <c r="Q18" s="39" t="str">
        <f>Q16&amp;Q19&amp;Q17</f>
        <v>2024Q4A</v>
      </c>
      <c r="R18" s="39" t="str">
        <f>R16&amp;R17</f>
        <v>2024A</v>
      </c>
      <c r="S18" s="40" t="str">
        <f>S16&amp;S19&amp;S17</f>
        <v>2025Q1A</v>
      </c>
      <c r="T18" s="39" t="str">
        <f>T16&amp;T19&amp;T17</f>
        <v>2025Q2A</v>
      </c>
      <c r="U18" s="39" t="str">
        <f>U16&amp;U19&amp;U17</f>
        <v>2025Q3A</v>
      </c>
      <c r="V18" s="39" t="str">
        <f>V16&amp;V19&amp;V17</f>
        <v>2025Q4A</v>
      </c>
      <c r="W18" s="39" t="str">
        <f>W16&amp;W17</f>
        <v>2025A</v>
      </c>
      <c r="X18" s="40" t="str">
        <f>X16&amp;X19&amp;X17</f>
        <v>2026Q1E</v>
      </c>
      <c r="Y18" s="39" t="str">
        <f>Y16&amp;Y19&amp;Y17</f>
        <v>2026Q2E</v>
      </c>
      <c r="Z18" s="39" t="str">
        <f>Z16&amp;Z19&amp;Z17</f>
        <v>2026Q3E</v>
      </c>
      <c r="AA18" s="39" t="str">
        <f>AA16&amp;AA19&amp;AA17</f>
        <v>2026Q4E</v>
      </c>
      <c r="AB18" s="39" t="str">
        <f>AB16&amp;AB17</f>
        <v>2026E</v>
      </c>
      <c r="AC18" s="15"/>
      <c r="AD18" s="15"/>
      <c r="AE18" t="s">
        <v>54</v>
      </c>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row>
    <row r="19" spans="1:256">
      <c r="A19" s="16"/>
      <c r="B19" s="41"/>
      <c r="C19" s="17"/>
      <c r="D19" s="42" t="s">
        <v>55</v>
      </c>
      <c r="E19" s="42" t="s">
        <v>56</v>
      </c>
      <c r="F19" s="42" t="s">
        <v>53</v>
      </c>
      <c r="G19" s="42" t="s">
        <v>57</v>
      </c>
      <c r="H19" s="42" t="s">
        <v>58</v>
      </c>
      <c r="I19" s="43" t="s">
        <v>55</v>
      </c>
      <c r="J19" s="42" t="s">
        <v>56</v>
      </c>
      <c r="K19" s="42" t="s">
        <v>53</v>
      </c>
      <c r="L19" s="42" t="s">
        <v>57</v>
      </c>
      <c r="M19" s="42" t="s">
        <v>58</v>
      </c>
      <c r="N19" s="43" t="s">
        <v>55</v>
      </c>
      <c r="O19" s="42" t="s">
        <v>56</v>
      </c>
      <c r="P19" s="42" t="s">
        <v>53</v>
      </c>
      <c r="Q19" s="42" t="s">
        <v>57</v>
      </c>
      <c r="R19" s="42" t="s">
        <v>58</v>
      </c>
      <c r="S19" s="43" t="s">
        <v>55</v>
      </c>
      <c r="T19" s="42" t="s">
        <v>56</v>
      </c>
      <c r="U19" s="42" t="s">
        <v>53</v>
      </c>
      <c r="V19" s="42" t="s">
        <v>57</v>
      </c>
      <c r="W19" s="42" t="s">
        <v>58</v>
      </c>
      <c r="X19" s="43" t="s">
        <v>55</v>
      </c>
      <c r="Y19" s="42" t="s">
        <v>56</v>
      </c>
      <c r="Z19" s="42" t="s">
        <v>53</v>
      </c>
      <c r="AA19" s="42" t="s">
        <v>57</v>
      </c>
      <c r="AB19" s="42" t="s">
        <v>58</v>
      </c>
      <c r="AC19" s="44"/>
      <c r="AD19" s="44"/>
      <c r="AE19" t="s">
        <v>59</v>
      </c>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c r="CY19" s="44"/>
      <c r="CZ19" s="44"/>
      <c r="DA19" s="44"/>
      <c r="DB19" s="44"/>
      <c r="DC19" s="44"/>
      <c r="DD19" s="44"/>
      <c r="DE19" s="44"/>
      <c r="DF19" s="44"/>
      <c r="DG19" s="44"/>
      <c r="DH19" s="44"/>
      <c r="DI19" s="44"/>
      <c r="DJ19" s="44"/>
      <c r="DK19" s="44"/>
      <c r="DL19" s="44"/>
      <c r="DM19" s="44"/>
      <c r="DN19" s="44"/>
      <c r="DO19" s="44"/>
      <c r="DP19" s="44"/>
      <c r="DQ19" s="44"/>
      <c r="DR19" s="44"/>
      <c r="DS19" s="44"/>
      <c r="DT19" s="44"/>
      <c r="DU19" s="44"/>
      <c r="DV19" s="44"/>
      <c r="DW19" s="44"/>
      <c r="DX19" s="44"/>
      <c r="DY19" s="44"/>
      <c r="DZ19" s="44"/>
      <c r="EA19" s="44"/>
      <c r="EB19" s="44"/>
      <c r="EC19" s="44"/>
      <c r="ED19" s="44"/>
      <c r="EE19" s="44"/>
      <c r="EF19" s="44"/>
      <c r="EG19" s="44"/>
      <c r="EH19" s="44"/>
      <c r="EI19" s="44"/>
      <c r="EJ19" s="44"/>
      <c r="EK19" s="44"/>
      <c r="EL19" s="44"/>
      <c r="EM19" s="44"/>
      <c r="EN19" s="44"/>
      <c r="EO19" s="44"/>
      <c r="EP19" s="44"/>
      <c r="EQ19" s="44"/>
      <c r="ER19" s="44"/>
      <c r="ES19" s="44"/>
      <c r="ET19" s="44"/>
      <c r="EU19" s="44"/>
      <c r="EV19" s="44"/>
      <c r="EW19" s="44"/>
      <c r="EX19" s="44"/>
      <c r="EY19" s="44"/>
      <c r="EZ19" s="44"/>
      <c r="FA19" s="44"/>
      <c r="FB19" s="44"/>
      <c r="FC19" s="44"/>
      <c r="FD19" s="44"/>
      <c r="FE19" s="44"/>
      <c r="FF19" s="44"/>
      <c r="FG19" s="44"/>
      <c r="FH19" s="44"/>
      <c r="FI19" s="44"/>
      <c r="FJ19" s="44"/>
      <c r="FK19" s="44"/>
      <c r="FL19" s="44"/>
      <c r="FM19" s="44"/>
      <c r="FN19" s="44"/>
      <c r="FO19" s="44"/>
      <c r="FP19" s="44"/>
      <c r="FQ19" s="44"/>
      <c r="FR19" s="44"/>
      <c r="FS19" s="44"/>
      <c r="FT19" s="44"/>
      <c r="FU19" s="44"/>
      <c r="FV19" s="44"/>
      <c r="FW19" s="44"/>
      <c r="FX19" s="44"/>
      <c r="FY19" s="44"/>
      <c r="FZ19" s="44"/>
      <c r="GA19" s="44"/>
      <c r="GB19" s="44"/>
      <c r="GC19" s="44"/>
      <c r="GD19" s="44"/>
      <c r="GE19" s="44"/>
      <c r="GF19" s="44"/>
      <c r="GG19" s="44"/>
      <c r="GH19" s="44"/>
      <c r="GI19" s="44"/>
      <c r="GJ19" s="44"/>
      <c r="GK19" s="44"/>
      <c r="GL19" s="44"/>
      <c r="GM19" s="44"/>
      <c r="GN19" s="44"/>
      <c r="GO19" s="44"/>
      <c r="GP19" s="44"/>
      <c r="GQ19" s="44"/>
      <c r="GR19" s="44"/>
      <c r="GS19" s="44"/>
      <c r="GT19" s="44"/>
      <c r="GU19" s="44"/>
      <c r="GV19" s="44"/>
      <c r="GW19" s="44"/>
      <c r="GX19" s="44"/>
      <c r="GY19" s="44"/>
      <c r="GZ19" s="44"/>
      <c r="HA19" s="44"/>
      <c r="HB19" s="44"/>
      <c r="HC19" s="44"/>
      <c r="HD19" s="44"/>
      <c r="HE19" s="44"/>
      <c r="HF19" s="44"/>
      <c r="HG19" s="44"/>
      <c r="HH19" s="44"/>
      <c r="HI19" s="44"/>
      <c r="HJ19" s="44"/>
      <c r="HK19" s="44"/>
      <c r="HL19" s="44"/>
      <c r="HM19" s="44"/>
      <c r="HN19" s="44"/>
      <c r="HO19" s="44"/>
      <c r="HP19" s="44"/>
      <c r="HQ19" s="44"/>
      <c r="HR19" s="44"/>
      <c r="HS19" s="44"/>
      <c r="HT19" s="44"/>
      <c r="HU19" s="44"/>
      <c r="HV19" s="44"/>
      <c r="HW19" s="44"/>
      <c r="HX19" s="44"/>
      <c r="HY19" s="44"/>
      <c r="HZ19" s="44"/>
      <c r="IA19" s="44"/>
      <c r="IB19" s="44"/>
      <c r="IC19" s="44"/>
      <c r="ID19" s="44"/>
      <c r="IE19" s="44"/>
      <c r="IF19" s="44"/>
      <c r="IG19" s="44"/>
      <c r="IH19" s="44"/>
      <c r="II19" s="44"/>
      <c r="IJ19" s="44"/>
      <c r="IK19" s="44"/>
      <c r="IL19" s="44"/>
      <c r="IM19" s="44"/>
      <c r="IN19" s="44"/>
      <c r="IO19" s="44"/>
      <c r="IP19" s="44"/>
      <c r="IQ19" s="44"/>
      <c r="IR19" s="44"/>
      <c r="IS19" s="44"/>
      <c r="IT19" s="44"/>
      <c r="IU19" s="44"/>
      <c r="IV19" s="44"/>
    </row>
    <row r="20" spans="1:256">
      <c r="A20" s="45" t="s">
        <v>60</v>
      </c>
      <c r="B20" s="46"/>
      <c r="C20" s="47"/>
      <c r="D20" s="236" t="str">
        <f>($B$45&amp;"/"&amp;31&amp;"/"&amp;(D16+$D$45))</f>
        <v>3/31/2022</v>
      </c>
      <c r="E20" s="237" t="str">
        <f>$B$46&amp;"/"&amp;31&amp;"/"&amp;(E16+$D$46)</f>
        <v>6/31/2022</v>
      </c>
      <c r="F20" s="237" t="str">
        <f>$B$47&amp;"/"&amp;31&amp;"/"&amp;(F16+$D$47)</f>
        <v>9/31/2022</v>
      </c>
      <c r="G20" s="237" t="str">
        <f>$B$48&amp;"/"&amp;31&amp;"/"&amp;(G16+$D$48)</f>
        <v>12/31/2022</v>
      </c>
      <c r="H20" s="234" t="str">
        <f>G20</f>
        <v>12/31/2022</v>
      </c>
      <c r="I20" s="236" t="str">
        <f>($B$45&amp;"/"&amp;31&amp;"/"&amp;(I16+$D$45))</f>
        <v>3/31/2023</v>
      </c>
      <c r="J20" s="237" t="str">
        <f>$B$46&amp;"/"&amp;31&amp;"/"&amp;(J16+$D$46)</f>
        <v>6/31/2023</v>
      </c>
      <c r="K20" s="237" t="str">
        <f>$B$47&amp;"/"&amp;31&amp;"/"&amp;(K16+$D$47)</f>
        <v>9/31/2023</v>
      </c>
      <c r="L20" s="237" t="str">
        <f>$B$48&amp;"/"&amp;31&amp;"/"&amp;(L16+$D$48)</f>
        <v>12/31/2023</v>
      </c>
      <c r="M20" s="234" t="str">
        <f>L20</f>
        <v>12/31/2023</v>
      </c>
      <c r="N20" s="48" t="str">
        <f>($B$45&amp;"/"&amp;31&amp;"/"&amp;(N16+$D$45))</f>
        <v>3/31/2024</v>
      </c>
      <c r="O20" s="49" t="str">
        <f>$B$46&amp;"/"&amp;31&amp;"/"&amp;(O16+$D$46)</f>
        <v>6/31/2024</v>
      </c>
      <c r="P20" s="49" t="str">
        <f>$B$47&amp;"/"&amp;31&amp;"/"&amp;(P16+$D$47)</f>
        <v>9/31/2024</v>
      </c>
      <c r="Q20" s="49" t="str">
        <f>$B$48&amp;"/"&amp;31&amp;"/"&amp;(Q16+$D$48)</f>
        <v>12/31/2024</v>
      </c>
      <c r="R20" s="50" t="str">
        <f>Q20</f>
        <v>12/31/2024</v>
      </c>
      <c r="S20" s="48" t="str">
        <f>($B$45&amp;"/"&amp;31&amp;"/"&amp;(S16+$D$45))</f>
        <v>3/31/2025</v>
      </c>
      <c r="T20" s="49" t="str">
        <f>$B$46&amp;"/"&amp;31&amp;"/"&amp;(T16+$D$46)</f>
        <v>6/31/2025</v>
      </c>
      <c r="U20" s="49" t="str">
        <f>$B$47&amp;"/"&amp;31&amp;"/"&amp;(U16+$D$47)</f>
        <v>9/31/2025</v>
      </c>
      <c r="V20" s="49" t="str">
        <f>$B$48&amp;"/"&amp;31&amp;"/"&amp;(V16+$D$48)</f>
        <v>12/31/2025</v>
      </c>
      <c r="W20" s="50" t="str">
        <f>V20</f>
        <v>12/31/2025</v>
      </c>
      <c r="X20" s="48" t="str">
        <f>($B$45&amp;"/"&amp;31&amp;"/"&amp;(X16+$D$45))</f>
        <v>3/31/2026</v>
      </c>
      <c r="Y20" s="49" t="str">
        <f>$B$46&amp;"/"&amp;31&amp;"/"&amp;(Y16+$D$46)</f>
        <v>6/31/2026</v>
      </c>
      <c r="Z20" s="49" t="str">
        <f>$B$47&amp;"/"&amp;31&amp;"/"&amp;(Z16+$D$47)</f>
        <v>9/31/2026</v>
      </c>
      <c r="AA20" s="49" t="str">
        <f>$B$48&amp;"/"&amp;31&amp;"/"&amp;(AA16+$D$48)</f>
        <v>12/31/2026</v>
      </c>
      <c r="AB20" s="50" t="str">
        <f>AA20</f>
        <v>12/31/2026</v>
      </c>
      <c r="AE20" t="s">
        <v>61</v>
      </c>
    </row>
    <row r="21" spans="1:256" ht="17.649999999999999">
      <c r="A21" s="51" t="s">
        <v>62</v>
      </c>
      <c r="B21" s="18" t="s">
        <v>63</v>
      </c>
      <c r="C21" s="52"/>
      <c r="D21" s="235">
        <f>IS!S11/1000</f>
        <v>34.468000000000004</v>
      </c>
      <c r="E21" s="235">
        <f>IS!T11/1000</f>
        <v>33.71</v>
      </c>
      <c r="F21" s="235">
        <f>IS!U11/1000</f>
        <v>34.475000000000001</v>
      </c>
      <c r="G21" s="235">
        <f>IS!V11/1000</f>
        <v>32.536999999999999</v>
      </c>
      <c r="H21" s="235">
        <f>IS!W11/1000</f>
        <v>135.19</v>
      </c>
      <c r="I21" s="235">
        <f>IS!X11/1000</f>
        <v>33.128999999999998</v>
      </c>
      <c r="J21" s="235">
        <f>IS!Y11/1000</f>
        <v>34.276000000000003</v>
      </c>
      <c r="K21" s="235">
        <f>IS!Z11/1000</f>
        <v>34.942999999999998</v>
      </c>
      <c r="L21" s="235">
        <f>IS!AA11/1000</f>
        <v>35.741999999999997</v>
      </c>
      <c r="M21" s="235">
        <f>IS!AB11/1000</f>
        <v>138.09</v>
      </c>
      <c r="N21" s="235">
        <f>IS!AC11/1000</f>
        <v>35.570999999999998</v>
      </c>
      <c r="O21" s="235">
        <f>IS!AD11/1000</f>
        <v>36.005000000000003</v>
      </c>
      <c r="P21" s="235">
        <f>IS!AE11/1000</f>
        <v>36.265999999999998</v>
      </c>
      <c r="Q21" s="235">
        <f>IS!AF11/1000</f>
        <v>36.999000000000002</v>
      </c>
      <c r="R21" s="235">
        <f>IS!AG11/1000</f>
        <v>144.84100000000001</v>
      </c>
      <c r="S21" s="235">
        <f>IS!AH11/1000</f>
        <v>36.652999999999999</v>
      </c>
      <c r="T21" s="235">
        <f>IS!AI11/1000</f>
        <v>38.106000000000002</v>
      </c>
      <c r="U21" s="235">
        <f>IS!AJ11/1000</f>
        <v>40.918999999999997</v>
      </c>
      <c r="V21" s="235">
        <f>IS!AK11/1000</f>
        <v>41.170999999999999</v>
      </c>
      <c r="W21" s="235">
        <f>IS!AL11/1000</f>
        <v>156.84899999999999</v>
      </c>
      <c r="X21" s="235">
        <f>IS!AM11/1000</f>
        <v>39.749896</v>
      </c>
      <c r="Y21" s="235">
        <f>IS!AN11/1000</f>
        <v>42.303380000000004</v>
      </c>
      <c r="Z21" s="235">
        <f>IS!AO11/1000</f>
        <v>44.041606000000009</v>
      </c>
      <c r="AA21" s="235">
        <f>IS!AP11/1000</f>
        <v>45.909808000000005</v>
      </c>
      <c r="AB21" s="235">
        <f>IS!AQ11/1000</f>
        <v>172.00469000000001</v>
      </c>
      <c r="AE21" t="s">
        <v>64</v>
      </c>
    </row>
    <row r="22" spans="1:256" ht="17.649999999999999">
      <c r="A22" s="53"/>
      <c r="B22" s="54" t="s">
        <v>13</v>
      </c>
      <c r="C22" s="19"/>
      <c r="D22" s="71" t="e">
        <f ca="1">_xll.BLUEMATRIX2("/servlet/excelData",D21, $C$14,$B21&amp;":"&amp;D$16&amp;D$17&amp;":"&amp;D$19&amp;":"&amp;$B22)</f>
        <v>#NAME?</v>
      </c>
      <c r="E22" s="55" t="e">
        <f ca="1">_xll.BLUEMATRIX2("/servlet/excelData",E21, $C$14,$B21&amp;":"&amp;E$16&amp;E$17&amp;":"&amp;E$19&amp;":"&amp;$B22)</f>
        <v>#NAME?</v>
      </c>
      <c r="F22" s="55" t="e">
        <f ca="1">_xll.BLUEMATRIX2("/servlet/excelData",F21, $C$14,$B21&amp;":"&amp;F$16&amp;F$17&amp;":"&amp;F$19&amp;":"&amp;$B22)</f>
        <v>#NAME?</v>
      </c>
      <c r="G22" s="55" t="e">
        <f ca="1">_xll.BLUEMATRIX2("/servlet/excelData",G21, $C$14,$B21&amp;":"&amp;G$16&amp;G$17&amp;":"&amp;G$19&amp;":"&amp;$B22)</f>
        <v>#NAME?</v>
      </c>
      <c r="H22" s="56" t="e">
        <f ca="1">_xll.BLUEMATRIX2("/servlet/excelData",H21, $C$14,$B21&amp;":"&amp;H$16&amp;H$17&amp;":"&amp;H$19&amp;":"&amp;$B22)</f>
        <v>#NAME?</v>
      </c>
      <c r="I22" s="55" t="e">
        <f ca="1">_xll.BLUEMATRIX2("/servlet/excelData",I21, $C$14,$B21&amp;":"&amp;I$16&amp;I$17&amp;":"&amp;I$19&amp;":"&amp;$B22)</f>
        <v>#NAME?</v>
      </c>
      <c r="J22" s="55" t="e">
        <f ca="1">_xll.BLUEMATRIX2("/servlet/excelData",J21, $C$14,$B21&amp;":"&amp;J$16&amp;J$17&amp;":"&amp;J$19&amp;":"&amp;$B22)</f>
        <v>#NAME?</v>
      </c>
      <c r="K22" s="55" t="e">
        <f ca="1">_xll.BLUEMATRIX2("/servlet/excelData",K21, $C$14,$B21&amp;":"&amp;K$16&amp;K$17&amp;":"&amp;K$19&amp;":"&amp;$B22)</f>
        <v>#NAME?</v>
      </c>
      <c r="L22" s="55" t="e">
        <f ca="1">_xll.BLUEMATRIX2("/servlet/excelData",L21, $C$14,$B21&amp;":"&amp;L$16&amp;L$17&amp;":"&amp;L$19&amp;":"&amp;$B22)</f>
        <v>#NAME?</v>
      </c>
      <c r="M22" s="56" t="e">
        <f ca="1">_xll.BLUEMATRIX2("/servlet/excelData",M21, $C$14,$B21&amp;":"&amp;M$16&amp;M$17&amp;":"&amp;M$19&amp;":"&amp;$B22)</f>
        <v>#NAME?</v>
      </c>
      <c r="N22" s="55" t="e">
        <f ca="1">_xll.BLUEMATRIX2("/servlet/excelData",N21, $C$14,$B21&amp;":"&amp;N$16&amp;N$17&amp;":"&amp;N$19&amp;":"&amp;$B22)</f>
        <v>#NAME?</v>
      </c>
      <c r="O22" s="55" t="e">
        <f ca="1">_xll.BLUEMATRIX2("/servlet/excelData",O21, $C$14,$B21&amp;":"&amp;O$16&amp;O$17&amp;":"&amp;O$19&amp;":"&amp;$B22)</f>
        <v>#NAME?</v>
      </c>
      <c r="P22" s="55" t="e">
        <f ca="1">_xll.BLUEMATRIX2("/servlet/excelData",P21, $C$14,$B21&amp;":"&amp;P$16&amp;P$17&amp;":"&amp;P$19&amp;":"&amp;$B22)</f>
        <v>#NAME?</v>
      </c>
      <c r="Q22" s="55" t="e">
        <f ca="1">_xll.BLUEMATRIX2("/servlet/excelData",Q21, $C$14,$B21&amp;":"&amp;Q$16&amp;Q$17&amp;":"&amp;Q$19&amp;":"&amp;$B22)</f>
        <v>#NAME?</v>
      </c>
      <c r="R22" s="56" t="e">
        <f ca="1">_xll.BLUEMATRIX2("/servlet/excelData",R21, $C$14,$B21&amp;":"&amp;R$16&amp;R$17&amp;":"&amp;R$19&amp;":"&amp;$B22)</f>
        <v>#NAME?</v>
      </c>
      <c r="S22" s="55" t="e">
        <f ca="1">_xll.BLUEMATRIX2("/servlet/excelData",S21, $C$14,$B21&amp;":"&amp;S$16&amp;S$17&amp;":"&amp;S$19&amp;":"&amp;$B22)</f>
        <v>#NAME?</v>
      </c>
      <c r="T22" s="55" t="e">
        <f ca="1">_xll.BLUEMATRIX2("/servlet/excelData",T21, $C$14,$B21&amp;":"&amp;T$16&amp;T$17&amp;":"&amp;T$19&amp;":"&amp;$B22)</f>
        <v>#NAME?</v>
      </c>
      <c r="U22" s="55" t="e">
        <f ca="1">_xll.BLUEMATRIX2("/servlet/excelData",U21, $C$14,$B21&amp;":"&amp;U$16&amp;U$17&amp;":"&amp;U$19&amp;":"&amp;$B22)</f>
        <v>#NAME?</v>
      </c>
      <c r="V22" s="55" t="e">
        <f ca="1">_xll.BLUEMATRIX2("/servlet/excelData",V21, $C$14,$B21&amp;":"&amp;V$16&amp;V$17&amp;":"&amp;V$19&amp;":"&amp;$B22)</f>
        <v>#NAME?</v>
      </c>
      <c r="W22" s="56" t="e">
        <f ca="1">_xll.BLUEMATRIX2("/servlet/excelData",W21, $C$14,$B21&amp;":"&amp;W$16&amp;W$17&amp;":"&amp;W$19&amp;":"&amp;$B22)</f>
        <v>#NAME?</v>
      </c>
      <c r="X22" s="55" t="e">
        <f ca="1">_xll.BLUEMATRIX2("/servlet/excelData",X21, $C$14,$B21&amp;":"&amp;X$16&amp;X$17&amp;":"&amp;X$19&amp;":"&amp;$B22)</f>
        <v>#NAME?</v>
      </c>
      <c r="Y22" s="55" t="e">
        <f ca="1">_xll.BLUEMATRIX2("/servlet/excelData",Y21, $C$14,$B21&amp;":"&amp;Y$16&amp;Y$17&amp;":"&amp;Y$19&amp;":"&amp;$B22)</f>
        <v>#NAME?</v>
      </c>
      <c r="Z22" s="55" t="e">
        <f ca="1">_xll.BLUEMATRIX2("/servlet/excelData",Z21, $C$14,$B21&amp;":"&amp;Z$16&amp;Z$17&amp;":"&amp;Z$19&amp;":"&amp;$B22)</f>
        <v>#NAME?</v>
      </c>
      <c r="AA22" s="55" t="e">
        <f ca="1">_xll.BLUEMATRIX2("/servlet/excelData",AA21, $C$14,$B21&amp;":"&amp;AA$16&amp;AA$17&amp;":"&amp;AA$19&amp;":"&amp;$B22)</f>
        <v>#NAME?</v>
      </c>
      <c r="AB22" s="56" t="e">
        <f ca="1">_xll.BLUEMATRIX2("/servlet/excelData",AB21, $C$14,$B21&amp;":"&amp;AB$16&amp;AB$17&amp;":"&amp;AB$19&amp;":"&amp;$B22)</f>
        <v>#NAME?</v>
      </c>
      <c r="AC22" s="57"/>
      <c r="AD22" s="57"/>
      <c r="AE22" t="s">
        <v>65</v>
      </c>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c r="FU22" s="57"/>
      <c r="FV22" s="57"/>
      <c r="FW22" s="57"/>
      <c r="FX22" s="57"/>
      <c r="FY22" s="57"/>
      <c r="FZ22" s="57"/>
      <c r="GA22" s="57"/>
      <c r="GB22" s="57"/>
      <c r="GC22" s="57"/>
      <c r="GD22" s="57"/>
      <c r="GE22" s="57"/>
      <c r="GF22" s="57"/>
      <c r="GG22" s="57"/>
      <c r="GH22" s="57"/>
      <c r="GI22" s="57"/>
      <c r="GJ22" s="57"/>
      <c r="GK22" s="57"/>
      <c r="GL22" s="57"/>
      <c r="GM22" s="57"/>
      <c r="GN22" s="57"/>
      <c r="GO22" s="57"/>
      <c r="GP22" s="57"/>
      <c r="GQ22" s="57"/>
      <c r="GR22" s="57"/>
      <c r="GS22" s="57"/>
      <c r="GT22" s="57"/>
      <c r="GU22" s="57"/>
      <c r="GV22" s="57"/>
      <c r="GW22" s="57"/>
      <c r="GX22" s="57"/>
      <c r="GY22" s="57"/>
      <c r="GZ22" s="57"/>
      <c r="HA22" s="57"/>
      <c r="HB22" s="57"/>
      <c r="HC22" s="57"/>
      <c r="HD22" s="57"/>
      <c r="HE22" s="57"/>
      <c r="HF22" s="57"/>
      <c r="HG22" s="57"/>
      <c r="HH22" s="57"/>
      <c r="HI22" s="57"/>
      <c r="HJ22" s="57"/>
      <c r="HK22" s="57"/>
      <c r="HL22" s="57"/>
      <c r="HM22" s="57"/>
      <c r="HN22" s="57"/>
      <c r="HO22" s="57"/>
      <c r="HP22" s="57"/>
      <c r="HQ22" s="57"/>
      <c r="HR22" s="57"/>
      <c r="HS22" s="57"/>
      <c r="HT22" s="57"/>
      <c r="HU22" s="57"/>
      <c r="HV22" s="57"/>
      <c r="HW22" s="57"/>
      <c r="HX22" s="57"/>
      <c r="HY22" s="57"/>
      <c r="HZ22" s="57"/>
      <c r="IA22" s="57"/>
      <c r="IB22" s="57"/>
      <c r="IC22" s="57"/>
      <c r="ID22" s="57"/>
      <c r="IE22" s="57"/>
      <c r="IF22" s="57"/>
      <c r="IG22" s="57"/>
      <c r="IH22" s="57"/>
      <c r="II22" s="57"/>
      <c r="IJ22" s="57"/>
      <c r="IK22" s="57"/>
      <c r="IL22" s="57"/>
      <c r="IM22" s="57"/>
      <c r="IN22" s="57"/>
      <c r="IO22" s="57"/>
      <c r="IP22" s="57"/>
      <c r="IQ22" s="57"/>
      <c r="IR22" s="57"/>
      <c r="IS22" s="57"/>
      <c r="IT22" s="57"/>
      <c r="IU22" s="57"/>
      <c r="IV22" s="57"/>
    </row>
    <row r="23" spans="1:256" ht="17.649999999999999">
      <c r="A23" s="58" t="s">
        <v>66</v>
      </c>
      <c r="B23" s="59" t="s">
        <v>66</v>
      </c>
      <c r="C23" s="60"/>
      <c r="D23" s="61">
        <f>IS!S65</f>
        <v>-0.14908921548333678</v>
      </c>
      <c r="E23" s="61">
        <f>IS!T65</f>
        <v>-0.23078637049225284</v>
      </c>
      <c r="F23" s="61">
        <f>IS!U65</f>
        <v>-0.2398321993144728</v>
      </c>
      <c r="G23" s="61">
        <f>IS!V65</f>
        <v>-0.18280425071070799</v>
      </c>
      <c r="H23" s="61">
        <f>IS!W65</f>
        <v>-0.80280962004332357</v>
      </c>
      <c r="I23" s="61">
        <f>IS!X65</f>
        <v>-0.20409022050159906</v>
      </c>
      <c r="J23" s="61">
        <f>IS!Y65</f>
        <v>-0.10814287623630045</v>
      </c>
      <c r="K23" s="61">
        <f>IS!Z65</f>
        <v>-6.4805302402651199E-2</v>
      </c>
      <c r="L23" s="61">
        <f>IS!AA65</f>
        <v>-5.245847722414077E-3</v>
      </c>
      <c r="M23" s="61">
        <f>IS!AB65</f>
        <v>-0.37979253491718867</v>
      </c>
      <c r="N23" s="61">
        <f>IS!AC65</f>
        <v>-7.6975877623063349E-2</v>
      </c>
      <c r="O23" s="61">
        <f>IS!AD65</f>
        <v>-7.3426398060687112E-2</v>
      </c>
      <c r="P23" s="61">
        <f>IS!AE65</f>
        <v>-6.4817762882279015E-2</v>
      </c>
      <c r="Q23" s="61">
        <f>IS!AF65</f>
        <v>-7.0912781604605499E-2</v>
      </c>
      <c r="R23" s="61">
        <f>IS!AG65</f>
        <v>-0.28626962372290055</v>
      </c>
      <c r="S23" s="61">
        <f>IS!AH65</f>
        <v>-8.171386114092298E-2</v>
      </c>
      <c r="T23" s="61">
        <f>IS!AI65</f>
        <v>-4.4950608212915341E-2</v>
      </c>
      <c r="U23" s="61">
        <f>IS!AJ65</f>
        <v>-8.8897478017199733E-3</v>
      </c>
      <c r="V23" s="61">
        <f>IS!AK65</f>
        <v>-3.9524120051532455E-2</v>
      </c>
      <c r="W23" s="61">
        <f>IS!AL65</f>
        <v>-0.17406808576163904</v>
      </c>
      <c r="X23" s="61">
        <f>IS!AM65</f>
        <v>-7.9714121300317312E-2</v>
      </c>
      <c r="Y23" s="61">
        <f>IS!AN65</f>
        <v>-2.056806831549441E-2</v>
      </c>
      <c r="Z23" s="61">
        <f>IS!AO65</f>
        <v>-6.5318875592896911E-3</v>
      </c>
      <c r="AA23" s="61">
        <f>IS!AP65</f>
        <v>-2.4512701239018725E-3</v>
      </c>
      <c r="AB23" s="61">
        <f>IS!AQ65</f>
        <v>-0.1080450870326595</v>
      </c>
      <c r="AE23" t="s">
        <v>67</v>
      </c>
    </row>
    <row r="24" spans="1:256" ht="17.649999999999999">
      <c r="A24" s="62"/>
      <c r="B24" s="63" t="s">
        <v>27</v>
      </c>
      <c r="C24" s="64"/>
      <c r="D24" s="71" t="e">
        <f ca="1">_xll.BLUEMATRIX2("/servlet/excelData",D23, $C$14,$B23&amp;":"&amp;D$16&amp;D$17&amp;":"&amp;D$19&amp;":"&amp;$B24)</f>
        <v>#NAME?</v>
      </c>
      <c r="E24" s="55" t="e">
        <f ca="1">_xll.BLUEMATRIX2("/servlet/excelData",E23, $C$14,$B23&amp;":"&amp;E$16&amp;E$17&amp;":"&amp;E$19&amp;":"&amp;$B24)</f>
        <v>#NAME?</v>
      </c>
      <c r="F24" s="55" t="e">
        <f ca="1">_xll.BLUEMATRIX2("/servlet/excelData",F23, $C$14,$B23&amp;":"&amp;F$16&amp;F$17&amp;":"&amp;F$19&amp;":"&amp;$B24)</f>
        <v>#NAME?</v>
      </c>
      <c r="G24" s="55" t="e">
        <f ca="1">_xll.BLUEMATRIX2("/servlet/excelData",G23, $C$14,$B23&amp;":"&amp;G$16&amp;G$17&amp;":"&amp;G$19&amp;":"&amp;$B24)</f>
        <v>#NAME?</v>
      </c>
      <c r="H24" s="56" t="e">
        <f ca="1">_xll.BLUEMATRIX2("/servlet/excelData",H23, $C$14,$B23&amp;":"&amp;H$16&amp;H$17&amp;":"&amp;H$19&amp;":"&amp;$B24)</f>
        <v>#NAME?</v>
      </c>
      <c r="I24" s="55" t="e">
        <f ca="1">_xll.BLUEMATRIX2("/servlet/excelData",I23, $C$14,$B23&amp;":"&amp;I$16&amp;I$17&amp;":"&amp;I$19&amp;":"&amp;$B24)</f>
        <v>#NAME?</v>
      </c>
      <c r="J24" s="55" t="e">
        <f ca="1">_xll.BLUEMATRIX2("/servlet/excelData",J23, $C$14,$B23&amp;":"&amp;J$16&amp;J$17&amp;":"&amp;J$19&amp;":"&amp;$B24)</f>
        <v>#NAME?</v>
      </c>
      <c r="K24" s="55" t="e">
        <f ca="1">_xll.BLUEMATRIX2("/servlet/excelData",K23, $C$14,$B23&amp;":"&amp;K$16&amp;K$17&amp;":"&amp;K$19&amp;":"&amp;$B24)</f>
        <v>#NAME?</v>
      </c>
      <c r="L24" s="55" t="e">
        <f ca="1">_xll.BLUEMATRIX2("/servlet/excelData",L23, $C$14,$B23&amp;":"&amp;L$16&amp;L$17&amp;":"&amp;L$19&amp;":"&amp;$B24)</f>
        <v>#NAME?</v>
      </c>
      <c r="M24" s="56" t="e">
        <f ca="1">_xll.BLUEMATRIX2("/servlet/excelData",M23, $C$14,$B23&amp;":"&amp;M$16&amp;M$17&amp;":"&amp;M$19&amp;":"&amp;$B24)</f>
        <v>#NAME?</v>
      </c>
      <c r="N24" s="55" t="e">
        <f ca="1">_xll.BLUEMATRIX2("/servlet/excelData",N23, $C$14,$B23&amp;":"&amp;N$16&amp;N$17&amp;":"&amp;N$19&amp;":"&amp;$B24)</f>
        <v>#NAME?</v>
      </c>
      <c r="O24" s="55" t="e">
        <f ca="1">_xll.BLUEMATRIX2("/servlet/excelData",O23, $C$14,$B23&amp;":"&amp;O$16&amp;O$17&amp;":"&amp;O$19&amp;":"&amp;$B24)</f>
        <v>#NAME?</v>
      </c>
      <c r="P24" s="55" t="e">
        <f ca="1">_xll.BLUEMATRIX2("/servlet/excelData",P23, $C$14,$B23&amp;":"&amp;P$16&amp;P$17&amp;":"&amp;P$19&amp;":"&amp;$B24)</f>
        <v>#NAME?</v>
      </c>
      <c r="Q24" s="55" t="e">
        <f ca="1">_xll.BLUEMATRIX2("/servlet/excelData",Q23, $C$14,$B23&amp;":"&amp;Q$16&amp;Q$17&amp;":"&amp;Q$19&amp;":"&amp;$B24)</f>
        <v>#NAME?</v>
      </c>
      <c r="R24" s="56" t="e">
        <f ca="1">_xll.BLUEMATRIX2("/servlet/excelData",R23, $C$14,$B23&amp;":"&amp;R$16&amp;R$17&amp;":"&amp;R$19&amp;":"&amp;$B24)</f>
        <v>#NAME?</v>
      </c>
      <c r="S24" s="55" t="e">
        <f ca="1">_xll.BLUEMATRIX2("/servlet/excelData",S23, $C$14,$B23&amp;":"&amp;S$16&amp;S$17&amp;":"&amp;S$19&amp;":"&amp;$B24)</f>
        <v>#NAME?</v>
      </c>
      <c r="T24" s="55" t="e">
        <f ca="1">_xll.BLUEMATRIX2("/servlet/excelData",T23, $C$14,$B23&amp;":"&amp;T$16&amp;T$17&amp;":"&amp;T$19&amp;":"&amp;$B24)</f>
        <v>#NAME?</v>
      </c>
      <c r="U24" s="55" t="e">
        <f ca="1">_xll.BLUEMATRIX2("/servlet/excelData",U23, $C$14,$B23&amp;":"&amp;U$16&amp;U$17&amp;":"&amp;U$19&amp;":"&amp;$B24)</f>
        <v>#NAME?</v>
      </c>
      <c r="V24" s="55" t="e">
        <f ca="1">_xll.BLUEMATRIX2("/servlet/excelData",V23, $C$14,$B23&amp;":"&amp;V$16&amp;V$17&amp;":"&amp;V$19&amp;":"&amp;$B24)</f>
        <v>#NAME?</v>
      </c>
      <c r="W24" s="56" t="e">
        <f ca="1">_xll.BLUEMATRIX2("/servlet/excelData",W23, $C$14,$B23&amp;":"&amp;W$16&amp;W$17&amp;":"&amp;W$19&amp;":"&amp;$B24)</f>
        <v>#NAME?</v>
      </c>
      <c r="X24" s="55" t="e">
        <f ca="1">_xll.BLUEMATRIX2("/servlet/excelData",X23, $C$14,$B23&amp;":"&amp;X$16&amp;X$17&amp;":"&amp;X$19&amp;":"&amp;$B24)</f>
        <v>#NAME?</v>
      </c>
      <c r="Y24" s="55" t="e">
        <f ca="1">_xll.BLUEMATRIX2("/servlet/excelData",Y23, $C$14,$B23&amp;":"&amp;Y$16&amp;Y$17&amp;":"&amp;Y$19&amp;":"&amp;$B24)</f>
        <v>#NAME?</v>
      </c>
      <c r="Z24" s="55" t="e">
        <f ca="1">_xll.BLUEMATRIX2("/servlet/excelData",Z23, $C$14,$B23&amp;":"&amp;Z$16&amp;Z$17&amp;":"&amp;Z$19&amp;":"&amp;$B24)</f>
        <v>#NAME?</v>
      </c>
      <c r="AA24" s="55" t="e">
        <f ca="1">_xll.BLUEMATRIX2("/servlet/excelData",AA23, $C$14,$B23&amp;":"&amp;AA$16&amp;AA$17&amp;":"&amp;AA$19&amp;":"&amp;$B24)</f>
        <v>#NAME?</v>
      </c>
      <c r="AB24" s="56" t="e">
        <f ca="1">_xll.BLUEMATRIX2("/servlet/excelData",AB23, $C$14,$B23&amp;":"&amp;AB$16&amp;AB$17&amp;":"&amp;AB$19&amp;":"&amp;$B24)</f>
        <v>#NAME?</v>
      </c>
      <c r="AC24" s="57"/>
      <c r="AD24" s="57"/>
      <c r="AE24" t="s">
        <v>68</v>
      </c>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c r="FU24" s="57"/>
      <c r="FV24" s="57"/>
      <c r="FW24" s="57"/>
      <c r="FX24" s="57"/>
      <c r="FY24" s="57"/>
      <c r="FZ24" s="57"/>
      <c r="GA24" s="57"/>
      <c r="GB24" s="57"/>
      <c r="GC24" s="57"/>
      <c r="GD24" s="57"/>
      <c r="GE24" s="57"/>
      <c r="GF24" s="57"/>
      <c r="GG24" s="57"/>
      <c r="GH24" s="57"/>
      <c r="GI24" s="57"/>
      <c r="GJ24" s="57"/>
      <c r="GK24" s="57"/>
      <c r="GL24" s="57"/>
      <c r="GM24" s="57"/>
      <c r="GN24" s="57"/>
      <c r="GO24" s="57"/>
      <c r="GP24" s="57"/>
      <c r="GQ24" s="57"/>
      <c r="GR24" s="57"/>
      <c r="GS24" s="57"/>
      <c r="GT24" s="57"/>
      <c r="GU24" s="57"/>
      <c r="GV24" s="57"/>
      <c r="GW24" s="57"/>
      <c r="GX24" s="57"/>
      <c r="GY24" s="57"/>
      <c r="GZ24" s="57"/>
      <c r="HA24" s="57"/>
      <c r="HB24" s="57"/>
      <c r="HC24" s="57"/>
      <c r="HD24" s="57"/>
      <c r="HE24" s="57"/>
      <c r="HF24" s="57"/>
      <c r="HG24" s="57"/>
      <c r="HH24" s="57"/>
      <c r="HI24" s="57"/>
      <c r="HJ24" s="57"/>
      <c r="HK24" s="57"/>
      <c r="HL24" s="57"/>
      <c r="HM24" s="57"/>
      <c r="HN24" s="57"/>
      <c r="HO24" s="57"/>
      <c r="HP24" s="57"/>
      <c r="HQ24" s="57"/>
      <c r="HR24" s="57"/>
      <c r="HS24" s="57"/>
      <c r="HT24" s="57"/>
      <c r="HU24" s="57"/>
      <c r="HV24" s="57"/>
      <c r="HW24" s="57"/>
      <c r="HX24" s="57"/>
      <c r="HY24" s="57"/>
      <c r="HZ24" s="57"/>
      <c r="IA24" s="57"/>
      <c r="IB24" s="57"/>
      <c r="IC24" s="57"/>
      <c r="ID24" s="57"/>
      <c r="IE24" s="57"/>
      <c r="IF24" s="57"/>
      <c r="IG24" s="57"/>
      <c r="IH24" s="57"/>
      <c r="II24" s="57"/>
      <c r="IJ24" s="57"/>
      <c r="IK24" s="57"/>
      <c r="IL24" s="57"/>
      <c r="IM24" s="57"/>
      <c r="IN24" s="57"/>
      <c r="IO24" s="57"/>
      <c r="IP24" s="57"/>
      <c r="IQ24" s="57"/>
      <c r="IR24" s="57"/>
      <c r="IS24" s="57"/>
      <c r="IT24" s="57"/>
      <c r="IU24" s="57"/>
      <c r="IV24" s="57"/>
    </row>
    <row r="25" spans="1:256">
      <c r="A25" s="67" t="s">
        <v>5</v>
      </c>
      <c r="B25" s="18" t="s">
        <v>5</v>
      </c>
      <c r="C25" s="52"/>
      <c r="D25" s="68"/>
      <c r="E25" s="69"/>
      <c r="F25" s="69"/>
      <c r="G25" s="69"/>
      <c r="H25" s="70"/>
      <c r="I25" s="69"/>
      <c r="J25" s="69"/>
      <c r="K25" s="69"/>
      <c r="L25" s="69"/>
      <c r="M25" s="70"/>
      <c r="N25" s="69"/>
      <c r="O25" s="69"/>
      <c r="P25" s="69"/>
      <c r="Q25" s="69"/>
      <c r="R25" s="70"/>
      <c r="S25" s="69"/>
      <c r="T25" s="69"/>
      <c r="U25" s="69"/>
      <c r="V25" s="69"/>
      <c r="W25" s="70"/>
      <c r="X25" s="69"/>
      <c r="Y25" s="69"/>
      <c r="Z25" s="69"/>
      <c r="AA25" s="69"/>
      <c r="AB25" s="70"/>
      <c r="AE25" t="s">
        <v>69</v>
      </c>
    </row>
    <row r="26" spans="1:256">
      <c r="A26" s="20"/>
      <c r="B26" s="54"/>
      <c r="C26" s="19"/>
      <c r="D26" s="71" t="e">
        <f ca="1">_xll.BLUEMATRIX2("/servlet/excelData",D25, $C$14,$B25&amp;":"&amp;D$16&amp;D$17&amp;":"&amp;D$19&amp;":"&amp;$B26)</f>
        <v>#NAME?</v>
      </c>
      <c r="E26" s="55" t="e">
        <f ca="1">_xll.BLUEMATRIX2("/servlet/excelData",E25, $C$14,$B25&amp;":"&amp;E$16&amp;E$17&amp;":"&amp;E$19&amp;":"&amp;$B26)</f>
        <v>#NAME?</v>
      </c>
      <c r="F26" s="55" t="e">
        <f ca="1">_xll.BLUEMATRIX2("/servlet/excelData",F25, $C$14,$B25&amp;":"&amp;F$16&amp;F$17&amp;":"&amp;F$19&amp;":"&amp;$B26)</f>
        <v>#NAME?</v>
      </c>
      <c r="G26" s="55" t="e">
        <f ca="1">_xll.BLUEMATRIX2("/servlet/excelData",G25, $C$14,$B25&amp;":"&amp;G$16&amp;G$17&amp;":"&amp;G$19&amp;":"&amp;$B26)</f>
        <v>#NAME?</v>
      </c>
      <c r="H26" s="56" t="e">
        <f ca="1">_xll.BLUEMATRIX2("/servlet/excelData",H25, $C$14,$B25&amp;":"&amp;H$16&amp;H$17&amp;":"&amp;H$19&amp;":"&amp;$B26)</f>
        <v>#NAME?</v>
      </c>
      <c r="I26" s="55" t="e">
        <f ca="1">_xll.BLUEMATRIX2("/servlet/excelData",I25, $C$14,$B25&amp;":"&amp;I$16&amp;I$17&amp;":"&amp;I$19&amp;":"&amp;$B26)</f>
        <v>#NAME?</v>
      </c>
      <c r="J26" s="55" t="e">
        <f ca="1">_xll.BLUEMATRIX2("/servlet/excelData",J25, $C$14,$B25&amp;":"&amp;J$16&amp;J$17&amp;":"&amp;J$19&amp;":"&amp;$B26)</f>
        <v>#NAME?</v>
      </c>
      <c r="K26" s="55" t="e">
        <f ca="1">_xll.BLUEMATRIX2("/servlet/excelData",K25, $C$14,$B25&amp;":"&amp;K$16&amp;K$17&amp;":"&amp;K$19&amp;":"&amp;$B26)</f>
        <v>#NAME?</v>
      </c>
      <c r="L26" s="55" t="e">
        <f ca="1">_xll.BLUEMATRIX2("/servlet/excelData",L25, $C$14,$B25&amp;":"&amp;L$16&amp;L$17&amp;":"&amp;L$19&amp;":"&amp;$B26)</f>
        <v>#NAME?</v>
      </c>
      <c r="M26" s="56" t="e">
        <f ca="1">_xll.BLUEMATRIX2("/servlet/excelData",M25, $C$14,$B25&amp;":"&amp;M$16&amp;M$17&amp;":"&amp;M$19&amp;":"&amp;$B26)</f>
        <v>#NAME?</v>
      </c>
      <c r="N26" s="55" t="e">
        <f ca="1">_xll.BLUEMATRIX2("/servlet/excelData",N25, $C$14,$B25&amp;":"&amp;N$16&amp;N$17&amp;":"&amp;N$19&amp;":"&amp;$B26)</f>
        <v>#NAME?</v>
      </c>
      <c r="O26" s="55" t="e">
        <f ca="1">_xll.BLUEMATRIX2("/servlet/excelData",O25, $C$14,$B25&amp;":"&amp;O$16&amp;O$17&amp;":"&amp;O$19&amp;":"&amp;$B26)</f>
        <v>#NAME?</v>
      </c>
      <c r="P26" s="55" t="e">
        <f ca="1">_xll.BLUEMATRIX2("/servlet/excelData",P25, $C$14,$B25&amp;":"&amp;P$16&amp;P$17&amp;":"&amp;P$19&amp;":"&amp;$B26)</f>
        <v>#NAME?</v>
      </c>
      <c r="Q26" s="55" t="e">
        <f ca="1">_xll.BLUEMATRIX2("/servlet/excelData",Q25, $C$14,$B25&amp;":"&amp;Q$16&amp;Q$17&amp;":"&amp;Q$19&amp;":"&amp;$B26)</f>
        <v>#NAME?</v>
      </c>
      <c r="R26" s="56" t="e">
        <f ca="1">_xll.BLUEMATRIX2("/servlet/excelData",R25, $C$14,$B25&amp;":"&amp;R$16&amp;R$17&amp;":"&amp;R$19&amp;":"&amp;$B26)</f>
        <v>#NAME?</v>
      </c>
      <c r="S26" s="55" t="e">
        <f ca="1">_xll.BLUEMATRIX2("/servlet/excelData",S25, $C$14,$B25&amp;":"&amp;S$16&amp;S$17&amp;":"&amp;S$19&amp;":"&amp;$B26)</f>
        <v>#NAME?</v>
      </c>
      <c r="T26" s="55" t="e">
        <f ca="1">_xll.BLUEMATRIX2("/servlet/excelData",T25, $C$14,$B25&amp;":"&amp;T$16&amp;T$17&amp;":"&amp;T$19&amp;":"&amp;$B26)</f>
        <v>#NAME?</v>
      </c>
      <c r="U26" s="55" t="e">
        <f ca="1">_xll.BLUEMATRIX2("/servlet/excelData",U25, $C$14,$B25&amp;":"&amp;U$16&amp;U$17&amp;":"&amp;U$19&amp;":"&amp;$B26)</f>
        <v>#NAME?</v>
      </c>
      <c r="V26" s="55" t="e">
        <f ca="1">_xll.BLUEMATRIX2("/servlet/excelData",V25, $C$14,$B25&amp;":"&amp;V$16&amp;V$17&amp;":"&amp;V$19&amp;":"&amp;$B26)</f>
        <v>#NAME?</v>
      </c>
      <c r="W26" s="56" t="e">
        <f ca="1">_xll.BLUEMATRIX2("/servlet/excelData",W25, $C$14,$B25&amp;":"&amp;W$16&amp;W$17&amp;":"&amp;W$19&amp;":"&amp;$B26)</f>
        <v>#NAME?</v>
      </c>
      <c r="X26" s="55" t="e">
        <f ca="1">_xll.BLUEMATRIX2("/servlet/excelData",X25, $C$14,$B25&amp;":"&amp;X$16&amp;X$17&amp;":"&amp;X$19&amp;":"&amp;$B26)</f>
        <v>#NAME?</v>
      </c>
      <c r="Y26" s="55" t="e">
        <f ca="1">_xll.BLUEMATRIX2("/servlet/excelData",Y25, $C$14,$B25&amp;":"&amp;Y$16&amp;Y$17&amp;":"&amp;Y$19&amp;":"&amp;$B26)</f>
        <v>#NAME?</v>
      </c>
      <c r="Z26" s="55" t="e">
        <f ca="1">_xll.BLUEMATRIX2("/servlet/excelData",Z25, $C$14,$B25&amp;":"&amp;Z$16&amp;Z$17&amp;":"&amp;Z$19&amp;":"&amp;$B26)</f>
        <v>#NAME?</v>
      </c>
      <c r="AA26" s="55" t="e">
        <f ca="1">_xll.BLUEMATRIX2("/servlet/excelData",AA25, $C$14,$B25&amp;":"&amp;AA$16&amp;AA$17&amp;":"&amp;AA$19&amp;":"&amp;$B26)</f>
        <v>#NAME?</v>
      </c>
      <c r="AB26" s="56" t="e">
        <f ca="1">_xll.BLUEMATRIX2("/servlet/excelData",AB25, $C$14,$B25&amp;":"&amp;AB$16&amp;AB$17&amp;":"&amp;AB$19&amp;":"&amp;$B26)</f>
        <v>#NAME?</v>
      </c>
      <c r="AC26" s="57"/>
      <c r="AD26" s="57"/>
      <c r="AE26" t="s">
        <v>70</v>
      </c>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c r="FU26" s="57"/>
      <c r="FV26" s="57"/>
      <c r="FW26" s="57"/>
      <c r="FX26" s="57"/>
      <c r="FY26" s="57"/>
      <c r="FZ26" s="57"/>
      <c r="GA26" s="57"/>
      <c r="GB26" s="57"/>
      <c r="GC26" s="57"/>
      <c r="GD26" s="57"/>
      <c r="GE26" s="57"/>
      <c r="GF26" s="57"/>
      <c r="GG26" s="57"/>
      <c r="GH26" s="57"/>
      <c r="GI26" s="57"/>
      <c r="GJ26" s="57"/>
      <c r="GK26" s="57"/>
      <c r="GL26" s="57"/>
      <c r="GM26" s="57"/>
      <c r="GN26" s="57"/>
      <c r="GO26" s="57"/>
      <c r="GP26" s="57"/>
      <c r="GQ26" s="57"/>
      <c r="GR26" s="57"/>
      <c r="GS26" s="57"/>
      <c r="GT26" s="57"/>
      <c r="GU26" s="57"/>
      <c r="GV26" s="57"/>
      <c r="GW26" s="57"/>
      <c r="GX26" s="57"/>
      <c r="GY26" s="57"/>
      <c r="GZ26" s="57"/>
      <c r="HA26" s="57"/>
      <c r="HB26" s="57"/>
      <c r="HC26" s="57"/>
      <c r="HD26" s="57"/>
      <c r="HE26" s="57"/>
      <c r="HF26" s="57"/>
      <c r="HG26" s="57"/>
      <c r="HH26" s="57"/>
      <c r="HI26" s="57"/>
      <c r="HJ26" s="57"/>
      <c r="HK26" s="57"/>
      <c r="HL26" s="57"/>
      <c r="HM26" s="57"/>
      <c r="HN26" s="57"/>
      <c r="HO26" s="57"/>
      <c r="HP26" s="57"/>
      <c r="HQ26" s="57"/>
      <c r="HR26" s="57"/>
      <c r="HS26" s="57"/>
      <c r="HT26" s="57"/>
      <c r="HU26" s="57"/>
      <c r="HV26" s="57"/>
      <c r="HW26" s="57"/>
      <c r="HX26" s="57"/>
      <c r="HY26" s="57"/>
      <c r="HZ26" s="57"/>
      <c r="IA26" s="57"/>
      <c r="IB26" s="57"/>
      <c r="IC26" s="57"/>
      <c r="ID26" s="57"/>
      <c r="IE26" s="57"/>
      <c r="IF26" s="57"/>
      <c r="IG26" s="57"/>
      <c r="IH26" s="57"/>
      <c r="II26" s="57"/>
      <c r="IJ26" s="57"/>
      <c r="IK26" s="57"/>
      <c r="IL26" s="57"/>
      <c r="IM26" s="57"/>
      <c r="IN26" s="57"/>
      <c r="IO26" s="57"/>
      <c r="IP26" s="57"/>
      <c r="IQ26" s="57"/>
      <c r="IR26" s="57"/>
      <c r="IS26" s="57"/>
      <c r="IT26" s="57"/>
      <c r="IU26" s="57"/>
      <c r="IV26" s="57"/>
    </row>
    <row r="27" spans="1:256">
      <c r="A27" s="72" t="s">
        <v>71</v>
      </c>
      <c r="B27" s="59" t="s">
        <v>71</v>
      </c>
      <c r="C27" s="60"/>
      <c r="D27" s="73"/>
      <c r="E27" s="57"/>
      <c r="F27" s="57"/>
      <c r="G27" s="57"/>
      <c r="H27" s="74"/>
      <c r="I27" s="57"/>
      <c r="J27" s="57"/>
      <c r="K27" s="57"/>
      <c r="L27" s="57"/>
      <c r="M27" s="74"/>
      <c r="N27" s="57"/>
      <c r="O27" s="57"/>
      <c r="P27" s="57"/>
      <c r="Q27" s="57"/>
      <c r="R27" s="74"/>
      <c r="S27" s="57"/>
      <c r="T27" s="57"/>
      <c r="U27" s="57"/>
      <c r="V27" s="57"/>
      <c r="W27" s="74"/>
      <c r="X27" s="57"/>
      <c r="Y27" s="57"/>
      <c r="Z27" s="57"/>
      <c r="AA27" s="57"/>
      <c r="AB27" s="74"/>
      <c r="AE27" s="23"/>
    </row>
    <row r="28" spans="1:256">
      <c r="A28" s="75"/>
      <c r="B28" s="63"/>
      <c r="C28" s="64"/>
      <c r="D28" s="65" t="e">
        <f ca="1">_xll.BLUEMATRIX2("/servlet/excelData",D27, $C$14,$B27&amp;":"&amp;D$16&amp;D$17&amp;":"&amp;D$19&amp;":"&amp;$B28)</f>
        <v>#NAME?</v>
      </c>
      <c r="E28" s="66" t="e">
        <f ca="1">_xll.BLUEMATRIX2("/servlet/excelData",E27, $C$14,$B27&amp;":"&amp;E$16&amp;E$17&amp;":"&amp;E$19&amp;":"&amp;$B28)</f>
        <v>#NAME?</v>
      </c>
      <c r="F28" s="66" t="e">
        <f ca="1">_xll.BLUEMATRIX2("/servlet/excelData",F27, $C$14,$B27&amp;":"&amp;F$16&amp;F$17&amp;":"&amp;F$19&amp;":"&amp;$B28)</f>
        <v>#NAME?</v>
      </c>
      <c r="G28" s="66" t="e">
        <f ca="1">_xll.BLUEMATRIX2("/servlet/excelData",G27, $C$14,$B27&amp;":"&amp;G$16&amp;G$17&amp;":"&amp;G$19&amp;":"&amp;$B28)</f>
        <v>#NAME?</v>
      </c>
      <c r="H28" s="27" t="e">
        <f ca="1">_xll.BLUEMATRIX2("/servlet/excelData",H27, $C$14,$B27&amp;":"&amp;H$16&amp;H$17&amp;":"&amp;H$19&amp;":"&amp;$B28)</f>
        <v>#NAME?</v>
      </c>
      <c r="I28" s="66" t="e">
        <f ca="1">_xll.BLUEMATRIX2("/servlet/excelData",I27, $C$14,$B27&amp;":"&amp;I$16&amp;I$17&amp;":"&amp;I$19&amp;":"&amp;$B28)</f>
        <v>#NAME?</v>
      </c>
      <c r="J28" s="66" t="e">
        <f ca="1">_xll.BLUEMATRIX2("/servlet/excelData",J27, $C$14,$B27&amp;":"&amp;J$16&amp;J$17&amp;":"&amp;J$19&amp;":"&amp;$B28)</f>
        <v>#NAME?</v>
      </c>
      <c r="K28" s="66" t="e">
        <f ca="1">_xll.BLUEMATRIX2("/servlet/excelData",K27, $C$14,$B27&amp;":"&amp;K$16&amp;K$17&amp;":"&amp;K$19&amp;":"&amp;$B28)</f>
        <v>#NAME?</v>
      </c>
      <c r="L28" s="66" t="e">
        <f ca="1">_xll.BLUEMATRIX2("/servlet/excelData",L27, $C$14,$B27&amp;":"&amp;L$16&amp;L$17&amp;":"&amp;L$19&amp;":"&amp;$B28)</f>
        <v>#NAME?</v>
      </c>
      <c r="M28" s="27" t="e">
        <f ca="1">_xll.BLUEMATRIX2("/servlet/excelData",M27, $C$14,$B27&amp;":"&amp;M$16&amp;M$17&amp;":"&amp;M$19&amp;":"&amp;$B28)</f>
        <v>#NAME?</v>
      </c>
      <c r="N28" s="66" t="e">
        <f ca="1">_xll.BLUEMATRIX2("/servlet/excelData",N27, $C$14,$B27&amp;":"&amp;N$16&amp;N$17&amp;":"&amp;N$19&amp;":"&amp;$B28)</f>
        <v>#NAME?</v>
      </c>
      <c r="O28" s="66" t="e">
        <f ca="1">_xll.BLUEMATRIX2("/servlet/excelData",O27, $C$14,$B27&amp;":"&amp;O$16&amp;O$17&amp;":"&amp;O$19&amp;":"&amp;$B28)</f>
        <v>#NAME?</v>
      </c>
      <c r="P28" s="66" t="e">
        <f ca="1">_xll.BLUEMATRIX2("/servlet/excelData",P27, $C$14,$B27&amp;":"&amp;P$16&amp;P$17&amp;":"&amp;P$19&amp;":"&amp;$B28)</f>
        <v>#NAME?</v>
      </c>
      <c r="Q28" s="66" t="e">
        <f ca="1">_xll.BLUEMATRIX2("/servlet/excelData",Q27, $C$14,$B27&amp;":"&amp;Q$16&amp;Q$17&amp;":"&amp;Q$19&amp;":"&amp;$B28)</f>
        <v>#NAME?</v>
      </c>
      <c r="R28" s="27" t="e">
        <f ca="1">_xll.BLUEMATRIX2("/servlet/excelData",R27, $C$14,$B27&amp;":"&amp;R$16&amp;R$17&amp;":"&amp;R$19&amp;":"&amp;$B28)</f>
        <v>#NAME?</v>
      </c>
      <c r="S28" s="66" t="e">
        <f ca="1">_xll.BLUEMATRIX2("/servlet/excelData",S27, $C$14,$B27&amp;":"&amp;S$16&amp;S$17&amp;":"&amp;S$19&amp;":"&amp;$B28)</f>
        <v>#NAME?</v>
      </c>
      <c r="T28" s="66" t="e">
        <f ca="1">_xll.BLUEMATRIX2("/servlet/excelData",T27, $C$14,$B27&amp;":"&amp;T$16&amp;T$17&amp;":"&amp;T$19&amp;":"&amp;$B28)</f>
        <v>#NAME?</v>
      </c>
      <c r="U28" s="66" t="e">
        <f ca="1">_xll.BLUEMATRIX2("/servlet/excelData",U27, $C$14,$B27&amp;":"&amp;U$16&amp;U$17&amp;":"&amp;U$19&amp;":"&amp;$B28)</f>
        <v>#NAME?</v>
      </c>
      <c r="V28" s="66" t="e">
        <f ca="1">_xll.BLUEMATRIX2("/servlet/excelData",V27, $C$14,$B27&amp;":"&amp;V$16&amp;V$17&amp;":"&amp;V$19&amp;":"&amp;$B28)</f>
        <v>#NAME?</v>
      </c>
      <c r="W28" s="27" t="e">
        <f ca="1">_xll.BLUEMATRIX2("/servlet/excelData",W27, $C$14,$B27&amp;":"&amp;W$16&amp;W$17&amp;":"&amp;W$19&amp;":"&amp;$B28)</f>
        <v>#NAME?</v>
      </c>
      <c r="X28" s="66" t="e">
        <f ca="1">_xll.BLUEMATRIX2("/servlet/excelData",X27, $C$14,$B27&amp;":"&amp;X$16&amp;X$17&amp;":"&amp;X$19&amp;":"&amp;$B28)</f>
        <v>#NAME?</v>
      </c>
      <c r="Y28" s="66" t="e">
        <f ca="1">_xll.BLUEMATRIX2("/servlet/excelData",Y27, $C$14,$B27&amp;":"&amp;Y$16&amp;Y$17&amp;":"&amp;Y$19&amp;":"&amp;$B28)</f>
        <v>#NAME?</v>
      </c>
      <c r="Z28" s="66" t="e">
        <f ca="1">_xll.BLUEMATRIX2("/servlet/excelData",Z27, $C$14,$B27&amp;":"&amp;Z$16&amp;Z$17&amp;":"&amp;Z$19&amp;":"&amp;$B28)</f>
        <v>#NAME?</v>
      </c>
      <c r="AA28" s="66" t="e">
        <f ca="1">_xll.BLUEMATRIX2("/servlet/excelData",AA27, $C$14,$B27&amp;":"&amp;AA$16&amp;AA$17&amp;":"&amp;AA$19&amp;":"&amp;$B28)</f>
        <v>#NAME?</v>
      </c>
      <c r="AB28" s="27" t="e">
        <f ca="1">_xll.BLUEMATRIX2("/servlet/excelData",AB27, $C$14,$B27&amp;":"&amp;AB$16&amp;AB$17&amp;":"&amp;AB$19&amp;":"&amp;$B28)</f>
        <v>#NAME?</v>
      </c>
      <c r="AC28" s="57"/>
      <c r="AD28" s="57"/>
      <c r="AE28" s="23"/>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7"/>
      <c r="EU28" s="57"/>
      <c r="EV28" s="57"/>
      <c r="EW28" s="57"/>
      <c r="EX28" s="57"/>
      <c r="EY28" s="57"/>
      <c r="EZ28" s="57"/>
      <c r="FA28" s="57"/>
      <c r="FB28" s="57"/>
      <c r="FC28" s="57"/>
      <c r="FD28" s="57"/>
      <c r="FE28" s="57"/>
      <c r="FF28" s="57"/>
      <c r="FG28" s="57"/>
      <c r="FH28" s="57"/>
      <c r="FI28" s="57"/>
      <c r="FJ28" s="57"/>
      <c r="FK28" s="57"/>
      <c r="FL28" s="57"/>
      <c r="FM28" s="57"/>
      <c r="FN28" s="57"/>
      <c r="FO28" s="57"/>
      <c r="FP28" s="57"/>
      <c r="FQ28" s="57"/>
      <c r="FR28" s="57"/>
      <c r="FS28" s="57"/>
      <c r="FT28" s="57"/>
      <c r="FU28" s="57"/>
      <c r="FV28" s="57"/>
      <c r="FW28" s="57"/>
      <c r="FX28" s="57"/>
      <c r="FY28" s="57"/>
      <c r="FZ28" s="57"/>
      <c r="GA28" s="57"/>
      <c r="GB28" s="57"/>
      <c r="GC28" s="57"/>
      <c r="GD28" s="57"/>
      <c r="GE28" s="57"/>
      <c r="GF28" s="57"/>
      <c r="GG28" s="57"/>
      <c r="GH28" s="57"/>
      <c r="GI28" s="57"/>
      <c r="GJ28" s="57"/>
      <c r="GK28" s="57"/>
      <c r="GL28" s="57"/>
      <c r="GM28" s="57"/>
      <c r="GN28" s="57"/>
      <c r="GO28" s="57"/>
      <c r="GP28" s="57"/>
      <c r="GQ28" s="57"/>
      <c r="GR28" s="57"/>
      <c r="GS28" s="57"/>
      <c r="GT28" s="57"/>
      <c r="GU28" s="57"/>
      <c r="GV28" s="57"/>
      <c r="GW28" s="57"/>
      <c r="GX28" s="57"/>
      <c r="GY28" s="57"/>
      <c r="GZ28" s="57"/>
      <c r="HA28" s="57"/>
      <c r="HB28" s="57"/>
      <c r="HC28" s="57"/>
      <c r="HD28" s="57"/>
      <c r="HE28" s="57"/>
      <c r="HF28" s="57"/>
      <c r="HG28" s="57"/>
      <c r="HH28" s="57"/>
      <c r="HI28" s="57"/>
      <c r="HJ28" s="57"/>
      <c r="HK28" s="57"/>
      <c r="HL28" s="57"/>
      <c r="HM28" s="57"/>
      <c r="HN28" s="57"/>
      <c r="HO28" s="57"/>
      <c r="HP28" s="57"/>
      <c r="HQ28" s="57"/>
      <c r="HR28" s="57"/>
      <c r="HS28" s="57"/>
      <c r="HT28" s="57"/>
      <c r="HU28" s="57"/>
      <c r="HV28" s="57"/>
      <c r="HW28" s="57"/>
      <c r="HX28" s="57"/>
      <c r="HY28" s="57"/>
      <c r="HZ28" s="57"/>
      <c r="IA28" s="57"/>
      <c r="IB28" s="57"/>
      <c r="IC28" s="57"/>
      <c r="ID28" s="57"/>
      <c r="IE28" s="57"/>
      <c r="IF28" s="57"/>
      <c r="IG28" s="57"/>
      <c r="IH28" s="57"/>
      <c r="II28" s="57"/>
      <c r="IJ28" s="57"/>
      <c r="IK28" s="57"/>
      <c r="IL28" s="57"/>
      <c r="IM28" s="57"/>
      <c r="IN28" s="57"/>
      <c r="IO28" s="57"/>
      <c r="IP28" s="57"/>
      <c r="IQ28" s="57"/>
      <c r="IR28" s="57"/>
      <c r="IS28" s="57"/>
      <c r="IT28" s="57"/>
      <c r="IU28" s="57"/>
      <c r="IV28" s="57"/>
    </row>
    <row r="29" spans="1:256">
      <c r="A29" s="67" t="s">
        <v>72</v>
      </c>
      <c r="B29" s="18" t="s">
        <v>73</v>
      </c>
      <c r="C29" s="52"/>
      <c r="D29" s="68"/>
      <c r="E29" s="69"/>
      <c r="F29" s="69"/>
      <c r="G29" s="69"/>
      <c r="H29" s="70"/>
      <c r="I29" s="69"/>
      <c r="J29" s="69"/>
      <c r="K29" s="69"/>
      <c r="L29" s="69"/>
      <c r="M29" s="70"/>
      <c r="N29" s="69"/>
      <c r="O29" s="69"/>
      <c r="P29" s="69"/>
      <c r="Q29" s="69"/>
      <c r="R29" s="70"/>
      <c r="S29" s="69"/>
      <c r="T29" s="69"/>
      <c r="U29" s="69"/>
      <c r="V29" s="69"/>
      <c r="W29" s="70"/>
      <c r="X29" s="69"/>
      <c r="Y29" s="69"/>
      <c r="Z29" s="69"/>
      <c r="AA29" s="69"/>
      <c r="AB29" s="70"/>
      <c r="AE29" s="23"/>
    </row>
    <row r="30" spans="1:256">
      <c r="A30" s="20"/>
      <c r="B30" s="54"/>
      <c r="C30" s="19"/>
      <c r="D30" s="71" t="e">
        <f ca="1">_xll.BLUEMATRIX2("/servlet/excelData",D29, $C$14,$B29&amp;":"&amp;D$16&amp;D$17&amp;":"&amp;D$19&amp;":"&amp;$B30)</f>
        <v>#NAME?</v>
      </c>
      <c r="E30" s="55" t="e">
        <f ca="1">_xll.BLUEMATRIX2("/servlet/excelData",E29, $C$14,$B29&amp;":"&amp;E$16&amp;E$17&amp;":"&amp;E$19&amp;":"&amp;$B30)</f>
        <v>#NAME?</v>
      </c>
      <c r="F30" s="55" t="e">
        <f ca="1">_xll.BLUEMATRIX2("/servlet/excelData",F29, $C$14,$B29&amp;":"&amp;F$16&amp;F$17&amp;":"&amp;F$19&amp;":"&amp;$B30)</f>
        <v>#NAME?</v>
      </c>
      <c r="G30" s="55" t="e">
        <f ca="1">_xll.BLUEMATRIX2("/servlet/excelData",G29, $C$14,$B29&amp;":"&amp;G$16&amp;G$17&amp;":"&amp;G$19&amp;":"&amp;$B30)</f>
        <v>#NAME?</v>
      </c>
      <c r="H30" s="56" t="e">
        <f ca="1">_xll.BLUEMATRIX2("/servlet/excelData",H29, $C$14,$B29&amp;":"&amp;H$16&amp;H$17&amp;":"&amp;H$19&amp;":"&amp;$B30)</f>
        <v>#NAME?</v>
      </c>
      <c r="I30" s="55" t="e">
        <f ca="1">_xll.BLUEMATRIX2("/servlet/excelData",I29, $C$14,$B29&amp;":"&amp;I$16&amp;I$17&amp;":"&amp;I$19&amp;":"&amp;$B30)</f>
        <v>#NAME?</v>
      </c>
      <c r="J30" s="55" t="e">
        <f ca="1">_xll.BLUEMATRIX2("/servlet/excelData",J29, $C$14,$B29&amp;":"&amp;J$16&amp;J$17&amp;":"&amp;J$19&amp;":"&amp;$B30)</f>
        <v>#NAME?</v>
      </c>
      <c r="K30" s="55" t="e">
        <f ca="1">_xll.BLUEMATRIX2("/servlet/excelData",K29, $C$14,$B29&amp;":"&amp;K$16&amp;K$17&amp;":"&amp;K$19&amp;":"&amp;$B30)</f>
        <v>#NAME?</v>
      </c>
      <c r="L30" s="55" t="e">
        <f ca="1">_xll.BLUEMATRIX2("/servlet/excelData",L29, $C$14,$B29&amp;":"&amp;L$16&amp;L$17&amp;":"&amp;L$19&amp;":"&amp;$B30)</f>
        <v>#NAME?</v>
      </c>
      <c r="M30" s="56" t="e">
        <f ca="1">_xll.BLUEMATRIX2("/servlet/excelData",M29, $C$14,$B29&amp;":"&amp;M$16&amp;M$17&amp;":"&amp;M$19&amp;":"&amp;$B30)</f>
        <v>#NAME?</v>
      </c>
      <c r="N30" s="55" t="e">
        <f ca="1">_xll.BLUEMATRIX2("/servlet/excelData",N29, $C$14,$B29&amp;":"&amp;N$16&amp;N$17&amp;":"&amp;N$19&amp;":"&amp;$B30)</f>
        <v>#NAME?</v>
      </c>
      <c r="O30" s="55" t="e">
        <f ca="1">_xll.BLUEMATRIX2("/servlet/excelData",O29, $C$14,$B29&amp;":"&amp;O$16&amp;O$17&amp;":"&amp;O$19&amp;":"&amp;$B30)</f>
        <v>#NAME?</v>
      </c>
      <c r="P30" s="55" t="e">
        <f ca="1">_xll.BLUEMATRIX2("/servlet/excelData",P29, $C$14,$B29&amp;":"&amp;P$16&amp;P$17&amp;":"&amp;P$19&amp;":"&amp;$B30)</f>
        <v>#NAME?</v>
      </c>
      <c r="Q30" s="55" t="e">
        <f ca="1">_xll.BLUEMATRIX2("/servlet/excelData",Q29, $C$14,$B29&amp;":"&amp;Q$16&amp;Q$17&amp;":"&amp;Q$19&amp;":"&amp;$B30)</f>
        <v>#NAME?</v>
      </c>
      <c r="R30" s="56" t="e">
        <f ca="1">_xll.BLUEMATRIX2("/servlet/excelData",R29, $C$14,$B29&amp;":"&amp;R$16&amp;R$17&amp;":"&amp;R$19&amp;":"&amp;$B30)</f>
        <v>#NAME?</v>
      </c>
      <c r="S30" s="55" t="e">
        <f ca="1">_xll.BLUEMATRIX2("/servlet/excelData",S29, $C$14,$B29&amp;":"&amp;S$16&amp;S$17&amp;":"&amp;S$19&amp;":"&amp;$B30)</f>
        <v>#NAME?</v>
      </c>
      <c r="T30" s="55" t="e">
        <f ca="1">_xll.BLUEMATRIX2("/servlet/excelData",T29, $C$14,$B29&amp;":"&amp;T$16&amp;T$17&amp;":"&amp;T$19&amp;":"&amp;$B30)</f>
        <v>#NAME?</v>
      </c>
      <c r="U30" s="55" t="e">
        <f ca="1">_xll.BLUEMATRIX2("/servlet/excelData",U29, $C$14,$B29&amp;":"&amp;U$16&amp;U$17&amp;":"&amp;U$19&amp;":"&amp;$B30)</f>
        <v>#NAME?</v>
      </c>
      <c r="V30" s="55" t="e">
        <f ca="1">_xll.BLUEMATRIX2("/servlet/excelData",V29, $C$14,$B29&amp;":"&amp;V$16&amp;V$17&amp;":"&amp;V$19&amp;":"&amp;$B30)</f>
        <v>#NAME?</v>
      </c>
      <c r="W30" s="56" t="e">
        <f ca="1">_xll.BLUEMATRIX2("/servlet/excelData",W29, $C$14,$B29&amp;":"&amp;W$16&amp;W$17&amp;":"&amp;W$19&amp;":"&amp;$B30)</f>
        <v>#NAME?</v>
      </c>
      <c r="X30" s="55" t="e">
        <f ca="1">_xll.BLUEMATRIX2("/servlet/excelData",X29, $C$14,$B29&amp;":"&amp;X$16&amp;X$17&amp;":"&amp;X$19&amp;":"&amp;$B30)</f>
        <v>#NAME?</v>
      </c>
      <c r="Y30" s="55" t="e">
        <f ca="1">_xll.BLUEMATRIX2("/servlet/excelData",Y29, $C$14,$B29&amp;":"&amp;Y$16&amp;Y$17&amp;":"&amp;Y$19&amp;":"&amp;$B30)</f>
        <v>#NAME?</v>
      </c>
      <c r="Z30" s="55" t="e">
        <f ca="1">_xll.BLUEMATRIX2("/servlet/excelData",Z29, $C$14,$B29&amp;":"&amp;Z$16&amp;Z$17&amp;":"&amp;Z$19&amp;":"&amp;$B30)</f>
        <v>#NAME?</v>
      </c>
      <c r="AA30" s="55" t="e">
        <f ca="1">_xll.BLUEMATRIX2("/servlet/excelData",AA29, $C$14,$B29&amp;":"&amp;AA$16&amp;AA$17&amp;":"&amp;AA$19&amp;":"&amp;$B30)</f>
        <v>#NAME?</v>
      </c>
      <c r="AB30" s="56" t="e">
        <f ca="1">_xll.BLUEMATRIX2("/servlet/excelData",AB29, $C$14,$B29&amp;":"&amp;AB$16&amp;AB$17&amp;":"&amp;AB$19&amp;":"&amp;$B30)</f>
        <v>#NAME?</v>
      </c>
      <c r="AC30" s="57"/>
      <c r="AD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M30" s="57"/>
      <c r="CN30" s="57"/>
      <c r="CO30" s="57"/>
      <c r="CP30" s="57"/>
      <c r="CQ30" s="57"/>
      <c r="CR30" s="57"/>
      <c r="CS30" s="57"/>
      <c r="CT30" s="57"/>
      <c r="CU30" s="57"/>
      <c r="CV30" s="57"/>
      <c r="CW30" s="57"/>
      <c r="CX30" s="57"/>
      <c r="CY30" s="57"/>
      <c r="CZ30" s="57"/>
      <c r="DA30" s="57"/>
      <c r="DB30" s="57"/>
      <c r="DC30" s="57"/>
      <c r="DD30" s="57"/>
      <c r="DE30" s="57"/>
      <c r="DF30" s="57"/>
      <c r="DG30" s="57"/>
      <c r="DH30" s="57"/>
      <c r="DI30" s="57"/>
      <c r="DJ30" s="57"/>
      <c r="DK30" s="57"/>
      <c r="DL30" s="57"/>
      <c r="DM30" s="57"/>
      <c r="DN30" s="57"/>
      <c r="DO30" s="57"/>
      <c r="DP30" s="57"/>
      <c r="DQ30" s="57"/>
      <c r="DR30" s="57"/>
      <c r="DS30" s="57"/>
      <c r="DT30" s="57"/>
      <c r="DU30" s="57"/>
      <c r="DV30" s="57"/>
      <c r="DW30" s="57"/>
      <c r="DX30" s="57"/>
      <c r="DY30" s="57"/>
      <c r="DZ30" s="57"/>
      <c r="EA30" s="57"/>
      <c r="EB30" s="57"/>
      <c r="EC30" s="57"/>
      <c r="ED30" s="57"/>
      <c r="EE30" s="57"/>
      <c r="EF30" s="57"/>
      <c r="EG30" s="57"/>
      <c r="EH30" s="57"/>
      <c r="EI30" s="57"/>
      <c r="EJ30" s="57"/>
      <c r="EK30" s="57"/>
      <c r="EL30" s="57"/>
      <c r="EM30" s="57"/>
      <c r="EN30" s="57"/>
      <c r="EO30" s="57"/>
      <c r="EP30" s="57"/>
      <c r="EQ30" s="57"/>
      <c r="ER30" s="57"/>
      <c r="ES30" s="57"/>
      <c r="ET30" s="57"/>
      <c r="EU30" s="57"/>
      <c r="EV30" s="57"/>
      <c r="EW30" s="57"/>
      <c r="EX30" s="57"/>
      <c r="EY30" s="57"/>
      <c r="EZ30" s="57"/>
      <c r="FA30" s="57"/>
      <c r="FB30" s="57"/>
      <c r="FC30" s="57"/>
      <c r="FD30" s="57"/>
      <c r="FE30" s="57"/>
      <c r="FF30" s="57"/>
      <c r="FG30" s="57"/>
      <c r="FH30" s="57"/>
      <c r="FI30" s="57"/>
      <c r="FJ30" s="57"/>
      <c r="FK30" s="57"/>
      <c r="FL30" s="57"/>
      <c r="FM30" s="57"/>
      <c r="FN30" s="57"/>
      <c r="FO30" s="57"/>
      <c r="FP30" s="57"/>
      <c r="FQ30" s="57"/>
      <c r="FR30" s="57"/>
      <c r="FS30" s="57"/>
      <c r="FT30" s="57"/>
      <c r="FU30" s="57"/>
      <c r="FV30" s="57"/>
      <c r="FW30" s="57"/>
      <c r="FX30" s="57"/>
      <c r="FY30" s="57"/>
      <c r="FZ30" s="57"/>
      <c r="GA30" s="57"/>
      <c r="GB30" s="57"/>
      <c r="GC30" s="57"/>
      <c r="GD30" s="57"/>
      <c r="GE30" s="57"/>
      <c r="GF30" s="57"/>
      <c r="GG30" s="57"/>
      <c r="GH30" s="57"/>
      <c r="GI30" s="57"/>
      <c r="GJ30" s="57"/>
      <c r="GK30" s="57"/>
      <c r="GL30" s="57"/>
      <c r="GM30" s="57"/>
      <c r="GN30" s="57"/>
      <c r="GO30" s="57"/>
      <c r="GP30" s="57"/>
      <c r="GQ30" s="57"/>
      <c r="GR30" s="57"/>
      <c r="GS30" s="57"/>
      <c r="GT30" s="57"/>
      <c r="GU30" s="57"/>
      <c r="GV30" s="57"/>
      <c r="GW30" s="57"/>
      <c r="GX30" s="57"/>
      <c r="GY30" s="57"/>
      <c r="GZ30" s="57"/>
      <c r="HA30" s="57"/>
      <c r="HB30" s="57"/>
      <c r="HC30" s="57"/>
      <c r="HD30" s="57"/>
      <c r="HE30" s="57"/>
      <c r="HF30" s="57"/>
      <c r="HG30" s="57"/>
      <c r="HH30" s="57"/>
      <c r="HI30" s="57"/>
      <c r="HJ30" s="57"/>
      <c r="HK30" s="57"/>
      <c r="HL30" s="57"/>
      <c r="HM30" s="57"/>
      <c r="HN30" s="57"/>
      <c r="HO30" s="57"/>
      <c r="HP30" s="57"/>
      <c r="HQ30" s="57"/>
      <c r="HR30" s="57"/>
      <c r="HS30" s="57"/>
      <c r="HT30" s="57"/>
      <c r="HU30" s="57"/>
      <c r="HV30" s="57"/>
      <c r="HW30" s="57"/>
      <c r="HX30" s="57"/>
      <c r="HY30" s="57"/>
      <c r="HZ30" s="57"/>
      <c r="IA30" s="57"/>
      <c r="IB30" s="57"/>
      <c r="IC30" s="57"/>
      <c r="ID30" s="57"/>
      <c r="IE30" s="57"/>
      <c r="IF30" s="57"/>
      <c r="IG30" s="57"/>
      <c r="IH30" s="57"/>
      <c r="II30" s="57"/>
      <c r="IJ30" s="57"/>
      <c r="IK30" s="57"/>
      <c r="IL30" s="57"/>
      <c r="IM30" s="57"/>
      <c r="IN30" s="57"/>
      <c r="IO30" s="57"/>
      <c r="IP30" s="57"/>
      <c r="IQ30" s="57"/>
      <c r="IR30" s="57"/>
      <c r="IS30" s="57"/>
      <c r="IT30" s="57"/>
      <c r="IU30" s="57"/>
      <c r="IV30" s="57"/>
    </row>
    <row r="31" spans="1:256">
      <c r="A31" s="72" t="s">
        <v>74</v>
      </c>
      <c r="B31" s="59" t="s">
        <v>75</v>
      </c>
      <c r="C31" s="60"/>
      <c r="D31" s="73">
        <f>IS!S28</f>
        <v>-0.24808518045723571</v>
      </c>
      <c r="E31" s="73">
        <f>IS!T28</f>
        <v>-0.39305843963215664</v>
      </c>
      <c r="F31" s="73">
        <f>IS!U28</f>
        <v>-0.40829586656997824</v>
      </c>
      <c r="G31" s="73">
        <f>IS!V28</f>
        <v>-0.37314442019854321</v>
      </c>
      <c r="H31" s="73">
        <f>IS!W28</f>
        <v>-0.35518899326873288</v>
      </c>
      <c r="I31" s="73">
        <f>IS!X28</f>
        <v>-0.42379788101059496</v>
      </c>
      <c r="J31" s="73">
        <f>IS!Y28</f>
        <v>-0.2494165013420469</v>
      </c>
      <c r="K31" s="73">
        <f>IS!Z28</f>
        <v>-0.16535500672523826</v>
      </c>
      <c r="L31" s="73">
        <f>IS!AA28</f>
        <v>-6.0321190755973364E-2</v>
      </c>
      <c r="M31" s="73">
        <f>IS!AB28</f>
        <v>-0.22103700485190816</v>
      </c>
      <c r="N31" s="73">
        <f>IS!AC28</f>
        <v>-0.18160861375839871</v>
      </c>
      <c r="O31" s="73">
        <f>IS!AD28</f>
        <v>-0.16503263435633939</v>
      </c>
      <c r="P31" s="73">
        <f>IS!AE28</f>
        <v>-0.15405614073788121</v>
      </c>
      <c r="Q31" s="73">
        <f>IS!AF28</f>
        <v>-0.14032811697613448</v>
      </c>
      <c r="R31" s="73">
        <f>IS!AG28</f>
        <v>-0.16004446254858776</v>
      </c>
      <c r="S31" s="73">
        <f>IS!AH28</f>
        <v>-0.16822633890813848</v>
      </c>
      <c r="T31" s="73">
        <f>IS!AI28</f>
        <v>-9.8435941846428385E-2</v>
      </c>
      <c r="U31" s="73">
        <f>IS!AJ28</f>
        <v>-3.2967570077470122E-2</v>
      </c>
      <c r="V31" s="73">
        <f>IS!AK28</f>
        <v>-7.8331835515289883E-2</v>
      </c>
      <c r="W31" s="73">
        <f>IS!AL28</f>
        <v>-9.2388220517822875E-2</v>
      </c>
      <c r="X31" s="73">
        <f>IS!AM28</f>
        <v>-0.14799999999999996</v>
      </c>
      <c r="Y31" s="73">
        <f>IS!AN28</f>
        <v>-5.0000000000000037E-2</v>
      </c>
      <c r="Z31" s="73">
        <f>IS!AO28</f>
        <v>-2.6999999999999962E-2</v>
      </c>
      <c r="AA31" s="73">
        <f>IS!AP28</f>
        <v>-1.7999999999999974E-2</v>
      </c>
      <c r="AB31" s="73">
        <f>IS!AQ28</f>
        <v>-5.8217328341453975E-2</v>
      </c>
    </row>
    <row r="32" spans="1:256">
      <c r="A32" s="75"/>
      <c r="B32" s="63" t="s">
        <v>27</v>
      </c>
      <c r="C32" s="64"/>
      <c r="D32" s="66" t="e">
        <f ca="1">_xll.BLUEMATRIX2("/servlet/excelData",D31, $C$14,$B31&amp;":"&amp;D$16&amp;D$17&amp;":"&amp;D$19&amp;":"&amp;$B32)</f>
        <v>#NAME?</v>
      </c>
      <c r="E32" s="66" t="e">
        <f ca="1">_xll.BLUEMATRIX2("/servlet/excelData",E31, $C$14,$B31&amp;":"&amp;E$16&amp;E$17&amp;":"&amp;E$19&amp;":"&amp;$B32)</f>
        <v>#NAME?</v>
      </c>
      <c r="F32" s="66" t="e">
        <f ca="1">_xll.BLUEMATRIX2("/servlet/excelData",F31, $C$14,$B31&amp;":"&amp;F$16&amp;F$17&amp;":"&amp;F$19&amp;":"&amp;$B32)</f>
        <v>#NAME?</v>
      </c>
      <c r="G32" s="66" t="e">
        <f ca="1">_xll.BLUEMATRIX2("/servlet/excelData",G31, $C$14,$B31&amp;":"&amp;G$16&amp;G$17&amp;":"&amp;G$19&amp;":"&amp;$B32)</f>
        <v>#NAME?</v>
      </c>
      <c r="H32" s="27" t="e">
        <f ca="1">_xll.BLUEMATRIX2("/servlet/excelData",H31, $C$14,$B31&amp;":"&amp;H$16&amp;H$17&amp;":"&amp;H$19&amp;":"&amp;$B32)</f>
        <v>#NAME?</v>
      </c>
      <c r="I32" s="66" t="e">
        <f ca="1">_xll.BLUEMATRIX2("/servlet/excelData",I31, $C$14,$B31&amp;":"&amp;I$16&amp;I$17&amp;":"&amp;I$19&amp;":"&amp;$B32)</f>
        <v>#NAME?</v>
      </c>
      <c r="J32" s="66" t="e">
        <f ca="1">_xll.BLUEMATRIX2("/servlet/excelData",J31, $C$14,$B31&amp;":"&amp;J$16&amp;J$17&amp;":"&amp;J$19&amp;":"&amp;$B32)</f>
        <v>#NAME?</v>
      </c>
      <c r="K32" s="66" t="e">
        <f ca="1">_xll.BLUEMATRIX2("/servlet/excelData",K31, $C$14,$B31&amp;":"&amp;K$16&amp;K$17&amp;":"&amp;K$19&amp;":"&amp;$B32)</f>
        <v>#NAME?</v>
      </c>
      <c r="L32" s="66" t="e">
        <f ca="1">_xll.BLUEMATRIX2("/servlet/excelData",L31, $C$14,$B31&amp;":"&amp;L$16&amp;L$17&amp;":"&amp;L$19&amp;":"&amp;$B32)</f>
        <v>#NAME?</v>
      </c>
      <c r="M32" s="27" t="e">
        <f ca="1">_xll.BLUEMATRIX2("/servlet/excelData",M31, $C$14,$B31&amp;":"&amp;M$16&amp;M$17&amp;":"&amp;M$19&amp;":"&amp;$B32)</f>
        <v>#NAME?</v>
      </c>
      <c r="N32" s="66" t="e">
        <f ca="1">_xll.BLUEMATRIX2("/servlet/excelData",N31, $C$14,$B31&amp;":"&amp;N$16&amp;N$17&amp;":"&amp;N$19&amp;":"&amp;$B32)</f>
        <v>#NAME?</v>
      </c>
      <c r="O32" s="66" t="e">
        <f ca="1">_xll.BLUEMATRIX2("/servlet/excelData",O31, $C$14,$B31&amp;":"&amp;O$16&amp;O$17&amp;":"&amp;O$19&amp;":"&amp;$B32)</f>
        <v>#NAME?</v>
      </c>
      <c r="P32" s="66" t="e">
        <f ca="1">_xll.BLUEMATRIX2("/servlet/excelData",P31, $C$14,$B31&amp;":"&amp;P$16&amp;P$17&amp;":"&amp;P$19&amp;":"&amp;$B32)</f>
        <v>#NAME?</v>
      </c>
      <c r="Q32" s="66" t="e">
        <f ca="1">_xll.BLUEMATRIX2("/servlet/excelData",Q31, $C$14,$B31&amp;":"&amp;Q$16&amp;Q$17&amp;":"&amp;Q$19&amp;":"&amp;$B32)</f>
        <v>#NAME?</v>
      </c>
      <c r="R32" s="27" t="e">
        <f ca="1">_xll.BLUEMATRIX2("/servlet/excelData",R31, $C$14,$B31&amp;":"&amp;R$16&amp;R$17&amp;":"&amp;R$19&amp;":"&amp;$B32)</f>
        <v>#NAME?</v>
      </c>
      <c r="S32" s="66" t="e">
        <f ca="1">_xll.BLUEMATRIX2("/servlet/excelData",S31, $C$14,$B31&amp;":"&amp;S$16&amp;S$17&amp;":"&amp;S$19&amp;":"&amp;$B32)</f>
        <v>#NAME?</v>
      </c>
      <c r="T32" s="66" t="e">
        <f ca="1">_xll.BLUEMATRIX2("/servlet/excelData",T31, $C$14,$B31&amp;":"&amp;T$16&amp;T$17&amp;":"&amp;T$19&amp;":"&amp;$B32)</f>
        <v>#NAME?</v>
      </c>
      <c r="U32" s="66" t="e">
        <f ca="1">_xll.BLUEMATRIX2("/servlet/excelData",U31, $C$14,$B31&amp;":"&amp;U$16&amp;U$17&amp;":"&amp;U$19&amp;":"&amp;$B32)</f>
        <v>#NAME?</v>
      </c>
      <c r="V32" s="66" t="e">
        <f ca="1">_xll.BLUEMATRIX2("/servlet/excelData",V31, $C$14,$B31&amp;":"&amp;V$16&amp;V$17&amp;":"&amp;V$19&amp;":"&amp;$B32)</f>
        <v>#NAME?</v>
      </c>
      <c r="W32" s="27" t="e">
        <f ca="1">_xll.BLUEMATRIX2("/servlet/excelData",W31, $C$14,$B31&amp;":"&amp;W$16&amp;W$17&amp;":"&amp;W$19&amp;":"&amp;$B32)</f>
        <v>#NAME?</v>
      </c>
      <c r="X32" s="66" t="e">
        <f ca="1">_xll.BLUEMATRIX2("/servlet/excelData",X31, $C$14,$B31&amp;":"&amp;X$16&amp;X$17&amp;":"&amp;X$19&amp;":"&amp;$B32)</f>
        <v>#NAME?</v>
      </c>
      <c r="Y32" s="66" t="e">
        <f ca="1">_xll.BLUEMATRIX2("/servlet/excelData",Y31, $C$14,$B31&amp;":"&amp;Y$16&amp;Y$17&amp;":"&amp;Y$19&amp;":"&amp;$B32)</f>
        <v>#NAME?</v>
      </c>
      <c r="Z32" s="66" t="e">
        <f ca="1">_xll.BLUEMATRIX2("/servlet/excelData",Z31, $C$14,$B31&amp;":"&amp;Z$16&amp;Z$17&amp;":"&amp;Z$19&amp;":"&amp;$B32)</f>
        <v>#NAME?</v>
      </c>
      <c r="AA32" s="66" t="e">
        <f ca="1">_xll.BLUEMATRIX2("/servlet/excelData",AA31, $C$14,$B31&amp;":"&amp;AA$16&amp;AA$17&amp;":"&amp;AA$19&amp;":"&amp;$B32)</f>
        <v>#NAME?</v>
      </c>
      <c r="AB32" s="27" t="e">
        <f ca="1">_xll.BLUEMATRIX2("/servlet/excelData",AB31, $C$14,$B31&amp;":"&amp;AB$16&amp;AB$17&amp;":"&amp;AB$19&amp;":"&amp;$B32)</f>
        <v>#NAME?</v>
      </c>
      <c r="AC32" s="57"/>
      <c r="AD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c r="EB32" s="57"/>
      <c r="EC32" s="57"/>
      <c r="ED32" s="57"/>
      <c r="EE32" s="57"/>
      <c r="EF32" s="57"/>
      <c r="EG32" s="57"/>
      <c r="EH32" s="57"/>
      <c r="EI32" s="57"/>
      <c r="EJ32" s="57"/>
      <c r="EK32" s="57"/>
      <c r="EL32" s="57"/>
      <c r="EM32" s="57"/>
      <c r="EN32" s="57"/>
      <c r="EO32" s="57"/>
      <c r="EP32" s="57"/>
      <c r="EQ32" s="57"/>
      <c r="ER32" s="57"/>
      <c r="ES32" s="57"/>
      <c r="ET32" s="57"/>
      <c r="EU32" s="57"/>
      <c r="EV32" s="57"/>
      <c r="EW32" s="57"/>
      <c r="EX32" s="57"/>
      <c r="EY32" s="57"/>
      <c r="EZ32" s="57"/>
      <c r="FA32" s="57"/>
      <c r="FB32" s="57"/>
      <c r="FC32" s="57"/>
      <c r="FD32" s="57"/>
      <c r="FE32" s="57"/>
      <c r="FF32" s="57"/>
      <c r="FG32" s="57"/>
      <c r="FH32" s="57"/>
      <c r="FI32" s="57"/>
      <c r="FJ32" s="57"/>
      <c r="FK32" s="57"/>
      <c r="FL32" s="57"/>
      <c r="FM32" s="57"/>
      <c r="FN32" s="57"/>
      <c r="FO32" s="57"/>
      <c r="FP32" s="57"/>
      <c r="FQ32" s="57"/>
      <c r="FR32" s="57"/>
      <c r="FS32" s="57"/>
      <c r="FT32" s="57"/>
      <c r="FU32" s="57"/>
      <c r="FV32" s="57"/>
      <c r="FW32" s="57"/>
      <c r="FX32" s="57"/>
      <c r="FY32" s="57"/>
      <c r="FZ32" s="57"/>
      <c r="GA32" s="57"/>
      <c r="GB32" s="57"/>
      <c r="GC32" s="57"/>
      <c r="GD32" s="57"/>
      <c r="GE32" s="57"/>
      <c r="GF32" s="57"/>
      <c r="GG32" s="57"/>
      <c r="GH32" s="57"/>
      <c r="GI32" s="57"/>
      <c r="GJ32" s="57"/>
      <c r="GK32" s="57"/>
      <c r="GL32" s="57"/>
      <c r="GM32" s="57"/>
      <c r="GN32" s="57"/>
      <c r="GO32" s="57"/>
      <c r="GP32" s="57"/>
      <c r="GQ32" s="57"/>
      <c r="GR32" s="57"/>
      <c r="GS32" s="57"/>
      <c r="GT32" s="57"/>
      <c r="GU32" s="57"/>
      <c r="GV32" s="57"/>
      <c r="GW32" s="57"/>
      <c r="GX32" s="57"/>
      <c r="GY32" s="57"/>
      <c r="GZ32" s="57"/>
      <c r="HA32" s="57"/>
      <c r="HB32" s="57"/>
      <c r="HC32" s="57"/>
      <c r="HD32" s="57"/>
      <c r="HE32" s="57"/>
      <c r="HF32" s="57"/>
      <c r="HG32" s="57"/>
      <c r="HH32" s="57"/>
      <c r="HI32" s="57"/>
      <c r="HJ32" s="57"/>
      <c r="HK32" s="57"/>
      <c r="HL32" s="57"/>
      <c r="HM32" s="57"/>
      <c r="HN32" s="57"/>
      <c r="HO32" s="57"/>
      <c r="HP32" s="57"/>
      <c r="HQ32" s="57"/>
      <c r="HR32" s="57"/>
      <c r="HS32" s="57"/>
      <c r="HT32" s="57"/>
      <c r="HU32" s="57"/>
      <c r="HV32" s="57"/>
      <c r="HW32" s="57"/>
      <c r="HX32" s="57"/>
      <c r="HY32" s="57"/>
      <c r="HZ32" s="57"/>
      <c r="IA32" s="57"/>
      <c r="IB32" s="57"/>
      <c r="IC32" s="57"/>
      <c r="ID32" s="57"/>
      <c r="IE32" s="57"/>
      <c r="IF32" s="57"/>
      <c r="IG32" s="57"/>
      <c r="IH32" s="57"/>
      <c r="II32" s="57"/>
      <c r="IJ32" s="57"/>
      <c r="IK32" s="57"/>
      <c r="IL32" s="57"/>
      <c r="IM32" s="57"/>
      <c r="IN32" s="57"/>
      <c r="IO32" s="57"/>
      <c r="IP32" s="57"/>
      <c r="IQ32" s="57"/>
      <c r="IR32" s="57"/>
      <c r="IS32" s="57"/>
      <c r="IT32" s="57"/>
      <c r="IU32" s="57"/>
      <c r="IV32" s="57"/>
    </row>
    <row r="33" spans="1:256">
      <c r="A33" s="67" t="s">
        <v>62</v>
      </c>
      <c r="B33" s="18" t="s">
        <v>63</v>
      </c>
      <c r="C33" s="52"/>
      <c r="D33" s="68"/>
      <c r="E33" s="69"/>
      <c r="F33" s="69"/>
      <c r="G33" s="69"/>
      <c r="H33" s="70"/>
      <c r="I33" s="69"/>
      <c r="J33" s="69"/>
      <c r="K33" s="69"/>
      <c r="L33" s="69"/>
      <c r="M33" s="70"/>
      <c r="N33" s="69"/>
      <c r="O33" s="69"/>
      <c r="P33" s="69"/>
      <c r="Q33" s="69"/>
      <c r="R33" s="70"/>
      <c r="S33" s="69"/>
      <c r="T33" s="69"/>
      <c r="U33" s="69"/>
      <c r="V33" s="69"/>
      <c r="W33" s="70"/>
      <c r="X33" s="69"/>
      <c r="Y33" s="69"/>
      <c r="Z33" s="69"/>
      <c r="AA33" s="69"/>
      <c r="AB33" s="70"/>
    </row>
    <row r="34" spans="1:256">
      <c r="A34" s="20"/>
      <c r="B34" s="54"/>
      <c r="C34" s="19"/>
      <c r="D34" s="71" t="e">
        <f ca="1">_xll.BLUEMATRIX2("/servlet/excelData",D33, $C$14,$B33&amp;":"&amp;D$16&amp;D$17&amp;":"&amp;D$19&amp;":"&amp;$B34)</f>
        <v>#NAME?</v>
      </c>
      <c r="E34" s="55" t="e">
        <f ca="1">_xll.BLUEMATRIX2("/servlet/excelData",E33, $C$14,$B33&amp;":"&amp;E$16&amp;E$17&amp;":"&amp;E$19&amp;":"&amp;$B34)</f>
        <v>#NAME?</v>
      </c>
      <c r="F34" s="55" t="e">
        <f ca="1">_xll.BLUEMATRIX2("/servlet/excelData",F33, $C$14,$B33&amp;":"&amp;F$16&amp;F$17&amp;":"&amp;F$19&amp;":"&amp;$B34)</f>
        <v>#NAME?</v>
      </c>
      <c r="G34" s="55" t="e">
        <f ca="1">_xll.BLUEMATRIX2("/servlet/excelData",G33, $C$14,$B33&amp;":"&amp;G$16&amp;G$17&amp;":"&amp;G$19&amp;":"&amp;$B34)</f>
        <v>#NAME?</v>
      </c>
      <c r="H34" s="56" t="e">
        <f ca="1">_xll.BLUEMATRIX2("/servlet/excelData",H33, $C$14,$B33&amp;":"&amp;H$16&amp;H$17&amp;":"&amp;H$19&amp;":"&amp;$B34)</f>
        <v>#NAME?</v>
      </c>
      <c r="I34" s="55" t="e">
        <f ca="1">_xll.BLUEMATRIX2("/servlet/excelData",I33, $C$14,$B33&amp;":"&amp;I$16&amp;I$17&amp;":"&amp;I$19&amp;":"&amp;$B34)</f>
        <v>#NAME?</v>
      </c>
      <c r="J34" s="55" t="e">
        <f ca="1">_xll.BLUEMATRIX2("/servlet/excelData",J33, $C$14,$B33&amp;":"&amp;J$16&amp;J$17&amp;":"&amp;J$19&amp;":"&amp;$B34)</f>
        <v>#NAME?</v>
      </c>
      <c r="K34" s="55" t="e">
        <f ca="1">_xll.BLUEMATRIX2("/servlet/excelData",K33, $C$14,$B33&amp;":"&amp;K$16&amp;K$17&amp;":"&amp;K$19&amp;":"&amp;$B34)</f>
        <v>#NAME?</v>
      </c>
      <c r="L34" s="55" t="e">
        <f ca="1">_xll.BLUEMATRIX2("/servlet/excelData",L33, $C$14,$B33&amp;":"&amp;L$16&amp;L$17&amp;":"&amp;L$19&amp;":"&amp;$B34)</f>
        <v>#NAME?</v>
      </c>
      <c r="M34" s="56" t="e">
        <f ca="1">_xll.BLUEMATRIX2("/servlet/excelData",M33, $C$14,$B33&amp;":"&amp;M$16&amp;M$17&amp;":"&amp;M$19&amp;":"&amp;$B34)</f>
        <v>#NAME?</v>
      </c>
      <c r="N34" s="55" t="e">
        <f ca="1">_xll.BLUEMATRIX2("/servlet/excelData",N33, $C$14,$B33&amp;":"&amp;N$16&amp;N$17&amp;":"&amp;N$19&amp;":"&amp;$B34)</f>
        <v>#NAME?</v>
      </c>
      <c r="O34" s="55" t="e">
        <f ca="1">_xll.BLUEMATRIX2("/servlet/excelData",O33, $C$14,$B33&amp;":"&amp;O$16&amp;O$17&amp;":"&amp;O$19&amp;":"&amp;$B34)</f>
        <v>#NAME?</v>
      </c>
      <c r="P34" s="55" t="e">
        <f ca="1">_xll.BLUEMATRIX2("/servlet/excelData",P33, $C$14,$B33&amp;":"&amp;P$16&amp;P$17&amp;":"&amp;P$19&amp;":"&amp;$B34)</f>
        <v>#NAME?</v>
      </c>
      <c r="Q34" s="55" t="e">
        <f ca="1">_xll.BLUEMATRIX2("/servlet/excelData",Q33, $C$14,$B33&amp;":"&amp;Q$16&amp;Q$17&amp;":"&amp;Q$19&amp;":"&amp;$B34)</f>
        <v>#NAME?</v>
      </c>
      <c r="R34" s="56" t="e">
        <f ca="1">_xll.BLUEMATRIX2("/servlet/excelData",R33, $C$14,$B33&amp;":"&amp;R$16&amp;R$17&amp;":"&amp;R$19&amp;":"&amp;$B34)</f>
        <v>#NAME?</v>
      </c>
      <c r="S34" s="55" t="e">
        <f ca="1">_xll.BLUEMATRIX2("/servlet/excelData",S33, $C$14,$B33&amp;":"&amp;S$16&amp;S$17&amp;":"&amp;S$19&amp;":"&amp;$B34)</f>
        <v>#NAME?</v>
      </c>
      <c r="T34" s="55" t="e">
        <f ca="1">_xll.BLUEMATRIX2("/servlet/excelData",T33, $C$14,$B33&amp;":"&amp;T$16&amp;T$17&amp;":"&amp;T$19&amp;":"&amp;$B34)</f>
        <v>#NAME?</v>
      </c>
      <c r="U34" s="55" t="e">
        <f ca="1">_xll.BLUEMATRIX2("/servlet/excelData",U33, $C$14,$B33&amp;":"&amp;U$16&amp;U$17&amp;":"&amp;U$19&amp;":"&amp;$B34)</f>
        <v>#NAME?</v>
      </c>
      <c r="V34" s="55" t="e">
        <f ca="1">_xll.BLUEMATRIX2("/servlet/excelData",V33, $C$14,$B33&amp;":"&amp;V$16&amp;V$17&amp;":"&amp;V$19&amp;":"&amp;$B34)</f>
        <v>#NAME?</v>
      </c>
      <c r="W34" s="56" t="e">
        <f ca="1">_xll.BLUEMATRIX2("/servlet/excelData",W33, $C$14,$B33&amp;":"&amp;W$16&amp;W$17&amp;":"&amp;W$19&amp;":"&amp;$B34)</f>
        <v>#NAME?</v>
      </c>
      <c r="X34" s="55" t="e">
        <f ca="1">_xll.BLUEMATRIX2("/servlet/excelData",X33, $C$14,$B33&amp;":"&amp;X$16&amp;X$17&amp;":"&amp;X$19&amp;":"&amp;$B34)</f>
        <v>#NAME?</v>
      </c>
      <c r="Y34" s="55" t="e">
        <f ca="1">_xll.BLUEMATRIX2("/servlet/excelData",Y33, $C$14,$B33&amp;":"&amp;Y$16&amp;Y$17&amp;":"&amp;Y$19&amp;":"&amp;$B34)</f>
        <v>#NAME?</v>
      </c>
      <c r="Z34" s="55" t="e">
        <f ca="1">_xll.BLUEMATRIX2("/servlet/excelData",Z33, $C$14,$B33&amp;":"&amp;Z$16&amp;Z$17&amp;":"&amp;Z$19&amp;":"&amp;$B34)</f>
        <v>#NAME?</v>
      </c>
      <c r="AA34" s="55" t="e">
        <f ca="1">_xll.BLUEMATRIX2("/servlet/excelData",AA33, $C$14,$B33&amp;":"&amp;AA$16&amp;AA$17&amp;":"&amp;AA$19&amp;":"&amp;$B34)</f>
        <v>#NAME?</v>
      </c>
      <c r="AB34" s="56" t="e">
        <f ca="1">_xll.BLUEMATRIX2("/servlet/excelData",AB33, $C$14,$B33&amp;":"&amp;AB$16&amp;AB$17&amp;":"&amp;AB$19&amp;":"&amp;$B34)</f>
        <v>#NAME?</v>
      </c>
      <c r="AC34" s="57"/>
      <c r="AD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M34" s="57"/>
      <c r="CN34" s="57"/>
      <c r="CO34" s="57"/>
      <c r="CP34" s="57"/>
      <c r="CQ34" s="57"/>
      <c r="CR34" s="57"/>
      <c r="CS34" s="57"/>
      <c r="CT34" s="57"/>
      <c r="CU34" s="57"/>
      <c r="CV34" s="57"/>
      <c r="CW34" s="57"/>
      <c r="CX34" s="57"/>
      <c r="CY34" s="57"/>
      <c r="CZ34" s="57"/>
      <c r="DA34" s="57"/>
      <c r="DB34" s="57"/>
      <c r="DC34" s="57"/>
      <c r="DD34" s="57"/>
      <c r="DE34" s="57"/>
      <c r="DF34" s="57"/>
      <c r="DG34" s="57"/>
      <c r="DH34" s="57"/>
      <c r="DI34" s="57"/>
      <c r="DJ34" s="57"/>
      <c r="DK34" s="57"/>
      <c r="DL34" s="57"/>
      <c r="DM34" s="57"/>
      <c r="DN34" s="57"/>
      <c r="DO34" s="57"/>
      <c r="DP34" s="57"/>
      <c r="DQ34" s="57"/>
      <c r="DR34" s="57"/>
      <c r="DS34" s="57"/>
      <c r="DT34" s="57"/>
      <c r="DU34" s="57"/>
      <c r="DV34" s="57"/>
      <c r="DW34" s="57"/>
      <c r="DX34" s="57"/>
      <c r="DY34" s="57"/>
      <c r="DZ34" s="57"/>
      <c r="EA34" s="57"/>
      <c r="EB34" s="57"/>
      <c r="EC34" s="57"/>
      <c r="ED34" s="57"/>
      <c r="EE34" s="57"/>
      <c r="EF34" s="57"/>
      <c r="EG34" s="57"/>
      <c r="EH34" s="57"/>
      <c r="EI34" s="57"/>
      <c r="EJ34" s="57"/>
      <c r="EK34" s="57"/>
      <c r="EL34" s="57"/>
      <c r="EM34" s="57"/>
      <c r="EN34" s="57"/>
      <c r="EO34" s="57"/>
      <c r="EP34" s="57"/>
      <c r="EQ34" s="57"/>
      <c r="ER34" s="57"/>
      <c r="ES34" s="57"/>
      <c r="ET34" s="57"/>
      <c r="EU34" s="57"/>
      <c r="EV34" s="57"/>
      <c r="EW34" s="57"/>
      <c r="EX34" s="57"/>
      <c r="EY34" s="57"/>
      <c r="EZ34" s="57"/>
      <c r="FA34" s="57"/>
      <c r="FB34" s="57"/>
      <c r="FC34" s="57"/>
      <c r="FD34" s="57"/>
      <c r="FE34" s="57"/>
      <c r="FF34" s="57"/>
      <c r="FG34" s="57"/>
      <c r="FH34" s="57"/>
      <c r="FI34" s="57"/>
      <c r="FJ34" s="57"/>
      <c r="FK34" s="57"/>
      <c r="FL34" s="57"/>
      <c r="FM34" s="57"/>
      <c r="FN34" s="57"/>
      <c r="FO34" s="57"/>
      <c r="FP34" s="57"/>
      <c r="FQ34" s="57"/>
      <c r="FR34" s="57"/>
      <c r="FS34" s="57"/>
      <c r="FT34" s="57"/>
      <c r="FU34" s="57"/>
      <c r="FV34" s="57"/>
      <c r="FW34" s="57"/>
      <c r="FX34" s="57"/>
      <c r="FY34" s="57"/>
      <c r="FZ34" s="57"/>
      <c r="GA34" s="57"/>
      <c r="GB34" s="57"/>
      <c r="GC34" s="57"/>
      <c r="GD34" s="57"/>
      <c r="GE34" s="57"/>
      <c r="GF34" s="57"/>
      <c r="GG34" s="57"/>
      <c r="GH34" s="57"/>
      <c r="GI34" s="57"/>
      <c r="GJ34" s="57"/>
      <c r="GK34" s="57"/>
      <c r="GL34" s="57"/>
      <c r="GM34" s="57"/>
      <c r="GN34" s="57"/>
      <c r="GO34" s="57"/>
      <c r="GP34" s="57"/>
      <c r="GQ34" s="57"/>
      <c r="GR34" s="57"/>
      <c r="GS34" s="57"/>
      <c r="GT34" s="57"/>
      <c r="GU34" s="57"/>
      <c r="GV34" s="57"/>
      <c r="GW34" s="57"/>
      <c r="GX34" s="57"/>
      <c r="GY34" s="57"/>
      <c r="GZ34" s="57"/>
      <c r="HA34" s="57"/>
      <c r="HB34" s="57"/>
      <c r="HC34" s="57"/>
      <c r="HD34" s="57"/>
      <c r="HE34" s="57"/>
      <c r="HF34" s="57"/>
      <c r="HG34" s="57"/>
      <c r="HH34" s="57"/>
      <c r="HI34" s="57"/>
      <c r="HJ34" s="57"/>
      <c r="HK34" s="57"/>
      <c r="HL34" s="57"/>
      <c r="HM34" s="57"/>
      <c r="HN34" s="57"/>
      <c r="HO34" s="57"/>
      <c r="HP34" s="57"/>
      <c r="HQ34" s="57"/>
      <c r="HR34" s="57"/>
      <c r="HS34" s="57"/>
      <c r="HT34" s="57"/>
      <c r="HU34" s="57"/>
      <c r="HV34" s="57"/>
      <c r="HW34" s="57"/>
      <c r="HX34" s="57"/>
      <c r="HY34" s="57"/>
      <c r="HZ34" s="57"/>
      <c r="IA34" s="57"/>
      <c r="IB34" s="57"/>
      <c r="IC34" s="57"/>
      <c r="ID34" s="57"/>
      <c r="IE34" s="57"/>
      <c r="IF34" s="57"/>
      <c r="IG34" s="57"/>
      <c r="IH34" s="57"/>
      <c r="II34" s="57"/>
      <c r="IJ34" s="57"/>
      <c r="IK34" s="57"/>
      <c r="IL34" s="57"/>
      <c r="IM34" s="57"/>
      <c r="IN34" s="57"/>
      <c r="IO34" s="57"/>
      <c r="IP34" s="57"/>
      <c r="IQ34" s="57"/>
      <c r="IR34" s="57"/>
      <c r="IS34" s="57"/>
      <c r="IT34" s="57"/>
      <c r="IU34" s="57"/>
      <c r="IV34" s="57"/>
    </row>
    <row r="35" spans="1:256">
      <c r="A35" s="76" t="s">
        <v>76</v>
      </c>
      <c r="B35" s="77" t="s">
        <v>76</v>
      </c>
      <c r="C35" s="78"/>
      <c r="D35" s="68"/>
      <c r="E35" s="69"/>
      <c r="F35" s="69"/>
      <c r="G35" s="69"/>
      <c r="H35" s="70"/>
      <c r="I35" s="69"/>
      <c r="J35" s="69"/>
      <c r="K35" s="69"/>
      <c r="L35" s="69"/>
      <c r="M35" s="70"/>
      <c r="N35" s="69"/>
      <c r="O35" s="69"/>
      <c r="P35" s="69"/>
      <c r="Q35" s="69"/>
      <c r="R35" s="70"/>
      <c r="S35" s="69"/>
      <c r="T35" s="69"/>
      <c r="U35" s="69"/>
      <c r="V35" s="69"/>
      <c r="W35" s="70"/>
      <c r="X35" s="69"/>
      <c r="Y35" s="69"/>
      <c r="Z35" s="69"/>
      <c r="AA35" s="69"/>
      <c r="AB35" s="70"/>
    </row>
    <row r="36" spans="1:256">
      <c r="A36" s="79"/>
      <c r="B36" s="54"/>
      <c r="C36" s="80"/>
      <c r="D36" s="71" t="e">
        <f ca="1">_xll.BLUEMATRIX2("/servlet/excelData",D35, $C$14,$B35&amp;":"&amp;D$16&amp;D$17&amp;":"&amp;D$19&amp;":"&amp;$B36)</f>
        <v>#NAME?</v>
      </c>
      <c r="E36" s="55" t="e">
        <f ca="1">_xll.BLUEMATRIX2("/servlet/excelData",E35, $C$14,$B35&amp;":"&amp;E$16&amp;E$17&amp;":"&amp;E$19&amp;":"&amp;$B36)</f>
        <v>#NAME?</v>
      </c>
      <c r="F36" s="55" t="e">
        <f ca="1">_xll.BLUEMATRIX2("/servlet/excelData",F35, $C$14,$B35&amp;":"&amp;F$16&amp;F$17&amp;":"&amp;F$19&amp;":"&amp;$B36)</f>
        <v>#NAME?</v>
      </c>
      <c r="G36" s="55" t="e">
        <f ca="1">_xll.BLUEMATRIX2("/servlet/excelData",G35, $C$14,$B35&amp;":"&amp;G$16&amp;G$17&amp;":"&amp;G$19&amp;":"&amp;$B36)</f>
        <v>#NAME?</v>
      </c>
      <c r="H36" s="56" t="e">
        <f ca="1">_xll.BLUEMATRIX2("/servlet/excelData",H35, $C$14,$B35&amp;":"&amp;H$16&amp;H$17&amp;":"&amp;H$19&amp;":"&amp;$B36)</f>
        <v>#NAME?</v>
      </c>
      <c r="I36" s="55" t="e">
        <f ca="1">_xll.BLUEMATRIX2("/servlet/excelData",I35, $C$14,$B35&amp;":"&amp;I$16&amp;I$17&amp;":"&amp;I$19&amp;":"&amp;$B36)</f>
        <v>#NAME?</v>
      </c>
      <c r="J36" s="55" t="e">
        <f ca="1">_xll.BLUEMATRIX2("/servlet/excelData",J35, $C$14,$B35&amp;":"&amp;J$16&amp;J$17&amp;":"&amp;J$19&amp;":"&amp;$B36)</f>
        <v>#NAME?</v>
      </c>
      <c r="K36" s="55" t="e">
        <f ca="1">_xll.BLUEMATRIX2("/servlet/excelData",K35, $C$14,$B35&amp;":"&amp;K$16&amp;K$17&amp;":"&amp;K$19&amp;":"&amp;$B36)</f>
        <v>#NAME?</v>
      </c>
      <c r="L36" s="55" t="e">
        <f ca="1">_xll.BLUEMATRIX2("/servlet/excelData",L35, $C$14,$B35&amp;":"&amp;L$16&amp;L$17&amp;":"&amp;L$19&amp;":"&amp;$B36)</f>
        <v>#NAME?</v>
      </c>
      <c r="M36" s="56" t="e">
        <f ca="1">_xll.BLUEMATRIX2("/servlet/excelData",M35, $C$14,$B35&amp;":"&amp;M$16&amp;M$17&amp;":"&amp;M$19&amp;":"&amp;$B36)</f>
        <v>#NAME?</v>
      </c>
      <c r="N36" s="55" t="e">
        <f ca="1">_xll.BLUEMATRIX2("/servlet/excelData",N35, $C$14,$B35&amp;":"&amp;N$16&amp;N$17&amp;":"&amp;N$19&amp;":"&amp;$B36)</f>
        <v>#NAME?</v>
      </c>
      <c r="O36" s="55" t="e">
        <f ca="1">_xll.BLUEMATRIX2("/servlet/excelData",O35, $C$14,$B35&amp;":"&amp;O$16&amp;O$17&amp;":"&amp;O$19&amp;":"&amp;$B36)</f>
        <v>#NAME?</v>
      </c>
      <c r="P36" s="55" t="e">
        <f ca="1">_xll.BLUEMATRIX2("/servlet/excelData",P35, $C$14,$B35&amp;":"&amp;P$16&amp;P$17&amp;":"&amp;P$19&amp;":"&amp;$B36)</f>
        <v>#NAME?</v>
      </c>
      <c r="Q36" s="55" t="e">
        <f ca="1">_xll.BLUEMATRIX2("/servlet/excelData",Q35, $C$14,$B35&amp;":"&amp;Q$16&amp;Q$17&amp;":"&amp;Q$19&amp;":"&amp;$B36)</f>
        <v>#NAME?</v>
      </c>
      <c r="R36" s="56" t="e">
        <f ca="1">_xll.BLUEMATRIX2("/servlet/excelData",R35, $C$14,$B35&amp;":"&amp;R$16&amp;R$17&amp;":"&amp;R$19&amp;":"&amp;$B36)</f>
        <v>#NAME?</v>
      </c>
      <c r="S36" s="55" t="e">
        <f ca="1">_xll.BLUEMATRIX2("/servlet/excelData",S35, $C$14,$B35&amp;":"&amp;S$16&amp;S$17&amp;":"&amp;S$19&amp;":"&amp;$B36)</f>
        <v>#NAME?</v>
      </c>
      <c r="T36" s="55" t="e">
        <f ca="1">_xll.BLUEMATRIX2("/servlet/excelData",T35, $C$14,$B35&amp;":"&amp;T$16&amp;T$17&amp;":"&amp;T$19&amp;":"&amp;$B36)</f>
        <v>#NAME?</v>
      </c>
      <c r="U36" s="55" t="e">
        <f ca="1">_xll.BLUEMATRIX2("/servlet/excelData",U35, $C$14,$B35&amp;":"&amp;U$16&amp;U$17&amp;":"&amp;U$19&amp;":"&amp;$B36)</f>
        <v>#NAME?</v>
      </c>
      <c r="V36" s="55" t="e">
        <f ca="1">_xll.BLUEMATRIX2("/servlet/excelData",V35, $C$14,$B35&amp;":"&amp;V$16&amp;V$17&amp;":"&amp;V$19&amp;":"&amp;$B36)</f>
        <v>#NAME?</v>
      </c>
      <c r="W36" s="56" t="e">
        <f ca="1">_xll.BLUEMATRIX2("/servlet/excelData",W35, $C$14,$B35&amp;":"&amp;W$16&amp;W$17&amp;":"&amp;W$19&amp;":"&amp;$B36)</f>
        <v>#NAME?</v>
      </c>
      <c r="X36" s="55" t="e">
        <f ca="1">_xll.BLUEMATRIX2("/servlet/excelData",X35, $C$14,$B35&amp;":"&amp;X$16&amp;X$17&amp;":"&amp;X$19&amp;":"&amp;$B36)</f>
        <v>#NAME?</v>
      </c>
      <c r="Y36" s="55" t="e">
        <f ca="1">_xll.BLUEMATRIX2("/servlet/excelData",Y35, $C$14,$B35&amp;":"&amp;Y$16&amp;Y$17&amp;":"&amp;Y$19&amp;":"&amp;$B36)</f>
        <v>#NAME?</v>
      </c>
      <c r="Z36" s="55" t="e">
        <f ca="1">_xll.BLUEMATRIX2("/servlet/excelData",Z35, $C$14,$B35&amp;":"&amp;Z$16&amp;Z$17&amp;":"&amp;Z$19&amp;":"&amp;$B36)</f>
        <v>#NAME?</v>
      </c>
      <c r="AA36" s="55" t="e">
        <f ca="1">_xll.BLUEMATRIX2("/servlet/excelData",AA35, $C$14,$B35&amp;":"&amp;AA$16&amp;AA$17&amp;":"&amp;AA$19&amp;":"&amp;$B36)</f>
        <v>#NAME?</v>
      </c>
      <c r="AB36" s="56" t="e">
        <f ca="1">_xll.BLUEMATRIX2("/servlet/excelData",AB35, $C$14,$B35&amp;":"&amp;AB$16&amp;AB$17&amp;":"&amp;AB$19&amp;":"&amp;$B36)</f>
        <v>#NAME?</v>
      </c>
      <c r="AC36" s="57"/>
      <c r="AD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M36" s="57"/>
      <c r="CN36" s="57"/>
      <c r="CO36" s="57"/>
      <c r="CP36" s="57"/>
      <c r="CQ36" s="57"/>
      <c r="CR36" s="57"/>
      <c r="CS36" s="57"/>
      <c r="CT36" s="57"/>
      <c r="CU36" s="57"/>
      <c r="CV36" s="57"/>
      <c r="CW36" s="57"/>
      <c r="CX36" s="57"/>
      <c r="CY36" s="57"/>
      <c r="CZ36" s="57"/>
      <c r="DA36" s="57"/>
      <c r="DB36" s="57"/>
      <c r="DC36" s="57"/>
      <c r="DD36" s="57"/>
      <c r="DE36" s="57"/>
      <c r="DF36" s="57"/>
      <c r="DG36" s="57"/>
      <c r="DH36" s="57"/>
      <c r="DI36" s="57"/>
      <c r="DJ36" s="57"/>
      <c r="DK36" s="57"/>
      <c r="DL36" s="57"/>
      <c r="DM36" s="57"/>
      <c r="DN36" s="57"/>
      <c r="DO36" s="57"/>
      <c r="DP36" s="57"/>
      <c r="DQ36" s="57"/>
      <c r="DR36" s="57"/>
      <c r="DS36" s="57"/>
      <c r="DT36" s="57"/>
      <c r="DU36" s="57"/>
      <c r="DV36" s="57"/>
      <c r="DW36" s="57"/>
      <c r="DX36" s="57"/>
      <c r="DY36" s="57"/>
      <c r="DZ36" s="57"/>
      <c r="EA36" s="57"/>
      <c r="EB36" s="57"/>
      <c r="EC36" s="57"/>
      <c r="ED36" s="57"/>
      <c r="EE36" s="57"/>
      <c r="EF36" s="57"/>
      <c r="EG36" s="57"/>
      <c r="EH36" s="57"/>
      <c r="EI36" s="57"/>
      <c r="EJ36" s="57"/>
      <c r="EK36" s="57"/>
      <c r="EL36" s="57"/>
      <c r="EM36" s="57"/>
      <c r="EN36" s="57"/>
      <c r="EO36" s="57"/>
      <c r="EP36" s="57"/>
      <c r="EQ36" s="57"/>
      <c r="ER36" s="57"/>
      <c r="ES36" s="57"/>
      <c r="ET36" s="57"/>
      <c r="EU36" s="57"/>
      <c r="EV36" s="57"/>
      <c r="EW36" s="57"/>
      <c r="EX36" s="57"/>
      <c r="EY36" s="57"/>
      <c r="EZ36" s="57"/>
      <c r="FA36" s="57"/>
      <c r="FB36" s="57"/>
      <c r="FC36" s="57"/>
      <c r="FD36" s="57"/>
      <c r="FE36" s="57"/>
      <c r="FF36" s="57"/>
      <c r="FG36" s="57"/>
      <c r="FH36" s="57"/>
      <c r="FI36" s="57"/>
      <c r="FJ36" s="57"/>
      <c r="FK36" s="57"/>
      <c r="FL36" s="57"/>
      <c r="FM36" s="57"/>
      <c r="FN36" s="57"/>
      <c r="FO36" s="57"/>
      <c r="FP36" s="57"/>
      <c r="FQ36" s="57"/>
      <c r="FR36" s="57"/>
      <c r="FS36" s="57"/>
      <c r="FT36" s="57"/>
      <c r="FU36" s="57"/>
      <c r="FV36" s="57"/>
      <c r="FW36" s="57"/>
      <c r="FX36" s="57"/>
      <c r="FY36" s="57"/>
      <c r="FZ36" s="57"/>
      <c r="GA36" s="57"/>
      <c r="GB36" s="57"/>
      <c r="GC36" s="57"/>
      <c r="GD36" s="57"/>
      <c r="GE36" s="57"/>
      <c r="GF36" s="57"/>
      <c r="GG36" s="57"/>
      <c r="GH36" s="57"/>
      <c r="GI36" s="57"/>
      <c r="GJ36" s="57"/>
      <c r="GK36" s="57"/>
      <c r="GL36" s="57"/>
      <c r="GM36" s="57"/>
      <c r="GN36" s="57"/>
      <c r="GO36" s="57"/>
      <c r="GP36" s="57"/>
      <c r="GQ36" s="57"/>
      <c r="GR36" s="57"/>
      <c r="GS36" s="57"/>
      <c r="GT36" s="57"/>
      <c r="GU36" s="57"/>
      <c r="GV36" s="57"/>
      <c r="GW36" s="57"/>
      <c r="GX36" s="57"/>
      <c r="GY36" s="57"/>
      <c r="GZ36" s="57"/>
      <c r="HA36" s="57"/>
      <c r="HB36" s="57"/>
      <c r="HC36" s="57"/>
      <c r="HD36" s="57"/>
      <c r="HE36" s="57"/>
      <c r="HF36" s="57"/>
      <c r="HG36" s="57"/>
      <c r="HH36" s="57"/>
      <c r="HI36" s="57"/>
      <c r="HJ36" s="57"/>
      <c r="HK36" s="57"/>
      <c r="HL36" s="57"/>
      <c r="HM36" s="57"/>
      <c r="HN36" s="57"/>
      <c r="HO36" s="57"/>
      <c r="HP36" s="57"/>
      <c r="HQ36" s="57"/>
      <c r="HR36" s="57"/>
      <c r="HS36" s="57"/>
      <c r="HT36" s="57"/>
      <c r="HU36" s="57"/>
      <c r="HV36" s="57"/>
      <c r="HW36" s="57"/>
      <c r="HX36" s="57"/>
      <c r="HY36" s="57"/>
      <c r="HZ36" s="57"/>
      <c r="IA36" s="57"/>
      <c r="IB36" s="57"/>
      <c r="IC36" s="57"/>
      <c r="ID36" s="57"/>
      <c r="IE36" s="57"/>
      <c r="IF36" s="57"/>
      <c r="IG36" s="57"/>
      <c r="IH36" s="57"/>
      <c r="II36" s="57"/>
      <c r="IJ36" s="57"/>
      <c r="IK36" s="57"/>
      <c r="IL36" s="57"/>
      <c r="IM36" s="57"/>
      <c r="IN36" s="57"/>
      <c r="IO36" s="57"/>
      <c r="IP36" s="57"/>
      <c r="IQ36" s="57"/>
      <c r="IR36" s="57"/>
      <c r="IS36" s="57"/>
      <c r="IT36" s="57"/>
      <c r="IU36" s="57"/>
      <c r="IV36" s="57"/>
    </row>
    <row r="37" spans="1:256">
      <c r="B37" s="9"/>
    </row>
    <row r="38" spans="1:256">
      <c r="A38" s="81"/>
      <c r="B38" s="81"/>
    </row>
    <row r="39" spans="1:256">
      <c r="A39" s="81"/>
      <c r="B39" s="81"/>
    </row>
    <row r="40" spans="1:256">
      <c r="A40" s="81"/>
      <c r="B40" s="81"/>
    </row>
    <row r="41" spans="1:256">
      <c r="A41" s="81"/>
      <c r="B41" s="81"/>
    </row>
    <row r="42" spans="1:256">
      <c r="A42" s="81"/>
      <c r="B42" s="81"/>
    </row>
    <row r="43" spans="1:256">
      <c r="A43" s="81"/>
      <c r="B43" s="81"/>
    </row>
    <row r="44" spans="1:256">
      <c r="D44" s="8" t="s">
        <v>77</v>
      </c>
    </row>
    <row r="45" spans="1:256">
      <c r="A45" s="8" t="s">
        <v>78</v>
      </c>
      <c r="B45" s="8">
        <v>3</v>
      </c>
      <c r="C45" s="21"/>
      <c r="D45" s="9">
        <v>0</v>
      </c>
    </row>
    <row r="46" spans="1:256">
      <c r="A46" s="8" t="s">
        <v>79</v>
      </c>
      <c r="B46" s="8">
        <v>6</v>
      </c>
      <c r="C46" s="21"/>
      <c r="D46" s="9">
        <v>0</v>
      </c>
    </row>
    <row r="47" spans="1:256">
      <c r="A47" s="8" t="s">
        <v>80</v>
      </c>
      <c r="B47" s="8">
        <v>9</v>
      </c>
      <c r="C47" s="21"/>
      <c r="D47" s="9">
        <v>0</v>
      </c>
    </row>
    <row r="48" spans="1:256">
      <c r="A48" s="8" t="s">
        <v>81</v>
      </c>
      <c r="B48" s="8">
        <v>12</v>
      </c>
      <c r="C48" s="21"/>
      <c r="D48" s="9">
        <v>0</v>
      </c>
    </row>
  </sheetData>
  <dataValidations disablePrompts="1" count="1">
    <dataValidation type="list" allowBlank="1" showInputMessage="1" showErrorMessage="1" sqref="C10 IY10 SU10 ACQ10 AMM10 AWI10 BGE10 BQA10 BZW10 CJS10 CTO10 DDK10 DNG10 DXC10 EGY10 EQU10 FAQ10 FKM10 FUI10 GEE10 GOA10 GXW10 HHS10 HRO10 IBK10 ILG10 IVC10 JEY10 JOU10 JYQ10 KIM10 KSI10 LCE10 LMA10 LVW10 MFS10 MPO10 MZK10 NJG10 NTC10 OCY10 OMU10 OWQ10 PGM10 PQI10 QAE10 QKA10 QTW10 RDS10 RNO10 RXK10 SHG10 SRC10 TAY10 TKU10 TUQ10 UEM10 UOI10 UYE10 VIA10 VRW10 WBS10 WLO10 WVK10 C65546 IY65546 SU65546 ACQ65546 AMM65546 AWI65546 BGE65546 BQA65546 BZW65546 CJS65546 CTO65546 DDK65546 DNG65546 DXC65546 EGY65546 EQU65546 FAQ65546 FKM65546 FUI65546 GEE65546 GOA65546 GXW65546 HHS65546 HRO65546 IBK65546 ILG65546 IVC65546 JEY65546 JOU65546 JYQ65546 KIM65546 KSI65546 LCE65546 LMA65546 LVW65546 MFS65546 MPO65546 MZK65546 NJG65546 NTC65546 OCY65546 OMU65546 OWQ65546 PGM65546 PQI65546 QAE65546 QKA65546 QTW65546 RDS65546 RNO65546 RXK65546 SHG65546 SRC65546 TAY65546 TKU65546 TUQ65546 UEM65546 UOI65546 UYE65546 VIA65546 VRW65546 WBS65546 WLO65546 WVK65546 C131082 IY131082 SU131082 ACQ131082 AMM131082 AWI131082 BGE131082 BQA131082 BZW131082 CJS131082 CTO131082 DDK131082 DNG131082 DXC131082 EGY131082 EQU131082 FAQ131082 FKM131082 FUI131082 GEE131082 GOA131082 GXW131082 HHS131082 HRO131082 IBK131082 ILG131082 IVC131082 JEY131082 JOU131082 JYQ131082 KIM131082 KSI131082 LCE131082 LMA131082 LVW131082 MFS131082 MPO131082 MZK131082 NJG131082 NTC131082 OCY131082 OMU131082 OWQ131082 PGM131082 PQI131082 QAE131082 QKA131082 QTW131082 RDS131082 RNO131082 RXK131082 SHG131082 SRC131082 TAY131082 TKU131082 TUQ131082 UEM131082 UOI131082 UYE131082 VIA131082 VRW131082 WBS131082 WLO131082 WVK131082 C196618 IY196618 SU196618 ACQ196618 AMM196618 AWI196618 BGE196618 BQA196618 BZW196618 CJS196618 CTO196618 DDK196618 DNG196618 DXC196618 EGY196618 EQU196618 FAQ196618 FKM196618 FUI196618 GEE196618 GOA196618 GXW196618 HHS196618 HRO196618 IBK196618 ILG196618 IVC196618 JEY196618 JOU196618 JYQ196618 KIM196618 KSI196618 LCE196618 LMA196618 LVW196618 MFS196618 MPO196618 MZK196618 NJG196618 NTC196618 OCY196618 OMU196618 OWQ196618 PGM196618 PQI196618 QAE196618 QKA196618 QTW196618 RDS196618 RNO196618 RXK196618 SHG196618 SRC196618 TAY196618 TKU196618 TUQ196618 UEM196618 UOI196618 UYE196618 VIA196618 VRW196618 WBS196618 WLO196618 WVK196618 C262154 IY262154 SU262154 ACQ262154 AMM262154 AWI262154 BGE262154 BQA262154 BZW262154 CJS262154 CTO262154 DDK262154 DNG262154 DXC262154 EGY262154 EQU262154 FAQ262154 FKM262154 FUI262154 GEE262154 GOA262154 GXW262154 HHS262154 HRO262154 IBK262154 ILG262154 IVC262154 JEY262154 JOU262154 JYQ262154 KIM262154 KSI262154 LCE262154 LMA262154 LVW262154 MFS262154 MPO262154 MZK262154 NJG262154 NTC262154 OCY262154 OMU262154 OWQ262154 PGM262154 PQI262154 QAE262154 QKA262154 QTW262154 RDS262154 RNO262154 RXK262154 SHG262154 SRC262154 TAY262154 TKU262154 TUQ262154 UEM262154 UOI262154 UYE262154 VIA262154 VRW262154 WBS262154 WLO262154 WVK262154 C327690 IY327690 SU327690 ACQ327690 AMM327690 AWI327690 BGE327690 BQA327690 BZW327690 CJS327690 CTO327690 DDK327690 DNG327690 DXC327690 EGY327690 EQU327690 FAQ327690 FKM327690 FUI327690 GEE327690 GOA327690 GXW327690 HHS327690 HRO327690 IBK327690 ILG327690 IVC327690 JEY327690 JOU327690 JYQ327690 KIM327690 KSI327690 LCE327690 LMA327690 LVW327690 MFS327690 MPO327690 MZK327690 NJG327690 NTC327690 OCY327690 OMU327690 OWQ327690 PGM327690 PQI327690 QAE327690 QKA327690 QTW327690 RDS327690 RNO327690 RXK327690 SHG327690 SRC327690 TAY327690 TKU327690 TUQ327690 UEM327690 UOI327690 UYE327690 VIA327690 VRW327690 WBS327690 WLO327690 WVK327690 C393226 IY393226 SU393226 ACQ393226 AMM393226 AWI393226 BGE393226 BQA393226 BZW393226 CJS393226 CTO393226 DDK393226 DNG393226 DXC393226 EGY393226 EQU393226 FAQ393226 FKM393226 FUI393226 GEE393226 GOA393226 GXW393226 HHS393226 HRO393226 IBK393226 ILG393226 IVC393226 JEY393226 JOU393226 JYQ393226 KIM393226 KSI393226 LCE393226 LMA393226 LVW393226 MFS393226 MPO393226 MZK393226 NJG393226 NTC393226 OCY393226 OMU393226 OWQ393226 PGM393226 PQI393226 QAE393226 QKA393226 QTW393226 RDS393226 RNO393226 RXK393226 SHG393226 SRC393226 TAY393226 TKU393226 TUQ393226 UEM393226 UOI393226 UYE393226 VIA393226 VRW393226 WBS393226 WLO393226 WVK393226 C458762 IY458762 SU458762 ACQ458762 AMM458762 AWI458762 BGE458762 BQA458762 BZW458762 CJS458762 CTO458762 DDK458762 DNG458762 DXC458762 EGY458762 EQU458762 FAQ458762 FKM458762 FUI458762 GEE458762 GOA458762 GXW458762 HHS458762 HRO458762 IBK458762 ILG458762 IVC458762 JEY458762 JOU458762 JYQ458762 KIM458762 KSI458762 LCE458762 LMA458762 LVW458762 MFS458762 MPO458762 MZK458762 NJG458762 NTC458762 OCY458762 OMU458762 OWQ458762 PGM458762 PQI458762 QAE458762 QKA458762 QTW458762 RDS458762 RNO458762 RXK458762 SHG458762 SRC458762 TAY458762 TKU458762 TUQ458762 UEM458762 UOI458762 UYE458762 VIA458762 VRW458762 WBS458762 WLO458762 WVK458762 C524298 IY524298 SU524298 ACQ524298 AMM524298 AWI524298 BGE524298 BQA524298 BZW524298 CJS524298 CTO524298 DDK524298 DNG524298 DXC524298 EGY524298 EQU524298 FAQ524298 FKM524298 FUI524298 GEE524298 GOA524298 GXW524298 HHS524298 HRO524298 IBK524298 ILG524298 IVC524298 JEY524298 JOU524298 JYQ524298 KIM524298 KSI524298 LCE524298 LMA524298 LVW524298 MFS524298 MPO524298 MZK524298 NJG524298 NTC524298 OCY524298 OMU524298 OWQ524298 PGM524298 PQI524298 QAE524298 QKA524298 QTW524298 RDS524298 RNO524298 RXK524298 SHG524298 SRC524298 TAY524298 TKU524298 TUQ524298 UEM524298 UOI524298 UYE524298 VIA524298 VRW524298 WBS524298 WLO524298 WVK524298 C589834 IY589834 SU589834 ACQ589834 AMM589834 AWI589834 BGE589834 BQA589834 BZW589834 CJS589834 CTO589834 DDK589834 DNG589834 DXC589834 EGY589834 EQU589834 FAQ589834 FKM589834 FUI589834 GEE589834 GOA589834 GXW589834 HHS589834 HRO589834 IBK589834 ILG589834 IVC589834 JEY589834 JOU589834 JYQ589834 KIM589834 KSI589834 LCE589834 LMA589834 LVW589834 MFS589834 MPO589834 MZK589834 NJG589834 NTC589834 OCY589834 OMU589834 OWQ589834 PGM589834 PQI589834 QAE589834 QKA589834 QTW589834 RDS589834 RNO589834 RXK589834 SHG589834 SRC589834 TAY589834 TKU589834 TUQ589834 UEM589834 UOI589834 UYE589834 VIA589834 VRW589834 WBS589834 WLO589834 WVK589834 C655370 IY655370 SU655370 ACQ655370 AMM655370 AWI655370 BGE655370 BQA655370 BZW655370 CJS655370 CTO655370 DDK655370 DNG655370 DXC655370 EGY655370 EQU655370 FAQ655370 FKM655370 FUI655370 GEE655370 GOA655370 GXW655370 HHS655370 HRO655370 IBK655370 ILG655370 IVC655370 JEY655370 JOU655370 JYQ655370 KIM655370 KSI655370 LCE655370 LMA655370 LVW655370 MFS655370 MPO655370 MZK655370 NJG655370 NTC655370 OCY655370 OMU655370 OWQ655370 PGM655370 PQI655370 QAE655370 QKA655370 QTW655370 RDS655370 RNO655370 RXK655370 SHG655370 SRC655370 TAY655370 TKU655370 TUQ655370 UEM655370 UOI655370 UYE655370 VIA655370 VRW655370 WBS655370 WLO655370 WVK655370 C720906 IY720906 SU720906 ACQ720906 AMM720906 AWI720906 BGE720906 BQA720906 BZW720906 CJS720906 CTO720906 DDK720906 DNG720906 DXC720906 EGY720906 EQU720906 FAQ720906 FKM720906 FUI720906 GEE720906 GOA720906 GXW720906 HHS720906 HRO720906 IBK720906 ILG720906 IVC720906 JEY720906 JOU720906 JYQ720906 KIM720906 KSI720906 LCE720906 LMA720906 LVW720906 MFS720906 MPO720906 MZK720906 NJG720906 NTC720906 OCY720906 OMU720906 OWQ720906 PGM720906 PQI720906 QAE720906 QKA720906 QTW720906 RDS720906 RNO720906 RXK720906 SHG720906 SRC720906 TAY720906 TKU720906 TUQ720906 UEM720906 UOI720906 UYE720906 VIA720906 VRW720906 WBS720906 WLO720906 WVK720906 C786442 IY786442 SU786442 ACQ786442 AMM786442 AWI786442 BGE786442 BQA786442 BZW786442 CJS786442 CTO786442 DDK786442 DNG786442 DXC786442 EGY786442 EQU786442 FAQ786442 FKM786442 FUI786442 GEE786442 GOA786442 GXW786442 HHS786442 HRO786442 IBK786442 ILG786442 IVC786442 JEY786442 JOU786442 JYQ786442 KIM786442 KSI786442 LCE786442 LMA786442 LVW786442 MFS786442 MPO786442 MZK786442 NJG786442 NTC786442 OCY786442 OMU786442 OWQ786442 PGM786442 PQI786442 QAE786442 QKA786442 QTW786442 RDS786442 RNO786442 RXK786442 SHG786442 SRC786442 TAY786442 TKU786442 TUQ786442 UEM786442 UOI786442 UYE786442 VIA786442 VRW786442 WBS786442 WLO786442 WVK786442 C851978 IY851978 SU851978 ACQ851978 AMM851978 AWI851978 BGE851978 BQA851978 BZW851978 CJS851978 CTO851978 DDK851978 DNG851978 DXC851978 EGY851978 EQU851978 FAQ851978 FKM851978 FUI851978 GEE851978 GOA851978 GXW851978 HHS851978 HRO851978 IBK851978 ILG851978 IVC851978 JEY851978 JOU851978 JYQ851978 KIM851978 KSI851978 LCE851978 LMA851978 LVW851978 MFS851978 MPO851978 MZK851978 NJG851978 NTC851978 OCY851978 OMU851978 OWQ851978 PGM851978 PQI851978 QAE851978 QKA851978 QTW851978 RDS851978 RNO851978 RXK851978 SHG851978 SRC851978 TAY851978 TKU851978 TUQ851978 UEM851978 UOI851978 UYE851978 VIA851978 VRW851978 WBS851978 WLO851978 WVK851978 C917514 IY917514 SU917514 ACQ917514 AMM917514 AWI917514 BGE917514 BQA917514 BZW917514 CJS917514 CTO917514 DDK917514 DNG917514 DXC917514 EGY917514 EQU917514 FAQ917514 FKM917514 FUI917514 GEE917514 GOA917514 GXW917514 HHS917514 HRO917514 IBK917514 ILG917514 IVC917514 JEY917514 JOU917514 JYQ917514 KIM917514 KSI917514 LCE917514 LMA917514 LVW917514 MFS917514 MPO917514 MZK917514 NJG917514 NTC917514 OCY917514 OMU917514 OWQ917514 PGM917514 PQI917514 QAE917514 QKA917514 QTW917514 RDS917514 RNO917514 RXK917514 SHG917514 SRC917514 TAY917514 TKU917514 TUQ917514 UEM917514 UOI917514 UYE917514 VIA917514 VRW917514 WBS917514 WLO917514 WVK917514 C983050 IY983050 SU983050 ACQ983050 AMM983050 AWI983050 BGE983050 BQA983050 BZW983050 CJS983050 CTO983050 DDK983050 DNG983050 DXC983050 EGY983050 EQU983050 FAQ983050 FKM983050 FUI983050 GEE983050 GOA983050 GXW983050 HHS983050 HRO983050 IBK983050 ILG983050 IVC983050 JEY983050 JOU983050 JYQ983050 KIM983050 KSI983050 LCE983050 LMA983050 LVW983050 MFS983050 MPO983050 MZK983050 NJG983050 NTC983050 OCY983050 OMU983050 OWQ983050 PGM983050 PQI983050 QAE983050 QKA983050 QTW983050 RDS983050 RNO983050 RXK983050 SHG983050 SRC983050 TAY983050 TKU983050 TUQ983050 UEM983050 UOI983050 UYE983050 VIA983050 VRW983050 WBS983050 WLO983050 WVK983050 GW65495 QS65495 AAO65495 AKK65495 AUG65495 BEC65495 BNY65495 BXU65495 CHQ65495 CRM65495 DBI65495 DLE65495 DVA65495 EEW65495 EOS65495 EYO65495 FIK65495 FSG65495 GCC65495 GLY65495 GVU65495 HFQ65495 HPM65495 HZI65495 IJE65495 ITA65495 JCW65495 JMS65495 JWO65495 KGK65495 KQG65495 LAC65495 LJY65495 LTU65495 MDQ65495 MNM65495 MXI65495 NHE65495 NRA65495 OAW65495 OKS65495 OUO65495 PEK65495 POG65495 PYC65495 QHY65495 QRU65495 RBQ65495 RLM65495 RVI65495 SFE65495 SPA65495 SYW65495 TIS65495 TSO65495 UCK65495 UMG65495 UWC65495 VFY65495 VPU65495 VZQ65495 WJM65495 WTI65495 XDE65495 GW131031 QS131031 AAO131031 AKK131031 AUG131031 BEC131031 BNY131031 BXU131031 CHQ131031 CRM131031 DBI131031 DLE131031 DVA131031 EEW131031 EOS131031 EYO131031 FIK131031 FSG131031 GCC131031 GLY131031 GVU131031 HFQ131031 HPM131031 HZI131031 IJE131031 ITA131031 JCW131031 JMS131031 JWO131031 KGK131031 KQG131031 LAC131031 LJY131031 LTU131031 MDQ131031 MNM131031 MXI131031 NHE131031 NRA131031 OAW131031 OKS131031 OUO131031 PEK131031 POG131031 PYC131031 QHY131031 QRU131031 RBQ131031 RLM131031 RVI131031 SFE131031 SPA131031 SYW131031 TIS131031 TSO131031 UCK131031 UMG131031 UWC131031 VFY131031 VPU131031 VZQ131031 WJM131031 WTI131031 XDE131031 GW196567 QS196567 AAO196567 AKK196567 AUG196567 BEC196567 BNY196567 BXU196567 CHQ196567 CRM196567 DBI196567 DLE196567 DVA196567 EEW196567 EOS196567 EYO196567 FIK196567 FSG196567 GCC196567 GLY196567 GVU196567 HFQ196567 HPM196567 HZI196567 IJE196567 ITA196567 JCW196567 JMS196567 JWO196567 KGK196567 KQG196567 LAC196567 LJY196567 LTU196567 MDQ196567 MNM196567 MXI196567 NHE196567 NRA196567 OAW196567 OKS196567 OUO196567 PEK196567 POG196567 PYC196567 QHY196567 QRU196567 RBQ196567 RLM196567 RVI196567 SFE196567 SPA196567 SYW196567 TIS196567 TSO196567 UCK196567 UMG196567 UWC196567 VFY196567 VPU196567 VZQ196567 WJM196567 WTI196567 XDE196567 GW262103 QS262103 AAO262103 AKK262103 AUG262103 BEC262103 BNY262103 BXU262103 CHQ262103 CRM262103 DBI262103 DLE262103 DVA262103 EEW262103 EOS262103 EYO262103 FIK262103 FSG262103 GCC262103 GLY262103 GVU262103 HFQ262103 HPM262103 HZI262103 IJE262103 ITA262103 JCW262103 JMS262103 JWO262103 KGK262103 KQG262103 LAC262103 LJY262103 LTU262103 MDQ262103 MNM262103 MXI262103 NHE262103 NRA262103 OAW262103 OKS262103 OUO262103 PEK262103 POG262103 PYC262103 QHY262103 QRU262103 RBQ262103 RLM262103 RVI262103 SFE262103 SPA262103 SYW262103 TIS262103 TSO262103 UCK262103 UMG262103 UWC262103 VFY262103 VPU262103 VZQ262103 WJM262103 WTI262103 XDE262103 GW327639 QS327639 AAO327639 AKK327639 AUG327639 BEC327639 BNY327639 BXU327639 CHQ327639 CRM327639 DBI327639 DLE327639 DVA327639 EEW327639 EOS327639 EYO327639 FIK327639 FSG327639 GCC327639 GLY327639 GVU327639 HFQ327639 HPM327639 HZI327639 IJE327639 ITA327639 JCW327639 JMS327639 JWO327639 KGK327639 KQG327639 LAC327639 LJY327639 LTU327639 MDQ327639 MNM327639 MXI327639 NHE327639 NRA327639 OAW327639 OKS327639 OUO327639 PEK327639 POG327639 PYC327639 QHY327639 QRU327639 RBQ327639 RLM327639 RVI327639 SFE327639 SPA327639 SYW327639 TIS327639 TSO327639 UCK327639 UMG327639 UWC327639 VFY327639 VPU327639 VZQ327639 WJM327639 WTI327639 XDE327639 GW393175 QS393175 AAO393175 AKK393175 AUG393175 BEC393175 BNY393175 BXU393175 CHQ393175 CRM393175 DBI393175 DLE393175 DVA393175 EEW393175 EOS393175 EYO393175 FIK393175 FSG393175 GCC393175 GLY393175 GVU393175 HFQ393175 HPM393175 HZI393175 IJE393175 ITA393175 JCW393175 JMS393175 JWO393175 KGK393175 KQG393175 LAC393175 LJY393175 LTU393175 MDQ393175 MNM393175 MXI393175 NHE393175 NRA393175 OAW393175 OKS393175 OUO393175 PEK393175 POG393175 PYC393175 QHY393175 QRU393175 RBQ393175 RLM393175 RVI393175 SFE393175 SPA393175 SYW393175 TIS393175 TSO393175 UCK393175 UMG393175 UWC393175 VFY393175 VPU393175 VZQ393175 WJM393175 WTI393175 XDE393175 GW458711 QS458711 AAO458711 AKK458711 AUG458711 BEC458711 BNY458711 BXU458711 CHQ458711 CRM458711 DBI458711 DLE458711 DVA458711 EEW458711 EOS458711 EYO458711 FIK458711 FSG458711 GCC458711 GLY458711 GVU458711 HFQ458711 HPM458711 HZI458711 IJE458711 ITA458711 JCW458711 JMS458711 JWO458711 KGK458711 KQG458711 LAC458711 LJY458711 LTU458711 MDQ458711 MNM458711 MXI458711 NHE458711 NRA458711 OAW458711 OKS458711 OUO458711 PEK458711 POG458711 PYC458711 QHY458711 QRU458711 RBQ458711 RLM458711 RVI458711 SFE458711 SPA458711 SYW458711 TIS458711 TSO458711 UCK458711 UMG458711 UWC458711 VFY458711 VPU458711 VZQ458711 WJM458711 WTI458711 XDE458711 GW524247 QS524247 AAO524247 AKK524247 AUG524247 BEC524247 BNY524247 BXU524247 CHQ524247 CRM524247 DBI524247 DLE524247 DVA524247 EEW524247 EOS524247 EYO524247 FIK524247 FSG524247 GCC524247 GLY524247 GVU524247 HFQ524247 HPM524247 HZI524247 IJE524247 ITA524247 JCW524247 JMS524247 JWO524247 KGK524247 KQG524247 LAC524247 LJY524247 LTU524247 MDQ524247 MNM524247 MXI524247 NHE524247 NRA524247 OAW524247 OKS524247 OUO524247 PEK524247 POG524247 PYC524247 QHY524247 QRU524247 RBQ524247 RLM524247 RVI524247 SFE524247 SPA524247 SYW524247 TIS524247 TSO524247 UCK524247 UMG524247 UWC524247 VFY524247 VPU524247 VZQ524247 WJM524247 WTI524247 XDE524247 GW589783 QS589783 AAO589783 AKK589783 AUG589783 BEC589783 BNY589783 BXU589783 CHQ589783 CRM589783 DBI589783 DLE589783 DVA589783 EEW589783 EOS589783 EYO589783 FIK589783 FSG589783 GCC589783 GLY589783 GVU589783 HFQ589783 HPM589783 HZI589783 IJE589783 ITA589783 JCW589783 JMS589783 JWO589783 KGK589783 KQG589783 LAC589783 LJY589783 LTU589783 MDQ589783 MNM589783 MXI589783 NHE589783 NRA589783 OAW589783 OKS589783 OUO589783 PEK589783 POG589783 PYC589783 QHY589783 QRU589783 RBQ589783 RLM589783 RVI589783 SFE589783 SPA589783 SYW589783 TIS589783 TSO589783 UCK589783 UMG589783 UWC589783 VFY589783 VPU589783 VZQ589783 WJM589783 WTI589783 XDE589783 GW655319 QS655319 AAO655319 AKK655319 AUG655319 BEC655319 BNY655319 BXU655319 CHQ655319 CRM655319 DBI655319 DLE655319 DVA655319 EEW655319 EOS655319 EYO655319 FIK655319 FSG655319 GCC655319 GLY655319 GVU655319 HFQ655319 HPM655319 HZI655319 IJE655319 ITA655319 JCW655319 JMS655319 JWO655319 KGK655319 KQG655319 LAC655319 LJY655319 LTU655319 MDQ655319 MNM655319 MXI655319 NHE655319 NRA655319 OAW655319 OKS655319 OUO655319 PEK655319 POG655319 PYC655319 QHY655319 QRU655319 RBQ655319 RLM655319 RVI655319 SFE655319 SPA655319 SYW655319 TIS655319 TSO655319 UCK655319 UMG655319 UWC655319 VFY655319 VPU655319 VZQ655319 WJM655319 WTI655319 XDE655319 GW720855 QS720855 AAO720855 AKK720855 AUG720855 BEC720855 BNY720855 BXU720855 CHQ720855 CRM720855 DBI720855 DLE720855 DVA720855 EEW720855 EOS720855 EYO720855 FIK720855 FSG720855 GCC720855 GLY720855 GVU720855 HFQ720855 HPM720855 HZI720855 IJE720855 ITA720855 JCW720855 JMS720855 JWO720855 KGK720855 KQG720855 LAC720855 LJY720855 LTU720855 MDQ720855 MNM720855 MXI720855 NHE720855 NRA720855 OAW720855 OKS720855 OUO720855 PEK720855 POG720855 PYC720855 QHY720855 QRU720855 RBQ720855 RLM720855 RVI720855 SFE720855 SPA720855 SYW720855 TIS720855 TSO720855 UCK720855 UMG720855 UWC720855 VFY720855 VPU720855 VZQ720855 WJM720855 WTI720855 XDE720855 GW786391 QS786391 AAO786391 AKK786391 AUG786391 BEC786391 BNY786391 BXU786391 CHQ786391 CRM786391 DBI786391 DLE786391 DVA786391 EEW786391 EOS786391 EYO786391 FIK786391 FSG786391 GCC786391 GLY786391 GVU786391 HFQ786391 HPM786391 HZI786391 IJE786391 ITA786391 JCW786391 JMS786391 JWO786391 KGK786391 KQG786391 LAC786391 LJY786391 LTU786391 MDQ786391 MNM786391 MXI786391 NHE786391 NRA786391 OAW786391 OKS786391 OUO786391 PEK786391 POG786391 PYC786391 QHY786391 QRU786391 RBQ786391 RLM786391 RVI786391 SFE786391 SPA786391 SYW786391 TIS786391 TSO786391 UCK786391 UMG786391 UWC786391 VFY786391 VPU786391 VZQ786391 WJM786391 WTI786391 XDE786391 GW851927 QS851927 AAO851927 AKK851927 AUG851927 BEC851927 BNY851927 BXU851927 CHQ851927 CRM851927 DBI851927 DLE851927 DVA851927 EEW851927 EOS851927 EYO851927 FIK851927 FSG851927 GCC851927 GLY851927 GVU851927 HFQ851927 HPM851927 HZI851927 IJE851927 ITA851927 JCW851927 JMS851927 JWO851927 KGK851927 KQG851927 LAC851927 LJY851927 LTU851927 MDQ851927 MNM851927 MXI851927 NHE851927 NRA851927 OAW851927 OKS851927 OUO851927 PEK851927 POG851927 PYC851927 QHY851927 QRU851927 RBQ851927 RLM851927 RVI851927 SFE851927 SPA851927 SYW851927 TIS851927 TSO851927 UCK851927 UMG851927 UWC851927 VFY851927 VPU851927 VZQ851927 WJM851927 WTI851927 XDE851927 GW917463 QS917463 AAO917463 AKK917463 AUG917463 BEC917463 BNY917463 BXU917463 CHQ917463 CRM917463 DBI917463 DLE917463 DVA917463 EEW917463 EOS917463 EYO917463 FIK917463 FSG917463 GCC917463 GLY917463 GVU917463 HFQ917463 HPM917463 HZI917463 IJE917463 ITA917463 JCW917463 JMS917463 JWO917463 KGK917463 KQG917463 LAC917463 LJY917463 LTU917463 MDQ917463 MNM917463 MXI917463 NHE917463 NRA917463 OAW917463 OKS917463 OUO917463 PEK917463 POG917463 PYC917463 QHY917463 QRU917463 RBQ917463 RLM917463 RVI917463 SFE917463 SPA917463 SYW917463 TIS917463 TSO917463 UCK917463 UMG917463 UWC917463 VFY917463 VPU917463 VZQ917463 WJM917463 WTI917463 XDE917463 GW982999 QS982999 AAO982999 AKK982999 AUG982999 BEC982999 BNY982999 BXU982999 CHQ982999 CRM982999 DBI982999 DLE982999 DVA982999 EEW982999 EOS982999 EYO982999 FIK982999 FSG982999 GCC982999 GLY982999 GVU982999 HFQ982999 HPM982999 HZI982999 IJE982999 ITA982999 JCW982999 JMS982999 JWO982999 KGK982999 KQG982999 LAC982999 LJY982999 LTU982999 MDQ982999 MNM982999 MXI982999 NHE982999 NRA982999 OAW982999 OKS982999 OUO982999 PEK982999 POG982999 PYC982999 QHY982999 QRU982999 RBQ982999 RLM982999 RVI982999 SFE982999 SPA982999 SYW982999 TIS982999 TSO982999 UCK982999 UMG982999 UWC982999 VFY982999 VPU982999 VZQ982999 WJM982999 WTI982999 XDE982999 GW1048535 QS1048535 AAO1048535 AKK1048535 AUG1048535 BEC1048535 BNY1048535 BXU1048535 CHQ1048535 CRM1048535 DBI1048535 DLE1048535 DVA1048535 EEW1048535 EOS1048535 EYO1048535 FIK1048535 FSG1048535 GCC1048535 GLY1048535 GVU1048535 HFQ1048535 HPM1048535 HZI1048535 IJE1048535 ITA1048535 JCW1048535 JMS1048535 JWO1048535 KGK1048535 KQG1048535 LAC1048535 LJY1048535 LTU1048535 MDQ1048535 MNM1048535 MXI1048535 NHE1048535 NRA1048535 OAW1048535 OKS1048535 OUO1048535 PEK1048535 POG1048535 PYC1048535 QHY1048535 QRU1048535 RBQ1048535 RLM1048535 RVI1048535 SFE1048535 SPA1048535 SYW1048535 TIS1048535 TSO1048535 UCK1048535 UMG1048535 UWC1048535 VFY1048535 VPU1048535 VZQ1048535 WJM1048535 WTI1048535 XDE1048535 C65496 IY65496 SU65496 ACQ65496 AMM65496 AWI65496 BGE65496 BQA65496 BZW65496 CJS65496 CTO65496 DDK65496 DNG65496 DXC65496 EGY65496 EQU65496 FAQ65496 FKM65496 FUI65496 GEE65496 GOA65496 GXW65496 HHS65496 HRO65496 IBK65496 ILG65496 IVC65496 JEY65496 JOU65496 JYQ65496 KIM65496 KSI65496 LCE65496 LMA65496 LVW65496 MFS65496 MPO65496 MZK65496 NJG65496 NTC65496 OCY65496 OMU65496 OWQ65496 PGM65496 PQI65496 QAE65496 QKA65496 QTW65496 RDS65496 RNO65496 RXK65496 SHG65496 SRC65496 TAY65496 TKU65496 TUQ65496 UEM65496 UOI65496 UYE65496 VIA65496 VRW65496 WBS65496 WLO65496 WVK65496 C131032 IY131032 SU131032 ACQ131032 AMM131032 AWI131032 BGE131032 BQA131032 BZW131032 CJS131032 CTO131032 DDK131032 DNG131032 DXC131032 EGY131032 EQU131032 FAQ131032 FKM131032 FUI131032 GEE131032 GOA131032 GXW131032 HHS131032 HRO131032 IBK131032 ILG131032 IVC131032 JEY131032 JOU131032 JYQ131032 KIM131032 KSI131032 LCE131032 LMA131032 LVW131032 MFS131032 MPO131032 MZK131032 NJG131032 NTC131032 OCY131032 OMU131032 OWQ131032 PGM131032 PQI131032 QAE131032 QKA131032 QTW131032 RDS131032 RNO131032 RXK131032 SHG131032 SRC131032 TAY131032 TKU131032 TUQ131032 UEM131032 UOI131032 UYE131032 VIA131032 VRW131032 WBS131032 WLO131032 WVK131032 C196568 IY196568 SU196568 ACQ196568 AMM196568 AWI196568 BGE196568 BQA196568 BZW196568 CJS196568 CTO196568 DDK196568 DNG196568 DXC196568 EGY196568 EQU196568 FAQ196568 FKM196568 FUI196568 GEE196568 GOA196568 GXW196568 HHS196568 HRO196568 IBK196568 ILG196568 IVC196568 JEY196568 JOU196568 JYQ196568 KIM196568 KSI196568 LCE196568 LMA196568 LVW196568 MFS196568 MPO196568 MZK196568 NJG196568 NTC196568 OCY196568 OMU196568 OWQ196568 PGM196568 PQI196568 QAE196568 QKA196568 QTW196568 RDS196568 RNO196568 RXK196568 SHG196568 SRC196568 TAY196568 TKU196568 TUQ196568 UEM196568 UOI196568 UYE196568 VIA196568 VRW196568 WBS196568 WLO196568 WVK196568 C262104 IY262104 SU262104 ACQ262104 AMM262104 AWI262104 BGE262104 BQA262104 BZW262104 CJS262104 CTO262104 DDK262104 DNG262104 DXC262104 EGY262104 EQU262104 FAQ262104 FKM262104 FUI262104 GEE262104 GOA262104 GXW262104 HHS262104 HRO262104 IBK262104 ILG262104 IVC262104 JEY262104 JOU262104 JYQ262104 KIM262104 KSI262104 LCE262104 LMA262104 LVW262104 MFS262104 MPO262104 MZK262104 NJG262104 NTC262104 OCY262104 OMU262104 OWQ262104 PGM262104 PQI262104 QAE262104 QKA262104 QTW262104 RDS262104 RNO262104 RXK262104 SHG262104 SRC262104 TAY262104 TKU262104 TUQ262104 UEM262104 UOI262104 UYE262104 VIA262104 VRW262104 WBS262104 WLO262104 WVK262104 C327640 IY327640 SU327640 ACQ327640 AMM327640 AWI327640 BGE327640 BQA327640 BZW327640 CJS327640 CTO327640 DDK327640 DNG327640 DXC327640 EGY327640 EQU327640 FAQ327640 FKM327640 FUI327640 GEE327640 GOA327640 GXW327640 HHS327640 HRO327640 IBK327640 ILG327640 IVC327640 JEY327640 JOU327640 JYQ327640 KIM327640 KSI327640 LCE327640 LMA327640 LVW327640 MFS327640 MPO327640 MZK327640 NJG327640 NTC327640 OCY327640 OMU327640 OWQ327640 PGM327640 PQI327640 QAE327640 QKA327640 QTW327640 RDS327640 RNO327640 RXK327640 SHG327640 SRC327640 TAY327640 TKU327640 TUQ327640 UEM327640 UOI327640 UYE327640 VIA327640 VRW327640 WBS327640 WLO327640 WVK327640 C393176 IY393176 SU393176 ACQ393176 AMM393176 AWI393176 BGE393176 BQA393176 BZW393176 CJS393176 CTO393176 DDK393176 DNG393176 DXC393176 EGY393176 EQU393176 FAQ393176 FKM393176 FUI393176 GEE393176 GOA393176 GXW393176 HHS393176 HRO393176 IBK393176 ILG393176 IVC393176 JEY393176 JOU393176 JYQ393176 KIM393176 KSI393176 LCE393176 LMA393176 LVW393176 MFS393176 MPO393176 MZK393176 NJG393176 NTC393176 OCY393176 OMU393176 OWQ393176 PGM393176 PQI393176 QAE393176 QKA393176 QTW393176 RDS393176 RNO393176 RXK393176 SHG393176 SRC393176 TAY393176 TKU393176 TUQ393176 UEM393176 UOI393176 UYE393176 VIA393176 VRW393176 WBS393176 WLO393176 WVK393176 C458712 IY458712 SU458712 ACQ458712 AMM458712 AWI458712 BGE458712 BQA458712 BZW458712 CJS458712 CTO458712 DDK458712 DNG458712 DXC458712 EGY458712 EQU458712 FAQ458712 FKM458712 FUI458712 GEE458712 GOA458712 GXW458712 HHS458712 HRO458712 IBK458712 ILG458712 IVC458712 JEY458712 JOU458712 JYQ458712 KIM458712 KSI458712 LCE458712 LMA458712 LVW458712 MFS458712 MPO458712 MZK458712 NJG458712 NTC458712 OCY458712 OMU458712 OWQ458712 PGM458712 PQI458712 QAE458712 QKA458712 QTW458712 RDS458712 RNO458712 RXK458712 SHG458712 SRC458712 TAY458712 TKU458712 TUQ458712 UEM458712 UOI458712 UYE458712 VIA458712 VRW458712 WBS458712 WLO458712 WVK458712 C524248 IY524248 SU524248 ACQ524248 AMM524248 AWI524248 BGE524248 BQA524248 BZW524248 CJS524248 CTO524248 DDK524248 DNG524248 DXC524248 EGY524248 EQU524248 FAQ524248 FKM524248 FUI524248 GEE524248 GOA524248 GXW524248 HHS524248 HRO524248 IBK524248 ILG524248 IVC524248 JEY524248 JOU524248 JYQ524248 KIM524248 KSI524248 LCE524248 LMA524248 LVW524248 MFS524248 MPO524248 MZK524248 NJG524248 NTC524248 OCY524248 OMU524248 OWQ524248 PGM524248 PQI524248 QAE524248 QKA524248 QTW524248 RDS524248 RNO524248 RXK524248 SHG524248 SRC524248 TAY524248 TKU524248 TUQ524248 UEM524248 UOI524248 UYE524248 VIA524248 VRW524248 WBS524248 WLO524248 WVK524248 C589784 IY589784 SU589784 ACQ589784 AMM589784 AWI589784 BGE589784 BQA589784 BZW589784 CJS589784 CTO589784 DDK589784 DNG589784 DXC589784 EGY589784 EQU589784 FAQ589784 FKM589784 FUI589784 GEE589784 GOA589784 GXW589784 HHS589784 HRO589784 IBK589784 ILG589784 IVC589784 JEY589784 JOU589784 JYQ589784 KIM589784 KSI589784 LCE589784 LMA589784 LVW589784 MFS589784 MPO589784 MZK589784 NJG589784 NTC589784 OCY589784 OMU589784 OWQ589784 PGM589784 PQI589784 QAE589784 QKA589784 QTW589784 RDS589784 RNO589784 RXK589784 SHG589784 SRC589784 TAY589784 TKU589784 TUQ589784 UEM589784 UOI589784 UYE589784 VIA589784 VRW589784 WBS589784 WLO589784 WVK589784 C655320 IY655320 SU655320 ACQ655320 AMM655320 AWI655320 BGE655320 BQA655320 BZW655320 CJS655320 CTO655320 DDK655320 DNG655320 DXC655320 EGY655320 EQU655320 FAQ655320 FKM655320 FUI655320 GEE655320 GOA655320 GXW655320 HHS655320 HRO655320 IBK655320 ILG655320 IVC655320 JEY655320 JOU655320 JYQ655320 KIM655320 KSI655320 LCE655320 LMA655320 LVW655320 MFS655320 MPO655320 MZK655320 NJG655320 NTC655320 OCY655320 OMU655320 OWQ655320 PGM655320 PQI655320 QAE655320 QKA655320 QTW655320 RDS655320 RNO655320 RXK655320 SHG655320 SRC655320 TAY655320 TKU655320 TUQ655320 UEM655320 UOI655320 UYE655320 VIA655320 VRW655320 WBS655320 WLO655320 WVK655320 C720856 IY720856 SU720856 ACQ720856 AMM720856 AWI720856 BGE720856 BQA720856 BZW720856 CJS720856 CTO720856 DDK720856 DNG720856 DXC720856 EGY720856 EQU720856 FAQ720856 FKM720856 FUI720856 GEE720856 GOA720856 GXW720856 HHS720856 HRO720856 IBK720856 ILG720856 IVC720856 JEY720856 JOU720856 JYQ720856 KIM720856 KSI720856 LCE720856 LMA720856 LVW720856 MFS720856 MPO720856 MZK720856 NJG720856 NTC720856 OCY720856 OMU720856 OWQ720856 PGM720856 PQI720856 QAE720856 QKA720856 QTW720856 RDS720856 RNO720856 RXK720856 SHG720856 SRC720856 TAY720856 TKU720856 TUQ720856 UEM720856 UOI720856 UYE720856 VIA720856 VRW720856 WBS720856 WLO720856 WVK720856 C786392 IY786392 SU786392 ACQ786392 AMM786392 AWI786392 BGE786392 BQA786392 BZW786392 CJS786392 CTO786392 DDK786392 DNG786392 DXC786392 EGY786392 EQU786392 FAQ786392 FKM786392 FUI786392 GEE786392 GOA786392 GXW786392 HHS786392 HRO786392 IBK786392 ILG786392 IVC786392 JEY786392 JOU786392 JYQ786392 KIM786392 KSI786392 LCE786392 LMA786392 LVW786392 MFS786392 MPO786392 MZK786392 NJG786392 NTC786392 OCY786392 OMU786392 OWQ786392 PGM786392 PQI786392 QAE786392 QKA786392 QTW786392 RDS786392 RNO786392 RXK786392 SHG786392 SRC786392 TAY786392 TKU786392 TUQ786392 UEM786392 UOI786392 UYE786392 VIA786392 VRW786392 WBS786392 WLO786392 WVK786392 C851928 IY851928 SU851928 ACQ851928 AMM851928 AWI851928 BGE851928 BQA851928 BZW851928 CJS851928 CTO851928 DDK851928 DNG851928 DXC851928 EGY851928 EQU851928 FAQ851928 FKM851928 FUI851928 GEE851928 GOA851928 GXW851928 HHS851928 HRO851928 IBK851928 ILG851928 IVC851928 JEY851928 JOU851928 JYQ851928 KIM851928 KSI851928 LCE851928 LMA851928 LVW851928 MFS851928 MPO851928 MZK851928 NJG851928 NTC851928 OCY851928 OMU851928 OWQ851928 PGM851928 PQI851928 QAE851928 QKA851928 QTW851928 RDS851928 RNO851928 RXK851928 SHG851928 SRC851928 TAY851928 TKU851928 TUQ851928 UEM851928 UOI851928 UYE851928 VIA851928 VRW851928 WBS851928 WLO851928 WVK851928 C917464 IY917464 SU917464 ACQ917464 AMM917464 AWI917464 BGE917464 BQA917464 BZW917464 CJS917464 CTO917464 DDK917464 DNG917464 DXC917464 EGY917464 EQU917464 FAQ917464 FKM917464 FUI917464 GEE917464 GOA917464 GXW917464 HHS917464 HRO917464 IBK917464 ILG917464 IVC917464 JEY917464 JOU917464 JYQ917464 KIM917464 KSI917464 LCE917464 LMA917464 LVW917464 MFS917464 MPO917464 MZK917464 NJG917464 NTC917464 OCY917464 OMU917464 OWQ917464 PGM917464 PQI917464 QAE917464 QKA917464 QTW917464 RDS917464 RNO917464 RXK917464 SHG917464 SRC917464 TAY917464 TKU917464 TUQ917464 UEM917464 UOI917464 UYE917464 VIA917464 VRW917464 WBS917464 WLO917464 WVK917464 C983000 IY983000 SU983000 ACQ983000 AMM983000 AWI983000 BGE983000 BQA983000 BZW983000 CJS983000 CTO983000 DDK983000 DNG983000 DXC983000 EGY983000 EQU983000 FAQ983000 FKM983000 FUI983000 GEE983000 GOA983000 GXW983000 HHS983000 HRO983000 IBK983000 ILG983000 IVC983000 JEY983000 JOU983000 JYQ983000 KIM983000 KSI983000 LCE983000 LMA983000 LVW983000 MFS983000 MPO983000 MZK983000 NJG983000 NTC983000 OCY983000 OMU983000 OWQ983000 PGM983000 PQI983000 QAE983000 QKA983000 QTW983000 RDS983000 RNO983000 RXK983000 SHG983000 SRC983000 TAY983000 TKU983000 TUQ983000 UEM983000 UOI983000 UYE983000 VIA983000 VRW983000 WBS983000 WLO983000 WVK983000 C1048536 IY1048536 SU1048536 ACQ1048536 AMM1048536 AWI1048536 BGE1048536 BQA1048536 BZW1048536 CJS1048536 CTO1048536 DDK1048536 DNG1048536 DXC1048536 EGY1048536 EQU1048536 FAQ1048536 FKM1048536 FUI1048536 GEE1048536 GOA1048536 GXW1048536 HHS1048536 HRO1048536 IBK1048536 ILG1048536 IVC1048536 JEY1048536 JOU1048536 JYQ1048536 KIM1048536 KSI1048536 LCE1048536 LMA1048536 LVW1048536 MFS1048536 MPO1048536 MZK1048536 NJG1048536 NTC1048536 OCY1048536 OMU1048536 OWQ1048536 PGM1048536 PQI1048536 QAE1048536 QKA1048536 QTW1048536 RDS1048536 RNO1048536 RXK1048536 SHG1048536 SRC1048536 TAY1048536 TKU1048536 TUQ1048536 UEM1048536 UOI1048536 UYE1048536 VIA1048536 VRW1048536 WBS1048536 WLO1048536 WVK1048536 GW6 QS6 AAO6 AKK6 AUG6 BEC6 BNY6 BXU6 CHQ6 CRM6 DBI6 DLE6 DVA6 EEW6 EOS6 EYO6 FIK6 FSG6 GCC6 GLY6 GVU6 HFQ6 HPM6 HZI6 IJE6 ITA6 JCW6 JMS6 JWO6 KGK6 KQG6 LAC6 LJY6 LTU6 MDQ6 MNM6 MXI6 NHE6 NRA6 OAW6 OKS6 OUO6 PEK6 POG6 PYC6 QHY6 QRU6 RBQ6 RLM6 RVI6 SFE6 SPA6 SYW6 TIS6 TSO6 UCK6 UMG6 UWC6 VFY6 VPU6 VZQ6 WJM6 WTI6 XDE6 GW65542 QS65542 AAO65542 AKK65542 AUG65542 BEC65542 BNY65542 BXU65542 CHQ65542 CRM65542 DBI65542 DLE65542 DVA65542 EEW65542 EOS65542 EYO65542 FIK65542 FSG65542 GCC65542 GLY65542 GVU65542 HFQ65542 HPM65542 HZI65542 IJE65542 ITA65542 JCW65542 JMS65542 JWO65542 KGK65542 KQG65542 LAC65542 LJY65542 LTU65542 MDQ65542 MNM65542 MXI65542 NHE65542 NRA65542 OAW65542 OKS65542 OUO65542 PEK65542 POG65542 PYC65542 QHY65542 QRU65542 RBQ65542 RLM65542 RVI65542 SFE65542 SPA65542 SYW65542 TIS65542 TSO65542 UCK65542 UMG65542 UWC65542 VFY65542 VPU65542 VZQ65542 WJM65542 WTI65542 XDE65542 GW131078 QS131078 AAO131078 AKK131078 AUG131078 BEC131078 BNY131078 BXU131078 CHQ131078 CRM131078 DBI131078 DLE131078 DVA131078 EEW131078 EOS131078 EYO131078 FIK131078 FSG131078 GCC131078 GLY131078 GVU131078 HFQ131078 HPM131078 HZI131078 IJE131078 ITA131078 JCW131078 JMS131078 JWO131078 KGK131078 KQG131078 LAC131078 LJY131078 LTU131078 MDQ131078 MNM131078 MXI131078 NHE131078 NRA131078 OAW131078 OKS131078 OUO131078 PEK131078 POG131078 PYC131078 QHY131078 QRU131078 RBQ131078 RLM131078 RVI131078 SFE131078 SPA131078 SYW131078 TIS131078 TSO131078 UCK131078 UMG131078 UWC131078 VFY131078 VPU131078 VZQ131078 WJM131078 WTI131078 XDE131078 GW196614 QS196614 AAO196614 AKK196614 AUG196614 BEC196614 BNY196614 BXU196614 CHQ196614 CRM196614 DBI196614 DLE196614 DVA196614 EEW196614 EOS196614 EYO196614 FIK196614 FSG196614 GCC196614 GLY196614 GVU196614 HFQ196614 HPM196614 HZI196614 IJE196614 ITA196614 JCW196614 JMS196614 JWO196614 KGK196614 KQG196614 LAC196614 LJY196614 LTU196614 MDQ196614 MNM196614 MXI196614 NHE196614 NRA196614 OAW196614 OKS196614 OUO196614 PEK196614 POG196614 PYC196614 QHY196614 QRU196614 RBQ196614 RLM196614 RVI196614 SFE196614 SPA196614 SYW196614 TIS196614 TSO196614 UCK196614 UMG196614 UWC196614 VFY196614 VPU196614 VZQ196614 WJM196614 WTI196614 XDE196614 GW262150 QS262150 AAO262150 AKK262150 AUG262150 BEC262150 BNY262150 BXU262150 CHQ262150 CRM262150 DBI262150 DLE262150 DVA262150 EEW262150 EOS262150 EYO262150 FIK262150 FSG262150 GCC262150 GLY262150 GVU262150 HFQ262150 HPM262150 HZI262150 IJE262150 ITA262150 JCW262150 JMS262150 JWO262150 KGK262150 KQG262150 LAC262150 LJY262150 LTU262150 MDQ262150 MNM262150 MXI262150 NHE262150 NRA262150 OAW262150 OKS262150 OUO262150 PEK262150 POG262150 PYC262150 QHY262150 QRU262150 RBQ262150 RLM262150 RVI262150 SFE262150 SPA262150 SYW262150 TIS262150 TSO262150 UCK262150 UMG262150 UWC262150 VFY262150 VPU262150 VZQ262150 WJM262150 WTI262150 XDE262150 GW327686 QS327686 AAO327686 AKK327686 AUG327686 BEC327686 BNY327686 BXU327686 CHQ327686 CRM327686 DBI327686 DLE327686 DVA327686 EEW327686 EOS327686 EYO327686 FIK327686 FSG327686 GCC327686 GLY327686 GVU327686 HFQ327686 HPM327686 HZI327686 IJE327686 ITA327686 JCW327686 JMS327686 JWO327686 KGK327686 KQG327686 LAC327686 LJY327686 LTU327686 MDQ327686 MNM327686 MXI327686 NHE327686 NRA327686 OAW327686 OKS327686 OUO327686 PEK327686 POG327686 PYC327686 QHY327686 QRU327686 RBQ327686 RLM327686 RVI327686 SFE327686 SPA327686 SYW327686 TIS327686 TSO327686 UCK327686 UMG327686 UWC327686 VFY327686 VPU327686 VZQ327686 WJM327686 WTI327686 XDE327686 GW393222 QS393222 AAO393222 AKK393222 AUG393222 BEC393222 BNY393222 BXU393222 CHQ393222 CRM393222 DBI393222 DLE393222 DVA393222 EEW393222 EOS393222 EYO393222 FIK393222 FSG393222 GCC393222 GLY393222 GVU393222 HFQ393222 HPM393222 HZI393222 IJE393222 ITA393222 JCW393222 JMS393222 JWO393222 KGK393222 KQG393222 LAC393222 LJY393222 LTU393222 MDQ393222 MNM393222 MXI393222 NHE393222 NRA393222 OAW393222 OKS393222 OUO393222 PEK393222 POG393222 PYC393222 QHY393222 QRU393222 RBQ393222 RLM393222 RVI393222 SFE393222 SPA393222 SYW393222 TIS393222 TSO393222 UCK393222 UMG393222 UWC393222 VFY393222 VPU393222 VZQ393222 WJM393222 WTI393222 XDE393222 GW458758 QS458758 AAO458758 AKK458758 AUG458758 BEC458758 BNY458758 BXU458758 CHQ458758 CRM458758 DBI458758 DLE458758 DVA458758 EEW458758 EOS458758 EYO458758 FIK458758 FSG458758 GCC458758 GLY458758 GVU458758 HFQ458758 HPM458758 HZI458758 IJE458758 ITA458758 JCW458758 JMS458758 JWO458758 KGK458758 KQG458758 LAC458758 LJY458758 LTU458758 MDQ458758 MNM458758 MXI458758 NHE458758 NRA458758 OAW458758 OKS458758 OUO458758 PEK458758 POG458758 PYC458758 QHY458758 QRU458758 RBQ458758 RLM458758 RVI458758 SFE458758 SPA458758 SYW458758 TIS458758 TSO458758 UCK458758 UMG458758 UWC458758 VFY458758 VPU458758 VZQ458758 WJM458758 WTI458758 XDE458758 GW524294 QS524294 AAO524294 AKK524294 AUG524294 BEC524294 BNY524294 BXU524294 CHQ524294 CRM524294 DBI524294 DLE524294 DVA524294 EEW524294 EOS524294 EYO524294 FIK524294 FSG524294 GCC524294 GLY524294 GVU524294 HFQ524294 HPM524294 HZI524294 IJE524294 ITA524294 JCW524294 JMS524294 JWO524294 KGK524294 KQG524294 LAC524294 LJY524294 LTU524294 MDQ524294 MNM524294 MXI524294 NHE524294 NRA524294 OAW524294 OKS524294 OUO524294 PEK524294 POG524294 PYC524294 QHY524294 QRU524294 RBQ524294 RLM524294 RVI524294 SFE524294 SPA524294 SYW524294 TIS524294 TSO524294 UCK524294 UMG524294 UWC524294 VFY524294 VPU524294 VZQ524294 WJM524294 WTI524294 XDE524294 GW589830 QS589830 AAO589830 AKK589830 AUG589830 BEC589830 BNY589830 BXU589830 CHQ589830 CRM589830 DBI589830 DLE589830 DVA589830 EEW589830 EOS589830 EYO589830 FIK589830 FSG589830 GCC589830 GLY589830 GVU589830 HFQ589830 HPM589830 HZI589830 IJE589830 ITA589830 JCW589830 JMS589830 JWO589830 KGK589830 KQG589830 LAC589830 LJY589830 LTU589830 MDQ589830 MNM589830 MXI589830 NHE589830 NRA589830 OAW589830 OKS589830 OUO589830 PEK589830 POG589830 PYC589830 QHY589830 QRU589830 RBQ589830 RLM589830 RVI589830 SFE589830 SPA589830 SYW589830 TIS589830 TSO589830 UCK589830 UMG589830 UWC589830 VFY589830 VPU589830 VZQ589830 WJM589830 WTI589830 XDE589830 GW655366 QS655366 AAO655366 AKK655366 AUG655366 BEC655366 BNY655366 BXU655366 CHQ655366 CRM655366 DBI655366 DLE655366 DVA655366 EEW655366 EOS655366 EYO655366 FIK655366 FSG655366 GCC655366 GLY655366 GVU655366 HFQ655366 HPM655366 HZI655366 IJE655366 ITA655366 JCW655366 JMS655366 JWO655366 KGK655366 KQG655366 LAC655366 LJY655366 LTU655366 MDQ655366 MNM655366 MXI655366 NHE655366 NRA655366 OAW655366 OKS655366 OUO655366 PEK655366 POG655366 PYC655366 QHY655366 QRU655366 RBQ655366 RLM655366 RVI655366 SFE655366 SPA655366 SYW655366 TIS655366 TSO655366 UCK655366 UMG655366 UWC655366 VFY655366 VPU655366 VZQ655366 WJM655366 WTI655366 XDE655366 GW720902 QS720902 AAO720902 AKK720902 AUG720902 BEC720902 BNY720902 BXU720902 CHQ720902 CRM720902 DBI720902 DLE720902 DVA720902 EEW720902 EOS720902 EYO720902 FIK720902 FSG720902 GCC720902 GLY720902 GVU720902 HFQ720902 HPM720902 HZI720902 IJE720902 ITA720902 JCW720902 JMS720902 JWO720902 KGK720902 KQG720902 LAC720902 LJY720902 LTU720902 MDQ720902 MNM720902 MXI720902 NHE720902 NRA720902 OAW720902 OKS720902 OUO720902 PEK720902 POG720902 PYC720902 QHY720902 QRU720902 RBQ720902 RLM720902 RVI720902 SFE720902 SPA720902 SYW720902 TIS720902 TSO720902 UCK720902 UMG720902 UWC720902 VFY720902 VPU720902 VZQ720902 WJM720902 WTI720902 XDE720902 GW786438 QS786438 AAO786438 AKK786438 AUG786438 BEC786438 BNY786438 BXU786438 CHQ786438 CRM786438 DBI786438 DLE786438 DVA786438 EEW786438 EOS786438 EYO786438 FIK786438 FSG786438 GCC786438 GLY786438 GVU786438 HFQ786438 HPM786438 HZI786438 IJE786438 ITA786438 JCW786438 JMS786438 JWO786438 KGK786438 KQG786438 LAC786438 LJY786438 LTU786438 MDQ786438 MNM786438 MXI786438 NHE786438 NRA786438 OAW786438 OKS786438 OUO786438 PEK786438 POG786438 PYC786438 QHY786438 QRU786438 RBQ786438 RLM786438 RVI786438 SFE786438 SPA786438 SYW786438 TIS786438 TSO786438 UCK786438 UMG786438 UWC786438 VFY786438 VPU786438 VZQ786438 WJM786438 WTI786438 XDE786438 GW851974 QS851974 AAO851974 AKK851974 AUG851974 BEC851974 BNY851974 BXU851974 CHQ851974 CRM851974 DBI851974 DLE851974 DVA851974 EEW851974 EOS851974 EYO851974 FIK851974 FSG851974 GCC851974 GLY851974 GVU851974 HFQ851974 HPM851974 HZI851974 IJE851974 ITA851974 JCW851974 JMS851974 JWO851974 KGK851974 KQG851974 LAC851974 LJY851974 LTU851974 MDQ851974 MNM851974 MXI851974 NHE851974 NRA851974 OAW851974 OKS851974 OUO851974 PEK851974 POG851974 PYC851974 QHY851974 QRU851974 RBQ851974 RLM851974 RVI851974 SFE851974 SPA851974 SYW851974 TIS851974 TSO851974 UCK851974 UMG851974 UWC851974 VFY851974 VPU851974 VZQ851974 WJM851974 WTI851974 XDE851974 GW917510 QS917510 AAO917510 AKK917510 AUG917510 BEC917510 BNY917510 BXU917510 CHQ917510 CRM917510 DBI917510 DLE917510 DVA917510 EEW917510 EOS917510 EYO917510 FIK917510 FSG917510 GCC917510 GLY917510 GVU917510 HFQ917510 HPM917510 HZI917510 IJE917510 ITA917510 JCW917510 JMS917510 JWO917510 KGK917510 KQG917510 LAC917510 LJY917510 LTU917510 MDQ917510 MNM917510 MXI917510 NHE917510 NRA917510 OAW917510 OKS917510 OUO917510 PEK917510 POG917510 PYC917510 QHY917510 QRU917510 RBQ917510 RLM917510 RVI917510 SFE917510 SPA917510 SYW917510 TIS917510 TSO917510 UCK917510 UMG917510 UWC917510 VFY917510 VPU917510 VZQ917510 WJM917510 WTI917510 XDE917510 GW983046 QS983046 AAO983046 AKK983046 AUG983046 BEC983046 BNY983046 BXU983046 CHQ983046 CRM983046 DBI983046 DLE983046 DVA983046 EEW983046 EOS983046 EYO983046 FIK983046 FSG983046 GCC983046 GLY983046 GVU983046 HFQ983046 HPM983046 HZI983046 IJE983046 ITA983046 JCW983046 JMS983046 JWO983046 KGK983046 KQG983046 LAC983046 LJY983046 LTU983046 MDQ983046 MNM983046 MXI983046 NHE983046 NRA983046 OAW983046 OKS983046 OUO983046 PEK983046 POG983046 PYC983046 QHY983046 QRU983046 RBQ983046 RLM983046 RVI983046 SFE983046 SPA983046 SYW983046 TIS983046 TSO983046 UCK983046 UMG983046 UWC983046 VFY983046 VPU983046 VZQ983046 WJM983046 WTI983046 XDE983046" xr:uid="{00000000-0002-0000-0900-000000000000}">
      <formula1>$AC$5:$AC$12</formula1>
    </dataValidation>
  </dataValidations>
  <hyperlinks>
    <hyperlink ref="A4" r:id="rId1" xr:uid="{00000000-0004-0000-0900-000000000000}"/>
  </hyperlink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900-000001000000}">
          <x14:formula1>
            <xm:f>$AE$1:$AE$26</xm:f>
          </x14:formula1>
          <xm:sqref>B36 IX36 ST36 ACP36 AML36 AWH36 BGD36 BPZ36 BZV36 CJR36 CTN36 DDJ36 DNF36 DXB36 EGX36 EQT36 FAP36 FKL36 FUH36 GED36 GNZ36 GXV36 HHR36 HRN36 IBJ36 ILF36 IVB36 JEX36 JOT36 JYP36 KIL36 KSH36 LCD36 LLZ36 LVV36 MFR36 MPN36 MZJ36 NJF36 NTB36 OCX36 OMT36 OWP36 PGL36 PQH36 QAD36 QJZ36 QTV36 RDR36 RNN36 RXJ36 SHF36 SRB36 TAX36 TKT36 TUP36 UEL36 UOH36 UYD36 VHZ36 VRV36 WBR36 WLN36 WVJ36 B65572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B131108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B196644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B262180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B327716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B393252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B458788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B524324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B589860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B655396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B720932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B786468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B852004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B917540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B983076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B34 IX34 ST34 ACP34 AML34 AWH34 BGD34 BPZ34 BZV34 CJR34 CTN34 DDJ34 DNF34 DXB34 EGX34 EQT34 FAP34 FKL34 FUH34 GED34 GNZ34 GXV34 HHR34 HRN34 IBJ34 ILF34 IVB34 JEX34 JOT34 JYP34 KIL34 KSH34 LCD34 LLZ34 LVV34 MFR34 MPN34 MZJ34 NJF34 NTB34 OCX34 OMT34 OWP34 PGL34 PQH34 QAD34 QJZ34 QTV34 RDR34 RNN34 RXJ34 SHF34 SRB34 TAX34 TKT34 TUP34 UEL34 UOH34 UYD34 VHZ34 VRV34 WBR34 WLN34 WVJ34 B65570 IX65570 ST65570 ACP65570 AML65570 AWH65570 BGD65570 BPZ65570 BZV65570 CJR65570 CTN65570 DDJ65570 DNF65570 DXB65570 EGX65570 EQT65570 FAP65570 FKL65570 FUH65570 GED65570 GNZ65570 GXV65570 HHR65570 HRN65570 IBJ65570 ILF65570 IVB65570 JEX65570 JOT65570 JYP65570 KIL65570 KSH65570 LCD65570 LLZ65570 LVV65570 MFR65570 MPN65570 MZJ65570 NJF65570 NTB65570 OCX65570 OMT65570 OWP65570 PGL65570 PQH65570 QAD65570 QJZ65570 QTV65570 RDR65570 RNN65570 RXJ65570 SHF65570 SRB65570 TAX65570 TKT65570 TUP65570 UEL65570 UOH65570 UYD65570 VHZ65570 VRV65570 WBR65570 WLN65570 WVJ65570 B131106 IX131106 ST131106 ACP131106 AML131106 AWH131106 BGD131106 BPZ131106 BZV131106 CJR131106 CTN131106 DDJ131106 DNF131106 DXB131106 EGX131106 EQT131106 FAP131106 FKL131106 FUH131106 GED131106 GNZ131106 GXV131106 HHR131106 HRN131106 IBJ131106 ILF131106 IVB131106 JEX131106 JOT131106 JYP131106 KIL131106 KSH131106 LCD131106 LLZ131106 LVV131106 MFR131106 MPN131106 MZJ131106 NJF131106 NTB131106 OCX131106 OMT131106 OWP131106 PGL131106 PQH131106 QAD131106 QJZ131106 QTV131106 RDR131106 RNN131106 RXJ131106 SHF131106 SRB131106 TAX131106 TKT131106 TUP131106 UEL131106 UOH131106 UYD131106 VHZ131106 VRV131106 WBR131106 WLN131106 WVJ131106 B196642 IX196642 ST196642 ACP196642 AML196642 AWH196642 BGD196642 BPZ196642 BZV196642 CJR196642 CTN196642 DDJ196642 DNF196642 DXB196642 EGX196642 EQT196642 FAP196642 FKL196642 FUH196642 GED196642 GNZ196642 GXV196642 HHR196642 HRN196642 IBJ196642 ILF196642 IVB196642 JEX196642 JOT196642 JYP196642 KIL196642 KSH196642 LCD196642 LLZ196642 LVV196642 MFR196642 MPN196642 MZJ196642 NJF196642 NTB196642 OCX196642 OMT196642 OWP196642 PGL196642 PQH196642 QAD196642 QJZ196642 QTV196642 RDR196642 RNN196642 RXJ196642 SHF196642 SRB196642 TAX196642 TKT196642 TUP196642 UEL196642 UOH196642 UYD196642 VHZ196642 VRV196642 WBR196642 WLN196642 WVJ196642 B262178 IX262178 ST262178 ACP262178 AML262178 AWH262178 BGD262178 BPZ262178 BZV262178 CJR262178 CTN262178 DDJ262178 DNF262178 DXB262178 EGX262178 EQT262178 FAP262178 FKL262178 FUH262178 GED262178 GNZ262178 GXV262178 HHR262178 HRN262178 IBJ262178 ILF262178 IVB262178 JEX262178 JOT262178 JYP262178 KIL262178 KSH262178 LCD262178 LLZ262178 LVV262178 MFR262178 MPN262178 MZJ262178 NJF262178 NTB262178 OCX262178 OMT262178 OWP262178 PGL262178 PQH262178 QAD262178 QJZ262178 QTV262178 RDR262178 RNN262178 RXJ262178 SHF262178 SRB262178 TAX262178 TKT262178 TUP262178 UEL262178 UOH262178 UYD262178 VHZ262178 VRV262178 WBR262178 WLN262178 WVJ262178 B327714 IX327714 ST327714 ACP327714 AML327714 AWH327714 BGD327714 BPZ327714 BZV327714 CJR327714 CTN327714 DDJ327714 DNF327714 DXB327714 EGX327714 EQT327714 FAP327714 FKL327714 FUH327714 GED327714 GNZ327714 GXV327714 HHR327714 HRN327714 IBJ327714 ILF327714 IVB327714 JEX327714 JOT327714 JYP327714 KIL327714 KSH327714 LCD327714 LLZ327714 LVV327714 MFR327714 MPN327714 MZJ327714 NJF327714 NTB327714 OCX327714 OMT327714 OWP327714 PGL327714 PQH327714 QAD327714 QJZ327714 QTV327714 RDR327714 RNN327714 RXJ327714 SHF327714 SRB327714 TAX327714 TKT327714 TUP327714 UEL327714 UOH327714 UYD327714 VHZ327714 VRV327714 WBR327714 WLN327714 WVJ327714 B393250 IX393250 ST393250 ACP393250 AML393250 AWH393250 BGD393250 BPZ393250 BZV393250 CJR393250 CTN393250 DDJ393250 DNF393250 DXB393250 EGX393250 EQT393250 FAP393250 FKL393250 FUH393250 GED393250 GNZ393250 GXV393250 HHR393250 HRN393250 IBJ393250 ILF393250 IVB393250 JEX393250 JOT393250 JYP393250 KIL393250 KSH393250 LCD393250 LLZ393250 LVV393250 MFR393250 MPN393250 MZJ393250 NJF393250 NTB393250 OCX393250 OMT393250 OWP393250 PGL393250 PQH393250 QAD393250 QJZ393250 QTV393250 RDR393250 RNN393250 RXJ393250 SHF393250 SRB393250 TAX393250 TKT393250 TUP393250 UEL393250 UOH393250 UYD393250 VHZ393250 VRV393250 WBR393250 WLN393250 WVJ393250 B458786 IX458786 ST458786 ACP458786 AML458786 AWH458786 BGD458786 BPZ458786 BZV458786 CJR458786 CTN458786 DDJ458786 DNF458786 DXB458786 EGX458786 EQT458786 FAP458786 FKL458786 FUH458786 GED458786 GNZ458786 GXV458786 HHR458786 HRN458786 IBJ458786 ILF458786 IVB458786 JEX458786 JOT458786 JYP458786 KIL458786 KSH458786 LCD458786 LLZ458786 LVV458786 MFR458786 MPN458786 MZJ458786 NJF458786 NTB458786 OCX458786 OMT458786 OWP458786 PGL458786 PQH458786 QAD458786 QJZ458786 QTV458786 RDR458786 RNN458786 RXJ458786 SHF458786 SRB458786 TAX458786 TKT458786 TUP458786 UEL458786 UOH458786 UYD458786 VHZ458786 VRV458786 WBR458786 WLN458786 WVJ458786 B524322 IX524322 ST524322 ACP524322 AML524322 AWH524322 BGD524322 BPZ524322 BZV524322 CJR524322 CTN524322 DDJ524322 DNF524322 DXB524322 EGX524322 EQT524322 FAP524322 FKL524322 FUH524322 GED524322 GNZ524322 GXV524322 HHR524322 HRN524322 IBJ524322 ILF524322 IVB524322 JEX524322 JOT524322 JYP524322 KIL524322 KSH524322 LCD524322 LLZ524322 LVV524322 MFR524322 MPN524322 MZJ524322 NJF524322 NTB524322 OCX524322 OMT524322 OWP524322 PGL524322 PQH524322 QAD524322 QJZ524322 QTV524322 RDR524322 RNN524322 RXJ524322 SHF524322 SRB524322 TAX524322 TKT524322 TUP524322 UEL524322 UOH524322 UYD524322 VHZ524322 VRV524322 WBR524322 WLN524322 WVJ524322 B589858 IX589858 ST589858 ACP589858 AML589858 AWH589858 BGD589858 BPZ589858 BZV589858 CJR589858 CTN589858 DDJ589858 DNF589858 DXB589858 EGX589858 EQT589858 FAP589858 FKL589858 FUH589858 GED589858 GNZ589858 GXV589858 HHR589858 HRN589858 IBJ589858 ILF589858 IVB589858 JEX589858 JOT589858 JYP589858 KIL589858 KSH589858 LCD589858 LLZ589858 LVV589858 MFR589858 MPN589858 MZJ589858 NJF589858 NTB589858 OCX589858 OMT589858 OWP589858 PGL589858 PQH589858 QAD589858 QJZ589858 QTV589858 RDR589858 RNN589858 RXJ589858 SHF589858 SRB589858 TAX589858 TKT589858 TUP589858 UEL589858 UOH589858 UYD589858 VHZ589858 VRV589858 WBR589858 WLN589858 WVJ589858 B655394 IX655394 ST655394 ACP655394 AML655394 AWH655394 BGD655394 BPZ655394 BZV655394 CJR655394 CTN655394 DDJ655394 DNF655394 DXB655394 EGX655394 EQT655394 FAP655394 FKL655394 FUH655394 GED655394 GNZ655394 GXV655394 HHR655394 HRN655394 IBJ655394 ILF655394 IVB655394 JEX655394 JOT655394 JYP655394 KIL655394 KSH655394 LCD655394 LLZ655394 LVV655394 MFR655394 MPN655394 MZJ655394 NJF655394 NTB655394 OCX655394 OMT655394 OWP655394 PGL655394 PQH655394 QAD655394 QJZ655394 QTV655394 RDR655394 RNN655394 RXJ655394 SHF655394 SRB655394 TAX655394 TKT655394 TUP655394 UEL655394 UOH655394 UYD655394 VHZ655394 VRV655394 WBR655394 WLN655394 WVJ655394 B720930 IX720930 ST720930 ACP720930 AML720930 AWH720930 BGD720930 BPZ720930 BZV720930 CJR720930 CTN720930 DDJ720930 DNF720930 DXB720930 EGX720930 EQT720930 FAP720930 FKL720930 FUH720930 GED720930 GNZ720930 GXV720930 HHR720930 HRN720930 IBJ720930 ILF720930 IVB720930 JEX720930 JOT720930 JYP720930 KIL720930 KSH720930 LCD720930 LLZ720930 LVV720930 MFR720930 MPN720930 MZJ720930 NJF720930 NTB720930 OCX720930 OMT720930 OWP720930 PGL720930 PQH720930 QAD720930 QJZ720930 QTV720930 RDR720930 RNN720930 RXJ720930 SHF720930 SRB720930 TAX720930 TKT720930 TUP720930 UEL720930 UOH720930 UYD720930 VHZ720930 VRV720930 WBR720930 WLN720930 WVJ720930 B786466 IX786466 ST786466 ACP786466 AML786466 AWH786466 BGD786466 BPZ786466 BZV786466 CJR786466 CTN786466 DDJ786466 DNF786466 DXB786466 EGX786466 EQT786466 FAP786466 FKL786466 FUH786466 GED786466 GNZ786466 GXV786466 HHR786466 HRN786466 IBJ786466 ILF786466 IVB786466 JEX786466 JOT786466 JYP786466 KIL786466 KSH786466 LCD786466 LLZ786466 LVV786466 MFR786466 MPN786466 MZJ786466 NJF786466 NTB786466 OCX786466 OMT786466 OWP786466 PGL786466 PQH786466 QAD786466 QJZ786466 QTV786466 RDR786466 RNN786466 RXJ786466 SHF786466 SRB786466 TAX786466 TKT786466 TUP786466 UEL786466 UOH786466 UYD786466 VHZ786466 VRV786466 WBR786466 WLN786466 WVJ786466 B852002 IX852002 ST852002 ACP852002 AML852002 AWH852002 BGD852002 BPZ852002 BZV852002 CJR852002 CTN852002 DDJ852002 DNF852002 DXB852002 EGX852002 EQT852002 FAP852002 FKL852002 FUH852002 GED852002 GNZ852002 GXV852002 HHR852002 HRN852002 IBJ852002 ILF852002 IVB852002 JEX852002 JOT852002 JYP852002 KIL852002 KSH852002 LCD852002 LLZ852002 LVV852002 MFR852002 MPN852002 MZJ852002 NJF852002 NTB852002 OCX852002 OMT852002 OWP852002 PGL852002 PQH852002 QAD852002 QJZ852002 QTV852002 RDR852002 RNN852002 RXJ852002 SHF852002 SRB852002 TAX852002 TKT852002 TUP852002 UEL852002 UOH852002 UYD852002 VHZ852002 VRV852002 WBR852002 WLN852002 WVJ852002 B917538 IX917538 ST917538 ACP917538 AML917538 AWH917538 BGD917538 BPZ917538 BZV917538 CJR917538 CTN917538 DDJ917538 DNF917538 DXB917538 EGX917538 EQT917538 FAP917538 FKL917538 FUH917538 GED917538 GNZ917538 GXV917538 HHR917538 HRN917538 IBJ917538 ILF917538 IVB917538 JEX917538 JOT917538 JYP917538 KIL917538 KSH917538 LCD917538 LLZ917538 LVV917538 MFR917538 MPN917538 MZJ917538 NJF917538 NTB917538 OCX917538 OMT917538 OWP917538 PGL917538 PQH917538 QAD917538 QJZ917538 QTV917538 RDR917538 RNN917538 RXJ917538 SHF917538 SRB917538 TAX917538 TKT917538 TUP917538 UEL917538 UOH917538 UYD917538 VHZ917538 VRV917538 WBR917538 WLN917538 WVJ917538 B983074 IX983074 ST983074 ACP983074 AML983074 AWH983074 BGD983074 BPZ983074 BZV983074 CJR983074 CTN983074 DDJ983074 DNF983074 DXB983074 EGX983074 EQT983074 FAP983074 FKL983074 FUH983074 GED983074 GNZ983074 GXV983074 HHR983074 HRN983074 IBJ983074 ILF983074 IVB983074 JEX983074 JOT983074 JYP983074 KIL983074 KSH983074 LCD983074 LLZ983074 LVV983074 MFR983074 MPN983074 MZJ983074 NJF983074 NTB983074 OCX983074 OMT983074 OWP983074 PGL983074 PQH983074 QAD983074 QJZ983074 QTV983074 RDR983074 RNN983074 RXJ983074 SHF983074 SRB983074 TAX983074 TKT983074 TUP983074 UEL983074 UOH983074 UYD983074 VHZ983074 VRV983074 WBR983074 WLN983074 WVJ983074 B32 IX32 ST32 ACP32 AML32 AWH32 BGD32 BPZ32 BZV32 CJR32 CTN32 DDJ32 DNF32 DXB32 EGX32 EQT32 FAP32 FKL32 FUH32 GED32 GNZ32 GXV32 HHR32 HRN32 IBJ32 ILF32 IVB32 JEX32 JOT32 JYP32 KIL32 KSH32 LCD32 LLZ32 LVV32 MFR32 MPN32 MZJ32 NJF32 NTB32 OCX32 OMT32 OWP32 PGL32 PQH32 QAD32 QJZ32 QTV32 RDR32 RNN32 RXJ32 SHF32 SRB32 TAX32 TKT32 TUP32 UEL32 UOH32 UYD32 VHZ32 VRV32 WBR32 WLN32 WVJ32 B65568 IX65568 ST65568 ACP65568 AML65568 AWH65568 BGD65568 BPZ65568 BZV65568 CJR65568 CTN65568 DDJ65568 DNF65568 DXB65568 EGX65568 EQT65568 FAP65568 FKL65568 FUH65568 GED65568 GNZ65568 GXV65568 HHR65568 HRN65568 IBJ65568 ILF65568 IVB65568 JEX65568 JOT65568 JYP65568 KIL65568 KSH65568 LCD65568 LLZ65568 LVV65568 MFR65568 MPN65568 MZJ65568 NJF65568 NTB65568 OCX65568 OMT65568 OWP65568 PGL65568 PQH65568 QAD65568 QJZ65568 QTV65568 RDR65568 RNN65568 RXJ65568 SHF65568 SRB65568 TAX65568 TKT65568 TUP65568 UEL65568 UOH65568 UYD65568 VHZ65568 VRV65568 WBR65568 WLN65568 WVJ65568 B131104 IX131104 ST131104 ACP131104 AML131104 AWH131104 BGD131104 BPZ131104 BZV131104 CJR131104 CTN131104 DDJ131104 DNF131104 DXB131104 EGX131104 EQT131104 FAP131104 FKL131104 FUH131104 GED131104 GNZ131104 GXV131104 HHR131104 HRN131104 IBJ131104 ILF131104 IVB131104 JEX131104 JOT131104 JYP131104 KIL131104 KSH131104 LCD131104 LLZ131104 LVV131104 MFR131104 MPN131104 MZJ131104 NJF131104 NTB131104 OCX131104 OMT131104 OWP131104 PGL131104 PQH131104 QAD131104 QJZ131104 QTV131104 RDR131104 RNN131104 RXJ131104 SHF131104 SRB131104 TAX131104 TKT131104 TUP131104 UEL131104 UOH131104 UYD131104 VHZ131104 VRV131104 WBR131104 WLN131104 WVJ131104 B196640 IX196640 ST196640 ACP196640 AML196640 AWH196640 BGD196640 BPZ196640 BZV196640 CJR196640 CTN196640 DDJ196640 DNF196640 DXB196640 EGX196640 EQT196640 FAP196640 FKL196640 FUH196640 GED196640 GNZ196640 GXV196640 HHR196640 HRN196640 IBJ196640 ILF196640 IVB196640 JEX196640 JOT196640 JYP196640 KIL196640 KSH196640 LCD196640 LLZ196640 LVV196640 MFR196640 MPN196640 MZJ196640 NJF196640 NTB196640 OCX196640 OMT196640 OWP196640 PGL196640 PQH196640 QAD196640 QJZ196640 QTV196640 RDR196640 RNN196640 RXJ196640 SHF196640 SRB196640 TAX196640 TKT196640 TUP196640 UEL196640 UOH196640 UYD196640 VHZ196640 VRV196640 WBR196640 WLN196640 WVJ196640 B262176 IX262176 ST262176 ACP262176 AML262176 AWH262176 BGD262176 BPZ262176 BZV262176 CJR262176 CTN262176 DDJ262176 DNF262176 DXB262176 EGX262176 EQT262176 FAP262176 FKL262176 FUH262176 GED262176 GNZ262176 GXV262176 HHR262176 HRN262176 IBJ262176 ILF262176 IVB262176 JEX262176 JOT262176 JYP262176 KIL262176 KSH262176 LCD262176 LLZ262176 LVV262176 MFR262176 MPN262176 MZJ262176 NJF262176 NTB262176 OCX262176 OMT262176 OWP262176 PGL262176 PQH262176 QAD262176 QJZ262176 QTV262176 RDR262176 RNN262176 RXJ262176 SHF262176 SRB262176 TAX262176 TKT262176 TUP262176 UEL262176 UOH262176 UYD262176 VHZ262176 VRV262176 WBR262176 WLN262176 WVJ262176 B327712 IX327712 ST327712 ACP327712 AML327712 AWH327712 BGD327712 BPZ327712 BZV327712 CJR327712 CTN327712 DDJ327712 DNF327712 DXB327712 EGX327712 EQT327712 FAP327712 FKL327712 FUH327712 GED327712 GNZ327712 GXV327712 HHR327712 HRN327712 IBJ327712 ILF327712 IVB327712 JEX327712 JOT327712 JYP327712 KIL327712 KSH327712 LCD327712 LLZ327712 LVV327712 MFR327712 MPN327712 MZJ327712 NJF327712 NTB327712 OCX327712 OMT327712 OWP327712 PGL327712 PQH327712 QAD327712 QJZ327712 QTV327712 RDR327712 RNN327712 RXJ327712 SHF327712 SRB327712 TAX327712 TKT327712 TUP327712 UEL327712 UOH327712 UYD327712 VHZ327712 VRV327712 WBR327712 WLN327712 WVJ327712 B393248 IX393248 ST393248 ACP393248 AML393248 AWH393248 BGD393248 BPZ393248 BZV393248 CJR393248 CTN393248 DDJ393248 DNF393248 DXB393248 EGX393248 EQT393248 FAP393248 FKL393248 FUH393248 GED393248 GNZ393248 GXV393248 HHR393248 HRN393248 IBJ393248 ILF393248 IVB393248 JEX393248 JOT393248 JYP393248 KIL393248 KSH393248 LCD393248 LLZ393248 LVV393248 MFR393248 MPN393248 MZJ393248 NJF393248 NTB393248 OCX393248 OMT393248 OWP393248 PGL393248 PQH393248 QAD393248 QJZ393248 QTV393248 RDR393248 RNN393248 RXJ393248 SHF393248 SRB393248 TAX393248 TKT393248 TUP393248 UEL393248 UOH393248 UYD393248 VHZ393248 VRV393248 WBR393248 WLN393248 WVJ393248 B458784 IX458784 ST458784 ACP458784 AML458784 AWH458784 BGD458784 BPZ458784 BZV458784 CJR458784 CTN458784 DDJ458784 DNF458784 DXB458784 EGX458784 EQT458784 FAP458784 FKL458784 FUH458784 GED458784 GNZ458784 GXV458784 HHR458784 HRN458784 IBJ458784 ILF458784 IVB458784 JEX458784 JOT458784 JYP458784 KIL458784 KSH458784 LCD458784 LLZ458784 LVV458784 MFR458784 MPN458784 MZJ458784 NJF458784 NTB458784 OCX458784 OMT458784 OWP458784 PGL458784 PQH458784 QAD458784 QJZ458784 QTV458784 RDR458784 RNN458784 RXJ458784 SHF458784 SRB458784 TAX458784 TKT458784 TUP458784 UEL458784 UOH458784 UYD458784 VHZ458784 VRV458784 WBR458784 WLN458784 WVJ458784 B524320 IX524320 ST524320 ACP524320 AML524320 AWH524320 BGD524320 BPZ524320 BZV524320 CJR524320 CTN524320 DDJ524320 DNF524320 DXB524320 EGX524320 EQT524320 FAP524320 FKL524320 FUH524320 GED524320 GNZ524320 GXV524320 HHR524320 HRN524320 IBJ524320 ILF524320 IVB524320 JEX524320 JOT524320 JYP524320 KIL524320 KSH524320 LCD524320 LLZ524320 LVV524320 MFR524320 MPN524320 MZJ524320 NJF524320 NTB524320 OCX524320 OMT524320 OWP524320 PGL524320 PQH524320 QAD524320 QJZ524320 QTV524320 RDR524320 RNN524320 RXJ524320 SHF524320 SRB524320 TAX524320 TKT524320 TUP524320 UEL524320 UOH524320 UYD524320 VHZ524320 VRV524320 WBR524320 WLN524320 WVJ524320 B589856 IX589856 ST589856 ACP589856 AML589856 AWH589856 BGD589856 BPZ589856 BZV589856 CJR589856 CTN589856 DDJ589856 DNF589856 DXB589856 EGX589856 EQT589856 FAP589856 FKL589856 FUH589856 GED589856 GNZ589856 GXV589856 HHR589856 HRN589856 IBJ589856 ILF589856 IVB589856 JEX589856 JOT589856 JYP589856 KIL589856 KSH589856 LCD589856 LLZ589856 LVV589856 MFR589856 MPN589856 MZJ589856 NJF589856 NTB589856 OCX589856 OMT589856 OWP589856 PGL589856 PQH589856 QAD589856 QJZ589856 QTV589856 RDR589856 RNN589856 RXJ589856 SHF589856 SRB589856 TAX589856 TKT589856 TUP589856 UEL589856 UOH589856 UYD589856 VHZ589856 VRV589856 WBR589856 WLN589856 WVJ589856 B655392 IX655392 ST655392 ACP655392 AML655392 AWH655392 BGD655392 BPZ655392 BZV655392 CJR655392 CTN655392 DDJ655392 DNF655392 DXB655392 EGX655392 EQT655392 FAP655392 FKL655392 FUH655392 GED655392 GNZ655392 GXV655392 HHR655392 HRN655392 IBJ655392 ILF655392 IVB655392 JEX655392 JOT655392 JYP655392 KIL655392 KSH655392 LCD655392 LLZ655392 LVV655392 MFR655392 MPN655392 MZJ655392 NJF655392 NTB655392 OCX655392 OMT655392 OWP655392 PGL655392 PQH655392 QAD655392 QJZ655392 QTV655392 RDR655392 RNN655392 RXJ655392 SHF655392 SRB655392 TAX655392 TKT655392 TUP655392 UEL655392 UOH655392 UYD655392 VHZ655392 VRV655392 WBR655392 WLN655392 WVJ655392 B720928 IX720928 ST720928 ACP720928 AML720928 AWH720928 BGD720928 BPZ720928 BZV720928 CJR720928 CTN720928 DDJ720928 DNF720928 DXB720928 EGX720928 EQT720928 FAP720928 FKL720928 FUH720928 GED720928 GNZ720928 GXV720928 HHR720928 HRN720928 IBJ720928 ILF720928 IVB720928 JEX720928 JOT720928 JYP720928 KIL720928 KSH720928 LCD720928 LLZ720928 LVV720928 MFR720928 MPN720928 MZJ720928 NJF720928 NTB720928 OCX720928 OMT720928 OWP720928 PGL720928 PQH720928 QAD720928 QJZ720928 QTV720928 RDR720928 RNN720928 RXJ720928 SHF720928 SRB720928 TAX720928 TKT720928 TUP720928 UEL720928 UOH720928 UYD720928 VHZ720928 VRV720928 WBR720928 WLN720928 WVJ720928 B786464 IX786464 ST786464 ACP786464 AML786464 AWH786464 BGD786464 BPZ786464 BZV786464 CJR786464 CTN786464 DDJ786464 DNF786464 DXB786464 EGX786464 EQT786464 FAP786464 FKL786464 FUH786464 GED786464 GNZ786464 GXV786464 HHR786464 HRN786464 IBJ786464 ILF786464 IVB786464 JEX786464 JOT786464 JYP786464 KIL786464 KSH786464 LCD786464 LLZ786464 LVV786464 MFR786464 MPN786464 MZJ786464 NJF786464 NTB786464 OCX786464 OMT786464 OWP786464 PGL786464 PQH786464 QAD786464 QJZ786464 QTV786464 RDR786464 RNN786464 RXJ786464 SHF786464 SRB786464 TAX786464 TKT786464 TUP786464 UEL786464 UOH786464 UYD786464 VHZ786464 VRV786464 WBR786464 WLN786464 WVJ786464 B852000 IX852000 ST852000 ACP852000 AML852000 AWH852000 BGD852000 BPZ852000 BZV852000 CJR852000 CTN852000 DDJ852000 DNF852000 DXB852000 EGX852000 EQT852000 FAP852000 FKL852000 FUH852000 GED852000 GNZ852000 GXV852000 HHR852000 HRN852000 IBJ852000 ILF852000 IVB852000 JEX852000 JOT852000 JYP852000 KIL852000 KSH852000 LCD852000 LLZ852000 LVV852000 MFR852000 MPN852000 MZJ852000 NJF852000 NTB852000 OCX852000 OMT852000 OWP852000 PGL852000 PQH852000 QAD852000 QJZ852000 QTV852000 RDR852000 RNN852000 RXJ852000 SHF852000 SRB852000 TAX852000 TKT852000 TUP852000 UEL852000 UOH852000 UYD852000 VHZ852000 VRV852000 WBR852000 WLN852000 WVJ852000 B917536 IX917536 ST917536 ACP917536 AML917536 AWH917536 BGD917536 BPZ917536 BZV917536 CJR917536 CTN917536 DDJ917536 DNF917536 DXB917536 EGX917536 EQT917536 FAP917536 FKL917536 FUH917536 GED917536 GNZ917536 GXV917536 HHR917536 HRN917536 IBJ917536 ILF917536 IVB917536 JEX917536 JOT917536 JYP917536 KIL917536 KSH917536 LCD917536 LLZ917536 LVV917536 MFR917536 MPN917536 MZJ917536 NJF917536 NTB917536 OCX917536 OMT917536 OWP917536 PGL917536 PQH917536 QAD917536 QJZ917536 QTV917536 RDR917536 RNN917536 RXJ917536 SHF917536 SRB917536 TAX917536 TKT917536 TUP917536 UEL917536 UOH917536 UYD917536 VHZ917536 VRV917536 WBR917536 WLN917536 WVJ917536 B983072 IX983072 ST983072 ACP983072 AML983072 AWH983072 BGD983072 BPZ983072 BZV983072 CJR983072 CTN983072 DDJ983072 DNF983072 DXB983072 EGX983072 EQT983072 FAP983072 FKL983072 FUH983072 GED983072 GNZ983072 GXV983072 HHR983072 HRN983072 IBJ983072 ILF983072 IVB983072 JEX983072 JOT983072 JYP983072 KIL983072 KSH983072 LCD983072 LLZ983072 LVV983072 MFR983072 MPN983072 MZJ983072 NJF983072 NTB983072 OCX983072 OMT983072 OWP983072 PGL983072 PQH983072 QAD983072 QJZ983072 QTV983072 RDR983072 RNN983072 RXJ983072 SHF983072 SRB983072 TAX983072 TKT983072 TUP983072 UEL983072 UOH983072 UYD983072 VHZ983072 VRV983072 WBR983072 WLN983072 WVJ983072 B26 IX26 ST26 ACP26 AML26 AWH26 BGD26 BPZ26 BZV26 CJR26 CTN26 DDJ26 DNF26 DXB26 EGX26 EQT26 FAP26 FKL26 FUH26 GED26 GNZ26 GXV26 HHR26 HRN26 IBJ26 ILF26 IVB26 JEX26 JOT26 JYP26 KIL26 KSH26 LCD26 LLZ26 LVV26 MFR26 MPN26 MZJ26 NJF26 NTB26 OCX26 OMT26 OWP26 PGL26 PQH26 QAD26 QJZ26 QTV26 RDR26 RNN26 RXJ26 SHF26 SRB26 TAX26 TKT26 TUP26 UEL26 UOH26 UYD26 VHZ26 VRV26 WBR26 WLN26 WVJ26 B65562 IX65562 ST65562 ACP65562 AML65562 AWH65562 BGD65562 BPZ65562 BZV65562 CJR65562 CTN65562 DDJ65562 DNF65562 DXB65562 EGX65562 EQT65562 FAP65562 FKL65562 FUH65562 GED65562 GNZ65562 GXV65562 HHR65562 HRN65562 IBJ65562 ILF65562 IVB65562 JEX65562 JOT65562 JYP65562 KIL65562 KSH65562 LCD65562 LLZ65562 LVV65562 MFR65562 MPN65562 MZJ65562 NJF65562 NTB65562 OCX65562 OMT65562 OWP65562 PGL65562 PQH65562 QAD65562 QJZ65562 QTV65562 RDR65562 RNN65562 RXJ65562 SHF65562 SRB65562 TAX65562 TKT65562 TUP65562 UEL65562 UOH65562 UYD65562 VHZ65562 VRV65562 WBR65562 WLN65562 WVJ65562 B131098 IX131098 ST131098 ACP131098 AML131098 AWH131098 BGD131098 BPZ131098 BZV131098 CJR131098 CTN131098 DDJ131098 DNF131098 DXB131098 EGX131098 EQT131098 FAP131098 FKL131098 FUH131098 GED131098 GNZ131098 GXV131098 HHR131098 HRN131098 IBJ131098 ILF131098 IVB131098 JEX131098 JOT131098 JYP131098 KIL131098 KSH131098 LCD131098 LLZ131098 LVV131098 MFR131098 MPN131098 MZJ131098 NJF131098 NTB131098 OCX131098 OMT131098 OWP131098 PGL131098 PQH131098 QAD131098 QJZ131098 QTV131098 RDR131098 RNN131098 RXJ131098 SHF131098 SRB131098 TAX131098 TKT131098 TUP131098 UEL131098 UOH131098 UYD131098 VHZ131098 VRV131098 WBR131098 WLN131098 WVJ131098 B196634 IX196634 ST196634 ACP196634 AML196634 AWH196634 BGD196634 BPZ196634 BZV196634 CJR196634 CTN196634 DDJ196634 DNF196634 DXB196634 EGX196634 EQT196634 FAP196634 FKL196634 FUH196634 GED196634 GNZ196634 GXV196634 HHR196634 HRN196634 IBJ196634 ILF196634 IVB196634 JEX196634 JOT196634 JYP196634 KIL196634 KSH196634 LCD196634 LLZ196634 LVV196634 MFR196634 MPN196634 MZJ196634 NJF196634 NTB196634 OCX196634 OMT196634 OWP196634 PGL196634 PQH196634 QAD196634 QJZ196634 QTV196634 RDR196634 RNN196634 RXJ196634 SHF196634 SRB196634 TAX196634 TKT196634 TUP196634 UEL196634 UOH196634 UYD196634 VHZ196634 VRV196634 WBR196634 WLN196634 WVJ196634 B262170 IX262170 ST262170 ACP262170 AML262170 AWH262170 BGD262170 BPZ262170 BZV262170 CJR262170 CTN262170 DDJ262170 DNF262170 DXB262170 EGX262170 EQT262170 FAP262170 FKL262170 FUH262170 GED262170 GNZ262170 GXV262170 HHR262170 HRN262170 IBJ262170 ILF262170 IVB262170 JEX262170 JOT262170 JYP262170 KIL262170 KSH262170 LCD262170 LLZ262170 LVV262170 MFR262170 MPN262170 MZJ262170 NJF262170 NTB262170 OCX262170 OMT262170 OWP262170 PGL262170 PQH262170 QAD262170 QJZ262170 QTV262170 RDR262170 RNN262170 RXJ262170 SHF262170 SRB262170 TAX262170 TKT262170 TUP262170 UEL262170 UOH262170 UYD262170 VHZ262170 VRV262170 WBR262170 WLN262170 WVJ262170 B327706 IX327706 ST327706 ACP327706 AML327706 AWH327706 BGD327706 BPZ327706 BZV327706 CJR327706 CTN327706 DDJ327706 DNF327706 DXB327706 EGX327706 EQT327706 FAP327706 FKL327706 FUH327706 GED327706 GNZ327706 GXV327706 HHR327706 HRN327706 IBJ327706 ILF327706 IVB327706 JEX327706 JOT327706 JYP327706 KIL327706 KSH327706 LCD327706 LLZ327706 LVV327706 MFR327706 MPN327706 MZJ327706 NJF327706 NTB327706 OCX327706 OMT327706 OWP327706 PGL327706 PQH327706 QAD327706 QJZ327706 QTV327706 RDR327706 RNN327706 RXJ327706 SHF327706 SRB327706 TAX327706 TKT327706 TUP327706 UEL327706 UOH327706 UYD327706 VHZ327706 VRV327706 WBR327706 WLN327706 WVJ327706 B393242 IX393242 ST393242 ACP393242 AML393242 AWH393242 BGD393242 BPZ393242 BZV393242 CJR393242 CTN393242 DDJ393242 DNF393242 DXB393242 EGX393242 EQT393242 FAP393242 FKL393242 FUH393242 GED393242 GNZ393242 GXV393242 HHR393242 HRN393242 IBJ393242 ILF393242 IVB393242 JEX393242 JOT393242 JYP393242 KIL393242 KSH393242 LCD393242 LLZ393242 LVV393242 MFR393242 MPN393242 MZJ393242 NJF393242 NTB393242 OCX393242 OMT393242 OWP393242 PGL393242 PQH393242 QAD393242 QJZ393242 QTV393242 RDR393242 RNN393242 RXJ393242 SHF393242 SRB393242 TAX393242 TKT393242 TUP393242 UEL393242 UOH393242 UYD393242 VHZ393242 VRV393242 WBR393242 WLN393242 WVJ393242 B458778 IX458778 ST458778 ACP458778 AML458778 AWH458778 BGD458778 BPZ458778 BZV458778 CJR458778 CTN458778 DDJ458778 DNF458778 DXB458778 EGX458778 EQT458778 FAP458778 FKL458778 FUH458778 GED458778 GNZ458778 GXV458778 HHR458778 HRN458778 IBJ458778 ILF458778 IVB458778 JEX458778 JOT458778 JYP458778 KIL458778 KSH458778 LCD458778 LLZ458778 LVV458778 MFR458778 MPN458778 MZJ458778 NJF458778 NTB458778 OCX458778 OMT458778 OWP458778 PGL458778 PQH458778 QAD458778 QJZ458778 QTV458778 RDR458778 RNN458778 RXJ458778 SHF458778 SRB458778 TAX458778 TKT458778 TUP458778 UEL458778 UOH458778 UYD458778 VHZ458778 VRV458778 WBR458778 WLN458778 WVJ458778 B524314 IX524314 ST524314 ACP524314 AML524314 AWH524314 BGD524314 BPZ524314 BZV524314 CJR524314 CTN524314 DDJ524314 DNF524314 DXB524314 EGX524314 EQT524314 FAP524314 FKL524314 FUH524314 GED524314 GNZ524314 GXV524314 HHR524314 HRN524314 IBJ524314 ILF524314 IVB524314 JEX524314 JOT524314 JYP524314 KIL524314 KSH524314 LCD524314 LLZ524314 LVV524314 MFR524314 MPN524314 MZJ524314 NJF524314 NTB524314 OCX524314 OMT524314 OWP524314 PGL524314 PQH524314 QAD524314 QJZ524314 QTV524314 RDR524314 RNN524314 RXJ524314 SHF524314 SRB524314 TAX524314 TKT524314 TUP524314 UEL524314 UOH524314 UYD524314 VHZ524314 VRV524314 WBR524314 WLN524314 WVJ524314 B589850 IX589850 ST589850 ACP589850 AML589850 AWH589850 BGD589850 BPZ589850 BZV589850 CJR589850 CTN589850 DDJ589850 DNF589850 DXB589850 EGX589850 EQT589850 FAP589850 FKL589850 FUH589850 GED589850 GNZ589850 GXV589850 HHR589850 HRN589850 IBJ589850 ILF589850 IVB589850 JEX589850 JOT589850 JYP589850 KIL589850 KSH589850 LCD589850 LLZ589850 LVV589850 MFR589850 MPN589850 MZJ589850 NJF589850 NTB589850 OCX589850 OMT589850 OWP589850 PGL589850 PQH589850 QAD589850 QJZ589850 QTV589850 RDR589850 RNN589850 RXJ589850 SHF589850 SRB589850 TAX589850 TKT589850 TUP589850 UEL589850 UOH589850 UYD589850 VHZ589850 VRV589850 WBR589850 WLN589850 WVJ589850 B655386 IX655386 ST655386 ACP655386 AML655386 AWH655386 BGD655386 BPZ655386 BZV655386 CJR655386 CTN655386 DDJ655386 DNF655386 DXB655386 EGX655386 EQT655386 FAP655386 FKL655386 FUH655386 GED655386 GNZ655386 GXV655386 HHR655386 HRN655386 IBJ655386 ILF655386 IVB655386 JEX655386 JOT655386 JYP655386 KIL655386 KSH655386 LCD655386 LLZ655386 LVV655386 MFR655386 MPN655386 MZJ655386 NJF655386 NTB655386 OCX655386 OMT655386 OWP655386 PGL655386 PQH655386 QAD655386 QJZ655386 QTV655386 RDR655386 RNN655386 RXJ655386 SHF655386 SRB655386 TAX655386 TKT655386 TUP655386 UEL655386 UOH655386 UYD655386 VHZ655386 VRV655386 WBR655386 WLN655386 WVJ655386 B720922 IX720922 ST720922 ACP720922 AML720922 AWH720922 BGD720922 BPZ720922 BZV720922 CJR720922 CTN720922 DDJ720922 DNF720922 DXB720922 EGX720922 EQT720922 FAP720922 FKL720922 FUH720922 GED720922 GNZ720922 GXV720922 HHR720922 HRN720922 IBJ720922 ILF720922 IVB720922 JEX720922 JOT720922 JYP720922 KIL720922 KSH720922 LCD720922 LLZ720922 LVV720922 MFR720922 MPN720922 MZJ720922 NJF720922 NTB720922 OCX720922 OMT720922 OWP720922 PGL720922 PQH720922 QAD720922 QJZ720922 QTV720922 RDR720922 RNN720922 RXJ720922 SHF720922 SRB720922 TAX720922 TKT720922 TUP720922 UEL720922 UOH720922 UYD720922 VHZ720922 VRV720922 WBR720922 WLN720922 WVJ720922 B786458 IX786458 ST786458 ACP786458 AML786458 AWH786458 BGD786458 BPZ786458 BZV786458 CJR786458 CTN786458 DDJ786458 DNF786458 DXB786458 EGX786458 EQT786458 FAP786458 FKL786458 FUH786458 GED786458 GNZ786458 GXV786458 HHR786458 HRN786458 IBJ786458 ILF786458 IVB786458 JEX786458 JOT786458 JYP786458 KIL786458 KSH786458 LCD786458 LLZ786458 LVV786458 MFR786458 MPN786458 MZJ786458 NJF786458 NTB786458 OCX786458 OMT786458 OWP786458 PGL786458 PQH786458 QAD786458 QJZ786458 QTV786458 RDR786458 RNN786458 RXJ786458 SHF786458 SRB786458 TAX786458 TKT786458 TUP786458 UEL786458 UOH786458 UYD786458 VHZ786458 VRV786458 WBR786458 WLN786458 WVJ786458 B851994 IX851994 ST851994 ACP851994 AML851994 AWH851994 BGD851994 BPZ851994 BZV851994 CJR851994 CTN851994 DDJ851994 DNF851994 DXB851994 EGX851994 EQT851994 FAP851994 FKL851994 FUH851994 GED851994 GNZ851994 GXV851994 HHR851994 HRN851994 IBJ851994 ILF851994 IVB851994 JEX851994 JOT851994 JYP851994 KIL851994 KSH851994 LCD851994 LLZ851994 LVV851994 MFR851994 MPN851994 MZJ851994 NJF851994 NTB851994 OCX851994 OMT851994 OWP851994 PGL851994 PQH851994 QAD851994 QJZ851994 QTV851994 RDR851994 RNN851994 RXJ851994 SHF851994 SRB851994 TAX851994 TKT851994 TUP851994 UEL851994 UOH851994 UYD851994 VHZ851994 VRV851994 WBR851994 WLN851994 WVJ851994 B917530 IX917530 ST917530 ACP917530 AML917530 AWH917530 BGD917530 BPZ917530 BZV917530 CJR917530 CTN917530 DDJ917530 DNF917530 DXB917530 EGX917530 EQT917530 FAP917530 FKL917530 FUH917530 GED917530 GNZ917530 GXV917530 HHR917530 HRN917530 IBJ917530 ILF917530 IVB917530 JEX917530 JOT917530 JYP917530 KIL917530 KSH917530 LCD917530 LLZ917530 LVV917530 MFR917530 MPN917530 MZJ917530 NJF917530 NTB917530 OCX917530 OMT917530 OWP917530 PGL917530 PQH917530 QAD917530 QJZ917530 QTV917530 RDR917530 RNN917530 RXJ917530 SHF917530 SRB917530 TAX917530 TKT917530 TUP917530 UEL917530 UOH917530 UYD917530 VHZ917530 VRV917530 WBR917530 WLN917530 WVJ917530 B983066 IX983066 ST983066 ACP983066 AML983066 AWH983066 BGD983066 BPZ983066 BZV983066 CJR983066 CTN983066 DDJ983066 DNF983066 DXB983066 EGX983066 EQT983066 FAP983066 FKL983066 FUH983066 GED983066 GNZ983066 GXV983066 HHR983066 HRN983066 IBJ983066 ILF983066 IVB983066 JEX983066 JOT983066 JYP983066 KIL983066 KSH983066 LCD983066 LLZ983066 LVV983066 MFR983066 MPN983066 MZJ983066 NJF983066 NTB983066 OCX983066 OMT983066 OWP983066 PGL983066 PQH983066 QAD983066 QJZ983066 QTV983066 RDR983066 RNN983066 RXJ983066 SHF983066 SRB983066 TAX983066 TKT983066 TUP983066 UEL983066 UOH983066 UYD983066 VHZ983066 VRV983066 WBR983066 WLN983066 WVJ983066 B24 IX24 ST24 ACP24 AML24 AWH24 BGD24 BPZ24 BZV24 CJR24 CTN24 DDJ24 DNF24 DXB24 EGX24 EQT24 FAP24 FKL24 FUH24 GED24 GNZ24 GXV24 HHR24 HRN24 IBJ24 ILF24 IVB24 JEX24 JOT24 JYP24 KIL24 KSH24 LCD24 LLZ24 LVV24 MFR24 MPN24 MZJ24 NJF24 NTB24 OCX24 OMT24 OWP24 PGL24 PQH24 QAD24 QJZ24 QTV24 RDR24 RNN24 RXJ24 SHF24 SRB24 TAX24 TKT24 TUP24 UEL24 UOH24 UYD24 VHZ24 VRV24 WBR24 WLN24 WVJ24 B65560 IX65560 ST65560 ACP65560 AML65560 AWH65560 BGD65560 BPZ65560 BZV65560 CJR65560 CTN65560 DDJ65560 DNF65560 DXB65560 EGX65560 EQT65560 FAP65560 FKL65560 FUH65560 GED65560 GNZ65560 GXV65560 HHR65560 HRN65560 IBJ65560 ILF65560 IVB65560 JEX65560 JOT65560 JYP65560 KIL65560 KSH65560 LCD65560 LLZ65560 LVV65560 MFR65560 MPN65560 MZJ65560 NJF65560 NTB65560 OCX65560 OMT65560 OWP65560 PGL65560 PQH65560 QAD65560 QJZ65560 QTV65560 RDR65560 RNN65560 RXJ65560 SHF65560 SRB65560 TAX65560 TKT65560 TUP65560 UEL65560 UOH65560 UYD65560 VHZ65560 VRV65560 WBR65560 WLN65560 WVJ65560 B131096 IX131096 ST131096 ACP131096 AML131096 AWH131096 BGD131096 BPZ131096 BZV131096 CJR131096 CTN131096 DDJ131096 DNF131096 DXB131096 EGX131096 EQT131096 FAP131096 FKL131096 FUH131096 GED131096 GNZ131096 GXV131096 HHR131096 HRN131096 IBJ131096 ILF131096 IVB131096 JEX131096 JOT131096 JYP131096 KIL131096 KSH131096 LCD131096 LLZ131096 LVV131096 MFR131096 MPN131096 MZJ131096 NJF131096 NTB131096 OCX131096 OMT131096 OWP131096 PGL131096 PQH131096 QAD131096 QJZ131096 QTV131096 RDR131096 RNN131096 RXJ131096 SHF131096 SRB131096 TAX131096 TKT131096 TUP131096 UEL131096 UOH131096 UYD131096 VHZ131096 VRV131096 WBR131096 WLN131096 WVJ131096 B196632 IX196632 ST196632 ACP196632 AML196632 AWH196632 BGD196632 BPZ196632 BZV196632 CJR196632 CTN196632 DDJ196632 DNF196632 DXB196632 EGX196632 EQT196632 FAP196632 FKL196632 FUH196632 GED196632 GNZ196632 GXV196632 HHR196632 HRN196632 IBJ196632 ILF196632 IVB196632 JEX196632 JOT196632 JYP196632 KIL196632 KSH196632 LCD196632 LLZ196632 LVV196632 MFR196632 MPN196632 MZJ196632 NJF196632 NTB196632 OCX196632 OMT196632 OWP196632 PGL196632 PQH196632 QAD196632 QJZ196632 QTV196632 RDR196632 RNN196632 RXJ196632 SHF196632 SRB196632 TAX196632 TKT196632 TUP196632 UEL196632 UOH196632 UYD196632 VHZ196632 VRV196632 WBR196632 WLN196632 WVJ196632 B262168 IX262168 ST262168 ACP262168 AML262168 AWH262168 BGD262168 BPZ262168 BZV262168 CJR262168 CTN262168 DDJ262168 DNF262168 DXB262168 EGX262168 EQT262168 FAP262168 FKL262168 FUH262168 GED262168 GNZ262168 GXV262168 HHR262168 HRN262168 IBJ262168 ILF262168 IVB262168 JEX262168 JOT262168 JYP262168 KIL262168 KSH262168 LCD262168 LLZ262168 LVV262168 MFR262168 MPN262168 MZJ262168 NJF262168 NTB262168 OCX262168 OMT262168 OWP262168 PGL262168 PQH262168 QAD262168 QJZ262168 QTV262168 RDR262168 RNN262168 RXJ262168 SHF262168 SRB262168 TAX262168 TKT262168 TUP262168 UEL262168 UOH262168 UYD262168 VHZ262168 VRV262168 WBR262168 WLN262168 WVJ262168 B327704 IX327704 ST327704 ACP327704 AML327704 AWH327704 BGD327704 BPZ327704 BZV327704 CJR327704 CTN327704 DDJ327704 DNF327704 DXB327704 EGX327704 EQT327704 FAP327704 FKL327704 FUH327704 GED327704 GNZ327704 GXV327704 HHR327704 HRN327704 IBJ327704 ILF327704 IVB327704 JEX327704 JOT327704 JYP327704 KIL327704 KSH327704 LCD327704 LLZ327704 LVV327704 MFR327704 MPN327704 MZJ327704 NJF327704 NTB327704 OCX327704 OMT327704 OWP327704 PGL327704 PQH327704 QAD327704 QJZ327704 QTV327704 RDR327704 RNN327704 RXJ327704 SHF327704 SRB327704 TAX327704 TKT327704 TUP327704 UEL327704 UOH327704 UYD327704 VHZ327704 VRV327704 WBR327704 WLN327704 WVJ327704 B393240 IX393240 ST393240 ACP393240 AML393240 AWH393240 BGD393240 BPZ393240 BZV393240 CJR393240 CTN393240 DDJ393240 DNF393240 DXB393240 EGX393240 EQT393240 FAP393240 FKL393240 FUH393240 GED393240 GNZ393240 GXV393240 HHR393240 HRN393240 IBJ393240 ILF393240 IVB393240 JEX393240 JOT393240 JYP393240 KIL393240 KSH393240 LCD393240 LLZ393240 LVV393240 MFR393240 MPN393240 MZJ393240 NJF393240 NTB393240 OCX393240 OMT393240 OWP393240 PGL393240 PQH393240 QAD393240 QJZ393240 QTV393240 RDR393240 RNN393240 RXJ393240 SHF393240 SRB393240 TAX393240 TKT393240 TUP393240 UEL393240 UOH393240 UYD393240 VHZ393240 VRV393240 WBR393240 WLN393240 WVJ393240 B458776 IX458776 ST458776 ACP458776 AML458776 AWH458776 BGD458776 BPZ458776 BZV458776 CJR458776 CTN458776 DDJ458776 DNF458776 DXB458776 EGX458776 EQT458776 FAP458776 FKL458776 FUH458776 GED458776 GNZ458776 GXV458776 HHR458776 HRN458776 IBJ458776 ILF458776 IVB458776 JEX458776 JOT458776 JYP458776 KIL458776 KSH458776 LCD458776 LLZ458776 LVV458776 MFR458776 MPN458776 MZJ458776 NJF458776 NTB458776 OCX458776 OMT458776 OWP458776 PGL458776 PQH458776 QAD458776 QJZ458776 QTV458776 RDR458776 RNN458776 RXJ458776 SHF458776 SRB458776 TAX458776 TKT458776 TUP458776 UEL458776 UOH458776 UYD458776 VHZ458776 VRV458776 WBR458776 WLN458776 WVJ458776 B524312 IX524312 ST524312 ACP524312 AML524312 AWH524312 BGD524312 BPZ524312 BZV524312 CJR524312 CTN524312 DDJ524312 DNF524312 DXB524312 EGX524312 EQT524312 FAP524312 FKL524312 FUH524312 GED524312 GNZ524312 GXV524312 HHR524312 HRN524312 IBJ524312 ILF524312 IVB524312 JEX524312 JOT524312 JYP524312 KIL524312 KSH524312 LCD524312 LLZ524312 LVV524312 MFR524312 MPN524312 MZJ524312 NJF524312 NTB524312 OCX524312 OMT524312 OWP524312 PGL524312 PQH524312 QAD524312 QJZ524312 QTV524312 RDR524312 RNN524312 RXJ524312 SHF524312 SRB524312 TAX524312 TKT524312 TUP524312 UEL524312 UOH524312 UYD524312 VHZ524312 VRV524312 WBR524312 WLN524312 WVJ524312 B589848 IX589848 ST589848 ACP589848 AML589848 AWH589848 BGD589848 BPZ589848 BZV589848 CJR589848 CTN589848 DDJ589848 DNF589848 DXB589848 EGX589848 EQT589848 FAP589848 FKL589848 FUH589848 GED589848 GNZ589848 GXV589848 HHR589848 HRN589848 IBJ589848 ILF589848 IVB589848 JEX589848 JOT589848 JYP589848 KIL589848 KSH589848 LCD589848 LLZ589848 LVV589848 MFR589848 MPN589848 MZJ589848 NJF589848 NTB589848 OCX589848 OMT589848 OWP589848 PGL589848 PQH589848 QAD589848 QJZ589848 QTV589848 RDR589848 RNN589848 RXJ589848 SHF589848 SRB589848 TAX589848 TKT589848 TUP589848 UEL589848 UOH589848 UYD589848 VHZ589848 VRV589848 WBR589848 WLN589848 WVJ589848 B655384 IX655384 ST655384 ACP655384 AML655384 AWH655384 BGD655384 BPZ655384 BZV655384 CJR655384 CTN655384 DDJ655384 DNF655384 DXB655384 EGX655384 EQT655384 FAP655384 FKL655384 FUH655384 GED655384 GNZ655384 GXV655384 HHR655384 HRN655384 IBJ655384 ILF655384 IVB655384 JEX655384 JOT655384 JYP655384 KIL655384 KSH655384 LCD655384 LLZ655384 LVV655384 MFR655384 MPN655384 MZJ655384 NJF655384 NTB655384 OCX655384 OMT655384 OWP655384 PGL655384 PQH655384 QAD655384 QJZ655384 QTV655384 RDR655384 RNN655384 RXJ655384 SHF655384 SRB655384 TAX655384 TKT655384 TUP655384 UEL655384 UOH655384 UYD655384 VHZ655384 VRV655384 WBR655384 WLN655384 WVJ655384 B720920 IX720920 ST720920 ACP720920 AML720920 AWH720920 BGD720920 BPZ720920 BZV720920 CJR720920 CTN720920 DDJ720920 DNF720920 DXB720920 EGX720920 EQT720920 FAP720920 FKL720920 FUH720920 GED720920 GNZ720920 GXV720920 HHR720920 HRN720920 IBJ720920 ILF720920 IVB720920 JEX720920 JOT720920 JYP720920 KIL720920 KSH720920 LCD720920 LLZ720920 LVV720920 MFR720920 MPN720920 MZJ720920 NJF720920 NTB720920 OCX720920 OMT720920 OWP720920 PGL720920 PQH720920 QAD720920 QJZ720920 QTV720920 RDR720920 RNN720920 RXJ720920 SHF720920 SRB720920 TAX720920 TKT720920 TUP720920 UEL720920 UOH720920 UYD720920 VHZ720920 VRV720920 WBR720920 WLN720920 WVJ720920 B786456 IX786456 ST786456 ACP786456 AML786456 AWH786456 BGD786456 BPZ786456 BZV786456 CJR786456 CTN786456 DDJ786456 DNF786456 DXB786456 EGX786456 EQT786456 FAP786456 FKL786456 FUH786456 GED786456 GNZ786456 GXV786456 HHR786456 HRN786456 IBJ786456 ILF786456 IVB786456 JEX786456 JOT786456 JYP786456 KIL786456 KSH786456 LCD786456 LLZ786456 LVV786456 MFR786456 MPN786456 MZJ786456 NJF786456 NTB786456 OCX786456 OMT786456 OWP786456 PGL786456 PQH786456 QAD786456 QJZ786456 QTV786456 RDR786456 RNN786456 RXJ786456 SHF786456 SRB786456 TAX786456 TKT786456 TUP786456 UEL786456 UOH786456 UYD786456 VHZ786456 VRV786456 WBR786456 WLN786456 WVJ786456 B851992 IX851992 ST851992 ACP851992 AML851992 AWH851992 BGD851992 BPZ851992 BZV851992 CJR851992 CTN851992 DDJ851992 DNF851992 DXB851992 EGX851992 EQT851992 FAP851992 FKL851992 FUH851992 GED851992 GNZ851992 GXV851992 HHR851992 HRN851992 IBJ851992 ILF851992 IVB851992 JEX851992 JOT851992 JYP851992 KIL851992 KSH851992 LCD851992 LLZ851992 LVV851992 MFR851992 MPN851992 MZJ851992 NJF851992 NTB851992 OCX851992 OMT851992 OWP851992 PGL851992 PQH851992 QAD851992 QJZ851992 QTV851992 RDR851992 RNN851992 RXJ851992 SHF851992 SRB851992 TAX851992 TKT851992 TUP851992 UEL851992 UOH851992 UYD851992 VHZ851992 VRV851992 WBR851992 WLN851992 WVJ851992 B917528 IX917528 ST917528 ACP917528 AML917528 AWH917528 BGD917528 BPZ917528 BZV917528 CJR917528 CTN917528 DDJ917528 DNF917528 DXB917528 EGX917528 EQT917528 FAP917528 FKL917528 FUH917528 GED917528 GNZ917528 GXV917528 HHR917528 HRN917528 IBJ917528 ILF917528 IVB917528 JEX917528 JOT917528 JYP917528 KIL917528 KSH917528 LCD917528 LLZ917528 LVV917528 MFR917528 MPN917528 MZJ917528 NJF917528 NTB917528 OCX917528 OMT917528 OWP917528 PGL917528 PQH917528 QAD917528 QJZ917528 QTV917528 RDR917528 RNN917528 RXJ917528 SHF917528 SRB917528 TAX917528 TKT917528 TUP917528 UEL917528 UOH917528 UYD917528 VHZ917528 VRV917528 WBR917528 WLN917528 WVJ917528 B983064 IX983064 ST983064 ACP983064 AML983064 AWH983064 BGD983064 BPZ983064 BZV983064 CJR983064 CTN983064 DDJ983064 DNF983064 DXB983064 EGX983064 EQT983064 FAP983064 FKL983064 FUH983064 GED983064 GNZ983064 GXV983064 HHR983064 HRN983064 IBJ983064 ILF983064 IVB983064 JEX983064 JOT983064 JYP983064 KIL983064 KSH983064 LCD983064 LLZ983064 LVV983064 MFR983064 MPN983064 MZJ983064 NJF983064 NTB983064 OCX983064 OMT983064 OWP983064 PGL983064 PQH983064 QAD983064 QJZ983064 QTV983064 RDR983064 RNN983064 RXJ983064 SHF983064 SRB983064 TAX983064 TKT983064 TUP983064 UEL983064 UOH983064 UYD983064 VHZ983064 VRV983064 WBR983064 WLN983064 WVJ983064 B22 IX22 ST22 ACP22 AML22 AWH22 BGD22 BPZ22 BZV22 CJR22 CTN22 DDJ22 DNF22 DXB22 EGX22 EQT22 FAP22 FKL22 FUH22 GED22 GNZ22 GXV22 HHR22 HRN22 IBJ22 ILF22 IVB22 JEX22 JOT22 JYP22 KIL22 KSH22 LCD22 LLZ22 LVV22 MFR22 MPN22 MZJ22 NJF22 NTB22 OCX22 OMT22 OWP22 PGL22 PQH22 QAD22 QJZ22 QTV22 RDR22 RNN22 RXJ22 SHF22 SRB22 TAX22 TKT22 TUP22 UEL22 UOH22 UYD22 VHZ22 VRV22 WBR22 WLN22 WVJ22 B65558 IX65558 ST65558 ACP65558 AML65558 AWH65558 BGD65558 BPZ65558 BZV65558 CJR65558 CTN65558 DDJ65558 DNF65558 DXB65558 EGX65558 EQT65558 FAP65558 FKL65558 FUH65558 GED65558 GNZ65558 GXV65558 HHR65558 HRN65558 IBJ65558 ILF65558 IVB65558 JEX65558 JOT65558 JYP65558 KIL65558 KSH65558 LCD65558 LLZ65558 LVV65558 MFR65558 MPN65558 MZJ65558 NJF65558 NTB65558 OCX65558 OMT65558 OWP65558 PGL65558 PQH65558 QAD65558 QJZ65558 QTV65558 RDR65558 RNN65558 RXJ65558 SHF65558 SRB65558 TAX65558 TKT65558 TUP65558 UEL65558 UOH65558 UYD65558 VHZ65558 VRV65558 WBR65558 WLN65558 WVJ65558 B131094 IX131094 ST131094 ACP131094 AML131094 AWH131094 BGD131094 BPZ131094 BZV131094 CJR131094 CTN131094 DDJ131094 DNF131094 DXB131094 EGX131094 EQT131094 FAP131094 FKL131094 FUH131094 GED131094 GNZ131094 GXV131094 HHR131094 HRN131094 IBJ131094 ILF131094 IVB131094 JEX131094 JOT131094 JYP131094 KIL131094 KSH131094 LCD131094 LLZ131094 LVV131094 MFR131094 MPN131094 MZJ131094 NJF131094 NTB131094 OCX131094 OMT131094 OWP131094 PGL131094 PQH131094 QAD131094 QJZ131094 QTV131094 RDR131094 RNN131094 RXJ131094 SHF131094 SRB131094 TAX131094 TKT131094 TUP131094 UEL131094 UOH131094 UYD131094 VHZ131094 VRV131094 WBR131094 WLN131094 WVJ131094 B196630 IX196630 ST196630 ACP196630 AML196630 AWH196630 BGD196630 BPZ196630 BZV196630 CJR196630 CTN196630 DDJ196630 DNF196630 DXB196630 EGX196630 EQT196630 FAP196630 FKL196630 FUH196630 GED196630 GNZ196630 GXV196630 HHR196630 HRN196630 IBJ196630 ILF196630 IVB196630 JEX196630 JOT196630 JYP196630 KIL196630 KSH196630 LCD196630 LLZ196630 LVV196630 MFR196630 MPN196630 MZJ196630 NJF196630 NTB196630 OCX196630 OMT196630 OWP196630 PGL196630 PQH196630 QAD196630 QJZ196630 QTV196630 RDR196630 RNN196630 RXJ196630 SHF196630 SRB196630 TAX196630 TKT196630 TUP196630 UEL196630 UOH196630 UYD196630 VHZ196630 VRV196630 WBR196630 WLN196630 WVJ196630 B262166 IX262166 ST262166 ACP262166 AML262166 AWH262166 BGD262166 BPZ262166 BZV262166 CJR262166 CTN262166 DDJ262166 DNF262166 DXB262166 EGX262166 EQT262166 FAP262166 FKL262166 FUH262166 GED262166 GNZ262166 GXV262166 HHR262166 HRN262166 IBJ262166 ILF262166 IVB262166 JEX262166 JOT262166 JYP262166 KIL262166 KSH262166 LCD262166 LLZ262166 LVV262166 MFR262166 MPN262166 MZJ262166 NJF262166 NTB262166 OCX262166 OMT262166 OWP262166 PGL262166 PQH262166 QAD262166 QJZ262166 QTV262166 RDR262166 RNN262166 RXJ262166 SHF262166 SRB262166 TAX262166 TKT262166 TUP262166 UEL262166 UOH262166 UYD262166 VHZ262166 VRV262166 WBR262166 WLN262166 WVJ262166 B327702 IX327702 ST327702 ACP327702 AML327702 AWH327702 BGD327702 BPZ327702 BZV327702 CJR327702 CTN327702 DDJ327702 DNF327702 DXB327702 EGX327702 EQT327702 FAP327702 FKL327702 FUH327702 GED327702 GNZ327702 GXV327702 HHR327702 HRN327702 IBJ327702 ILF327702 IVB327702 JEX327702 JOT327702 JYP327702 KIL327702 KSH327702 LCD327702 LLZ327702 LVV327702 MFR327702 MPN327702 MZJ327702 NJF327702 NTB327702 OCX327702 OMT327702 OWP327702 PGL327702 PQH327702 QAD327702 QJZ327702 QTV327702 RDR327702 RNN327702 RXJ327702 SHF327702 SRB327702 TAX327702 TKT327702 TUP327702 UEL327702 UOH327702 UYD327702 VHZ327702 VRV327702 WBR327702 WLN327702 WVJ327702 B393238 IX393238 ST393238 ACP393238 AML393238 AWH393238 BGD393238 BPZ393238 BZV393238 CJR393238 CTN393238 DDJ393238 DNF393238 DXB393238 EGX393238 EQT393238 FAP393238 FKL393238 FUH393238 GED393238 GNZ393238 GXV393238 HHR393238 HRN393238 IBJ393238 ILF393238 IVB393238 JEX393238 JOT393238 JYP393238 KIL393238 KSH393238 LCD393238 LLZ393238 LVV393238 MFR393238 MPN393238 MZJ393238 NJF393238 NTB393238 OCX393238 OMT393238 OWP393238 PGL393238 PQH393238 QAD393238 QJZ393238 QTV393238 RDR393238 RNN393238 RXJ393238 SHF393238 SRB393238 TAX393238 TKT393238 TUP393238 UEL393238 UOH393238 UYD393238 VHZ393238 VRV393238 WBR393238 WLN393238 WVJ393238 B458774 IX458774 ST458774 ACP458774 AML458774 AWH458774 BGD458774 BPZ458774 BZV458774 CJR458774 CTN458774 DDJ458774 DNF458774 DXB458774 EGX458774 EQT458774 FAP458774 FKL458774 FUH458774 GED458774 GNZ458774 GXV458774 HHR458774 HRN458774 IBJ458774 ILF458774 IVB458774 JEX458774 JOT458774 JYP458774 KIL458774 KSH458774 LCD458774 LLZ458774 LVV458774 MFR458774 MPN458774 MZJ458774 NJF458774 NTB458774 OCX458774 OMT458774 OWP458774 PGL458774 PQH458774 QAD458774 QJZ458774 QTV458774 RDR458774 RNN458774 RXJ458774 SHF458774 SRB458774 TAX458774 TKT458774 TUP458774 UEL458774 UOH458774 UYD458774 VHZ458774 VRV458774 WBR458774 WLN458774 WVJ458774 B524310 IX524310 ST524310 ACP524310 AML524310 AWH524310 BGD524310 BPZ524310 BZV524310 CJR524310 CTN524310 DDJ524310 DNF524310 DXB524310 EGX524310 EQT524310 FAP524310 FKL524310 FUH524310 GED524310 GNZ524310 GXV524310 HHR524310 HRN524310 IBJ524310 ILF524310 IVB524310 JEX524310 JOT524310 JYP524310 KIL524310 KSH524310 LCD524310 LLZ524310 LVV524310 MFR524310 MPN524310 MZJ524310 NJF524310 NTB524310 OCX524310 OMT524310 OWP524310 PGL524310 PQH524310 QAD524310 QJZ524310 QTV524310 RDR524310 RNN524310 RXJ524310 SHF524310 SRB524310 TAX524310 TKT524310 TUP524310 UEL524310 UOH524310 UYD524310 VHZ524310 VRV524310 WBR524310 WLN524310 WVJ524310 B589846 IX589846 ST589846 ACP589846 AML589846 AWH589846 BGD589846 BPZ589846 BZV589846 CJR589846 CTN589846 DDJ589846 DNF589846 DXB589846 EGX589846 EQT589846 FAP589846 FKL589846 FUH589846 GED589846 GNZ589846 GXV589846 HHR589846 HRN589846 IBJ589846 ILF589846 IVB589846 JEX589846 JOT589846 JYP589846 KIL589846 KSH589846 LCD589846 LLZ589846 LVV589846 MFR589846 MPN589846 MZJ589846 NJF589846 NTB589846 OCX589846 OMT589846 OWP589846 PGL589846 PQH589846 QAD589846 QJZ589846 QTV589846 RDR589846 RNN589846 RXJ589846 SHF589846 SRB589846 TAX589846 TKT589846 TUP589846 UEL589846 UOH589846 UYD589846 VHZ589846 VRV589846 WBR589846 WLN589846 WVJ589846 B655382 IX655382 ST655382 ACP655382 AML655382 AWH655382 BGD655382 BPZ655382 BZV655382 CJR655382 CTN655382 DDJ655382 DNF655382 DXB655382 EGX655382 EQT655382 FAP655382 FKL655382 FUH655382 GED655382 GNZ655382 GXV655382 HHR655382 HRN655382 IBJ655382 ILF655382 IVB655382 JEX655382 JOT655382 JYP655382 KIL655382 KSH655382 LCD655382 LLZ655382 LVV655382 MFR655382 MPN655382 MZJ655382 NJF655382 NTB655382 OCX655382 OMT655382 OWP655382 PGL655382 PQH655382 QAD655382 QJZ655382 QTV655382 RDR655382 RNN655382 RXJ655382 SHF655382 SRB655382 TAX655382 TKT655382 TUP655382 UEL655382 UOH655382 UYD655382 VHZ655382 VRV655382 WBR655382 WLN655382 WVJ655382 B720918 IX720918 ST720918 ACP720918 AML720918 AWH720918 BGD720918 BPZ720918 BZV720918 CJR720918 CTN720918 DDJ720918 DNF720918 DXB720918 EGX720918 EQT720918 FAP720918 FKL720918 FUH720918 GED720918 GNZ720918 GXV720918 HHR720918 HRN720918 IBJ720918 ILF720918 IVB720918 JEX720918 JOT720918 JYP720918 KIL720918 KSH720918 LCD720918 LLZ720918 LVV720918 MFR720918 MPN720918 MZJ720918 NJF720918 NTB720918 OCX720918 OMT720918 OWP720918 PGL720918 PQH720918 QAD720918 QJZ720918 QTV720918 RDR720918 RNN720918 RXJ720918 SHF720918 SRB720918 TAX720918 TKT720918 TUP720918 UEL720918 UOH720918 UYD720918 VHZ720918 VRV720918 WBR720918 WLN720918 WVJ720918 B786454 IX786454 ST786454 ACP786454 AML786454 AWH786454 BGD786454 BPZ786454 BZV786454 CJR786454 CTN786454 DDJ786454 DNF786454 DXB786454 EGX786454 EQT786454 FAP786454 FKL786454 FUH786454 GED786454 GNZ786454 GXV786454 HHR786454 HRN786454 IBJ786454 ILF786454 IVB786454 JEX786454 JOT786454 JYP786454 KIL786454 KSH786454 LCD786454 LLZ786454 LVV786454 MFR786454 MPN786454 MZJ786454 NJF786454 NTB786454 OCX786454 OMT786454 OWP786454 PGL786454 PQH786454 QAD786454 QJZ786454 QTV786454 RDR786454 RNN786454 RXJ786454 SHF786454 SRB786454 TAX786454 TKT786454 TUP786454 UEL786454 UOH786454 UYD786454 VHZ786454 VRV786454 WBR786454 WLN786454 WVJ786454 B851990 IX851990 ST851990 ACP851990 AML851990 AWH851990 BGD851990 BPZ851990 BZV851990 CJR851990 CTN851990 DDJ851990 DNF851990 DXB851990 EGX851990 EQT851990 FAP851990 FKL851990 FUH851990 GED851990 GNZ851990 GXV851990 HHR851990 HRN851990 IBJ851990 ILF851990 IVB851990 JEX851990 JOT851990 JYP851990 KIL851990 KSH851990 LCD851990 LLZ851990 LVV851990 MFR851990 MPN851990 MZJ851990 NJF851990 NTB851990 OCX851990 OMT851990 OWP851990 PGL851990 PQH851990 QAD851990 QJZ851990 QTV851990 RDR851990 RNN851990 RXJ851990 SHF851990 SRB851990 TAX851990 TKT851990 TUP851990 UEL851990 UOH851990 UYD851990 VHZ851990 VRV851990 WBR851990 WLN851990 WVJ851990 B917526 IX917526 ST917526 ACP917526 AML917526 AWH917526 BGD917526 BPZ917526 BZV917526 CJR917526 CTN917526 DDJ917526 DNF917526 DXB917526 EGX917526 EQT917526 FAP917526 FKL917526 FUH917526 GED917526 GNZ917526 GXV917526 HHR917526 HRN917526 IBJ917526 ILF917526 IVB917526 JEX917526 JOT917526 JYP917526 KIL917526 KSH917526 LCD917526 LLZ917526 LVV917526 MFR917526 MPN917526 MZJ917526 NJF917526 NTB917526 OCX917526 OMT917526 OWP917526 PGL917526 PQH917526 QAD917526 QJZ917526 QTV917526 RDR917526 RNN917526 RXJ917526 SHF917526 SRB917526 TAX917526 TKT917526 TUP917526 UEL917526 UOH917526 UYD917526 VHZ917526 VRV917526 WBR917526 WLN917526 WVJ917526 B983062 IX983062 ST983062 ACP983062 AML983062 AWH983062 BGD983062 BPZ983062 BZV983062 CJR983062 CTN983062 DDJ983062 DNF983062 DXB983062 EGX983062 EQT983062 FAP983062 FKL983062 FUH983062 GED983062 GNZ983062 GXV983062 HHR983062 HRN983062 IBJ983062 ILF983062 IVB983062 JEX983062 JOT983062 JYP983062 KIL983062 KSH983062 LCD983062 LLZ983062 LVV983062 MFR983062 MPN983062 MZJ983062 NJF983062 NTB983062 OCX983062 OMT983062 OWP983062 PGL983062 PQH983062 QAD983062 QJZ983062 QTV983062 RDR983062 RNN983062 RXJ983062 SHF983062 SRB983062 TAX983062 TKT983062 TUP983062 UEL983062 UOH983062 UYD983062 VHZ983062 VRV983062 WBR983062 WLN983062 WVJ983062 B28 IX28 ST28 ACP28 AML28 AWH28 BGD28 BPZ28 BZV28 CJR28 CTN28 DDJ28 DNF28 DXB28 EGX28 EQT28 FAP28 FKL28 FUH28 GED28 GNZ28 GXV28 HHR28 HRN28 IBJ28 ILF28 IVB28 JEX28 JOT28 JYP28 KIL28 KSH28 LCD28 LLZ28 LVV28 MFR28 MPN28 MZJ28 NJF28 NTB28 OCX28 OMT28 OWP28 PGL28 PQH28 QAD28 QJZ28 QTV28 RDR28 RNN28 RXJ28 SHF28 SRB28 TAX28 TKT28 TUP28 UEL28 UOH28 UYD28 VHZ28 VRV28 WBR28 WLN28 WVJ28 B65564 IX65564 ST65564 ACP65564 AML65564 AWH65564 BGD65564 BPZ65564 BZV65564 CJR65564 CTN65564 DDJ65564 DNF65564 DXB65564 EGX65564 EQT65564 FAP65564 FKL65564 FUH65564 GED65564 GNZ65564 GXV65564 HHR65564 HRN65564 IBJ65564 ILF65564 IVB65564 JEX65564 JOT65564 JYP65564 KIL65564 KSH65564 LCD65564 LLZ65564 LVV65564 MFR65564 MPN65564 MZJ65564 NJF65564 NTB65564 OCX65564 OMT65564 OWP65564 PGL65564 PQH65564 QAD65564 QJZ65564 QTV65564 RDR65564 RNN65564 RXJ65564 SHF65564 SRB65564 TAX65564 TKT65564 TUP65564 UEL65564 UOH65564 UYD65564 VHZ65564 VRV65564 WBR65564 WLN65564 WVJ65564 B131100 IX131100 ST131100 ACP131100 AML131100 AWH131100 BGD131100 BPZ131100 BZV131100 CJR131100 CTN131100 DDJ131100 DNF131100 DXB131100 EGX131100 EQT131100 FAP131100 FKL131100 FUH131100 GED131100 GNZ131100 GXV131100 HHR131100 HRN131100 IBJ131100 ILF131100 IVB131100 JEX131100 JOT131100 JYP131100 KIL131100 KSH131100 LCD131100 LLZ131100 LVV131100 MFR131100 MPN131100 MZJ131100 NJF131100 NTB131100 OCX131100 OMT131100 OWP131100 PGL131100 PQH131100 QAD131100 QJZ131100 QTV131100 RDR131100 RNN131100 RXJ131100 SHF131100 SRB131100 TAX131100 TKT131100 TUP131100 UEL131100 UOH131100 UYD131100 VHZ131100 VRV131100 WBR131100 WLN131100 WVJ131100 B196636 IX196636 ST196636 ACP196636 AML196636 AWH196636 BGD196636 BPZ196636 BZV196636 CJR196636 CTN196636 DDJ196636 DNF196636 DXB196636 EGX196636 EQT196636 FAP196636 FKL196636 FUH196636 GED196636 GNZ196636 GXV196636 HHR196636 HRN196636 IBJ196636 ILF196636 IVB196636 JEX196636 JOT196636 JYP196636 KIL196636 KSH196636 LCD196636 LLZ196636 LVV196636 MFR196636 MPN196636 MZJ196636 NJF196636 NTB196636 OCX196636 OMT196636 OWP196636 PGL196636 PQH196636 QAD196636 QJZ196636 QTV196636 RDR196636 RNN196636 RXJ196636 SHF196636 SRB196636 TAX196636 TKT196636 TUP196636 UEL196636 UOH196636 UYD196636 VHZ196636 VRV196636 WBR196636 WLN196636 WVJ196636 B262172 IX262172 ST262172 ACP262172 AML262172 AWH262172 BGD262172 BPZ262172 BZV262172 CJR262172 CTN262172 DDJ262172 DNF262172 DXB262172 EGX262172 EQT262172 FAP262172 FKL262172 FUH262172 GED262172 GNZ262172 GXV262172 HHR262172 HRN262172 IBJ262172 ILF262172 IVB262172 JEX262172 JOT262172 JYP262172 KIL262172 KSH262172 LCD262172 LLZ262172 LVV262172 MFR262172 MPN262172 MZJ262172 NJF262172 NTB262172 OCX262172 OMT262172 OWP262172 PGL262172 PQH262172 QAD262172 QJZ262172 QTV262172 RDR262172 RNN262172 RXJ262172 SHF262172 SRB262172 TAX262172 TKT262172 TUP262172 UEL262172 UOH262172 UYD262172 VHZ262172 VRV262172 WBR262172 WLN262172 WVJ262172 B327708 IX327708 ST327708 ACP327708 AML327708 AWH327708 BGD327708 BPZ327708 BZV327708 CJR327708 CTN327708 DDJ327708 DNF327708 DXB327708 EGX327708 EQT327708 FAP327708 FKL327708 FUH327708 GED327708 GNZ327708 GXV327708 HHR327708 HRN327708 IBJ327708 ILF327708 IVB327708 JEX327708 JOT327708 JYP327708 KIL327708 KSH327708 LCD327708 LLZ327708 LVV327708 MFR327708 MPN327708 MZJ327708 NJF327708 NTB327708 OCX327708 OMT327708 OWP327708 PGL327708 PQH327708 QAD327708 QJZ327708 QTV327708 RDR327708 RNN327708 RXJ327708 SHF327708 SRB327708 TAX327708 TKT327708 TUP327708 UEL327708 UOH327708 UYD327708 VHZ327708 VRV327708 WBR327708 WLN327708 WVJ327708 B393244 IX393244 ST393244 ACP393244 AML393244 AWH393244 BGD393244 BPZ393244 BZV393244 CJR393244 CTN393244 DDJ393244 DNF393244 DXB393244 EGX393244 EQT393244 FAP393244 FKL393244 FUH393244 GED393244 GNZ393244 GXV393244 HHR393244 HRN393244 IBJ393244 ILF393244 IVB393244 JEX393244 JOT393244 JYP393244 KIL393244 KSH393244 LCD393244 LLZ393244 LVV393244 MFR393244 MPN393244 MZJ393244 NJF393244 NTB393244 OCX393244 OMT393244 OWP393244 PGL393244 PQH393244 QAD393244 QJZ393244 QTV393244 RDR393244 RNN393244 RXJ393244 SHF393244 SRB393244 TAX393244 TKT393244 TUP393244 UEL393244 UOH393244 UYD393244 VHZ393244 VRV393244 WBR393244 WLN393244 WVJ393244 B458780 IX458780 ST458780 ACP458780 AML458780 AWH458780 BGD458780 BPZ458780 BZV458780 CJR458780 CTN458780 DDJ458780 DNF458780 DXB458780 EGX458780 EQT458780 FAP458780 FKL458780 FUH458780 GED458780 GNZ458780 GXV458780 HHR458780 HRN458780 IBJ458780 ILF458780 IVB458780 JEX458780 JOT458780 JYP458780 KIL458780 KSH458780 LCD458780 LLZ458780 LVV458780 MFR458780 MPN458780 MZJ458780 NJF458780 NTB458780 OCX458780 OMT458780 OWP458780 PGL458780 PQH458780 QAD458780 QJZ458780 QTV458780 RDR458780 RNN458780 RXJ458780 SHF458780 SRB458780 TAX458780 TKT458780 TUP458780 UEL458780 UOH458780 UYD458780 VHZ458780 VRV458780 WBR458780 WLN458780 WVJ458780 B524316 IX524316 ST524316 ACP524316 AML524316 AWH524316 BGD524316 BPZ524316 BZV524316 CJR524316 CTN524316 DDJ524316 DNF524316 DXB524316 EGX524316 EQT524316 FAP524316 FKL524316 FUH524316 GED524316 GNZ524316 GXV524316 HHR524316 HRN524316 IBJ524316 ILF524316 IVB524316 JEX524316 JOT524316 JYP524316 KIL524316 KSH524316 LCD524316 LLZ524316 LVV524316 MFR524316 MPN524316 MZJ524316 NJF524316 NTB524316 OCX524316 OMT524316 OWP524316 PGL524316 PQH524316 QAD524316 QJZ524316 QTV524316 RDR524316 RNN524316 RXJ524316 SHF524316 SRB524316 TAX524316 TKT524316 TUP524316 UEL524316 UOH524316 UYD524316 VHZ524316 VRV524316 WBR524316 WLN524316 WVJ524316 B589852 IX589852 ST589852 ACP589852 AML589852 AWH589852 BGD589852 BPZ589852 BZV589852 CJR589852 CTN589852 DDJ589852 DNF589852 DXB589852 EGX589852 EQT589852 FAP589852 FKL589852 FUH589852 GED589852 GNZ589852 GXV589852 HHR589852 HRN589852 IBJ589852 ILF589852 IVB589852 JEX589852 JOT589852 JYP589852 KIL589852 KSH589852 LCD589852 LLZ589852 LVV589852 MFR589852 MPN589852 MZJ589852 NJF589852 NTB589852 OCX589852 OMT589852 OWP589852 PGL589852 PQH589852 QAD589852 QJZ589852 QTV589852 RDR589852 RNN589852 RXJ589852 SHF589852 SRB589852 TAX589852 TKT589852 TUP589852 UEL589852 UOH589852 UYD589852 VHZ589852 VRV589852 WBR589852 WLN589852 WVJ589852 B655388 IX655388 ST655388 ACP655388 AML655388 AWH655388 BGD655388 BPZ655388 BZV655388 CJR655388 CTN655388 DDJ655388 DNF655388 DXB655388 EGX655388 EQT655388 FAP655388 FKL655388 FUH655388 GED655388 GNZ655388 GXV655388 HHR655388 HRN655388 IBJ655388 ILF655388 IVB655388 JEX655388 JOT655388 JYP655388 KIL655388 KSH655388 LCD655388 LLZ655388 LVV655388 MFR655388 MPN655388 MZJ655388 NJF655388 NTB655388 OCX655388 OMT655388 OWP655388 PGL655388 PQH655388 QAD655388 QJZ655388 QTV655388 RDR655388 RNN655388 RXJ655388 SHF655388 SRB655388 TAX655388 TKT655388 TUP655388 UEL655388 UOH655388 UYD655388 VHZ655388 VRV655388 WBR655388 WLN655388 WVJ655388 B720924 IX720924 ST720924 ACP720924 AML720924 AWH720924 BGD720924 BPZ720924 BZV720924 CJR720924 CTN720924 DDJ720924 DNF720924 DXB720924 EGX720924 EQT720924 FAP720924 FKL720924 FUH720924 GED720924 GNZ720924 GXV720924 HHR720924 HRN720924 IBJ720924 ILF720924 IVB720924 JEX720924 JOT720924 JYP720924 KIL720924 KSH720924 LCD720924 LLZ720924 LVV720924 MFR720924 MPN720924 MZJ720924 NJF720924 NTB720924 OCX720924 OMT720924 OWP720924 PGL720924 PQH720924 QAD720924 QJZ720924 QTV720924 RDR720924 RNN720924 RXJ720924 SHF720924 SRB720924 TAX720924 TKT720924 TUP720924 UEL720924 UOH720924 UYD720924 VHZ720924 VRV720924 WBR720924 WLN720924 WVJ720924 B786460 IX786460 ST786460 ACP786460 AML786460 AWH786460 BGD786460 BPZ786460 BZV786460 CJR786460 CTN786460 DDJ786460 DNF786460 DXB786460 EGX786460 EQT786460 FAP786460 FKL786460 FUH786460 GED786460 GNZ786460 GXV786460 HHR786460 HRN786460 IBJ786460 ILF786460 IVB786460 JEX786460 JOT786460 JYP786460 KIL786460 KSH786460 LCD786460 LLZ786460 LVV786460 MFR786460 MPN786460 MZJ786460 NJF786460 NTB786460 OCX786460 OMT786460 OWP786460 PGL786460 PQH786460 QAD786460 QJZ786460 QTV786460 RDR786460 RNN786460 RXJ786460 SHF786460 SRB786460 TAX786460 TKT786460 TUP786460 UEL786460 UOH786460 UYD786460 VHZ786460 VRV786460 WBR786460 WLN786460 WVJ786460 B851996 IX851996 ST851996 ACP851996 AML851996 AWH851996 BGD851996 BPZ851996 BZV851996 CJR851996 CTN851996 DDJ851996 DNF851996 DXB851996 EGX851996 EQT851996 FAP851996 FKL851996 FUH851996 GED851996 GNZ851996 GXV851996 HHR851996 HRN851996 IBJ851996 ILF851996 IVB851996 JEX851996 JOT851996 JYP851996 KIL851996 KSH851996 LCD851996 LLZ851996 LVV851996 MFR851996 MPN851996 MZJ851996 NJF851996 NTB851996 OCX851996 OMT851996 OWP851996 PGL851996 PQH851996 QAD851996 QJZ851996 QTV851996 RDR851996 RNN851996 RXJ851996 SHF851996 SRB851996 TAX851996 TKT851996 TUP851996 UEL851996 UOH851996 UYD851996 VHZ851996 VRV851996 WBR851996 WLN851996 WVJ851996 B917532 IX917532 ST917532 ACP917532 AML917532 AWH917532 BGD917532 BPZ917532 BZV917532 CJR917532 CTN917532 DDJ917532 DNF917532 DXB917532 EGX917532 EQT917532 FAP917532 FKL917532 FUH917532 GED917532 GNZ917532 GXV917532 HHR917532 HRN917532 IBJ917532 ILF917532 IVB917532 JEX917532 JOT917532 JYP917532 KIL917532 KSH917532 LCD917532 LLZ917532 LVV917532 MFR917532 MPN917532 MZJ917532 NJF917532 NTB917532 OCX917532 OMT917532 OWP917532 PGL917532 PQH917532 QAD917532 QJZ917532 QTV917532 RDR917532 RNN917532 RXJ917532 SHF917532 SRB917532 TAX917532 TKT917532 TUP917532 UEL917532 UOH917532 UYD917532 VHZ917532 VRV917532 WBR917532 WLN917532 WVJ917532 B983068 IX983068 ST983068 ACP983068 AML983068 AWH983068 BGD983068 BPZ983068 BZV983068 CJR983068 CTN983068 DDJ983068 DNF983068 DXB983068 EGX983068 EQT983068 FAP983068 FKL983068 FUH983068 GED983068 GNZ983068 GXV983068 HHR983068 HRN983068 IBJ983068 ILF983068 IVB983068 JEX983068 JOT983068 JYP983068 KIL983068 KSH983068 LCD983068 LLZ983068 LVV983068 MFR983068 MPN983068 MZJ983068 NJF983068 NTB983068 OCX983068 OMT983068 OWP983068 PGL983068 PQH983068 QAD983068 QJZ983068 QTV983068 RDR983068 RNN983068 RXJ983068 SHF983068 SRB983068 TAX983068 TKT983068 TUP983068 UEL983068 UOH983068 UYD983068 VHZ983068 VRV983068 WBR983068 WLN983068 WVJ983068 B30 IX30 ST30 ACP30 AML30 AWH30 BGD30 BPZ30 BZV30 CJR30 CTN30 DDJ30 DNF30 DXB30 EGX30 EQT30 FAP30 FKL30 FUH30 GED30 GNZ30 GXV30 HHR30 HRN30 IBJ30 ILF30 IVB30 JEX30 JOT30 JYP30 KIL30 KSH30 LCD30 LLZ30 LVV30 MFR30 MPN30 MZJ30 NJF30 NTB30 OCX30 OMT30 OWP30 PGL30 PQH30 QAD30 QJZ30 QTV30 RDR30 RNN30 RXJ30 SHF30 SRB30 TAX30 TKT30 TUP30 UEL30 UOH30 UYD30 VHZ30 VRV30 WBR30 WLN30 WVJ30 B65566 IX65566 ST65566 ACP65566 AML65566 AWH65566 BGD65566 BPZ65566 BZV65566 CJR65566 CTN65566 DDJ65566 DNF65566 DXB65566 EGX65566 EQT65566 FAP65566 FKL65566 FUH65566 GED65566 GNZ65566 GXV65566 HHR65566 HRN65566 IBJ65566 ILF65566 IVB65566 JEX65566 JOT65566 JYP65566 KIL65566 KSH65566 LCD65566 LLZ65566 LVV65566 MFR65566 MPN65566 MZJ65566 NJF65566 NTB65566 OCX65566 OMT65566 OWP65566 PGL65566 PQH65566 QAD65566 QJZ65566 QTV65566 RDR65566 RNN65566 RXJ65566 SHF65566 SRB65566 TAX65566 TKT65566 TUP65566 UEL65566 UOH65566 UYD65566 VHZ65566 VRV65566 WBR65566 WLN65566 WVJ65566 B131102 IX131102 ST131102 ACP131102 AML131102 AWH131102 BGD131102 BPZ131102 BZV131102 CJR131102 CTN131102 DDJ131102 DNF131102 DXB131102 EGX131102 EQT131102 FAP131102 FKL131102 FUH131102 GED131102 GNZ131102 GXV131102 HHR131102 HRN131102 IBJ131102 ILF131102 IVB131102 JEX131102 JOT131102 JYP131102 KIL131102 KSH131102 LCD131102 LLZ131102 LVV131102 MFR131102 MPN131102 MZJ131102 NJF131102 NTB131102 OCX131102 OMT131102 OWP131102 PGL131102 PQH131102 QAD131102 QJZ131102 QTV131102 RDR131102 RNN131102 RXJ131102 SHF131102 SRB131102 TAX131102 TKT131102 TUP131102 UEL131102 UOH131102 UYD131102 VHZ131102 VRV131102 WBR131102 WLN131102 WVJ131102 B196638 IX196638 ST196638 ACP196638 AML196638 AWH196638 BGD196638 BPZ196638 BZV196638 CJR196638 CTN196638 DDJ196638 DNF196638 DXB196638 EGX196638 EQT196638 FAP196638 FKL196638 FUH196638 GED196638 GNZ196638 GXV196638 HHR196638 HRN196638 IBJ196638 ILF196638 IVB196638 JEX196638 JOT196638 JYP196638 KIL196638 KSH196638 LCD196638 LLZ196638 LVV196638 MFR196638 MPN196638 MZJ196638 NJF196638 NTB196638 OCX196638 OMT196638 OWP196638 PGL196638 PQH196638 QAD196638 QJZ196638 QTV196638 RDR196638 RNN196638 RXJ196638 SHF196638 SRB196638 TAX196638 TKT196638 TUP196638 UEL196638 UOH196638 UYD196638 VHZ196638 VRV196638 WBR196638 WLN196638 WVJ196638 B262174 IX262174 ST262174 ACP262174 AML262174 AWH262174 BGD262174 BPZ262174 BZV262174 CJR262174 CTN262174 DDJ262174 DNF262174 DXB262174 EGX262174 EQT262174 FAP262174 FKL262174 FUH262174 GED262174 GNZ262174 GXV262174 HHR262174 HRN262174 IBJ262174 ILF262174 IVB262174 JEX262174 JOT262174 JYP262174 KIL262174 KSH262174 LCD262174 LLZ262174 LVV262174 MFR262174 MPN262174 MZJ262174 NJF262174 NTB262174 OCX262174 OMT262174 OWP262174 PGL262174 PQH262174 QAD262174 QJZ262174 QTV262174 RDR262174 RNN262174 RXJ262174 SHF262174 SRB262174 TAX262174 TKT262174 TUP262174 UEL262174 UOH262174 UYD262174 VHZ262174 VRV262174 WBR262174 WLN262174 WVJ262174 B327710 IX327710 ST327710 ACP327710 AML327710 AWH327710 BGD327710 BPZ327710 BZV327710 CJR327710 CTN327710 DDJ327710 DNF327710 DXB327710 EGX327710 EQT327710 FAP327710 FKL327710 FUH327710 GED327710 GNZ327710 GXV327710 HHR327710 HRN327710 IBJ327710 ILF327710 IVB327710 JEX327710 JOT327710 JYP327710 KIL327710 KSH327710 LCD327710 LLZ327710 LVV327710 MFR327710 MPN327710 MZJ327710 NJF327710 NTB327710 OCX327710 OMT327710 OWP327710 PGL327710 PQH327710 QAD327710 QJZ327710 QTV327710 RDR327710 RNN327710 RXJ327710 SHF327710 SRB327710 TAX327710 TKT327710 TUP327710 UEL327710 UOH327710 UYD327710 VHZ327710 VRV327710 WBR327710 WLN327710 WVJ327710 B393246 IX393246 ST393246 ACP393246 AML393246 AWH393246 BGD393246 BPZ393246 BZV393246 CJR393246 CTN393246 DDJ393246 DNF393246 DXB393246 EGX393246 EQT393246 FAP393246 FKL393246 FUH393246 GED393246 GNZ393246 GXV393246 HHR393246 HRN393246 IBJ393246 ILF393246 IVB393246 JEX393246 JOT393246 JYP393246 KIL393246 KSH393246 LCD393246 LLZ393246 LVV393246 MFR393246 MPN393246 MZJ393246 NJF393246 NTB393246 OCX393246 OMT393246 OWP393246 PGL393246 PQH393246 QAD393246 QJZ393246 QTV393246 RDR393246 RNN393246 RXJ393246 SHF393246 SRB393246 TAX393246 TKT393246 TUP393246 UEL393246 UOH393246 UYD393246 VHZ393246 VRV393246 WBR393246 WLN393246 WVJ393246 B458782 IX458782 ST458782 ACP458782 AML458782 AWH458782 BGD458782 BPZ458782 BZV458782 CJR458782 CTN458782 DDJ458782 DNF458782 DXB458782 EGX458782 EQT458782 FAP458782 FKL458782 FUH458782 GED458782 GNZ458782 GXV458782 HHR458782 HRN458782 IBJ458782 ILF458782 IVB458782 JEX458782 JOT458782 JYP458782 KIL458782 KSH458782 LCD458782 LLZ458782 LVV458782 MFR458782 MPN458782 MZJ458782 NJF458782 NTB458782 OCX458782 OMT458782 OWP458782 PGL458782 PQH458782 QAD458782 QJZ458782 QTV458782 RDR458782 RNN458782 RXJ458782 SHF458782 SRB458782 TAX458782 TKT458782 TUP458782 UEL458782 UOH458782 UYD458782 VHZ458782 VRV458782 WBR458782 WLN458782 WVJ458782 B524318 IX524318 ST524318 ACP524318 AML524318 AWH524318 BGD524318 BPZ524318 BZV524318 CJR524318 CTN524318 DDJ524318 DNF524318 DXB524318 EGX524318 EQT524318 FAP524318 FKL524318 FUH524318 GED524318 GNZ524318 GXV524318 HHR524318 HRN524318 IBJ524318 ILF524318 IVB524318 JEX524318 JOT524318 JYP524318 KIL524318 KSH524318 LCD524318 LLZ524318 LVV524318 MFR524318 MPN524318 MZJ524318 NJF524318 NTB524318 OCX524318 OMT524318 OWP524318 PGL524318 PQH524318 QAD524318 QJZ524318 QTV524318 RDR524318 RNN524318 RXJ524318 SHF524318 SRB524318 TAX524318 TKT524318 TUP524318 UEL524318 UOH524318 UYD524318 VHZ524318 VRV524318 WBR524318 WLN524318 WVJ524318 B589854 IX589854 ST589854 ACP589854 AML589854 AWH589854 BGD589854 BPZ589854 BZV589854 CJR589854 CTN589854 DDJ589854 DNF589854 DXB589854 EGX589854 EQT589854 FAP589854 FKL589854 FUH589854 GED589854 GNZ589854 GXV589854 HHR589854 HRN589854 IBJ589854 ILF589854 IVB589854 JEX589854 JOT589854 JYP589854 KIL589854 KSH589854 LCD589854 LLZ589854 LVV589854 MFR589854 MPN589854 MZJ589854 NJF589854 NTB589854 OCX589854 OMT589854 OWP589854 PGL589854 PQH589854 QAD589854 QJZ589854 QTV589854 RDR589854 RNN589854 RXJ589854 SHF589854 SRB589854 TAX589854 TKT589854 TUP589854 UEL589854 UOH589854 UYD589854 VHZ589854 VRV589854 WBR589854 WLN589854 WVJ589854 B655390 IX655390 ST655390 ACP655390 AML655390 AWH655390 BGD655390 BPZ655390 BZV655390 CJR655390 CTN655390 DDJ655390 DNF655390 DXB655390 EGX655390 EQT655390 FAP655390 FKL655390 FUH655390 GED655390 GNZ655390 GXV655390 HHR655390 HRN655390 IBJ655390 ILF655390 IVB655390 JEX655390 JOT655390 JYP655390 KIL655390 KSH655390 LCD655390 LLZ655390 LVV655390 MFR655390 MPN655390 MZJ655390 NJF655390 NTB655390 OCX655390 OMT655390 OWP655390 PGL655390 PQH655390 QAD655390 QJZ655390 QTV655390 RDR655390 RNN655390 RXJ655390 SHF655390 SRB655390 TAX655390 TKT655390 TUP655390 UEL655390 UOH655390 UYD655390 VHZ655390 VRV655390 WBR655390 WLN655390 WVJ655390 B720926 IX720926 ST720926 ACP720926 AML720926 AWH720926 BGD720926 BPZ720926 BZV720926 CJR720926 CTN720926 DDJ720926 DNF720926 DXB720926 EGX720926 EQT720926 FAP720926 FKL720926 FUH720926 GED720926 GNZ720926 GXV720926 HHR720926 HRN720926 IBJ720926 ILF720926 IVB720926 JEX720926 JOT720926 JYP720926 KIL720926 KSH720926 LCD720926 LLZ720926 LVV720926 MFR720926 MPN720926 MZJ720926 NJF720926 NTB720926 OCX720926 OMT720926 OWP720926 PGL720926 PQH720926 QAD720926 QJZ720926 QTV720926 RDR720926 RNN720926 RXJ720926 SHF720926 SRB720926 TAX720926 TKT720926 TUP720926 UEL720926 UOH720926 UYD720926 VHZ720926 VRV720926 WBR720926 WLN720926 WVJ720926 B786462 IX786462 ST786462 ACP786462 AML786462 AWH786462 BGD786462 BPZ786462 BZV786462 CJR786462 CTN786462 DDJ786462 DNF786462 DXB786462 EGX786462 EQT786462 FAP786462 FKL786462 FUH786462 GED786462 GNZ786462 GXV786462 HHR786462 HRN786462 IBJ786462 ILF786462 IVB786462 JEX786462 JOT786462 JYP786462 KIL786462 KSH786462 LCD786462 LLZ786462 LVV786462 MFR786462 MPN786462 MZJ786462 NJF786462 NTB786462 OCX786462 OMT786462 OWP786462 PGL786462 PQH786462 QAD786462 QJZ786462 QTV786462 RDR786462 RNN786462 RXJ786462 SHF786462 SRB786462 TAX786462 TKT786462 TUP786462 UEL786462 UOH786462 UYD786462 VHZ786462 VRV786462 WBR786462 WLN786462 WVJ786462 B851998 IX851998 ST851998 ACP851998 AML851998 AWH851998 BGD851998 BPZ851998 BZV851998 CJR851998 CTN851998 DDJ851998 DNF851998 DXB851998 EGX851998 EQT851998 FAP851998 FKL851998 FUH851998 GED851998 GNZ851998 GXV851998 HHR851998 HRN851998 IBJ851998 ILF851998 IVB851998 JEX851998 JOT851998 JYP851998 KIL851998 KSH851998 LCD851998 LLZ851998 LVV851998 MFR851998 MPN851998 MZJ851998 NJF851998 NTB851998 OCX851998 OMT851998 OWP851998 PGL851998 PQH851998 QAD851998 QJZ851998 QTV851998 RDR851998 RNN851998 RXJ851998 SHF851998 SRB851998 TAX851998 TKT851998 TUP851998 UEL851998 UOH851998 UYD851998 VHZ851998 VRV851998 WBR851998 WLN851998 WVJ851998 B917534 IX917534 ST917534 ACP917534 AML917534 AWH917534 BGD917534 BPZ917534 BZV917534 CJR917534 CTN917534 DDJ917534 DNF917534 DXB917534 EGX917534 EQT917534 FAP917534 FKL917534 FUH917534 GED917534 GNZ917534 GXV917534 HHR917534 HRN917534 IBJ917534 ILF917534 IVB917534 JEX917534 JOT917534 JYP917534 KIL917534 KSH917534 LCD917534 LLZ917534 LVV917534 MFR917534 MPN917534 MZJ917534 NJF917534 NTB917534 OCX917534 OMT917534 OWP917534 PGL917534 PQH917534 QAD917534 QJZ917534 QTV917534 RDR917534 RNN917534 RXJ917534 SHF917534 SRB917534 TAX917534 TKT917534 TUP917534 UEL917534 UOH917534 UYD917534 VHZ917534 VRV917534 WBR917534 WLN917534 WVJ917534 B983070 IX983070 ST983070 ACP983070 AML983070 AWH983070 BGD983070 BPZ983070 BZV983070 CJR983070 CTN983070 DDJ983070 DNF983070 DXB983070 EGX983070 EQT983070 FAP983070 FKL983070 FUH983070 GED983070 GNZ983070 GXV983070 HHR983070 HRN983070 IBJ983070 ILF983070 IVB983070 JEX983070 JOT983070 JYP983070 KIL983070 KSH983070 LCD983070 LLZ983070 LVV983070 MFR983070 MPN983070 MZJ983070 NJF983070 NTB983070 OCX983070 OMT983070 OWP983070 PGL983070 PQH983070 QAD983070 QJZ983070 QTV983070 RDR983070 RNN983070 RXJ983070 SHF983070 SRB983070 TAX983070 TKT983070 TUP983070 UEL983070 UOH983070 UYD983070 VHZ983070 VRV983070 WBR983070 WLN983070 WVJ983070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7"/>
  <sheetViews>
    <sheetView workbookViewId="0"/>
  </sheetViews>
  <sheetFormatPr defaultRowHeight="13.5"/>
  <cols>
    <col min="1" max="1" width="26.125" customWidth="1"/>
    <col min="3" max="3" width="13.625" customWidth="1"/>
    <col min="8" max="8" width="17.625" customWidth="1"/>
    <col min="12" max="12" width="9.125" bestFit="1" customWidth="1"/>
  </cols>
  <sheetData>
    <row r="1" spans="1:12">
      <c r="A1" s="84" t="s">
        <v>87</v>
      </c>
      <c r="B1" s="88" t="s">
        <v>0</v>
      </c>
      <c r="C1" s="88" t="s">
        <v>83</v>
      </c>
      <c r="D1" s="89" t="s">
        <v>88</v>
      </c>
      <c r="E1" s="89" t="s">
        <v>89</v>
      </c>
      <c r="F1" s="90" t="s">
        <v>90</v>
      </c>
      <c r="H1" s="91" t="s">
        <v>91</v>
      </c>
      <c r="I1" s="85">
        <v>2011</v>
      </c>
      <c r="J1" s="85">
        <v>2012</v>
      </c>
      <c r="K1" s="85">
        <v>2013</v>
      </c>
      <c r="L1" s="92" t="s">
        <v>92</v>
      </c>
    </row>
    <row r="2" spans="1:12">
      <c r="A2" s="86" t="s">
        <v>10</v>
      </c>
      <c r="B2" s="93" t="e">
        <f>#REF!</f>
        <v>#REF!</v>
      </c>
      <c r="C2" s="93" t="e">
        <f>#REF!</f>
        <v>#REF!</v>
      </c>
      <c r="D2" s="93" t="e">
        <f>C2*(1+D3)</f>
        <v>#REF!</v>
      </c>
      <c r="E2" s="93" t="e">
        <f>D2*(1+E3)</f>
        <v>#REF!</v>
      </c>
      <c r="F2" s="94" t="e">
        <f>E2*(1+F3)</f>
        <v>#REF!</v>
      </c>
      <c r="H2" s="86" t="s">
        <v>93</v>
      </c>
      <c r="I2" s="95"/>
      <c r="J2" s="95" t="e">
        <f>#REF!</f>
        <v>#REF!</v>
      </c>
      <c r="K2" s="95" t="e">
        <f>#REF!</f>
        <v>#REF!</v>
      </c>
      <c r="L2" s="96"/>
    </row>
    <row r="3" spans="1:12">
      <c r="A3" s="97" t="s">
        <v>94</v>
      </c>
      <c r="B3" s="98" t="e">
        <f>#REF!</f>
        <v>#REF!</v>
      </c>
      <c r="C3" s="98" t="e">
        <f>C2/B2-1</f>
        <v>#REF!</v>
      </c>
      <c r="D3" s="98">
        <f>B36</f>
        <v>0.2</v>
      </c>
      <c r="E3" s="98">
        <f>D3</f>
        <v>0.2</v>
      </c>
      <c r="F3" s="99">
        <f>E3</f>
        <v>0.2</v>
      </c>
      <c r="H3" s="86" t="s">
        <v>95</v>
      </c>
      <c r="I3" s="95" t="e">
        <f>I11/I10</f>
        <v>#REF!</v>
      </c>
      <c r="J3" s="95" t="e">
        <f>J11/J10</f>
        <v>#REF!</v>
      </c>
      <c r="K3" s="95" t="e">
        <f>K11/K10</f>
        <v>#REF!</v>
      </c>
      <c r="L3" s="96" t="e">
        <f>L11/L10</f>
        <v>#REF!</v>
      </c>
    </row>
    <row r="4" spans="1:12">
      <c r="A4" s="86" t="s">
        <v>96</v>
      </c>
      <c r="B4" s="93" t="e">
        <f>B2*B5</f>
        <v>#REF!</v>
      </c>
      <c r="C4" s="93" t="e">
        <f>C2*C5</f>
        <v>#REF!</v>
      </c>
      <c r="D4" s="93" t="e">
        <f>D2*D5</f>
        <v>#REF!</v>
      </c>
      <c r="E4" s="93" t="e">
        <f>E2*E5</f>
        <v>#REF!</v>
      </c>
      <c r="F4" s="94" t="e">
        <f>F2*F5</f>
        <v>#REF!</v>
      </c>
      <c r="H4" s="86" t="s">
        <v>97</v>
      </c>
      <c r="I4" s="95" t="e">
        <f>I12/I10</f>
        <v>#REF!</v>
      </c>
      <c r="J4" s="95" t="e">
        <f>J12/J10</f>
        <v>#REF!</v>
      </c>
      <c r="K4" s="95" t="e">
        <f>K12/K10</f>
        <v>#REF!</v>
      </c>
      <c r="L4" s="96" t="e">
        <f>L12/L10</f>
        <v>#REF!</v>
      </c>
    </row>
    <row r="5" spans="1:12">
      <c r="A5" s="97" t="s">
        <v>95</v>
      </c>
      <c r="B5" s="98">
        <v>0.1</v>
      </c>
      <c r="C5" s="98">
        <f>B5</f>
        <v>0.1</v>
      </c>
      <c r="D5" s="98">
        <f>C5</f>
        <v>0.1</v>
      </c>
      <c r="E5" s="98">
        <f>D5</f>
        <v>0.1</v>
      </c>
      <c r="F5" s="99">
        <v>0.2</v>
      </c>
      <c r="H5" s="86" t="s">
        <v>98</v>
      </c>
      <c r="I5" s="95" t="e">
        <f>I13/I10</f>
        <v>#REF!</v>
      </c>
      <c r="J5" s="95" t="e">
        <f>J13/J10</f>
        <v>#REF!</v>
      </c>
      <c r="K5" s="95" t="e">
        <f>K13/K10</f>
        <v>#REF!</v>
      </c>
      <c r="L5" s="96" t="e">
        <f>L13/L10</f>
        <v>#REF!</v>
      </c>
    </row>
    <row r="6" spans="1:12">
      <c r="A6" s="86" t="s">
        <v>99</v>
      </c>
      <c r="B6" s="93" t="e">
        <f>B2*B7</f>
        <v>#REF!</v>
      </c>
      <c r="C6" s="93" t="e">
        <f>C2*C7</f>
        <v>#REF!</v>
      </c>
      <c r="D6" s="93" t="e">
        <f>D2*D7</f>
        <v>#REF!</v>
      </c>
      <c r="E6" s="93" t="e">
        <f>E2*E7</f>
        <v>#REF!</v>
      </c>
      <c r="F6" s="94" t="e">
        <f>F2*F7</f>
        <v>#REF!</v>
      </c>
      <c r="H6" s="86" t="s">
        <v>82</v>
      </c>
      <c r="I6" s="95" t="e">
        <f>I14/I10</f>
        <v>#REF!</v>
      </c>
      <c r="J6" s="95" t="e">
        <f>J14/J10</f>
        <v>#REF!</v>
      </c>
      <c r="K6" s="95" t="e">
        <f>K14/K10</f>
        <v>#REF!</v>
      </c>
      <c r="L6" s="96" t="e">
        <f>L14/L10</f>
        <v>#REF!</v>
      </c>
    </row>
    <row r="7" spans="1:12">
      <c r="A7" s="97" t="s">
        <v>100</v>
      </c>
      <c r="B7" s="98">
        <v>0.06</v>
      </c>
      <c r="C7" s="98">
        <v>0.05</v>
      </c>
      <c r="D7" s="98">
        <v>4.2000000000000003E-2</v>
      </c>
      <c r="E7" s="98">
        <v>3.5000000000000003E-2</v>
      </c>
      <c r="F7" s="99">
        <v>0.03</v>
      </c>
      <c r="H7" s="100" t="s">
        <v>66</v>
      </c>
      <c r="I7" s="101" t="e">
        <f>I14/I15</f>
        <v>#REF!</v>
      </c>
      <c r="J7" s="101" t="e">
        <f>J14/J15</f>
        <v>#REF!</v>
      </c>
      <c r="K7" s="101" t="e">
        <f>K14/K15</f>
        <v>#REF!</v>
      </c>
      <c r="L7" s="101" t="e">
        <f>L14/L15</f>
        <v>#REF!</v>
      </c>
    </row>
    <row r="8" spans="1:12">
      <c r="A8" s="86" t="s">
        <v>5</v>
      </c>
      <c r="B8" s="82" t="e">
        <f>B4-B6</f>
        <v>#REF!</v>
      </c>
      <c r="C8" s="82" t="e">
        <f>C4-C6</f>
        <v>#REF!</v>
      </c>
      <c r="D8" s="82" t="e">
        <f>D4-D6</f>
        <v>#REF!</v>
      </c>
      <c r="E8" s="82" t="e">
        <f>E4-E6</f>
        <v>#REF!</v>
      </c>
      <c r="F8" s="102" t="e">
        <f>F4-F6</f>
        <v>#REF!</v>
      </c>
    </row>
    <row r="9" spans="1:12">
      <c r="A9" s="86"/>
      <c r="F9" s="103"/>
      <c r="H9" s="104" t="s">
        <v>101</v>
      </c>
      <c r="I9" s="105">
        <v>2011</v>
      </c>
      <c r="J9" s="105">
        <v>2012</v>
      </c>
      <c r="K9" s="105">
        <v>2013</v>
      </c>
      <c r="L9" s="106" t="s">
        <v>92</v>
      </c>
    </row>
    <row r="10" spans="1:12">
      <c r="A10" s="86" t="s">
        <v>102</v>
      </c>
      <c r="B10">
        <v>1</v>
      </c>
      <c r="C10">
        <v>2</v>
      </c>
      <c r="D10">
        <v>3</v>
      </c>
      <c r="E10">
        <v>4</v>
      </c>
      <c r="F10" s="103">
        <v>5</v>
      </c>
      <c r="H10" s="86" t="s">
        <v>10</v>
      </c>
      <c r="I10" s="107" t="e">
        <f>#REF!</f>
        <v>#REF!</v>
      </c>
      <c r="J10" s="107" t="e">
        <f>#REF!</f>
        <v>#REF!</v>
      </c>
      <c r="K10" s="107" t="e">
        <f>#REF!</f>
        <v>#REF!</v>
      </c>
      <c r="L10" s="108" t="e">
        <f>SUM(I10:K10)</f>
        <v>#REF!</v>
      </c>
    </row>
    <row r="11" spans="1:12">
      <c r="A11" s="86" t="s">
        <v>103</v>
      </c>
      <c r="B11" s="82" t="e">
        <f>B8/((1+$B$37)^B10)</f>
        <v>#REF!</v>
      </c>
      <c r="C11" s="82" t="e">
        <f>C8/((1+$B$37)^C10)</f>
        <v>#REF!</v>
      </c>
      <c r="D11" s="82" t="e">
        <f>D8/((1+$B$37)^D10)</f>
        <v>#REF!</v>
      </c>
      <c r="E11" s="82" t="e">
        <f>E8/((1+$B$37)^E10)</f>
        <v>#REF!</v>
      </c>
      <c r="F11" s="102" t="e">
        <f>F8/((1+$B$37)^F10)</f>
        <v>#REF!</v>
      </c>
      <c r="H11" s="86" t="s">
        <v>96</v>
      </c>
      <c r="I11" s="107" t="e">
        <f>#REF!</f>
        <v>#REF!</v>
      </c>
      <c r="J11" s="107" t="e">
        <f>#REF!</f>
        <v>#REF!</v>
      </c>
      <c r="K11" s="107" t="e">
        <f>#REF!</f>
        <v>#REF!</v>
      </c>
      <c r="L11" s="108" t="e">
        <f>SUM(I11:K11)</f>
        <v>#REF!</v>
      </c>
    </row>
    <row r="12" spans="1:12">
      <c r="A12" s="86"/>
      <c r="B12" s="82"/>
      <c r="C12" s="82"/>
      <c r="D12" s="82"/>
      <c r="E12" s="82"/>
      <c r="F12" s="102"/>
      <c r="H12" s="86" t="s">
        <v>5</v>
      </c>
      <c r="I12" s="107" t="e">
        <f>#REF!</f>
        <v>#REF!</v>
      </c>
      <c r="J12" s="107" t="e">
        <f>#REF!</f>
        <v>#REF!</v>
      </c>
      <c r="K12" s="107" t="e">
        <f>#REF!</f>
        <v>#REF!</v>
      </c>
      <c r="L12" s="108" t="e">
        <f>SUM(I12:K12)</f>
        <v>#REF!</v>
      </c>
    </row>
    <row r="13" spans="1:12">
      <c r="A13" s="86" t="s">
        <v>104</v>
      </c>
      <c r="B13" s="93" t="e">
        <f>#REF!</f>
        <v>#REF!</v>
      </c>
      <c r="C13" s="93" t="e">
        <f>#REF!</f>
        <v>#REF!</v>
      </c>
      <c r="D13" s="93" t="e">
        <f>D14*D2</f>
        <v>#REF!</v>
      </c>
      <c r="E13" s="93" t="e">
        <f>E14*E2</f>
        <v>#REF!</v>
      </c>
      <c r="F13" s="94" t="e">
        <f>F14*F2</f>
        <v>#REF!</v>
      </c>
      <c r="H13" s="86" t="s">
        <v>104</v>
      </c>
      <c r="I13" s="107" t="e">
        <f>#REF!</f>
        <v>#REF!</v>
      </c>
      <c r="J13" s="107" t="e">
        <f>#REF!</f>
        <v>#REF!</v>
      </c>
      <c r="K13" s="107" t="e">
        <f>#REF!</f>
        <v>#REF!</v>
      </c>
      <c r="L13" s="108" t="e">
        <f>SUM(I13:K13)</f>
        <v>#REF!</v>
      </c>
    </row>
    <row r="14" spans="1:12">
      <c r="A14" s="97" t="s">
        <v>105</v>
      </c>
      <c r="B14" s="83" t="e">
        <f>B13/B2</f>
        <v>#REF!</v>
      </c>
      <c r="C14" s="83" t="e">
        <f>C13/C2</f>
        <v>#REF!</v>
      </c>
      <c r="D14" s="98">
        <v>0.05</v>
      </c>
      <c r="E14" s="98">
        <v>0.1</v>
      </c>
      <c r="F14" s="99">
        <v>0.1</v>
      </c>
      <c r="H14" s="86" t="s">
        <v>106</v>
      </c>
      <c r="I14" s="109" t="e">
        <f>#REF!</f>
        <v>#REF!</v>
      </c>
      <c r="J14" s="109" t="e">
        <f>#REF!</f>
        <v>#REF!</v>
      </c>
      <c r="K14" s="109" t="e">
        <f>#REF!</f>
        <v>#REF!</v>
      </c>
      <c r="L14" s="108" t="e">
        <f>SUM(I14:K14)</f>
        <v>#REF!</v>
      </c>
    </row>
    <row r="15" spans="1:12">
      <c r="A15" s="86" t="s">
        <v>106</v>
      </c>
      <c r="B15" s="82" t="e">
        <f>#REF!</f>
        <v>#REF!</v>
      </c>
      <c r="C15" s="82" t="e">
        <f>#REF!</f>
        <v>#REF!</v>
      </c>
      <c r="D15" s="82" t="e">
        <f>D16*D2</f>
        <v>#REF!</v>
      </c>
      <c r="E15" s="82" t="e">
        <f>E16*E2</f>
        <v>#REF!</v>
      </c>
      <c r="F15" s="102" t="e">
        <f>F16*F2</f>
        <v>#REF!</v>
      </c>
      <c r="H15" s="100" t="s">
        <v>107</v>
      </c>
      <c r="I15" s="110" t="e">
        <f>#REF!</f>
        <v>#REF!</v>
      </c>
      <c r="J15" s="110" t="e">
        <f>#REF!</f>
        <v>#REF!</v>
      </c>
      <c r="K15" s="110" t="e">
        <f>#REF!</f>
        <v>#REF!</v>
      </c>
      <c r="L15" s="111" t="e">
        <f>K15</f>
        <v>#REF!</v>
      </c>
    </row>
    <row r="16" spans="1:12">
      <c r="A16" s="97" t="s">
        <v>82</v>
      </c>
      <c r="B16" s="83" t="e">
        <f>B15/B2</f>
        <v>#REF!</v>
      </c>
      <c r="C16" s="83" t="e">
        <f>C15/C2</f>
        <v>#REF!</v>
      </c>
      <c r="D16" s="98">
        <v>0.05</v>
      </c>
      <c r="E16" s="98">
        <v>0.1</v>
      </c>
      <c r="F16" s="99">
        <v>0.1</v>
      </c>
    </row>
    <row r="17" spans="1:8">
      <c r="A17" s="86" t="s">
        <v>66</v>
      </c>
      <c r="B17" s="112" t="e">
        <f>#REF!</f>
        <v>#REF!</v>
      </c>
      <c r="C17" s="112" t="e">
        <f>#REF!</f>
        <v>#REF!</v>
      </c>
      <c r="D17" s="112" t="e">
        <f>D15/D18</f>
        <v>#REF!</v>
      </c>
      <c r="E17" s="112" t="e">
        <f>E15/E18</f>
        <v>#REF!</v>
      </c>
      <c r="F17" s="113" t="e">
        <f>F15/F18</f>
        <v>#REF!</v>
      </c>
    </row>
    <row r="18" spans="1:8">
      <c r="A18" s="100" t="s">
        <v>108</v>
      </c>
      <c r="B18" s="114" t="e">
        <f>#REF!</f>
        <v>#REF!</v>
      </c>
      <c r="C18" s="114" t="e">
        <f>#REF!</f>
        <v>#REF!</v>
      </c>
      <c r="D18" s="114" t="e">
        <f>C18*1.01</f>
        <v>#REF!</v>
      </c>
      <c r="E18" s="114" t="e">
        <f>D18*1.01</f>
        <v>#REF!</v>
      </c>
      <c r="F18" s="115" t="e">
        <f>E18*1.01</f>
        <v>#REF!</v>
      </c>
    </row>
    <row r="19" spans="1:8">
      <c r="B19" s="116"/>
      <c r="C19" s="116"/>
      <c r="D19" s="116"/>
      <c r="E19" s="116"/>
      <c r="F19" s="116"/>
    </row>
    <row r="20" spans="1:8" ht="27">
      <c r="A20" s="117" t="s">
        <v>109</v>
      </c>
      <c r="B20" s="118" t="s">
        <v>110</v>
      </c>
      <c r="C20" s="118" t="s">
        <v>111</v>
      </c>
      <c r="D20" s="119" t="s">
        <v>112</v>
      </c>
    </row>
    <row r="21" spans="1:8">
      <c r="A21" s="86" t="s">
        <v>113</v>
      </c>
      <c r="B21" s="120" t="e">
        <f>SUM(B11:F11)</f>
        <v>#REF!</v>
      </c>
      <c r="C21" s="120" t="e">
        <f>B21</f>
        <v>#REF!</v>
      </c>
      <c r="D21" s="87" t="e">
        <f>C21</f>
        <v>#REF!</v>
      </c>
      <c r="G21" s="131"/>
    </row>
    <row r="22" spans="1:8">
      <c r="A22" s="86" t="s">
        <v>114</v>
      </c>
      <c r="B22" s="120" t="e">
        <f>(B26*F2)/((1+B37)^(F10))</f>
        <v>#REF!</v>
      </c>
      <c r="C22" s="120" t="e">
        <f>(C26*F15)/((1+B37)^F10)</f>
        <v>#REF!</v>
      </c>
      <c r="D22" s="87" t="e">
        <f>(D26*F8)/((1+B37)^F10)</f>
        <v>#REF!</v>
      </c>
      <c r="G22" s="129"/>
    </row>
    <row r="23" spans="1:8">
      <c r="A23" s="86" t="s">
        <v>86</v>
      </c>
      <c r="B23" s="120" t="e">
        <f>#REF!</f>
        <v>#REF!</v>
      </c>
      <c r="C23" s="120" t="e">
        <f>B23</f>
        <v>#REF!</v>
      </c>
      <c r="D23" s="87" t="e">
        <f>B23</f>
        <v>#REF!</v>
      </c>
      <c r="G23" s="130"/>
      <c r="H23" s="133"/>
    </row>
    <row r="24" spans="1:8">
      <c r="A24" s="86" t="s">
        <v>115</v>
      </c>
      <c r="B24" s="120" t="e">
        <f>SUM(B21:B23)</f>
        <v>#REF!</v>
      </c>
      <c r="C24" s="120" t="e">
        <f>SUM(C21:C23)</f>
        <v>#REF!</v>
      </c>
      <c r="D24" s="120" t="e">
        <f>SUM(D21:D23)</f>
        <v>#REF!</v>
      </c>
      <c r="G24" s="129"/>
    </row>
    <row r="25" spans="1:8">
      <c r="A25" s="86" t="s">
        <v>116</v>
      </c>
      <c r="B25" s="121" t="e">
        <f>B24/$B$18</f>
        <v>#REF!</v>
      </c>
      <c r="C25" s="121" t="e">
        <f>C24/$B$18</f>
        <v>#REF!</v>
      </c>
      <c r="D25" s="121" t="e">
        <f>D24/$B$18</f>
        <v>#REF!</v>
      </c>
      <c r="G25" s="130"/>
      <c r="H25" s="133"/>
    </row>
    <row r="26" spans="1:8">
      <c r="A26" s="122" t="s">
        <v>117</v>
      </c>
      <c r="B26" s="123">
        <v>5.8</v>
      </c>
      <c r="C26" s="123">
        <v>58</v>
      </c>
      <c r="D26" s="124">
        <v>35</v>
      </c>
      <c r="G26" s="130"/>
      <c r="H26" s="130"/>
    </row>
    <row r="27" spans="1:8">
      <c r="G27" s="132"/>
    </row>
    <row r="28" spans="1:8">
      <c r="A28" s="117" t="s">
        <v>118</v>
      </c>
      <c r="B28" s="118" t="s">
        <v>110</v>
      </c>
      <c r="C28" s="118" t="s">
        <v>111</v>
      </c>
      <c r="D28" s="119" t="s">
        <v>112</v>
      </c>
    </row>
    <row r="29" spans="1:8">
      <c r="A29" s="86" t="s">
        <v>113</v>
      </c>
      <c r="B29" s="125" t="e">
        <f>B21</f>
        <v>#REF!</v>
      </c>
      <c r="C29" s="125" t="e">
        <f>B29</f>
        <v>#REF!</v>
      </c>
      <c r="D29" s="126" t="e">
        <f>C29</f>
        <v>#REF!</v>
      </c>
      <c r="G29" s="129"/>
    </row>
    <row r="30" spans="1:8">
      <c r="A30" s="86" t="s">
        <v>119</v>
      </c>
      <c r="B30" s="125" t="e">
        <f>B34*F2</f>
        <v>#REF!</v>
      </c>
      <c r="C30" s="125" t="e">
        <f>C34*F15</f>
        <v>#REF!</v>
      </c>
      <c r="D30" s="126" t="e">
        <f>D34*F8</f>
        <v>#REF!</v>
      </c>
    </row>
    <row r="31" spans="1:8">
      <c r="A31" s="86" t="s">
        <v>86</v>
      </c>
      <c r="B31" s="120" t="e">
        <f>B23</f>
        <v>#REF!</v>
      </c>
      <c r="C31" s="120" t="e">
        <f>B31</f>
        <v>#REF!</v>
      </c>
      <c r="D31" s="87" t="e">
        <f>C31</f>
        <v>#REF!</v>
      </c>
    </row>
    <row r="32" spans="1:8">
      <c r="A32" s="86" t="s">
        <v>120</v>
      </c>
      <c r="B32" s="120" t="e">
        <f>SUM(B29:B31)</f>
        <v>#REF!</v>
      </c>
      <c r="C32" s="120" t="e">
        <f>SUM(C29:C31)</f>
        <v>#REF!</v>
      </c>
      <c r="D32" s="120" t="e">
        <f>SUM(D29:D31)</f>
        <v>#REF!</v>
      </c>
    </row>
    <row r="33" spans="1:4">
      <c r="A33" s="86" t="s">
        <v>116</v>
      </c>
      <c r="B33" s="121" t="e">
        <f>B32/$B$18</f>
        <v>#REF!</v>
      </c>
      <c r="C33" s="121" t="e">
        <f>C32/$B$18</f>
        <v>#REF!</v>
      </c>
      <c r="D33" s="121" t="e">
        <f>D32/$B$18</f>
        <v>#REF!</v>
      </c>
    </row>
    <row r="34" spans="1:4">
      <c r="A34" s="122" t="s">
        <v>117</v>
      </c>
      <c r="B34" s="123">
        <v>3.4</v>
      </c>
      <c r="C34" s="123">
        <v>34</v>
      </c>
      <c r="D34" s="124">
        <v>20</v>
      </c>
    </row>
    <row r="36" spans="1:4">
      <c r="A36" s="127" t="s">
        <v>121</v>
      </c>
      <c r="B36" s="128">
        <v>0.2</v>
      </c>
    </row>
    <row r="37" spans="1:4">
      <c r="A37" s="127" t="s">
        <v>122</v>
      </c>
      <c r="B37" s="128">
        <v>0.12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E6:Y40"/>
  <sheetViews>
    <sheetView showGridLines="0" topLeftCell="L16" zoomScaleNormal="100" workbookViewId="0">
      <selection activeCell="N36" sqref="N36"/>
    </sheetView>
  </sheetViews>
  <sheetFormatPr defaultRowHeight="13.5"/>
  <cols>
    <col min="1" max="3" width="0" hidden="1" customWidth="1"/>
    <col min="5" max="5" width="31.625" bestFit="1" customWidth="1"/>
    <col min="6" max="10" width="9.625" customWidth="1"/>
    <col min="11" max="11" width="9.125" bestFit="1" customWidth="1"/>
    <col min="12" max="15" width="10.125" bestFit="1" customWidth="1"/>
    <col min="17" max="18" width="10.125" bestFit="1" customWidth="1"/>
  </cols>
  <sheetData>
    <row r="6" spans="5:14" ht="13.9" thickBot="1"/>
    <row r="7" spans="5:14" ht="14.25" thickBot="1">
      <c r="E7" s="536" t="s">
        <v>392</v>
      </c>
      <c r="F7" s="513">
        <f>IS!H4</f>
        <v>2019</v>
      </c>
      <c r="G7" s="513">
        <v>2020</v>
      </c>
      <c r="H7" s="513" t="s">
        <v>240</v>
      </c>
      <c r="I7" s="513" t="s">
        <v>246</v>
      </c>
      <c r="J7" s="514" t="s">
        <v>258</v>
      </c>
      <c r="K7" s="322"/>
      <c r="L7" s="322"/>
      <c r="M7" s="322"/>
      <c r="N7" s="322"/>
    </row>
    <row r="8" spans="5:14" s="537" customFormat="1" ht="20.25" customHeight="1">
      <c r="E8" s="540" t="s">
        <v>292</v>
      </c>
      <c r="F8" s="192">
        <f>IS!H11</f>
        <v>48556</v>
      </c>
      <c r="G8" s="192">
        <f>IS!M11</f>
        <v>68444</v>
      </c>
      <c r="H8" s="192">
        <f>IS!R11</f>
        <v>114342</v>
      </c>
      <c r="I8" s="192">
        <f>IS!W11</f>
        <v>135190</v>
      </c>
      <c r="J8" s="541">
        <f>IS!AB11</f>
        <v>138090</v>
      </c>
      <c r="K8" s="538"/>
      <c r="L8" s="538"/>
      <c r="M8" s="538"/>
    </row>
    <row r="9" spans="5:14" s="545" customFormat="1" ht="11.65">
      <c r="E9" s="546" t="s">
        <v>163</v>
      </c>
      <c r="F9" s="547" t="s">
        <v>393</v>
      </c>
      <c r="G9" s="548">
        <f>G8/F8-1</f>
        <v>0.40958892824779647</v>
      </c>
      <c r="H9" s="548">
        <f>H8/G8-1</f>
        <v>0.67059201683127823</v>
      </c>
      <c r="I9" s="548">
        <f>I8/H8-1</f>
        <v>0.18233020237533015</v>
      </c>
      <c r="J9" s="549">
        <f>J8/I8-1</f>
        <v>2.1451290775944987E-2</v>
      </c>
      <c r="K9" s="535"/>
      <c r="L9" s="535"/>
      <c r="M9" s="535"/>
    </row>
    <row r="10" spans="5:14" s="537" customFormat="1" ht="20.25" customHeight="1">
      <c r="E10" s="540" t="s">
        <v>273</v>
      </c>
      <c r="F10" s="192">
        <f>IS!H15</f>
        <v>34106</v>
      </c>
      <c r="G10" s="192">
        <f>IS!M15</f>
        <v>48023</v>
      </c>
      <c r="H10" s="192">
        <f>IS!R15</f>
        <v>83301</v>
      </c>
      <c r="I10" s="192">
        <f>IS!W15</f>
        <v>101965</v>
      </c>
      <c r="J10" s="541">
        <f>IS!AB15</f>
        <v>104178</v>
      </c>
      <c r="K10" s="539"/>
      <c r="L10" s="539"/>
      <c r="M10" s="539"/>
    </row>
    <row r="11" spans="5:14" s="545" customFormat="1" ht="11.65">
      <c r="E11" s="546" t="s">
        <v>394</v>
      </c>
      <c r="F11" s="548">
        <f>IS!H16</f>
        <v>0.70240546997281494</v>
      </c>
      <c r="G11" s="548">
        <f>IS!M16</f>
        <v>0.7016392963590673</v>
      </c>
      <c r="H11" s="548">
        <f>IS!R16</f>
        <v>0.72852495146140528</v>
      </c>
      <c r="I11" s="548">
        <f>IS!W16</f>
        <v>0.75423478067904426</v>
      </c>
      <c r="J11" s="549">
        <f>IS!AB16</f>
        <v>0.75442102976319791</v>
      </c>
      <c r="K11" s="535"/>
      <c r="L11" s="535"/>
      <c r="M11" s="535"/>
    </row>
    <row r="12" spans="5:14" s="534" customFormat="1" ht="20.25" customHeight="1">
      <c r="E12" s="540" t="s">
        <v>396</v>
      </c>
      <c r="F12" s="192">
        <f>IS!H25</f>
        <v>60336</v>
      </c>
      <c r="G12" s="192">
        <f>IS!M25</f>
        <v>69588</v>
      </c>
      <c r="H12" s="192">
        <f>IS!R25</f>
        <v>101527</v>
      </c>
      <c r="I12" s="192">
        <f>IS!W25</f>
        <v>149983</v>
      </c>
      <c r="J12" s="541">
        <f>IS!AB25</f>
        <v>134701</v>
      </c>
      <c r="K12" s="535"/>
      <c r="L12" s="535"/>
      <c r="M12" s="535"/>
    </row>
    <row r="13" spans="5:14" s="545" customFormat="1" ht="11.65">
      <c r="E13" s="546" t="s">
        <v>266</v>
      </c>
      <c r="F13" s="548">
        <f>F12/F8</f>
        <v>1.2426064749979404</v>
      </c>
      <c r="G13" s="548">
        <f>G12/G8</f>
        <v>1.0167143942493133</v>
      </c>
      <c r="H13" s="548">
        <f>H12/H8</f>
        <v>0.88792394745587799</v>
      </c>
      <c r="I13" s="548">
        <f>I12/I8</f>
        <v>1.1094237739477772</v>
      </c>
      <c r="J13" s="549">
        <f>J12/J8</f>
        <v>0.97545803461510605</v>
      </c>
      <c r="K13" s="535"/>
      <c r="L13" s="535"/>
      <c r="M13" s="535"/>
    </row>
    <row r="14" spans="5:14" ht="20.25" customHeight="1">
      <c r="E14" s="540" t="s">
        <v>395</v>
      </c>
      <c r="F14" s="192">
        <f>IS!H27</f>
        <v>-26230</v>
      </c>
      <c r="G14" s="192">
        <f>IS!M27</f>
        <v>-21565</v>
      </c>
      <c r="H14" s="192">
        <f>IS!R27</f>
        <v>-18226</v>
      </c>
      <c r="I14" s="192">
        <f>IS!W27</f>
        <v>-48018</v>
      </c>
      <c r="J14" s="541">
        <f>IS!AB27</f>
        <v>-30523</v>
      </c>
      <c r="K14" s="82"/>
      <c r="L14" s="82"/>
      <c r="M14" s="82"/>
    </row>
    <row r="15" spans="5:14" s="545" customFormat="1" ht="11.65">
      <c r="E15" s="546" t="s">
        <v>394</v>
      </c>
      <c r="F15" s="548">
        <f>IS!H28</f>
        <v>-0.54020100502512558</v>
      </c>
      <c r="G15" s="548">
        <f>IS!M28</f>
        <v>-0.31507509789024601</v>
      </c>
      <c r="H15" s="548">
        <f>IS!R28</f>
        <v>-0.15939899599447271</v>
      </c>
      <c r="I15" s="548">
        <f>IS!W28</f>
        <v>-0.35518899326873288</v>
      </c>
      <c r="J15" s="549">
        <f>IS!AB28</f>
        <v>-0.22103700485190816</v>
      </c>
      <c r="K15" s="535"/>
      <c r="L15" s="535"/>
      <c r="M15" s="535"/>
    </row>
    <row r="16" spans="5:14" ht="20.25" customHeight="1">
      <c r="E16" s="540" t="s">
        <v>4</v>
      </c>
      <c r="F16" s="192">
        <f>IS!H50</f>
        <v>-25428</v>
      </c>
      <c r="G16" s="192">
        <f>IS!M50</f>
        <v>-19941</v>
      </c>
      <c r="H16" s="192">
        <f>IS!R50</f>
        <v>-16392</v>
      </c>
      <c r="I16" s="192">
        <f>IS!W50</f>
        <v>-44524</v>
      </c>
      <c r="J16" s="541">
        <f>IS!AB50</f>
        <v>-25894</v>
      </c>
      <c r="K16" s="82"/>
    </row>
    <row r="17" spans="5:25" s="545" customFormat="1" ht="11.65">
      <c r="E17" s="546" t="s">
        <v>394</v>
      </c>
      <c r="F17" s="548">
        <f>IS!H51</f>
        <v>-0.52368399373918773</v>
      </c>
      <c r="G17" s="548">
        <f>IS!M51</f>
        <v>-0.2913476710887733</v>
      </c>
      <c r="H17" s="548">
        <f>IS!R51</f>
        <v>-0.14335939549771737</v>
      </c>
      <c r="I17" s="548">
        <f>IS!W51</f>
        <v>-0.32934388638212886</v>
      </c>
      <c r="J17" s="549">
        <f>IS!AB51</f>
        <v>-0.18751538851473676</v>
      </c>
      <c r="K17" s="535"/>
      <c r="L17" s="550"/>
      <c r="M17" s="550"/>
    </row>
    <row r="18" spans="5:25" s="545" customFormat="1" ht="20.25" customHeight="1">
      <c r="E18" s="540" t="s">
        <v>139</v>
      </c>
      <c r="F18" s="555">
        <f>IS!H65</f>
        <v>-0.39799693503196543</v>
      </c>
      <c r="G18" s="555">
        <f>IS!M65</f>
        <v>-0.33824164302454668</v>
      </c>
      <c r="H18" s="555">
        <f>IS!R65</f>
        <v>-0.40359859803272335</v>
      </c>
      <c r="I18" s="555">
        <f>IS!W65</f>
        <v>-0.80280962004332357</v>
      </c>
      <c r="J18" s="556">
        <f>IS!AB65</f>
        <v>-0.37979253491718867</v>
      </c>
      <c r="K18" s="535"/>
      <c r="L18" s="550"/>
      <c r="M18" s="550"/>
    </row>
    <row r="19" spans="5:25" ht="7.9" customHeight="1">
      <c r="E19" s="542"/>
      <c r="F19" s="493"/>
      <c r="G19" s="493"/>
      <c r="H19" s="493"/>
      <c r="I19" s="493"/>
      <c r="J19" s="543"/>
      <c r="K19" s="333"/>
      <c r="L19" s="333"/>
      <c r="M19" s="333"/>
    </row>
    <row r="20" spans="5:25">
      <c r="E20" s="528" t="s">
        <v>210</v>
      </c>
      <c r="F20" s="230">
        <f>CF!H25</f>
        <v>-27299</v>
      </c>
      <c r="G20" s="230">
        <f>CF!M25</f>
        <v>-22712</v>
      </c>
      <c r="H20" s="230">
        <f>CF!R25</f>
        <v>-21642</v>
      </c>
      <c r="I20" s="230">
        <f>CF!W25</f>
        <v>-46014</v>
      </c>
      <c r="J20" s="544">
        <f>CF!AB25</f>
        <v>-25531</v>
      </c>
      <c r="K20" s="82"/>
    </row>
    <row r="21" spans="5:25">
      <c r="E21" s="528" t="s">
        <v>170</v>
      </c>
      <c r="F21" s="230">
        <f>CF!H36</f>
        <v>-30624</v>
      </c>
      <c r="G21" s="230">
        <f>CF!M36</f>
        <v>-24616</v>
      </c>
      <c r="H21" s="230">
        <f>CF!R36</f>
        <v>-24749</v>
      </c>
      <c r="I21" s="230">
        <f>CF!W36</f>
        <v>-50392</v>
      </c>
      <c r="J21" s="544">
        <f>CF!AB36</f>
        <v>-30390</v>
      </c>
      <c r="K21" s="82"/>
    </row>
    <row r="22" spans="5:25" s="545" customFormat="1" ht="11.65">
      <c r="E22" s="551" t="s">
        <v>394</v>
      </c>
      <c r="F22" s="552">
        <f>CF!H37</f>
        <v>-0.63069445588598727</v>
      </c>
      <c r="G22" s="552">
        <f>CF!M37</f>
        <v>-0.35965168604990944</v>
      </c>
      <c r="H22" s="552">
        <f>CF!R37</f>
        <v>-0.21644714977873397</v>
      </c>
      <c r="I22" s="552">
        <f>CF!W37</f>
        <v>-0.3727494637177306</v>
      </c>
      <c r="J22" s="553">
        <f>CF!AB37</f>
        <v>-0.22007386487073646</v>
      </c>
      <c r="K22" s="554"/>
    </row>
    <row r="24" spans="5:25" ht="13.9" thickBot="1">
      <c r="E24" s="349"/>
    </row>
    <row r="25" spans="5:25" ht="14.25" thickBot="1">
      <c r="E25" t="s">
        <v>262</v>
      </c>
      <c r="F25" s="322" t="s">
        <v>231</v>
      </c>
      <c r="G25" s="322" t="s">
        <v>233</v>
      </c>
      <c r="H25" s="322" t="s">
        <v>234</v>
      </c>
      <c r="I25" s="322" t="s">
        <v>235</v>
      </c>
      <c r="J25" s="322">
        <v>2019</v>
      </c>
      <c r="K25" s="322" t="s">
        <v>241</v>
      </c>
      <c r="L25" s="322" t="s">
        <v>259</v>
      </c>
      <c r="M25" s="322" t="s">
        <v>263</v>
      </c>
      <c r="N25" s="322" t="s">
        <v>265</v>
      </c>
      <c r="O25" s="322">
        <v>2020</v>
      </c>
      <c r="P25" s="322" t="s">
        <v>293</v>
      </c>
      <c r="Q25" s="322" t="s">
        <v>352</v>
      </c>
      <c r="R25" s="322" t="s">
        <v>353</v>
      </c>
      <c r="S25" s="322" t="s">
        <v>354</v>
      </c>
      <c r="T25" s="322">
        <v>2021</v>
      </c>
      <c r="U25" s="322"/>
      <c r="V25" s="322"/>
      <c r="W25" s="322"/>
      <c r="X25" s="322"/>
      <c r="Y25" s="322"/>
    </row>
    <row r="26" spans="5:25">
      <c r="E26" s="350" t="s">
        <v>384</v>
      </c>
      <c r="F26" s="114">
        <v>480</v>
      </c>
      <c r="G26" s="114">
        <v>509</v>
      </c>
      <c r="H26" s="114">
        <v>530</v>
      </c>
      <c r="I26" s="114">
        <v>635</v>
      </c>
      <c r="J26" s="114"/>
      <c r="K26" s="114">
        <v>713</v>
      </c>
      <c r="L26" s="114">
        <v>762</v>
      </c>
      <c r="M26" s="114">
        <v>792</v>
      </c>
      <c r="N26" s="114">
        <v>825</v>
      </c>
      <c r="O26" s="114"/>
      <c r="P26" s="114">
        <v>909</v>
      </c>
      <c r="Q26" s="114"/>
      <c r="R26" s="114"/>
      <c r="S26" s="114">
        <v>1126</v>
      </c>
      <c r="T26" s="114"/>
      <c r="U26" s="114"/>
      <c r="V26" s="114"/>
      <c r="W26" s="114"/>
      <c r="X26" s="114"/>
      <c r="Y26" s="114"/>
    </row>
    <row r="27" spans="5:25">
      <c r="E27" s="334" t="s">
        <v>264</v>
      </c>
      <c r="F27" s="227"/>
      <c r="G27" s="227">
        <f>G26-F26</f>
        <v>29</v>
      </c>
      <c r="H27" s="227">
        <f>H26-G26</f>
        <v>21</v>
      </c>
      <c r="I27" s="82">
        <f>I26-G26</f>
        <v>126</v>
      </c>
      <c r="J27" s="82"/>
      <c r="K27" s="227">
        <f>K26-I26</f>
        <v>78</v>
      </c>
      <c r="L27" s="227">
        <f>L26-K26</f>
        <v>49</v>
      </c>
      <c r="M27" s="227">
        <f>M26-L26</f>
        <v>30</v>
      </c>
      <c r="N27" s="227">
        <f>N26-M26</f>
        <v>33</v>
      </c>
      <c r="O27" s="82"/>
      <c r="P27" s="227">
        <f>P26-N26</f>
        <v>84</v>
      </c>
      <c r="Q27" s="227">
        <f>Q26-P26</f>
        <v>-909</v>
      </c>
      <c r="R27" s="227">
        <f>R26-Q26</f>
        <v>0</v>
      </c>
      <c r="S27" s="227">
        <f>S26-R26</f>
        <v>1126</v>
      </c>
      <c r="T27" s="82"/>
      <c r="U27" s="227">
        <f>U26-S26</f>
        <v>-1126</v>
      </c>
      <c r="V27" s="227">
        <f>V26-U26</f>
        <v>0</v>
      </c>
      <c r="W27" s="227">
        <f>W26-V26</f>
        <v>0</v>
      </c>
      <c r="X27" s="227">
        <f>X26-W26</f>
        <v>0</v>
      </c>
      <c r="Y27" s="82"/>
    </row>
    <row r="28" spans="5:25">
      <c r="E28" s="330" t="s">
        <v>261</v>
      </c>
      <c r="F28" s="332"/>
      <c r="G28" s="332">
        <f t="shared" ref="G28:L28" si="0">(G26-F26)/F26</f>
        <v>6.0416666666666667E-2</v>
      </c>
      <c r="H28" s="332">
        <f t="shared" si="0"/>
        <v>4.1257367387033402E-2</v>
      </c>
      <c r="I28" s="332">
        <f t="shared" si="0"/>
        <v>0.19811320754716982</v>
      </c>
      <c r="J28" s="332"/>
      <c r="K28" s="332">
        <f>(K26-I26)/I26</f>
        <v>0.12283464566929134</v>
      </c>
      <c r="L28" s="332">
        <f t="shared" si="0"/>
        <v>6.8723702664796632E-2</v>
      </c>
      <c r="M28" s="332">
        <f>(M26-L26)/L26</f>
        <v>3.937007874015748E-2</v>
      </c>
      <c r="N28" s="332">
        <f>(N26-M26)/M26</f>
        <v>4.1666666666666664E-2</v>
      </c>
      <c r="O28" s="332"/>
      <c r="P28" s="332">
        <f>(P26-N26)/N26</f>
        <v>0.10181818181818182</v>
      </c>
      <c r="Q28" s="332">
        <f>(Q26-P26)/P26</f>
        <v>-1</v>
      </c>
      <c r="R28" s="332" t="e">
        <f>(R26-Q26)/Q26</f>
        <v>#DIV/0!</v>
      </c>
      <c r="S28" s="332" t="e">
        <f>(S26-R26)/R26</f>
        <v>#DIV/0!</v>
      </c>
      <c r="T28" s="332"/>
      <c r="U28" s="332">
        <f>(U26-S26)/S26</f>
        <v>-1</v>
      </c>
      <c r="V28" s="332" t="e">
        <f>(V26-U26)/U26</f>
        <v>#DIV/0!</v>
      </c>
      <c r="W28" s="332" t="e">
        <f>(W26-V26)/V26</f>
        <v>#DIV/0!</v>
      </c>
      <c r="X28" s="332" t="e">
        <f>(X26-W26)/W26</f>
        <v>#DIV/0!</v>
      </c>
      <c r="Y28" s="332"/>
    </row>
    <row r="29" spans="5:25">
      <c r="E29" s="330" t="s">
        <v>253</v>
      </c>
      <c r="F29" s="332"/>
      <c r="G29" s="332"/>
      <c r="H29" s="332"/>
      <c r="I29" s="332"/>
      <c r="J29" s="332"/>
      <c r="K29" s="332">
        <f>(K26-F26)/F26</f>
        <v>0.48541666666666666</v>
      </c>
      <c r="L29" s="332">
        <f>(L26-G26)/G26</f>
        <v>0.49705304518664045</v>
      </c>
      <c r="M29" s="332">
        <f>(M26-H26)/H26</f>
        <v>0.49433962264150944</v>
      </c>
      <c r="N29" s="332">
        <f>(N26-I26)/I26</f>
        <v>0.29921259842519687</v>
      </c>
      <c r="O29" s="332"/>
      <c r="P29" s="332">
        <f>(P26-K26)/K26</f>
        <v>0.27489481065918653</v>
      </c>
      <c r="Q29" s="332">
        <f>(Q26-L26)/L26</f>
        <v>-1</v>
      </c>
      <c r="R29" s="332">
        <f>(R26-M26)/M26</f>
        <v>-1</v>
      </c>
      <c r="S29" s="332">
        <f>(S26-N26)/N26</f>
        <v>0.36484848484848487</v>
      </c>
      <c r="T29" s="332"/>
      <c r="U29" s="332">
        <f>(U26-P26)/P26</f>
        <v>-1</v>
      </c>
      <c r="V29" s="332" t="e">
        <f>(V26-Q26)/Q26</f>
        <v>#DIV/0!</v>
      </c>
      <c r="W29" s="332" t="e">
        <f>(W26-R26)/R26</f>
        <v>#DIV/0!</v>
      </c>
      <c r="X29" s="332">
        <f>(X26-S26)/S26</f>
        <v>-1</v>
      </c>
      <c r="Y29" s="332"/>
    </row>
    <row r="31" spans="5:25">
      <c r="E31" s="350" t="s">
        <v>385</v>
      </c>
      <c r="F31" s="454">
        <f>(IS!D11/F26)*4000</f>
        <v>86483.333333333328</v>
      </c>
      <c r="G31" s="454">
        <f>(IS!E11/G26)*4000</f>
        <v>88840.864440078585</v>
      </c>
      <c r="H31" s="454">
        <f>(IS!F11/H26)*4000</f>
        <v>95486.792452830181</v>
      </c>
      <c r="I31" s="454">
        <f>(IS!G11/I26)*4000</f>
        <v>89581.102362204721</v>
      </c>
      <c r="J31" s="454"/>
      <c r="K31" s="454">
        <f>(IS!I11/K26)*4000</f>
        <v>87899.018232819071</v>
      </c>
      <c r="L31" s="454">
        <f>(IS!J11/L26)*4000</f>
        <v>82556.430446194223</v>
      </c>
      <c r="M31" s="454">
        <f>(IS!K11/M26)*4000</f>
        <v>90217.171717171717</v>
      </c>
      <c r="N31" s="454">
        <f>(IS!L11/N26)*4000</f>
        <v>93023.030303030289</v>
      </c>
      <c r="O31" s="454"/>
      <c r="P31" s="454">
        <f>(IS!N11/P26)*4000</f>
        <v>92985.698569856977</v>
      </c>
      <c r="Q31" s="454"/>
      <c r="R31" s="454"/>
      <c r="S31" s="658">
        <f>(IS!Q11/S26)*4000</f>
        <v>120106.57193605683</v>
      </c>
      <c r="T31" s="454"/>
      <c r="U31" s="454"/>
      <c r="V31" s="454"/>
      <c r="W31" s="454"/>
      <c r="X31" s="454"/>
      <c r="Y31" s="454"/>
    </row>
    <row r="32" spans="5:25">
      <c r="E32" s="334" t="s">
        <v>355</v>
      </c>
      <c r="F32" s="227"/>
      <c r="G32" s="227">
        <f>G31-F31</f>
        <v>2357.5311067452567</v>
      </c>
      <c r="H32" s="227">
        <f>H31-G31</f>
        <v>6645.9280127515958</v>
      </c>
      <c r="I32" s="227">
        <f>I31-H31</f>
        <v>-5905.6900906254596</v>
      </c>
      <c r="J32" s="82"/>
      <c r="K32" s="227">
        <f>K31-I31</f>
        <v>-1682.0841293856502</v>
      </c>
      <c r="L32" s="227">
        <f>L31-K31</f>
        <v>-5342.5877866248484</v>
      </c>
      <c r="M32" s="227">
        <f>M31-L31</f>
        <v>7660.7412709774944</v>
      </c>
      <c r="N32" s="227">
        <f>N31-M31</f>
        <v>2805.858585858572</v>
      </c>
      <c r="O32" s="82"/>
      <c r="P32" s="227">
        <f>P31-N31</f>
        <v>-37.331733173312386</v>
      </c>
      <c r="Q32" s="227">
        <f>Q31-P31</f>
        <v>-92985.698569856977</v>
      </c>
      <c r="R32" s="227">
        <f>R31-Q31</f>
        <v>0</v>
      </c>
      <c r="S32" s="227">
        <f>S31-R31</f>
        <v>120106.57193605683</v>
      </c>
      <c r="T32" s="82"/>
      <c r="U32" s="227">
        <f>U31-T31</f>
        <v>0</v>
      </c>
      <c r="V32" s="227">
        <f>V31-U31</f>
        <v>0</v>
      </c>
      <c r="W32" s="227">
        <f>W31-V31</f>
        <v>0</v>
      </c>
      <c r="Y32" s="82">
        <f>Y31-W31</f>
        <v>0</v>
      </c>
    </row>
    <row r="33" spans="5:25">
      <c r="E33" s="330" t="s">
        <v>261</v>
      </c>
      <c r="F33" s="332"/>
      <c r="G33" s="332">
        <f t="shared" ref="G33:N33" si="1">(G31-F31)/F31</f>
        <v>2.7259947273986396E-2</v>
      </c>
      <c r="H33" s="332">
        <f t="shared" si="1"/>
        <v>7.480710655662455E-2</v>
      </c>
      <c r="I33" s="332">
        <f t="shared" si="1"/>
        <v>-6.184824035787808E-2</v>
      </c>
      <c r="J33" s="332"/>
      <c r="K33" s="332">
        <f>(K31-I31)/I31</f>
        <v>-1.8777220697557974E-2</v>
      </c>
      <c r="L33" s="332">
        <f t="shared" si="1"/>
        <v>-6.0780972234227675E-2</v>
      </c>
      <c r="M33" s="332">
        <f t="shared" si="1"/>
        <v>9.2793998354499446E-2</v>
      </c>
      <c r="N33" s="332">
        <f t="shared" si="1"/>
        <v>3.1101158819906917E-2</v>
      </c>
      <c r="O33" s="332"/>
      <c r="P33" s="332">
        <f>(P31-N31)/N31</f>
        <v>-4.0131710450305854E-4</v>
      </c>
      <c r="Q33" s="332">
        <f>(Q31-P31)/P31</f>
        <v>-1</v>
      </c>
      <c r="R33" s="332" t="e">
        <f>(R31-Q31)/Q31</f>
        <v>#DIV/0!</v>
      </c>
      <c r="S33" s="332" t="e">
        <f>(S31-R31)/R31</f>
        <v>#DIV/0!</v>
      </c>
      <c r="T33" s="332"/>
      <c r="U33" s="332" t="e">
        <f>(U31-T31)/T31</f>
        <v>#DIV/0!</v>
      </c>
      <c r="V33" s="332" t="e">
        <f>(V31-U31)/U31</f>
        <v>#DIV/0!</v>
      </c>
      <c r="W33" s="332" t="e">
        <f>(W31-V31)/V31</f>
        <v>#DIV/0!</v>
      </c>
      <c r="Y33" s="332" t="e">
        <f>(Y31-W31)/W31</f>
        <v>#DIV/0!</v>
      </c>
    </row>
    <row r="34" spans="5:25">
      <c r="E34" s="330" t="s">
        <v>253</v>
      </c>
      <c r="F34" s="330"/>
      <c r="G34" s="330"/>
      <c r="H34" s="326"/>
      <c r="I34" s="326"/>
      <c r="J34" s="326"/>
      <c r="K34" s="332">
        <f>(K31-F31)/F31</f>
        <v>1.6369453453294387E-2</v>
      </c>
      <c r="L34" s="332">
        <f>(L31-G31)/G31</f>
        <v>-7.0738100461900502E-2</v>
      </c>
      <c r="M34" s="332">
        <f>(M31-H31)/H31</f>
        <v>-5.5186907008753276E-2</v>
      </c>
      <c r="N34" s="332">
        <f>(N31-I31)/I31</f>
        <v>3.8422478068072495E-2</v>
      </c>
      <c r="O34" s="332"/>
      <c r="P34" s="332">
        <f>(P31-K31)/K31</f>
        <v>5.7869592167284066E-2</v>
      </c>
      <c r="Q34" s="332">
        <f>(Q31-L31)/L31</f>
        <v>-1</v>
      </c>
      <c r="R34" s="332">
        <f>(R31-M31)/M31</f>
        <v>-1</v>
      </c>
      <c r="S34" s="332">
        <f>(S31-N31)/N31</f>
        <v>0.29114877837025566</v>
      </c>
      <c r="T34" s="332"/>
      <c r="U34" s="332">
        <f>(U31-P31)/P31</f>
        <v>-1</v>
      </c>
      <c r="V34" s="332" t="e">
        <f>(V31-Q31)/Q31</f>
        <v>#DIV/0!</v>
      </c>
      <c r="W34" s="332" t="e">
        <f>(W31-R31)/R31</f>
        <v>#DIV/0!</v>
      </c>
      <c r="Y34" s="332" t="e">
        <f>(Y31-T31)/T31</f>
        <v>#DIV/0!</v>
      </c>
    </row>
    <row r="35" spans="5:25">
      <c r="E35" s="330"/>
      <c r="F35" s="330"/>
      <c r="G35" s="330"/>
      <c r="H35" s="326"/>
      <c r="I35" s="326"/>
      <c r="J35" s="326"/>
      <c r="K35" s="326"/>
      <c r="L35" s="331"/>
      <c r="M35" s="331"/>
      <c r="N35" s="331"/>
      <c r="O35" s="331"/>
      <c r="P35" s="331"/>
      <c r="Q35" s="331"/>
      <c r="R35" s="331"/>
      <c r="S35" s="331"/>
      <c r="T35" s="331"/>
      <c r="U35" s="332"/>
      <c r="Y35" s="331"/>
    </row>
    <row r="36" spans="5:25">
      <c r="E36" s="350" t="s">
        <v>348</v>
      </c>
      <c r="F36" s="458"/>
      <c r="G36" s="458"/>
      <c r="H36" s="458"/>
      <c r="I36" s="458"/>
      <c r="J36" s="458"/>
      <c r="K36" s="458">
        <v>1.36</v>
      </c>
      <c r="L36" s="458">
        <v>1.3</v>
      </c>
      <c r="M36" s="458">
        <v>1.28</v>
      </c>
      <c r="N36" s="458">
        <v>1.27</v>
      </c>
      <c r="O36" s="458"/>
      <c r="P36" s="458">
        <v>1.22</v>
      </c>
      <c r="Q36" s="458"/>
      <c r="R36" s="458"/>
      <c r="S36" s="458">
        <v>1.46</v>
      </c>
      <c r="T36" s="458"/>
      <c r="U36" s="458"/>
      <c r="V36" s="458"/>
      <c r="W36" s="458"/>
      <c r="X36" s="458"/>
      <c r="Y36" s="458"/>
    </row>
    <row r="37" spans="5:25">
      <c r="E37" s="334" t="s">
        <v>356</v>
      </c>
      <c r="F37" s="459"/>
      <c r="G37" s="459"/>
      <c r="H37" s="459"/>
      <c r="I37" s="459"/>
      <c r="J37" s="459"/>
      <c r="K37" s="459"/>
      <c r="L37" s="459">
        <f>L36-K36</f>
        <v>-6.0000000000000053E-2</v>
      </c>
      <c r="M37" s="459">
        <f>M36-L36</f>
        <v>-2.0000000000000018E-2</v>
      </c>
      <c r="N37" s="459">
        <f>N36-M36</f>
        <v>-1.0000000000000009E-2</v>
      </c>
      <c r="O37" s="459"/>
      <c r="P37" s="459">
        <f>P36-N36</f>
        <v>-5.0000000000000044E-2</v>
      </c>
      <c r="Q37" s="459">
        <f>Q36-P36</f>
        <v>-1.22</v>
      </c>
      <c r="R37" s="459">
        <f>R36-Q36</f>
        <v>0</v>
      </c>
      <c r="S37" s="459">
        <f>S36-R36</f>
        <v>1.46</v>
      </c>
      <c r="T37" s="459"/>
      <c r="U37" s="459">
        <f>U36-S36</f>
        <v>-1.46</v>
      </c>
      <c r="V37" s="459">
        <f>V36-U36</f>
        <v>0</v>
      </c>
      <c r="W37" s="459">
        <f>W36-V36</f>
        <v>0</v>
      </c>
      <c r="X37" s="459">
        <f>X36-W36</f>
        <v>0</v>
      </c>
      <c r="Y37" s="455"/>
    </row>
    <row r="38" spans="5:25">
      <c r="E38" s="330" t="s">
        <v>261</v>
      </c>
      <c r="F38" s="332"/>
      <c r="G38" s="332"/>
      <c r="H38" s="332"/>
      <c r="I38" s="332"/>
      <c r="J38" s="332"/>
      <c r="K38" s="332"/>
      <c r="L38" s="332">
        <f>(L36-K36)/K36</f>
        <v>-4.4117647058823567E-2</v>
      </c>
      <c r="M38" s="332">
        <f>(M36-L36)/L36</f>
        <v>-1.5384615384615398E-2</v>
      </c>
      <c r="N38" s="332">
        <f>(N36-M36)/M36</f>
        <v>-7.8125000000000069E-3</v>
      </c>
      <c r="O38" s="332"/>
      <c r="P38" s="332">
        <f>(P36-N36)/N36</f>
        <v>-3.9370078740157514E-2</v>
      </c>
      <c r="Q38" s="332">
        <f>(Q36-P36)/P36</f>
        <v>-1</v>
      </c>
      <c r="R38" s="332" t="e">
        <f>(R36-Q36)/Q36</f>
        <v>#DIV/0!</v>
      </c>
      <c r="S38" s="332" t="e">
        <f>(S36-R36)/R36</f>
        <v>#DIV/0!</v>
      </c>
      <c r="T38" s="332"/>
      <c r="U38" s="332">
        <f>(U36-S36)/S36</f>
        <v>-1</v>
      </c>
      <c r="V38" s="332" t="e">
        <f>(V36-U36)/U36</f>
        <v>#DIV/0!</v>
      </c>
      <c r="W38" s="332" t="e">
        <f>(W36-V36)/V36</f>
        <v>#DIV/0!</v>
      </c>
      <c r="X38" s="332" t="e">
        <f>(X36-W36)/W36</f>
        <v>#DIV/0!</v>
      </c>
      <c r="Y38" s="456"/>
    </row>
    <row r="39" spans="5:25">
      <c r="E39" s="330" t="s">
        <v>253</v>
      </c>
      <c r="F39" s="330"/>
      <c r="G39" s="330"/>
      <c r="H39" s="326"/>
      <c r="I39" s="326"/>
      <c r="J39" s="326"/>
      <c r="K39" s="332"/>
      <c r="L39" s="332"/>
      <c r="M39" s="332"/>
      <c r="N39" s="332"/>
      <c r="O39" s="332"/>
      <c r="P39" s="332">
        <f>(P36-K36)/K36</f>
        <v>-0.10294117647058831</v>
      </c>
      <c r="Q39" s="332">
        <f>(Q36-L36)/L36</f>
        <v>-1</v>
      </c>
      <c r="R39" s="332">
        <f>(R36-M36)/M36</f>
        <v>-1</v>
      </c>
      <c r="S39" s="332">
        <f>(S36-N36)/N36</f>
        <v>0.14960629921259838</v>
      </c>
      <c r="T39" s="332"/>
      <c r="U39" s="332">
        <f>(U36-P36)/P36</f>
        <v>-1</v>
      </c>
      <c r="V39" s="332" t="e">
        <f>(V36-Q36)/Q36</f>
        <v>#DIV/0!</v>
      </c>
      <c r="W39" s="332" t="e">
        <f>(W36-R36)/R36</f>
        <v>#DIV/0!</v>
      </c>
      <c r="X39" s="332">
        <f>(X36-S36)/S36</f>
        <v>-1</v>
      </c>
      <c r="Y39" s="457"/>
    </row>
    <row r="40" spans="5:25">
      <c r="E40" s="330"/>
      <c r="F40" s="330"/>
      <c r="G40" s="330"/>
      <c r="H40" s="335"/>
      <c r="I40" s="335"/>
      <c r="J40" s="335"/>
      <c r="K40" s="335"/>
      <c r="L40" s="455"/>
      <c r="M40" s="455"/>
      <c r="N40" s="456"/>
      <c r="O40" s="456"/>
      <c r="P40" s="456"/>
      <c r="Q40" s="455"/>
      <c r="R40" s="455"/>
      <c r="S40" s="456"/>
      <c r="T40" s="455"/>
      <c r="U40" s="455"/>
      <c r="V40" s="455"/>
      <c r="W40" s="455"/>
      <c r="Y40" s="455"/>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D141"/>
  <sheetViews>
    <sheetView showGridLines="0" topLeftCell="A61" zoomScaleNormal="100" workbookViewId="0">
      <selection activeCell="G11" sqref="G11"/>
    </sheetView>
  </sheetViews>
  <sheetFormatPr defaultRowHeight="12.75"/>
  <cols>
    <col min="1" max="1" width="9" style="261"/>
    <col min="2" max="2" width="17.5" style="261" customWidth="1"/>
    <col min="3" max="3" width="15.25" style="261" customWidth="1"/>
    <col min="4" max="4" width="11.75" style="261" customWidth="1"/>
    <col min="5" max="5" width="14.5" style="261" customWidth="1"/>
    <col min="6" max="6" width="13.125" style="261" customWidth="1"/>
    <col min="7" max="7" width="15.125" style="261" customWidth="1"/>
    <col min="8" max="8" width="12.125" style="261" bestFit="1" customWidth="1"/>
    <col min="9" max="9" width="15.5" style="261" bestFit="1" customWidth="1"/>
    <col min="10" max="23" width="8.625" style="261" customWidth="1"/>
    <col min="24" max="24" width="9" style="261"/>
    <col min="25" max="25" width="9.125" style="261" customWidth="1"/>
    <col min="26" max="26" width="21.625" style="261" bestFit="1" customWidth="1"/>
    <col min="27" max="29" width="15.625" style="261" customWidth="1"/>
    <col min="30" max="30" width="9" style="261" customWidth="1"/>
    <col min="31" max="258" width="9" style="261"/>
    <col min="259" max="259" width="20.625" style="261" bestFit="1" customWidth="1"/>
    <col min="260" max="260" width="9.125" style="261" bestFit="1" customWidth="1"/>
    <col min="261" max="264" width="10.125" style="261" bestFit="1" customWidth="1"/>
    <col min="265" max="265" width="9.625" style="261" bestFit="1" customWidth="1"/>
    <col min="266" max="514" width="9" style="261"/>
    <col min="515" max="515" width="20.625" style="261" bestFit="1" customWidth="1"/>
    <col min="516" max="516" width="9.125" style="261" bestFit="1" customWidth="1"/>
    <col min="517" max="520" width="10.125" style="261" bestFit="1" customWidth="1"/>
    <col min="521" max="521" width="9.625" style="261" bestFit="1" customWidth="1"/>
    <col min="522" max="770" width="9" style="261"/>
    <col min="771" max="771" width="20.625" style="261" bestFit="1" customWidth="1"/>
    <col min="772" max="772" width="9.125" style="261" bestFit="1" customWidth="1"/>
    <col min="773" max="776" width="10.125" style="261" bestFit="1" customWidth="1"/>
    <col min="777" max="777" width="9.625" style="261" bestFit="1" customWidth="1"/>
    <col min="778" max="1026" width="9" style="261"/>
    <col min="1027" max="1027" width="20.625" style="261" bestFit="1" customWidth="1"/>
    <col min="1028" max="1028" width="9.125" style="261" bestFit="1" customWidth="1"/>
    <col min="1029" max="1032" width="10.125" style="261" bestFit="1" customWidth="1"/>
    <col min="1033" max="1033" width="9.625" style="261" bestFit="1" customWidth="1"/>
    <col min="1034" max="1282" width="9" style="261"/>
    <col min="1283" max="1283" width="20.625" style="261" bestFit="1" customWidth="1"/>
    <col min="1284" max="1284" width="9.125" style="261" bestFit="1" customWidth="1"/>
    <col min="1285" max="1288" width="10.125" style="261" bestFit="1" customWidth="1"/>
    <col min="1289" max="1289" width="9.625" style="261" bestFit="1" customWidth="1"/>
    <col min="1290" max="1538" width="9" style="261"/>
    <col min="1539" max="1539" width="20.625" style="261" bestFit="1" customWidth="1"/>
    <col min="1540" max="1540" width="9.125" style="261" bestFit="1" customWidth="1"/>
    <col min="1541" max="1544" width="10.125" style="261" bestFit="1" customWidth="1"/>
    <col min="1545" max="1545" width="9.625" style="261" bestFit="1" customWidth="1"/>
    <col min="1546" max="1794" width="9" style="261"/>
    <col min="1795" max="1795" width="20.625" style="261" bestFit="1" customWidth="1"/>
    <col min="1796" max="1796" width="9.125" style="261" bestFit="1" customWidth="1"/>
    <col min="1797" max="1800" width="10.125" style="261" bestFit="1" customWidth="1"/>
    <col min="1801" max="1801" width="9.625" style="261" bestFit="1" customWidth="1"/>
    <col min="1802" max="2050" width="9" style="261"/>
    <col min="2051" max="2051" width="20.625" style="261" bestFit="1" customWidth="1"/>
    <col min="2052" max="2052" width="9.125" style="261" bestFit="1" customWidth="1"/>
    <col min="2053" max="2056" width="10.125" style="261" bestFit="1" customWidth="1"/>
    <col min="2057" max="2057" width="9.625" style="261" bestFit="1" customWidth="1"/>
    <col min="2058" max="2306" width="9" style="261"/>
    <col min="2307" max="2307" width="20.625" style="261" bestFit="1" customWidth="1"/>
    <col min="2308" max="2308" width="9.125" style="261" bestFit="1" customWidth="1"/>
    <col min="2309" max="2312" width="10.125" style="261" bestFit="1" customWidth="1"/>
    <col min="2313" max="2313" width="9.625" style="261" bestFit="1" customWidth="1"/>
    <col min="2314" max="2562" width="9" style="261"/>
    <col min="2563" max="2563" width="20.625" style="261" bestFit="1" customWidth="1"/>
    <col min="2564" max="2564" width="9.125" style="261" bestFit="1" customWidth="1"/>
    <col min="2565" max="2568" width="10.125" style="261" bestFit="1" customWidth="1"/>
    <col min="2569" max="2569" width="9.625" style="261" bestFit="1" customWidth="1"/>
    <col min="2570" max="2818" width="9" style="261"/>
    <col min="2819" max="2819" width="20.625" style="261" bestFit="1" customWidth="1"/>
    <col min="2820" max="2820" width="9.125" style="261" bestFit="1" customWidth="1"/>
    <col min="2821" max="2824" width="10.125" style="261" bestFit="1" customWidth="1"/>
    <col min="2825" max="2825" width="9.625" style="261" bestFit="1" customWidth="1"/>
    <col min="2826" max="3074" width="9" style="261"/>
    <col min="3075" max="3075" width="20.625" style="261" bestFit="1" customWidth="1"/>
    <col min="3076" max="3076" width="9.125" style="261" bestFit="1" customWidth="1"/>
    <col min="3077" max="3080" width="10.125" style="261" bestFit="1" customWidth="1"/>
    <col min="3081" max="3081" width="9.625" style="261" bestFit="1" customWidth="1"/>
    <col min="3082" max="3330" width="9" style="261"/>
    <col min="3331" max="3331" width="20.625" style="261" bestFit="1" customWidth="1"/>
    <col min="3332" max="3332" width="9.125" style="261" bestFit="1" customWidth="1"/>
    <col min="3333" max="3336" width="10.125" style="261" bestFit="1" customWidth="1"/>
    <col min="3337" max="3337" width="9.625" style="261" bestFit="1" customWidth="1"/>
    <col min="3338" max="3586" width="9" style="261"/>
    <col min="3587" max="3587" width="20.625" style="261" bestFit="1" customWidth="1"/>
    <col min="3588" max="3588" width="9.125" style="261" bestFit="1" customWidth="1"/>
    <col min="3589" max="3592" width="10.125" style="261" bestFit="1" customWidth="1"/>
    <col min="3593" max="3593" width="9.625" style="261" bestFit="1" customWidth="1"/>
    <col min="3594" max="3842" width="9" style="261"/>
    <col min="3843" max="3843" width="20.625" style="261" bestFit="1" customWidth="1"/>
    <col min="3844" max="3844" width="9.125" style="261" bestFit="1" customWidth="1"/>
    <col min="3845" max="3848" width="10.125" style="261" bestFit="1" customWidth="1"/>
    <col min="3849" max="3849" width="9.625" style="261" bestFit="1" customWidth="1"/>
    <col min="3850" max="4098" width="9" style="261"/>
    <col min="4099" max="4099" width="20.625" style="261" bestFit="1" customWidth="1"/>
    <col min="4100" max="4100" width="9.125" style="261" bestFit="1" customWidth="1"/>
    <col min="4101" max="4104" width="10.125" style="261" bestFit="1" customWidth="1"/>
    <col min="4105" max="4105" width="9.625" style="261" bestFit="1" customWidth="1"/>
    <col min="4106" max="4354" width="9" style="261"/>
    <col min="4355" max="4355" width="20.625" style="261" bestFit="1" customWidth="1"/>
    <col min="4356" max="4356" width="9.125" style="261" bestFit="1" customWidth="1"/>
    <col min="4357" max="4360" width="10.125" style="261" bestFit="1" customWidth="1"/>
    <col min="4361" max="4361" width="9.625" style="261" bestFit="1" customWidth="1"/>
    <col min="4362" max="4610" width="9" style="261"/>
    <col min="4611" max="4611" width="20.625" style="261" bestFit="1" customWidth="1"/>
    <col min="4612" max="4612" width="9.125" style="261" bestFit="1" customWidth="1"/>
    <col min="4613" max="4616" width="10.125" style="261" bestFit="1" customWidth="1"/>
    <col min="4617" max="4617" width="9.625" style="261" bestFit="1" customWidth="1"/>
    <col min="4618" max="4866" width="9" style="261"/>
    <col min="4867" max="4867" width="20.625" style="261" bestFit="1" customWidth="1"/>
    <col min="4868" max="4868" width="9.125" style="261" bestFit="1" customWidth="1"/>
    <col min="4869" max="4872" width="10.125" style="261" bestFit="1" customWidth="1"/>
    <col min="4873" max="4873" width="9.625" style="261" bestFit="1" customWidth="1"/>
    <col min="4874" max="5122" width="9" style="261"/>
    <col min="5123" max="5123" width="20.625" style="261" bestFit="1" customWidth="1"/>
    <col min="5124" max="5124" width="9.125" style="261" bestFit="1" customWidth="1"/>
    <col min="5125" max="5128" width="10.125" style="261" bestFit="1" customWidth="1"/>
    <col min="5129" max="5129" width="9.625" style="261" bestFit="1" customWidth="1"/>
    <col min="5130" max="5378" width="9" style="261"/>
    <col min="5379" max="5379" width="20.625" style="261" bestFit="1" customWidth="1"/>
    <col min="5380" max="5380" width="9.125" style="261" bestFit="1" customWidth="1"/>
    <col min="5381" max="5384" width="10.125" style="261" bestFit="1" customWidth="1"/>
    <col min="5385" max="5385" width="9.625" style="261" bestFit="1" customWidth="1"/>
    <col min="5386" max="5634" width="9" style="261"/>
    <col min="5635" max="5635" width="20.625" style="261" bestFit="1" customWidth="1"/>
    <col min="5636" max="5636" width="9.125" style="261" bestFit="1" customWidth="1"/>
    <col min="5637" max="5640" width="10.125" style="261" bestFit="1" customWidth="1"/>
    <col min="5641" max="5641" width="9.625" style="261" bestFit="1" customWidth="1"/>
    <col min="5642" max="5890" width="9" style="261"/>
    <col min="5891" max="5891" width="20.625" style="261" bestFit="1" customWidth="1"/>
    <col min="5892" max="5892" width="9.125" style="261" bestFit="1" customWidth="1"/>
    <col min="5893" max="5896" width="10.125" style="261" bestFit="1" customWidth="1"/>
    <col min="5897" max="5897" width="9.625" style="261" bestFit="1" customWidth="1"/>
    <col min="5898" max="6146" width="9" style="261"/>
    <col min="6147" max="6147" width="20.625" style="261" bestFit="1" customWidth="1"/>
    <col min="6148" max="6148" width="9.125" style="261" bestFit="1" customWidth="1"/>
    <col min="6149" max="6152" width="10.125" style="261" bestFit="1" customWidth="1"/>
    <col min="6153" max="6153" width="9.625" style="261" bestFit="1" customWidth="1"/>
    <col min="6154" max="6402" width="9" style="261"/>
    <col min="6403" max="6403" width="20.625" style="261" bestFit="1" customWidth="1"/>
    <col min="6404" max="6404" width="9.125" style="261" bestFit="1" customWidth="1"/>
    <col min="6405" max="6408" width="10.125" style="261" bestFit="1" customWidth="1"/>
    <col min="6409" max="6409" width="9.625" style="261" bestFit="1" customWidth="1"/>
    <col min="6410" max="6658" width="9" style="261"/>
    <col min="6659" max="6659" width="20.625" style="261" bestFit="1" customWidth="1"/>
    <col min="6660" max="6660" width="9.125" style="261" bestFit="1" customWidth="1"/>
    <col min="6661" max="6664" width="10.125" style="261" bestFit="1" customWidth="1"/>
    <col min="6665" max="6665" width="9.625" style="261" bestFit="1" customWidth="1"/>
    <col min="6666" max="6914" width="9" style="261"/>
    <col min="6915" max="6915" width="20.625" style="261" bestFit="1" customWidth="1"/>
    <col min="6916" max="6916" width="9.125" style="261" bestFit="1" customWidth="1"/>
    <col min="6917" max="6920" width="10.125" style="261" bestFit="1" customWidth="1"/>
    <col min="6921" max="6921" width="9.625" style="261" bestFit="1" customWidth="1"/>
    <col min="6922" max="7170" width="9" style="261"/>
    <col min="7171" max="7171" width="20.625" style="261" bestFit="1" customWidth="1"/>
    <col min="7172" max="7172" width="9.125" style="261" bestFit="1" customWidth="1"/>
    <col min="7173" max="7176" width="10.125" style="261" bestFit="1" customWidth="1"/>
    <col min="7177" max="7177" width="9.625" style="261" bestFit="1" customWidth="1"/>
    <col min="7178" max="7426" width="9" style="261"/>
    <col min="7427" max="7427" width="20.625" style="261" bestFit="1" customWidth="1"/>
    <col min="7428" max="7428" width="9.125" style="261" bestFit="1" customWidth="1"/>
    <col min="7429" max="7432" width="10.125" style="261" bestFit="1" customWidth="1"/>
    <col min="7433" max="7433" width="9.625" style="261" bestFit="1" customWidth="1"/>
    <col min="7434" max="7682" width="9" style="261"/>
    <col min="7683" max="7683" width="20.625" style="261" bestFit="1" customWidth="1"/>
    <col min="7684" max="7684" width="9.125" style="261" bestFit="1" customWidth="1"/>
    <col min="7685" max="7688" width="10.125" style="261" bestFit="1" customWidth="1"/>
    <col min="7689" max="7689" width="9.625" style="261" bestFit="1" customWidth="1"/>
    <col min="7690" max="7938" width="9" style="261"/>
    <col min="7939" max="7939" width="20.625" style="261" bestFit="1" customWidth="1"/>
    <col min="7940" max="7940" width="9.125" style="261" bestFit="1" customWidth="1"/>
    <col min="7941" max="7944" width="10.125" style="261" bestFit="1" customWidth="1"/>
    <col min="7945" max="7945" width="9.625" style="261" bestFit="1" customWidth="1"/>
    <col min="7946" max="8194" width="9" style="261"/>
    <col min="8195" max="8195" width="20.625" style="261" bestFit="1" customWidth="1"/>
    <col min="8196" max="8196" width="9.125" style="261" bestFit="1" customWidth="1"/>
    <col min="8197" max="8200" width="10.125" style="261" bestFit="1" customWidth="1"/>
    <col min="8201" max="8201" width="9.625" style="261" bestFit="1" customWidth="1"/>
    <col min="8202" max="8450" width="9" style="261"/>
    <col min="8451" max="8451" width="20.625" style="261" bestFit="1" customWidth="1"/>
    <col min="8452" max="8452" width="9.125" style="261" bestFit="1" customWidth="1"/>
    <col min="8453" max="8456" width="10.125" style="261" bestFit="1" customWidth="1"/>
    <col min="8457" max="8457" width="9.625" style="261" bestFit="1" customWidth="1"/>
    <col min="8458" max="8706" width="9" style="261"/>
    <col min="8707" max="8707" width="20.625" style="261" bestFit="1" customWidth="1"/>
    <col min="8708" max="8708" width="9.125" style="261" bestFit="1" customWidth="1"/>
    <col min="8709" max="8712" width="10.125" style="261" bestFit="1" customWidth="1"/>
    <col min="8713" max="8713" width="9.625" style="261" bestFit="1" customWidth="1"/>
    <col min="8714" max="8962" width="9" style="261"/>
    <col min="8963" max="8963" width="20.625" style="261" bestFit="1" customWidth="1"/>
    <col min="8964" max="8964" width="9.125" style="261" bestFit="1" customWidth="1"/>
    <col min="8965" max="8968" width="10.125" style="261" bestFit="1" customWidth="1"/>
    <col min="8969" max="8969" width="9.625" style="261" bestFit="1" customWidth="1"/>
    <col min="8970" max="9218" width="9" style="261"/>
    <col min="9219" max="9219" width="20.625" style="261" bestFit="1" customWidth="1"/>
    <col min="9220" max="9220" width="9.125" style="261" bestFit="1" customWidth="1"/>
    <col min="9221" max="9224" width="10.125" style="261" bestFit="1" customWidth="1"/>
    <col min="9225" max="9225" width="9.625" style="261" bestFit="1" customWidth="1"/>
    <col min="9226" max="9474" width="9" style="261"/>
    <col min="9475" max="9475" width="20.625" style="261" bestFit="1" customWidth="1"/>
    <col min="9476" max="9476" width="9.125" style="261" bestFit="1" customWidth="1"/>
    <col min="9477" max="9480" width="10.125" style="261" bestFit="1" customWidth="1"/>
    <col min="9481" max="9481" width="9.625" style="261" bestFit="1" customWidth="1"/>
    <col min="9482" max="9730" width="9" style="261"/>
    <col min="9731" max="9731" width="20.625" style="261" bestFit="1" customWidth="1"/>
    <col min="9732" max="9732" width="9.125" style="261" bestFit="1" customWidth="1"/>
    <col min="9733" max="9736" width="10.125" style="261" bestFit="1" customWidth="1"/>
    <col min="9737" max="9737" width="9.625" style="261" bestFit="1" customWidth="1"/>
    <col min="9738" max="9986" width="9" style="261"/>
    <col min="9987" max="9987" width="20.625" style="261" bestFit="1" customWidth="1"/>
    <col min="9988" max="9988" width="9.125" style="261" bestFit="1" customWidth="1"/>
    <col min="9989" max="9992" width="10.125" style="261" bestFit="1" customWidth="1"/>
    <col min="9993" max="9993" width="9.625" style="261" bestFit="1" customWidth="1"/>
    <col min="9994" max="10242" width="9" style="261"/>
    <col min="10243" max="10243" width="20.625" style="261" bestFit="1" customWidth="1"/>
    <col min="10244" max="10244" width="9.125" style="261" bestFit="1" customWidth="1"/>
    <col min="10245" max="10248" width="10.125" style="261" bestFit="1" customWidth="1"/>
    <col min="10249" max="10249" width="9.625" style="261" bestFit="1" customWidth="1"/>
    <col min="10250" max="10498" width="9" style="261"/>
    <col min="10499" max="10499" width="20.625" style="261" bestFit="1" customWidth="1"/>
    <col min="10500" max="10500" width="9.125" style="261" bestFit="1" customWidth="1"/>
    <col min="10501" max="10504" width="10.125" style="261" bestFit="1" customWidth="1"/>
    <col min="10505" max="10505" width="9.625" style="261" bestFit="1" customWidth="1"/>
    <col min="10506" max="10754" width="9" style="261"/>
    <col min="10755" max="10755" width="20.625" style="261" bestFit="1" customWidth="1"/>
    <col min="10756" max="10756" width="9.125" style="261" bestFit="1" customWidth="1"/>
    <col min="10757" max="10760" width="10.125" style="261" bestFit="1" customWidth="1"/>
    <col min="10761" max="10761" width="9.625" style="261" bestFit="1" customWidth="1"/>
    <col min="10762" max="11010" width="9" style="261"/>
    <col min="11011" max="11011" width="20.625" style="261" bestFit="1" customWidth="1"/>
    <col min="11012" max="11012" width="9.125" style="261" bestFit="1" customWidth="1"/>
    <col min="11013" max="11016" width="10.125" style="261" bestFit="1" customWidth="1"/>
    <col min="11017" max="11017" width="9.625" style="261" bestFit="1" customWidth="1"/>
    <col min="11018" max="11266" width="9" style="261"/>
    <col min="11267" max="11267" width="20.625" style="261" bestFit="1" customWidth="1"/>
    <col min="11268" max="11268" width="9.125" style="261" bestFit="1" customWidth="1"/>
    <col min="11269" max="11272" width="10.125" style="261" bestFit="1" customWidth="1"/>
    <col min="11273" max="11273" width="9.625" style="261" bestFit="1" customWidth="1"/>
    <col min="11274" max="11522" width="9" style="261"/>
    <col min="11523" max="11523" width="20.625" style="261" bestFit="1" customWidth="1"/>
    <col min="11524" max="11524" width="9.125" style="261" bestFit="1" customWidth="1"/>
    <col min="11525" max="11528" width="10.125" style="261" bestFit="1" customWidth="1"/>
    <col min="11529" max="11529" width="9.625" style="261" bestFit="1" customWidth="1"/>
    <col min="11530" max="11778" width="9" style="261"/>
    <col min="11779" max="11779" width="20.625" style="261" bestFit="1" customWidth="1"/>
    <col min="11780" max="11780" width="9.125" style="261" bestFit="1" customWidth="1"/>
    <col min="11781" max="11784" width="10.125" style="261" bestFit="1" customWidth="1"/>
    <col min="11785" max="11785" width="9.625" style="261" bestFit="1" customWidth="1"/>
    <col min="11786" max="12034" width="9" style="261"/>
    <col min="12035" max="12035" width="20.625" style="261" bestFit="1" customWidth="1"/>
    <col min="12036" max="12036" width="9.125" style="261" bestFit="1" customWidth="1"/>
    <col min="12037" max="12040" width="10.125" style="261" bestFit="1" customWidth="1"/>
    <col min="12041" max="12041" width="9.625" style="261" bestFit="1" customWidth="1"/>
    <col min="12042" max="12290" width="9" style="261"/>
    <col min="12291" max="12291" width="20.625" style="261" bestFit="1" customWidth="1"/>
    <col min="12292" max="12292" width="9.125" style="261" bestFit="1" customWidth="1"/>
    <col min="12293" max="12296" width="10.125" style="261" bestFit="1" customWidth="1"/>
    <col min="12297" max="12297" width="9.625" style="261" bestFit="1" customWidth="1"/>
    <col min="12298" max="12546" width="9" style="261"/>
    <col min="12547" max="12547" width="20.625" style="261" bestFit="1" customWidth="1"/>
    <col min="12548" max="12548" width="9.125" style="261" bestFit="1" customWidth="1"/>
    <col min="12549" max="12552" width="10.125" style="261" bestFit="1" customWidth="1"/>
    <col min="12553" max="12553" width="9.625" style="261" bestFit="1" customWidth="1"/>
    <col min="12554" max="12802" width="9" style="261"/>
    <col min="12803" max="12803" width="20.625" style="261" bestFit="1" customWidth="1"/>
    <col min="12804" max="12804" width="9.125" style="261" bestFit="1" customWidth="1"/>
    <col min="12805" max="12808" width="10.125" style="261" bestFit="1" customWidth="1"/>
    <col min="12809" max="12809" width="9.625" style="261" bestFit="1" customWidth="1"/>
    <col min="12810" max="13058" width="9" style="261"/>
    <col min="13059" max="13059" width="20.625" style="261" bestFit="1" customWidth="1"/>
    <col min="13060" max="13060" width="9.125" style="261" bestFit="1" customWidth="1"/>
    <col min="13061" max="13064" width="10.125" style="261" bestFit="1" customWidth="1"/>
    <col min="13065" max="13065" width="9.625" style="261" bestFit="1" customWidth="1"/>
    <col min="13066" max="13314" width="9" style="261"/>
    <col min="13315" max="13315" width="20.625" style="261" bestFit="1" customWidth="1"/>
    <col min="13316" max="13316" width="9.125" style="261" bestFit="1" customWidth="1"/>
    <col min="13317" max="13320" width="10.125" style="261" bestFit="1" customWidth="1"/>
    <col min="13321" max="13321" width="9.625" style="261" bestFit="1" customWidth="1"/>
    <col min="13322" max="13570" width="9" style="261"/>
    <col min="13571" max="13571" width="20.625" style="261" bestFit="1" customWidth="1"/>
    <col min="13572" max="13572" width="9.125" style="261" bestFit="1" customWidth="1"/>
    <col min="13573" max="13576" width="10.125" style="261" bestFit="1" customWidth="1"/>
    <col min="13577" max="13577" width="9.625" style="261" bestFit="1" customWidth="1"/>
    <col min="13578" max="13826" width="9" style="261"/>
    <col min="13827" max="13827" width="20.625" style="261" bestFit="1" customWidth="1"/>
    <col min="13828" max="13828" width="9.125" style="261" bestFit="1" customWidth="1"/>
    <col min="13829" max="13832" width="10.125" style="261" bestFit="1" customWidth="1"/>
    <col min="13833" max="13833" width="9.625" style="261" bestFit="1" customWidth="1"/>
    <col min="13834" max="14082" width="9" style="261"/>
    <col min="14083" max="14083" width="20.625" style="261" bestFit="1" customWidth="1"/>
    <col min="14084" max="14084" width="9.125" style="261" bestFit="1" customWidth="1"/>
    <col min="14085" max="14088" width="10.125" style="261" bestFit="1" customWidth="1"/>
    <col min="14089" max="14089" width="9.625" style="261" bestFit="1" customWidth="1"/>
    <col min="14090" max="14338" width="9" style="261"/>
    <col min="14339" max="14339" width="20.625" style="261" bestFit="1" customWidth="1"/>
    <col min="14340" max="14340" width="9.125" style="261" bestFit="1" customWidth="1"/>
    <col min="14341" max="14344" width="10.125" style="261" bestFit="1" customWidth="1"/>
    <col min="14345" max="14345" width="9.625" style="261" bestFit="1" customWidth="1"/>
    <col min="14346" max="14594" width="9" style="261"/>
    <col min="14595" max="14595" width="20.625" style="261" bestFit="1" customWidth="1"/>
    <col min="14596" max="14596" width="9.125" style="261" bestFit="1" customWidth="1"/>
    <col min="14597" max="14600" width="10.125" style="261" bestFit="1" customWidth="1"/>
    <col min="14601" max="14601" width="9.625" style="261" bestFit="1" customWidth="1"/>
    <col min="14602" max="14850" width="9" style="261"/>
    <col min="14851" max="14851" width="20.625" style="261" bestFit="1" customWidth="1"/>
    <col min="14852" max="14852" width="9.125" style="261" bestFit="1" customWidth="1"/>
    <col min="14853" max="14856" width="10.125" style="261" bestFit="1" customWidth="1"/>
    <col min="14857" max="14857" width="9.625" style="261" bestFit="1" customWidth="1"/>
    <col min="14858" max="15106" width="9" style="261"/>
    <col min="15107" max="15107" width="20.625" style="261" bestFit="1" customWidth="1"/>
    <col min="15108" max="15108" width="9.125" style="261" bestFit="1" customWidth="1"/>
    <col min="15109" max="15112" width="10.125" style="261" bestFit="1" customWidth="1"/>
    <col min="15113" max="15113" width="9.625" style="261" bestFit="1" customWidth="1"/>
    <col min="15114" max="15362" width="9" style="261"/>
    <col min="15363" max="15363" width="20.625" style="261" bestFit="1" customWidth="1"/>
    <col min="15364" max="15364" width="9.125" style="261" bestFit="1" customWidth="1"/>
    <col min="15365" max="15368" width="10.125" style="261" bestFit="1" customWidth="1"/>
    <col min="15369" max="15369" width="9.625" style="261" bestFit="1" customWidth="1"/>
    <col min="15370" max="15618" width="9" style="261"/>
    <col min="15619" max="15619" width="20.625" style="261" bestFit="1" customWidth="1"/>
    <col min="15620" max="15620" width="9.125" style="261" bestFit="1" customWidth="1"/>
    <col min="15621" max="15624" width="10.125" style="261" bestFit="1" customWidth="1"/>
    <col min="15625" max="15625" width="9.625" style="261" bestFit="1" customWidth="1"/>
    <col min="15626" max="15874" width="9" style="261"/>
    <col min="15875" max="15875" width="20.625" style="261" bestFit="1" customWidth="1"/>
    <col min="15876" max="15876" width="9.125" style="261" bestFit="1" customWidth="1"/>
    <col min="15877" max="15880" width="10.125" style="261" bestFit="1" customWidth="1"/>
    <col min="15881" max="15881" width="9.625" style="261" bestFit="1" customWidth="1"/>
    <col min="15882" max="16130" width="9" style="261"/>
    <col min="16131" max="16131" width="20.625" style="261" bestFit="1" customWidth="1"/>
    <col min="16132" max="16132" width="9.125" style="261" bestFit="1" customWidth="1"/>
    <col min="16133" max="16136" width="10.125" style="261" bestFit="1" customWidth="1"/>
    <col min="16137" max="16137" width="9.625" style="261" bestFit="1" customWidth="1"/>
    <col min="16138" max="16384" width="9" style="261"/>
  </cols>
  <sheetData>
    <row r="1" spans="1:30" ht="13.5">
      <c r="A1" s="349" t="s">
        <v>367</v>
      </c>
    </row>
    <row r="2" spans="1:30">
      <c r="A2" s="261" t="s">
        <v>368</v>
      </c>
    </row>
    <row r="3" spans="1:30">
      <c r="A3" s="261" t="s">
        <v>226</v>
      </c>
    </row>
    <row r="4" spans="1:30">
      <c r="A4" s="261" t="s">
        <v>369</v>
      </c>
    </row>
    <row r="5" spans="1:30" ht="13.5">
      <c r="A5" s="261" t="s">
        <v>373</v>
      </c>
      <c r="Z5" t="s">
        <v>358</v>
      </c>
    </row>
    <row r="6" spans="1:30" ht="13.9">
      <c r="L6" s="356"/>
      <c r="M6" s="356"/>
      <c r="N6" s="356"/>
      <c r="O6" s="356"/>
      <c r="P6" s="356"/>
      <c r="Q6" s="356"/>
      <c r="R6" s="356"/>
      <c r="S6" s="356"/>
      <c r="T6" s="356"/>
      <c r="U6" s="356"/>
      <c r="V6" s="356"/>
      <c r="W6" s="356"/>
      <c r="X6" s="356"/>
      <c r="Y6"/>
      <c r="AA6"/>
      <c r="AB6"/>
      <c r="AC6"/>
      <c r="AD6"/>
    </row>
    <row r="7" spans="1:30" ht="14.25" thickBot="1">
      <c r="K7" s="349"/>
      <c r="L7" s="341"/>
      <c r="M7" s="341"/>
      <c r="N7" s="341"/>
      <c r="O7" s="341"/>
      <c r="P7" s="341"/>
      <c r="Q7" s="341"/>
      <c r="R7" s="341"/>
      <c r="S7" s="341"/>
      <c r="T7" s="341"/>
      <c r="U7" s="341"/>
      <c r="V7" s="341"/>
      <c r="W7" s="341"/>
      <c r="X7" s="341"/>
      <c r="Y7"/>
      <c r="Z7" s="526"/>
      <c r="AA7" s="527" t="s">
        <v>357</v>
      </c>
      <c r="AB7" s="527" t="s">
        <v>362</v>
      </c>
      <c r="AC7" s="531" t="s">
        <v>359</v>
      </c>
      <c r="AD7"/>
    </row>
    <row r="8" spans="1:30" ht="18" customHeight="1">
      <c r="B8" s="505"/>
      <c r="C8" s="506">
        <v>2019</v>
      </c>
      <c r="D8" s="506">
        <v>2020</v>
      </c>
      <c r="E8" s="506" t="s">
        <v>240</v>
      </c>
      <c r="F8" s="507" t="s">
        <v>246</v>
      </c>
      <c r="G8" s="508" t="s">
        <v>258</v>
      </c>
      <c r="J8" s="480" t="s">
        <v>226</v>
      </c>
      <c r="K8" s="481"/>
      <c r="L8" s="482"/>
      <c r="M8" s="482"/>
      <c r="N8" s="482"/>
      <c r="O8" s="482"/>
      <c r="P8" s="482"/>
      <c r="Q8" s="482"/>
      <c r="R8" s="482"/>
      <c r="S8" s="482"/>
      <c r="T8" s="482"/>
      <c r="U8" s="482"/>
      <c r="V8" s="482"/>
      <c r="W8" s="494"/>
      <c r="X8" s="341"/>
      <c r="Y8"/>
      <c r="Z8" s="528" t="s">
        <v>360</v>
      </c>
      <c r="AA8" s="525">
        <v>0.70199999999999996</v>
      </c>
      <c r="AB8" s="525">
        <v>0.71</v>
      </c>
      <c r="AC8" s="532" t="s">
        <v>363</v>
      </c>
      <c r="AD8"/>
    </row>
    <row r="9" spans="1:30" ht="13.9" customHeight="1">
      <c r="B9" s="505" t="s">
        <v>386</v>
      </c>
      <c r="C9" s="510">
        <f>(IS!H11)/1000</f>
        <v>48.555999999999997</v>
      </c>
      <c r="D9" s="510">
        <f>(IS!M11)/1000</f>
        <v>68.444000000000003</v>
      </c>
      <c r="E9" s="510">
        <f>IS!R11/1000</f>
        <v>114.342</v>
      </c>
      <c r="F9" s="510">
        <f>IS!W11/1000</f>
        <v>135.19</v>
      </c>
      <c r="G9" s="510">
        <f>IS!AB11/1000</f>
        <v>138.09</v>
      </c>
      <c r="J9" s="483" t="s">
        <v>265</v>
      </c>
      <c r="K9" s="484" t="s">
        <v>293</v>
      </c>
      <c r="L9" s="484" t="s">
        <v>237</v>
      </c>
      <c r="M9" s="484" t="s">
        <v>238</v>
      </c>
      <c r="N9" s="484" t="s">
        <v>239</v>
      </c>
      <c r="O9" s="484" t="s">
        <v>242</v>
      </c>
      <c r="P9" s="484" t="s">
        <v>243</v>
      </c>
      <c r="Q9" s="484" t="s">
        <v>244</v>
      </c>
      <c r="R9" s="485" t="s">
        <v>245</v>
      </c>
      <c r="S9" s="485" t="s">
        <v>255</v>
      </c>
      <c r="T9" s="485" t="s">
        <v>256</v>
      </c>
      <c r="U9" s="485" t="s">
        <v>244</v>
      </c>
      <c r="V9" s="485" t="s">
        <v>257</v>
      </c>
      <c r="W9" s="495"/>
      <c r="Y9"/>
      <c r="Z9" s="528" t="s">
        <v>388</v>
      </c>
      <c r="AA9" s="525">
        <v>0.44900000000000001</v>
      </c>
      <c r="AB9" s="525">
        <v>0.44800000000000001</v>
      </c>
      <c r="AC9" s="532" t="s">
        <v>364</v>
      </c>
      <c r="AD9"/>
    </row>
    <row r="10" spans="1:30" ht="13.9" customHeight="1">
      <c r="B10" s="505" t="s">
        <v>152</v>
      </c>
      <c r="C10" s="509">
        <f>IS!H28</f>
        <v>-0.54020100502512558</v>
      </c>
      <c r="D10" s="509">
        <f>IS!M28</f>
        <v>-0.31507509789024601</v>
      </c>
      <c r="E10" s="509">
        <f>IS!R28</f>
        <v>-0.15939899599447271</v>
      </c>
      <c r="F10" s="509">
        <f>IS!W28</f>
        <v>-0.35518899326873288</v>
      </c>
      <c r="G10" s="509">
        <f>IS!AB28</f>
        <v>-0.22103700485190816</v>
      </c>
      <c r="J10" s="486">
        <f>IS!L108</f>
        <v>1.5449517296862429</v>
      </c>
      <c r="K10" s="487">
        <f>IS!N108</f>
        <v>1.4893179835055028</v>
      </c>
      <c r="L10" s="487">
        <f>IS!O108</f>
        <v>1.2782082653616096</v>
      </c>
      <c r="M10" s="487">
        <f>IS!P108</f>
        <v>1.2125991947148274</v>
      </c>
      <c r="N10" s="487">
        <f>IS!Q108</f>
        <v>0.99758159396923618</v>
      </c>
      <c r="O10" s="487">
        <f>IS!S108</f>
        <v>1.0341525917297612</v>
      </c>
      <c r="P10" s="487">
        <f>IS!T108</f>
        <v>1.1972264233165004</v>
      </c>
      <c r="Q10" s="487">
        <f>IS!U108</f>
        <v>1.4333348035107838</v>
      </c>
      <c r="R10" s="487">
        <f>IS!V108</f>
        <v>3.2930257099002302</v>
      </c>
      <c r="S10" s="487">
        <f>IS!X108</f>
        <v>5.3221770136063347</v>
      </c>
      <c r="T10" s="487">
        <f>IS!Y108</f>
        <v>6.3457610892458245</v>
      </c>
      <c r="U10" s="487">
        <f>IS!Z108</f>
        <v>5.7342160346590081</v>
      </c>
      <c r="V10" s="487">
        <f>IS!AA108</f>
        <v>21.42</v>
      </c>
      <c r="W10" s="496"/>
      <c r="X10" s="224"/>
      <c r="Y10"/>
      <c r="Z10" s="528" t="s">
        <v>389</v>
      </c>
      <c r="AA10" s="525">
        <v>0.376</v>
      </c>
      <c r="AB10" s="525">
        <v>0.316</v>
      </c>
      <c r="AC10" s="532" t="s">
        <v>365</v>
      </c>
      <c r="AD10"/>
    </row>
    <row r="11" spans="1:30" ht="13.9" customHeight="1">
      <c r="Y11"/>
      <c r="Z11" s="528" t="s">
        <v>390</v>
      </c>
      <c r="AA11" s="525">
        <v>0.192</v>
      </c>
      <c r="AB11" s="525">
        <v>0.23200000000000001</v>
      </c>
      <c r="AC11" s="532" t="s">
        <v>366</v>
      </c>
      <c r="AD11"/>
    </row>
    <row r="12" spans="1:30" ht="13.9" customHeight="1">
      <c r="Y12"/>
      <c r="Z12" s="529" t="s">
        <v>391</v>
      </c>
      <c r="AA12" s="530">
        <v>-0.29099999999999998</v>
      </c>
      <c r="AB12" s="530">
        <v>-0.26900000000000002</v>
      </c>
      <c r="AC12" s="533" t="s">
        <v>361</v>
      </c>
      <c r="AD12"/>
    </row>
    <row r="13" spans="1:30" ht="13.9" customHeight="1">
      <c r="Y13"/>
      <c r="Z13" s="22"/>
      <c r="AA13" s="525"/>
      <c r="AB13" s="525"/>
      <c r="AC13" s="525"/>
      <c r="AD13"/>
    </row>
    <row r="14" spans="1:30" ht="13.9" customHeight="1">
      <c r="Y14"/>
      <c r="Z14" s="22"/>
      <c r="AA14" s="525"/>
      <c r="AB14" s="525"/>
      <c r="AC14" s="525"/>
      <c r="AD14"/>
    </row>
    <row r="15" spans="1:30" ht="13.5">
      <c r="Y15"/>
      <c r="Z15"/>
      <c r="AA15" s="488"/>
      <c r="AB15" s="488"/>
      <c r="AC15" s="488"/>
      <c r="AD15"/>
    </row>
    <row r="16" spans="1:30" ht="13.5">
      <c r="Y16"/>
      <c r="Z16"/>
      <c r="AA16"/>
      <c r="AB16"/>
      <c r="AC16"/>
      <c r="AD16"/>
    </row>
    <row r="34" spans="2:24" ht="13.5" thickBot="1">
      <c r="B34" s="318"/>
    </row>
    <row r="35" spans="2:24" ht="13.15">
      <c r="B35" s="262"/>
      <c r="C35" s="263">
        <v>2019</v>
      </c>
      <c r="D35" s="263">
        <v>2020</v>
      </c>
      <c r="E35" s="263" t="s">
        <v>240</v>
      </c>
      <c r="F35" s="276" t="s">
        <v>246</v>
      </c>
      <c r="G35" s="271" t="s">
        <v>258</v>
      </c>
    </row>
    <row r="36" spans="2:24" ht="13.15">
      <c r="B36" s="264" t="s">
        <v>210</v>
      </c>
      <c r="C36" s="265">
        <f>CF!H25</f>
        <v>-27299</v>
      </c>
      <c r="D36" s="265">
        <f>CF!M25</f>
        <v>-22712</v>
      </c>
      <c r="E36" s="265">
        <f>CF!R25</f>
        <v>-21642</v>
      </c>
      <c r="F36" s="277">
        <f>CF!W25</f>
        <v>-46014</v>
      </c>
      <c r="G36" s="272">
        <f>CF!AB25</f>
        <v>-25531</v>
      </c>
      <c r="L36" s="356"/>
      <c r="M36" s="356"/>
      <c r="N36" s="356"/>
      <c r="O36" s="356"/>
      <c r="P36" s="356"/>
      <c r="Q36" s="356"/>
      <c r="R36" s="356"/>
      <c r="S36" s="356"/>
      <c r="T36" s="356"/>
      <c r="U36" s="356"/>
      <c r="V36" s="356"/>
      <c r="W36" s="356"/>
      <c r="X36" s="356"/>
    </row>
    <row r="37" spans="2:24" ht="13.5">
      <c r="B37" s="266" t="s">
        <v>211</v>
      </c>
      <c r="C37" s="267">
        <f>CF!H26</f>
        <v>-0.56221682181398802</v>
      </c>
      <c r="D37" s="267">
        <f>CF!M26</f>
        <v>-0.33183332359301032</v>
      </c>
      <c r="E37" s="267">
        <f>CF!R26</f>
        <v>-0.18927428241591016</v>
      </c>
      <c r="F37" s="278">
        <f>CF!W26</f>
        <v>-0.34036541164287298</v>
      </c>
      <c r="G37" s="273">
        <f>CF!AB26</f>
        <v>-0.18488666811499746</v>
      </c>
      <c r="K37" s="349"/>
      <c r="L37" s="341"/>
      <c r="M37" s="341"/>
      <c r="N37" s="341"/>
      <c r="O37" s="341"/>
      <c r="P37" s="341"/>
      <c r="Q37" s="341"/>
      <c r="R37" s="341"/>
      <c r="S37" s="341"/>
    </row>
    <row r="38" spans="2:24" ht="13.9">
      <c r="B38" s="264" t="s">
        <v>170</v>
      </c>
      <c r="C38" s="268">
        <f>CF!H36</f>
        <v>-30624</v>
      </c>
      <c r="D38" s="268">
        <f>CF!M36</f>
        <v>-24616</v>
      </c>
      <c r="E38" s="268">
        <f>CF!R36</f>
        <v>-24749</v>
      </c>
      <c r="F38" s="279">
        <f>CF!W36</f>
        <v>-50392</v>
      </c>
      <c r="G38" s="274">
        <f>CF!AB36</f>
        <v>-30390</v>
      </c>
      <c r="K38" s="349"/>
      <c r="L38" s="341"/>
      <c r="M38" s="341"/>
      <c r="N38" s="341"/>
      <c r="O38" s="341"/>
      <c r="P38" s="341"/>
      <c r="Q38" s="341"/>
      <c r="R38" s="341"/>
      <c r="S38" s="341"/>
    </row>
    <row r="39" spans="2:24" ht="13.5" thickBot="1">
      <c r="B39" s="269" t="s">
        <v>212</v>
      </c>
      <c r="C39" s="270">
        <f>CF!H37</f>
        <v>-0.63069445588598727</v>
      </c>
      <c r="D39" s="270">
        <f>CF!M37</f>
        <v>-0.35965168604990944</v>
      </c>
      <c r="E39" s="270">
        <f>CF!R37</f>
        <v>-0.21644714977873397</v>
      </c>
      <c r="F39" s="280">
        <f>CF!W37</f>
        <v>-0.3727494637177306</v>
      </c>
      <c r="G39" s="275">
        <f>CF!AB37</f>
        <v>-0.22007386487073646</v>
      </c>
      <c r="K39" s="318"/>
      <c r="L39" s="357"/>
      <c r="M39" s="357"/>
      <c r="N39" s="357"/>
      <c r="O39" s="357"/>
      <c r="P39" s="357"/>
      <c r="Q39" s="357"/>
      <c r="R39" s="357"/>
      <c r="S39" s="357"/>
    </row>
    <row r="40" spans="2:24" ht="13.5">
      <c r="B40" s="319" t="s">
        <v>216</v>
      </c>
      <c r="K40" s="349"/>
    </row>
    <row r="41" spans="2:24" ht="13.9">
      <c r="I41" s="479"/>
      <c r="K41" s="349"/>
    </row>
    <row r="45" spans="2:24" ht="13.15">
      <c r="K45" s="318"/>
    </row>
    <row r="46" spans="2:24" ht="13.15">
      <c r="B46" s="489"/>
      <c r="C46" s="490" t="s">
        <v>231</v>
      </c>
      <c r="D46" s="490" t="s">
        <v>233</v>
      </c>
      <c r="E46" s="490" t="s">
        <v>234</v>
      </c>
      <c r="F46" s="490" t="s">
        <v>235</v>
      </c>
      <c r="G46" s="490" t="s">
        <v>241</v>
      </c>
      <c r="H46" s="490" t="s">
        <v>259</v>
      </c>
      <c r="I46" s="490" t="s">
        <v>263</v>
      </c>
      <c r="J46" s="490" t="s">
        <v>265</v>
      </c>
      <c r="K46" s="490" t="s">
        <v>293</v>
      </c>
      <c r="N46" s="466"/>
      <c r="O46" s="466"/>
      <c r="P46" s="466"/>
      <c r="Q46" s="466"/>
    </row>
    <row r="47" spans="2:24" ht="13.15">
      <c r="B47" s="491" t="s">
        <v>372</v>
      </c>
      <c r="C47" s="492"/>
      <c r="D47" s="492">
        <v>8.93235690884564E-2</v>
      </c>
      <c r="E47" s="492">
        <v>0.11915081822202556</v>
      </c>
      <c r="F47" s="492">
        <v>0.12401201391084404</v>
      </c>
      <c r="G47" s="492">
        <v>0.10175093172069483</v>
      </c>
      <c r="H47" s="492">
        <v>3.7656369670666656E-3</v>
      </c>
      <c r="I47" s="492">
        <v>0.13581738411648758</v>
      </c>
      <c r="J47" s="492">
        <v>7.4063707104069954E-2</v>
      </c>
      <c r="K47" s="492">
        <v>0.10137600333576557</v>
      </c>
      <c r="L47" s="366"/>
      <c r="N47" s="317"/>
      <c r="O47" s="317"/>
      <c r="P47" s="317"/>
      <c r="Q47" s="317"/>
    </row>
    <row r="48" spans="2:24" ht="13.15">
      <c r="B48" s="491" t="s">
        <v>160</v>
      </c>
      <c r="C48" s="492">
        <v>0.72037001349007512</v>
      </c>
      <c r="D48" s="492">
        <v>0.7077399380804954</v>
      </c>
      <c r="E48" s="492">
        <v>0.71403730635472651</v>
      </c>
      <c r="F48" s="492">
        <v>0.67470642008297588</v>
      </c>
      <c r="G48" s="492">
        <v>0.67672964003063574</v>
      </c>
      <c r="H48" s="492">
        <v>0.71374070070579254</v>
      </c>
      <c r="I48" s="492">
        <v>0.69126126630465212</v>
      </c>
      <c r="J48" s="492">
        <v>0.72172417387678511</v>
      </c>
      <c r="K48" s="492">
        <v>0.7264682220434433</v>
      </c>
      <c r="N48" s="473"/>
      <c r="O48" s="473"/>
      <c r="P48" s="473"/>
      <c r="Q48" s="473"/>
      <c r="S48" s="316"/>
    </row>
    <row r="50" spans="1:9">
      <c r="B50" s="460"/>
      <c r="C50" s="461"/>
      <c r="D50" s="461"/>
    </row>
    <row r="51" spans="1:9">
      <c r="B51" s="460"/>
      <c r="C51" s="462"/>
      <c r="D51" s="341"/>
      <c r="E51" s="463"/>
      <c r="F51" s="462"/>
      <c r="I51" s="345"/>
    </row>
    <row r="52" spans="1:9">
      <c r="B52" s="460"/>
      <c r="C52" s="462"/>
      <c r="E52" s="463"/>
      <c r="F52" s="462"/>
      <c r="I52" s="346"/>
    </row>
    <row r="53" spans="1:9" ht="13.15">
      <c r="A53" s="318"/>
      <c r="B53" s="460"/>
      <c r="C53" s="461"/>
      <c r="D53" s="461"/>
    </row>
    <row r="54" spans="1:9">
      <c r="B54" s="460"/>
      <c r="C54" s="463"/>
      <c r="D54" s="341"/>
      <c r="E54" s="463"/>
      <c r="F54" s="463"/>
      <c r="I54" s="316"/>
    </row>
    <row r="55" spans="1:9" ht="13.5">
      <c r="B55" s="460"/>
      <c r="D55"/>
      <c r="E55"/>
      <c r="F55"/>
    </row>
    <row r="56" spans="1:9" ht="13.5">
      <c r="B56" s="460"/>
      <c r="C56" s="461"/>
      <c r="D56" s="461"/>
      <c r="E56"/>
      <c r="F56"/>
    </row>
    <row r="57" spans="1:9" ht="13.5">
      <c r="B57" s="460"/>
      <c r="C57" s="462"/>
      <c r="D57" s="464"/>
      <c r="E57" s="463"/>
      <c r="F57"/>
    </row>
    <row r="58" spans="1:9" ht="13.5">
      <c r="C58" s="462"/>
      <c r="D58" s="464"/>
      <c r="E58"/>
      <c r="F58"/>
    </row>
    <row r="59" spans="1:9" ht="13.5">
      <c r="C59" s="462"/>
      <c r="D59" s="464"/>
      <c r="E59" s="465"/>
      <c r="F59"/>
    </row>
    <row r="60" spans="1:9" ht="13.5">
      <c r="C60" s="462"/>
      <c r="D60" s="464"/>
      <c r="E60"/>
      <c r="F60"/>
      <c r="H60" s="345"/>
      <c r="I60" s="345"/>
    </row>
    <row r="61" spans="1:9" ht="18.75">
      <c r="D61" s="343"/>
      <c r="E61" s="343"/>
      <c r="F61" s="344"/>
      <c r="G61" s="345"/>
    </row>
    <row r="62" spans="1:9" ht="13.5">
      <c r="D62" s="116"/>
      <c r="E62" s="116"/>
      <c r="F62" s="116"/>
    </row>
    <row r="66" spans="3:7">
      <c r="D66" s="345"/>
      <c r="E66" s="345"/>
      <c r="F66" s="345"/>
    </row>
    <row r="75" spans="3:7" ht="13.15">
      <c r="D75" s="466"/>
      <c r="E75" s="466"/>
      <c r="F75" s="466"/>
      <c r="G75" s="466"/>
    </row>
    <row r="76" spans="3:7">
      <c r="D76" s="357"/>
      <c r="E76" s="357"/>
      <c r="F76" s="357"/>
      <c r="G76" s="357"/>
    </row>
    <row r="77" spans="3:7">
      <c r="D77" s="357"/>
      <c r="E77" s="357"/>
      <c r="F77" s="357"/>
      <c r="G77" s="357"/>
    </row>
    <row r="78" spans="3:7">
      <c r="D78" s="357"/>
      <c r="E78" s="357"/>
      <c r="F78" s="357"/>
      <c r="G78" s="357"/>
    </row>
    <row r="79" spans="3:7">
      <c r="D79" s="357"/>
      <c r="E79" s="357"/>
      <c r="F79" s="357"/>
      <c r="G79" s="357"/>
    </row>
    <row r="80" spans="3:7" ht="13.15">
      <c r="C80" s="467"/>
      <c r="D80" s="466"/>
      <c r="E80" s="466"/>
      <c r="F80" s="466"/>
      <c r="G80" s="466"/>
    </row>
    <row r="84" spans="2:14" ht="13.15">
      <c r="C84" s="318"/>
      <c r="D84" s="318"/>
      <c r="E84" s="318"/>
      <c r="F84" s="318"/>
      <c r="G84" s="318"/>
    </row>
    <row r="87" spans="2:14">
      <c r="E87" s="468"/>
      <c r="F87" s="468"/>
      <c r="G87" s="357"/>
    </row>
    <row r="90" spans="2:14" ht="14.25">
      <c r="B90" s="469"/>
    </row>
    <row r="92" spans="2:14" ht="13.15">
      <c r="C92" s="356"/>
      <c r="D92" s="356"/>
      <c r="E92" s="356"/>
      <c r="F92" s="356"/>
      <c r="G92" s="356"/>
      <c r="H92" s="356"/>
      <c r="I92" s="356"/>
      <c r="J92" s="356"/>
      <c r="K92" s="356"/>
      <c r="L92" s="356"/>
    </row>
    <row r="93" spans="2:14">
      <c r="C93" s="462"/>
      <c r="D93" s="462"/>
      <c r="E93" s="462"/>
      <c r="F93" s="462"/>
      <c r="G93" s="462"/>
      <c r="H93" s="462"/>
      <c r="I93" s="462"/>
      <c r="J93" s="462"/>
      <c r="K93" s="462"/>
      <c r="L93" s="462"/>
    </row>
    <row r="94" spans="2:14">
      <c r="C94" s="357"/>
      <c r="D94" s="357"/>
      <c r="E94" s="357"/>
      <c r="F94" s="357"/>
      <c r="G94" s="357"/>
      <c r="H94" s="357"/>
      <c r="I94" s="357"/>
      <c r="J94" s="357"/>
      <c r="K94" s="357"/>
      <c r="L94" s="357"/>
    </row>
    <row r="95" spans="2:14">
      <c r="C95" s="357"/>
      <c r="D95" s="357"/>
      <c r="E95" s="357"/>
      <c r="F95" s="357"/>
      <c r="G95" s="357"/>
      <c r="H95" s="357"/>
      <c r="I95" s="357"/>
      <c r="J95" s="357"/>
      <c r="K95" s="357"/>
      <c r="L95" s="357"/>
      <c r="M95" s="357"/>
      <c r="N95" s="357"/>
    </row>
    <row r="96" spans="2:14" ht="14.25">
      <c r="B96" s="469"/>
      <c r="D96" s="470"/>
      <c r="E96" s="471"/>
      <c r="F96" s="470"/>
    </row>
    <row r="97" spans="2:12" ht="13.15">
      <c r="C97" s="356"/>
      <c r="D97" s="356"/>
      <c r="E97" s="356"/>
      <c r="F97" s="356"/>
      <c r="G97" s="356"/>
      <c r="H97" s="356"/>
      <c r="I97" s="356"/>
    </row>
    <row r="98" spans="2:12">
      <c r="C98" s="463"/>
      <c r="D98" s="463"/>
      <c r="E98" s="463"/>
      <c r="F98" s="463"/>
      <c r="G98" s="463"/>
      <c r="H98" s="463"/>
      <c r="I98" s="463"/>
    </row>
    <row r="99" spans="2:12">
      <c r="C99" s="357"/>
      <c r="D99" s="357"/>
      <c r="E99" s="357"/>
      <c r="F99" s="357"/>
      <c r="G99" s="357"/>
      <c r="H99" s="357"/>
      <c r="I99" s="357"/>
    </row>
    <row r="100" spans="2:12">
      <c r="C100" s="462"/>
      <c r="D100" s="462"/>
      <c r="E100" s="462"/>
      <c r="F100" s="462"/>
      <c r="G100" s="462"/>
      <c r="H100" s="462"/>
      <c r="I100" s="462"/>
    </row>
    <row r="102" spans="2:12">
      <c r="D102" s="468"/>
      <c r="E102" s="468"/>
      <c r="F102" s="468"/>
      <c r="G102" s="468"/>
      <c r="H102" s="468"/>
      <c r="I102" s="468"/>
      <c r="J102" s="468"/>
    </row>
    <row r="103" spans="2:12" ht="14.25">
      <c r="B103" s="472"/>
    </row>
    <row r="104" spans="2:12" ht="13.15">
      <c r="C104" s="356"/>
      <c r="D104" s="356"/>
      <c r="E104" s="356"/>
      <c r="F104" s="356"/>
      <c r="G104" s="356"/>
    </row>
    <row r="105" spans="2:12" ht="13.5">
      <c r="B105" s="349"/>
      <c r="C105" s="341"/>
      <c r="D105" s="341"/>
      <c r="E105" s="341"/>
      <c r="F105" s="341"/>
      <c r="G105" s="341"/>
    </row>
    <row r="106" spans="2:12">
      <c r="C106" s="357"/>
      <c r="D106" s="357"/>
      <c r="E106" s="357"/>
      <c r="F106" s="357"/>
      <c r="G106" s="357"/>
      <c r="H106" s="357"/>
    </row>
    <row r="107" spans="2:12">
      <c r="E107" s="473"/>
      <c r="F107" s="473"/>
      <c r="G107" s="473"/>
      <c r="H107" s="473"/>
    </row>
    <row r="109" spans="2:12" ht="14.25">
      <c r="B109" s="474"/>
    </row>
    <row r="110" spans="2:12" ht="13.15">
      <c r="C110" s="356"/>
      <c r="D110" s="356"/>
      <c r="E110" s="356"/>
      <c r="F110" s="356"/>
      <c r="G110" s="356"/>
      <c r="H110" s="356"/>
      <c r="I110" s="356"/>
      <c r="J110" s="356"/>
      <c r="K110" s="356"/>
      <c r="L110" s="356"/>
    </row>
    <row r="111" spans="2:12" ht="14.25">
      <c r="B111" s="474"/>
      <c r="C111" s="462"/>
      <c r="D111" s="462"/>
      <c r="E111" s="462"/>
      <c r="F111" s="462"/>
      <c r="G111" s="462"/>
      <c r="H111" s="462"/>
      <c r="I111" s="462"/>
      <c r="J111" s="462"/>
      <c r="K111" s="462"/>
      <c r="L111" s="462"/>
    </row>
    <row r="112" spans="2:12">
      <c r="C112" s="357"/>
      <c r="D112" s="357"/>
      <c r="E112" s="357"/>
      <c r="F112" s="357"/>
      <c r="G112" s="357"/>
      <c r="H112" s="357"/>
      <c r="I112" s="357"/>
      <c r="J112" s="357"/>
      <c r="K112" s="357"/>
      <c r="L112" s="357"/>
    </row>
    <row r="113" spans="3:14">
      <c r="C113" s="357"/>
      <c r="D113" s="357"/>
      <c r="E113" s="357"/>
      <c r="F113" s="357"/>
      <c r="G113" s="357"/>
      <c r="H113" s="357"/>
      <c r="I113" s="357"/>
      <c r="J113" s="357"/>
      <c r="K113" s="357"/>
      <c r="L113" s="357"/>
      <c r="M113" s="357"/>
      <c r="N113" s="357"/>
    </row>
    <row r="114" spans="3:14" ht="13.15">
      <c r="C114" s="356"/>
      <c r="D114" s="356"/>
    </row>
    <row r="115" spans="3:14" ht="13.5">
      <c r="C115" s="475"/>
      <c r="D115" s="476"/>
    </row>
    <row r="116" spans="3:14" ht="13.5">
      <c r="D116" s="477"/>
    </row>
    <row r="117" spans="3:14">
      <c r="C117" s="478"/>
    </row>
    <row r="128" spans="3:14" ht="13.15" thickBot="1"/>
    <row r="129" spans="2:8" ht="17.649999999999999" thickBot="1">
      <c r="B129" s="351"/>
      <c r="C129" s="352"/>
      <c r="D129" s="352"/>
      <c r="E129" s="352"/>
      <c r="F129" s="352"/>
      <c r="G129" s="352"/>
    </row>
    <row r="130" spans="2:8" ht="22.9" thickTop="1" thickBot="1">
      <c r="B130" s="353"/>
      <c r="C130" s="353"/>
      <c r="D130" s="353"/>
      <c r="E130" s="353"/>
      <c r="F130" s="353"/>
      <c r="G130" s="353"/>
    </row>
    <row r="131" spans="2:8" ht="22.5" thickBot="1">
      <c r="B131" s="354"/>
      <c r="C131" s="354"/>
      <c r="D131" s="354"/>
      <c r="E131" s="354"/>
      <c r="F131" s="354"/>
      <c r="G131" s="354"/>
    </row>
    <row r="132" spans="2:8" ht="22.5" thickBot="1">
      <c r="B132" s="354"/>
      <c r="C132" s="354"/>
      <c r="D132" s="354"/>
      <c r="E132" s="354"/>
      <c r="F132" s="354"/>
      <c r="G132" s="354"/>
    </row>
    <row r="133" spans="2:8" ht="13.15" thickBot="1"/>
    <row r="134" spans="2:8" ht="22.5" thickBot="1">
      <c r="F134" s="355"/>
      <c r="G134" s="355"/>
      <c r="H134" s="355"/>
    </row>
    <row r="135" spans="2:8" ht="22.9" thickTop="1" thickBot="1">
      <c r="F135" s="353"/>
      <c r="G135" s="353"/>
      <c r="H135" s="353"/>
    </row>
    <row r="136" spans="2:8" ht="22.5" thickBot="1">
      <c r="F136" s="354"/>
      <c r="G136" s="354"/>
      <c r="H136" s="354"/>
    </row>
    <row r="137" spans="2:8" ht="22.5" thickBot="1">
      <c r="F137" s="354"/>
      <c r="G137" s="354"/>
      <c r="H137" s="354"/>
    </row>
    <row r="139" spans="2:8">
      <c r="D139" s="358"/>
    </row>
    <row r="140" spans="2:8">
      <c r="D140" s="358"/>
    </row>
    <row r="141" spans="2:8">
      <c r="D141" s="358"/>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9F511-92B0-4A71-A45C-ED0F92018E32}">
  <dimension ref="B2:F6"/>
  <sheetViews>
    <sheetView showGridLines="0" zoomScaleNormal="100" workbookViewId="0">
      <selection activeCell="F3" sqref="F3"/>
    </sheetView>
  </sheetViews>
  <sheetFormatPr defaultRowHeight="13.5"/>
  <cols>
    <col min="1" max="2" width="20.25" bestFit="1" customWidth="1"/>
  </cols>
  <sheetData>
    <row r="2" spans="2:6" ht="13.9">
      <c r="B2" s="512"/>
      <c r="C2" s="513" t="s">
        <v>357</v>
      </c>
      <c r="D2" s="513" t="s">
        <v>362</v>
      </c>
      <c r="E2" s="513" t="s">
        <v>370</v>
      </c>
      <c r="F2" s="514" t="s">
        <v>371</v>
      </c>
    </row>
    <row r="3" spans="2:6" ht="18" customHeight="1">
      <c r="B3" s="518" t="s">
        <v>210</v>
      </c>
      <c r="C3" s="515">
        <f>CF!M25</f>
        <v>-22712</v>
      </c>
      <c r="D3" s="515">
        <f>CF!R25</f>
        <v>-21642</v>
      </c>
      <c r="E3" s="515">
        <f>CF!W25</f>
        <v>-46014</v>
      </c>
      <c r="F3" s="519">
        <f>CF!AB25</f>
        <v>-25531</v>
      </c>
    </row>
    <row r="4" spans="2:6" s="511" customFormat="1">
      <c r="B4" s="520" t="s">
        <v>387</v>
      </c>
      <c r="C4" s="516">
        <f>CF!M26</f>
        <v>-0.33183332359301032</v>
      </c>
      <c r="D4" s="517">
        <f>CF!R26</f>
        <v>-0.18927428241591016</v>
      </c>
      <c r="E4" s="516">
        <f>CF!W26</f>
        <v>-0.34036541164287298</v>
      </c>
      <c r="F4" s="521">
        <f>CF!AB26</f>
        <v>-0.18488666811499746</v>
      </c>
    </row>
    <row r="5" spans="2:6" ht="18" customHeight="1">
      <c r="B5" s="518" t="s">
        <v>170</v>
      </c>
      <c r="C5" s="515">
        <f>CF!M36</f>
        <v>-24616</v>
      </c>
      <c r="D5" s="515">
        <f>CF!R36</f>
        <v>-24749</v>
      </c>
      <c r="E5" s="515">
        <f>CF!W36</f>
        <v>-50392</v>
      </c>
      <c r="F5" s="519">
        <f>CF!AB36</f>
        <v>-30390</v>
      </c>
    </row>
    <row r="6" spans="2:6" s="511" customFormat="1" ht="18" customHeight="1">
      <c r="B6" s="522" t="s">
        <v>254</v>
      </c>
      <c r="C6" s="523">
        <f>CF!M37</f>
        <v>-0.35965168604990944</v>
      </c>
      <c r="D6" s="523">
        <f>CF!R37</f>
        <v>-0.21644714977873397</v>
      </c>
      <c r="E6" s="523">
        <f>CF!W37</f>
        <v>-0.3727494637177306</v>
      </c>
      <c r="F6" s="524">
        <f>CF!AB37</f>
        <v>-0.22007386487073646</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E95A-813E-42F7-8A13-42038D64AFD2}">
  <dimension ref="A1:AH47"/>
  <sheetViews>
    <sheetView zoomScaleNormal="100" workbookViewId="0"/>
  </sheetViews>
  <sheetFormatPr defaultColWidth="8.625" defaultRowHeight="12.75"/>
  <cols>
    <col min="1" max="1" width="1.625" style="558" customWidth="1"/>
    <col min="2" max="2" width="12.625" style="558" bestFit="1" customWidth="1"/>
    <col min="3" max="4" width="6.125" style="558" customWidth="1"/>
    <col min="5" max="9" width="8.625" style="558"/>
    <col min="10" max="10" width="5.625" style="558" customWidth="1"/>
    <col min="11" max="11" width="8.625" style="558" bestFit="1" customWidth="1"/>
    <col min="12" max="14" width="7.625" style="558" customWidth="1"/>
    <col min="15" max="15" width="5.625" style="558" customWidth="1"/>
    <col min="16" max="16" width="15.5" style="558" bestFit="1" customWidth="1"/>
    <col min="17" max="17" width="8.625" style="558"/>
    <col min="18" max="18" width="5.625" style="558" customWidth="1"/>
    <col min="19" max="19" width="20.5" style="558" bestFit="1" customWidth="1"/>
    <col min="20" max="20" width="11.125" style="558" bestFit="1" customWidth="1"/>
    <col min="21" max="22" width="8.625" style="558"/>
    <col min="23" max="23" width="15.125" style="558" bestFit="1" customWidth="1"/>
    <col min="24" max="24" width="8.625" style="558"/>
    <col min="25" max="25" width="1.625" style="558" customWidth="1"/>
    <col min="26" max="27" width="7" style="558" customWidth="1"/>
    <col min="28" max="28" width="8.625" style="558"/>
    <col min="29" max="29" width="6.125" style="558" customWidth="1"/>
    <col min="30" max="34" width="7.75" style="558" customWidth="1"/>
    <col min="35" max="16384" width="8.625" style="558"/>
  </cols>
  <sheetData>
    <row r="1" spans="1:34" ht="10.5" customHeight="1"/>
    <row r="2" spans="1:34" s="22" customFormat="1" ht="13.15">
      <c r="A2" s="559"/>
      <c r="B2" s="560" t="s">
        <v>402</v>
      </c>
      <c r="C2" s="559"/>
      <c r="D2" s="559"/>
      <c r="E2" s="559"/>
      <c r="F2" s="559"/>
      <c r="G2" s="559"/>
      <c r="H2" s="559"/>
      <c r="I2" s="559"/>
      <c r="J2" s="559"/>
      <c r="K2" s="948" t="s">
        <v>403</v>
      </c>
      <c r="L2" s="948"/>
      <c r="M2" s="948"/>
      <c r="N2" s="948"/>
      <c r="O2" s="948"/>
      <c r="P2" s="948"/>
      <c r="Q2" s="948"/>
      <c r="R2" s="559"/>
      <c r="S2" s="559"/>
      <c r="T2" s="559"/>
      <c r="U2" s="559"/>
    </row>
    <row r="3" spans="1:34">
      <c r="K3" s="561"/>
      <c r="L3" s="561"/>
      <c r="M3" s="561"/>
      <c r="N3" s="561"/>
      <c r="O3" s="561"/>
      <c r="P3" s="561"/>
      <c r="Q3" s="561"/>
    </row>
    <row r="4" spans="1:34" ht="18" customHeight="1">
      <c r="C4" s="562"/>
      <c r="D4" s="943" t="s">
        <v>404</v>
      </c>
      <c r="E4" s="943"/>
      <c r="F4" s="943"/>
      <c r="G4" s="943"/>
      <c r="H4" s="943"/>
      <c r="I4" s="944"/>
    </row>
    <row r="5" spans="1:34" ht="18" customHeight="1">
      <c r="C5" s="949" t="s">
        <v>405</v>
      </c>
      <c r="D5" s="563">
        <f>Q32</f>
        <v>59.285860785377665</v>
      </c>
      <c r="E5" s="564">
        <v>0.3</v>
      </c>
      <c r="F5" s="565">
        <f>E5+0.025</f>
        <v>0.32500000000000001</v>
      </c>
      <c r="G5" s="565">
        <f>F5+0.025</f>
        <v>0.35000000000000003</v>
      </c>
      <c r="H5" s="565">
        <f>G5+0.025</f>
        <v>0.37500000000000006</v>
      </c>
      <c r="I5" s="566">
        <f>H5+0.025</f>
        <v>0.40000000000000008</v>
      </c>
    </row>
    <row r="6" spans="1:34">
      <c r="C6" s="949"/>
      <c r="D6" s="567">
        <v>20</v>
      </c>
      <c r="E6" s="568">
        <f t="dataTable" ref="E6:I10" dt2D="1" dtr="1" r1="Q26" r2="Q27"/>
        <v>43.009937065536448</v>
      </c>
      <c r="F6" s="569">
        <v>44.545191900979695</v>
      </c>
      <c r="G6" s="569">
        <v>46.109689685669501</v>
      </c>
      <c r="H6" s="569">
        <v>47.703430419605823</v>
      </c>
      <c r="I6" s="570">
        <v>49.326414102788696</v>
      </c>
    </row>
    <row r="7" spans="1:34" ht="13.15">
      <c r="C7" s="949"/>
      <c r="D7" s="571">
        <f>D6+2.5</f>
        <v>22.5</v>
      </c>
      <c r="E7" s="572">
        <v>47.951995488201398</v>
      </c>
      <c r="F7" s="573">
        <v>49.679157178075052</v>
      </c>
      <c r="G7" s="573">
        <v>51.439217185851078</v>
      </c>
      <c r="H7" s="573">
        <v>53.232175511529448</v>
      </c>
      <c r="I7" s="574">
        <v>55.058032155110176</v>
      </c>
      <c r="AC7" s="575"/>
      <c r="AD7" s="942"/>
      <c r="AE7" s="942"/>
      <c r="AF7" s="942"/>
      <c r="AG7" s="942"/>
      <c r="AH7" s="942"/>
    </row>
    <row r="8" spans="1:34">
      <c r="C8" s="949"/>
      <c r="D8" s="571">
        <f>D7+2.5</f>
        <v>25</v>
      </c>
      <c r="E8" s="572">
        <v>52.894053910866354</v>
      </c>
      <c r="F8" s="573">
        <v>54.813122455170415</v>
      </c>
      <c r="G8" s="573">
        <v>56.768744686032662</v>
      </c>
      <c r="H8" s="573">
        <v>58.760920603453066</v>
      </c>
      <c r="I8" s="574">
        <v>60.789650207431663</v>
      </c>
      <c r="Y8" s="576"/>
      <c r="AB8" s="561"/>
    </row>
    <row r="9" spans="1:34">
      <c r="C9" s="949"/>
      <c r="D9" s="571">
        <f>D8+2.5</f>
        <v>27.5</v>
      </c>
      <c r="E9" s="572">
        <v>57.836112333531311</v>
      </c>
      <c r="F9" s="573">
        <v>59.947087732265771</v>
      </c>
      <c r="G9" s="573">
        <v>62.098272186214245</v>
      </c>
      <c r="H9" s="573">
        <v>64.289665695376698</v>
      </c>
      <c r="I9" s="574">
        <v>66.521268259753143</v>
      </c>
      <c r="Y9" s="577"/>
      <c r="AB9" s="578"/>
    </row>
    <row r="10" spans="1:34">
      <c r="C10" s="950"/>
      <c r="D10" s="579">
        <f>D9+2.5</f>
        <v>30</v>
      </c>
      <c r="E10" s="580">
        <v>62.778170756196253</v>
      </c>
      <c r="F10" s="581">
        <v>65.081053009361128</v>
      </c>
      <c r="G10" s="581">
        <v>67.427799686395829</v>
      </c>
      <c r="H10" s="581">
        <v>69.818410787300323</v>
      </c>
      <c r="I10" s="582">
        <v>72.252886312074622</v>
      </c>
      <c r="Y10" s="576"/>
      <c r="AB10" s="578"/>
    </row>
    <row r="11" spans="1:34">
      <c r="Y11" s="583"/>
      <c r="AB11" s="578"/>
    </row>
    <row r="12" spans="1:34">
      <c r="Y12" s="583"/>
      <c r="AB12" s="578"/>
    </row>
    <row r="13" spans="1:34" ht="18" customHeight="1">
      <c r="C13" s="584"/>
      <c r="D13" s="943" t="s">
        <v>404</v>
      </c>
      <c r="E13" s="943"/>
      <c r="F13" s="943"/>
      <c r="G13" s="943"/>
      <c r="H13" s="943"/>
      <c r="I13" s="944"/>
      <c r="Y13" s="576"/>
    </row>
    <row r="14" spans="1:34" ht="18" customHeight="1">
      <c r="C14" s="945" t="s">
        <v>405</v>
      </c>
      <c r="D14" s="585"/>
      <c r="E14" s="586">
        <f>E5</f>
        <v>0.3</v>
      </c>
      <c r="F14" s="586">
        <f>F5</f>
        <v>0.32500000000000001</v>
      </c>
      <c r="G14" s="586">
        <f>G5</f>
        <v>0.35000000000000003</v>
      </c>
      <c r="H14" s="586">
        <f>H5</f>
        <v>0.37500000000000006</v>
      </c>
      <c r="I14" s="587">
        <f>I5</f>
        <v>0.40000000000000008</v>
      </c>
      <c r="Y14" s="576"/>
      <c r="Z14" s="576"/>
      <c r="AA14" s="576"/>
    </row>
    <row r="15" spans="1:34" ht="13.15">
      <c r="C15" s="945"/>
      <c r="D15" s="588">
        <f>D6</f>
        <v>20</v>
      </c>
      <c r="E15" s="589" t="e">
        <f t="shared" ref="E15:I19" ca="1" si="0">E6/$T$25-1</f>
        <v>#NAME?</v>
      </c>
      <c r="F15" s="589" t="e">
        <f t="shared" ca="1" si="0"/>
        <v>#NAME?</v>
      </c>
      <c r="G15" s="589" t="e">
        <f t="shared" ca="1" si="0"/>
        <v>#NAME?</v>
      </c>
      <c r="H15" s="589" t="e">
        <f t="shared" ca="1" si="0"/>
        <v>#NAME?</v>
      </c>
      <c r="I15" s="590" t="e">
        <f t="shared" ca="1" si="0"/>
        <v>#NAME?</v>
      </c>
      <c r="Y15" s="591"/>
      <c r="Z15" s="591"/>
      <c r="AA15" s="591"/>
    </row>
    <row r="16" spans="1:34">
      <c r="C16" s="945"/>
      <c r="D16" s="588">
        <f>D7</f>
        <v>22.5</v>
      </c>
      <c r="E16" s="589" t="e">
        <f t="shared" ca="1" si="0"/>
        <v>#NAME?</v>
      </c>
      <c r="F16" s="589" t="e">
        <f t="shared" ca="1" si="0"/>
        <v>#NAME?</v>
      </c>
      <c r="G16" s="589" t="e">
        <f t="shared" ca="1" si="0"/>
        <v>#NAME?</v>
      </c>
      <c r="H16" s="589" t="e">
        <f t="shared" ca="1" si="0"/>
        <v>#NAME?</v>
      </c>
      <c r="I16" s="590" t="e">
        <f t="shared" ca="1" si="0"/>
        <v>#NAME?</v>
      </c>
    </row>
    <row r="17" spans="1:28">
      <c r="C17" s="945"/>
      <c r="D17" s="588">
        <f>D8</f>
        <v>25</v>
      </c>
      <c r="E17" s="589" t="e">
        <f t="shared" ca="1" si="0"/>
        <v>#NAME?</v>
      </c>
      <c r="F17" s="589" t="e">
        <f t="shared" ca="1" si="0"/>
        <v>#NAME?</v>
      </c>
      <c r="G17" s="589" t="e">
        <f t="shared" ca="1" si="0"/>
        <v>#NAME?</v>
      </c>
      <c r="H17" s="589" t="e">
        <f t="shared" ca="1" si="0"/>
        <v>#NAME?</v>
      </c>
      <c r="I17" s="590" t="e">
        <f t="shared" ca="1" si="0"/>
        <v>#NAME?</v>
      </c>
    </row>
    <row r="18" spans="1:28">
      <c r="C18" s="945"/>
      <c r="D18" s="588">
        <f>D9</f>
        <v>27.5</v>
      </c>
      <c r="E18" s="589" t="e">
        <f t="shared" ca="1" si="0"/>
        <v>#NAME?</v>
      </c>
      <c r="F18" s="589" t="e">
        <f t="shared" ca="1" si="0"/>
        <v>#NAME?</v>
      </c>
      <c r="G18" s="589" t="e">
        <f t="shared" ca="1" si="0"/>
        <v>#NAME?</v>
      </c>
      <c r="H18" s="589" t="e">
        <f t="shared" ca="1" si="0"/>
        <v>#NAME?</v>
      </c>
      <c r="I18" s="590" t="e">
        <f t="shared" ca="1" si="0"/>
        <v>#NAME?</v>
      </c>
      <c r="Z18" s="592"/>
      <c r="AA18" s="593"/>
    </row>
    <row r="19" spans="1:28">
      <c r="C19" s="946"/>
      <c r="D19" s="594">
        <f>D10</f>
        <v>30</v>
      </c>
      <c r="E19" s="595" t="e">
        <f t="shared" ca="1" si="0"/>
        <v>#NAME?</v>
      </c>
      <c r="F19" s="595" t="e">
        <f t="shared" ca="1" si="0"/>
        <v>#NAME?</v>
      </c>
      <c r="G19" s="595" t="e">
        <f t="shared" ca="1" si="0"/>
        <v>#NAME?</v>
      </c>
      <c r="H19" s="595" t="e">
        <f t="shared" ca="1" si="0"/>
        <v>#NAME?</v>
      </c>
      <c r="I19" s="596" t="e">
        <f t="shared" ca="1" si="0"/>
        <v>#NAME?</v>
      </c>
      <c r="Z19" s="597"/>
      <c r="AA19" s="593"/>
    </row>
    <row r="20" spans="1:28">
      <c r="Z20" s="597"/>
      <c r="AA20" s="593"/>
    </row>
    <row r="21" spans="1:28">
      <c r="Z21" s="597"/>
      <c r="AA21" s="593"/>
    </row>
    <row r="22" spans="1:28" ht="13.15">
      <c r="A22" s="559"/>
      <c r="B22" s="560" t="s">
        <v>406</v>
      </c>
      <c r="C22" s="559"/>
      <c r="D22" s="559"/>
      <c r="E22" s="559"/>
      <c r="F22" s="559"/>
      <c r="G22" s="559"/>
      <c r="H22" s="559"/>
      <c r="I22" s="559"/>
      <c r="J22" s="559"/>
      <c r="K22" s="559"/>
      <c r="L22" s="559"/>
      <c r="M22" s="559"/>
      <c r="N22" s="559"/>
      <c r="O22" s="559"/>
      <c r="P22" s="559"/>
      <c r="Q22" s="559"/>
      <c r="R22" s="559"/>
      <c r="S22" s="559"/>
      <c r="T22" s="559"/>
      <c r="U22" s="559"/>
      <c r="Z22" s="597"/>
      <c r="AA22" s="593"/>
      <c r="AB22" s="561"/>
    </row>
    <row r="23" spans="1:28" ht="13.15">
      <c r="B23" s="575"/>
      <c r="Z23" s="597"/>
      <c r="AA23" s="593"/>
      <c r="AB23" s="561"/>
    </row>
    <row r="24" spans="1:28" ht="13.15">
      <c r="K24" s="560" t="s">
        <v>272</v>
      </c>
      <c r="L24" s="598" t="s">
        <v>423</v>
      </c>
      <c r="M24" s="598" t="s">
        <v>362</v>
      </c>
      <c r="N24" s="598" t="s">
        <v>370</v>
      </c>
      <c r="P24" s="947" t="s">
        <v>407</v>
      </c>
      <c r="Q24" s="947"/>
      <c r="S24" s="947" t="s">
        <v>408</v>
      </c>
      <c r="T24" s="947"/>
      <c r="AB24" s="578"/>
    </row>
    <row r="25" spans="1:28" ht="14.25" customHeight="1">
      <c r="K25" s="599" t="s">
        <v>123</v>
      </c>
      <c r="L25" s="600">
        <f>V!O6</f>
        <v>68.444000000000003</v>
      </c>
      <c r="M25" s="601">
        <f>L25*(1+M26)</f>
        <v>96.506039999999999</v>
      </c>
      <c r="N25" s="601">
        <f>M25*(1+N26)</f>
        <v>136.07351639999999</v>
      </c>
      <c r="P25" s="558" t="s">
        <v>123</v>
      </c>
      <c r="Q25" s="602">
        <f>N25</f>
        <v>136.07351639999999</v>
      </c>
      <c r="S25" s="558" t="s">
        <v>227</v>
      </c>
      <c r="T25" s="603" t="e">
        <f ca="1">V!C5</f>
        <v>#NAME?</v>
      </c>
      <c r="AB25" s="578"/>
    </row>
    <row r="26" spans="1:28" ht="14.25" customHeight="1">
      <c r="K26" s="604" t="s">
        <v>409</v>
      </c>
      <c r="L26" s="605"/>
      <c r="M26" s="606">
        <f>Q26</f>
        <v>0.41</v>
      </c>
      <c r="N26" s="606">
        <f>M26</f>
        <v>0.41</v>
      </c>
      <c r="P26" s="558" t="s">
        <v>121</v>
      </c>
      <c r="Q26" s="607">
        <v>0.41</v>
      </c>
      <c r="S26" s="558" t="s">
        <v>410</v>
      </c>
      <c r="T26" s="600">
        <f>V!C22</f>
        <v>57.972000000000001</v>
      </c>
      <c r="AB26" s="578"/>
    </row>
    <row r="27" spans="1:28" ht="14.25" customHeight="1">
      <c r="P27" s="558" t="s">
        <v>411</v>
      </c>
      <c r="Q27" s="577">
        <v>24</v>
      </c>
      <c r="S27" s="558" t="s">
        <v>412</v>
      </c>
      <c r="T27" s="600">
        <f>V!C20</f>
        <v>238.57599999999999</v>
      </c>
      <c r="AB27" s="578"/>
    </row>
    <row r="28" spans="1:28" ht="14.25" customHeight="1">
      <c r="K28" s="558" t="s">
        <v>413</v>
      </c>
      <c r="L28" s="600">
        <f>V!O6</f>
        <v>68.444000000000003</v>
      </c>
      <c r="M28" s="600">
        <f>V!T6</f>
        <v>114.342</v>
      </c>
      <c r="N28" s="600">
        <f>V!Y6</f>
        <v>135.19</v>
      </c>
      <c r="P28" s="558" t="s">
        <v>291</v>
      </c>
      <c r="Q28" s="602">
        <f>Q27*N25</f>
        <v>3265.7643935999995</v>
      </c>
      <c r="S28" s="558" t="s">
        <v>414</v>
      </c>
      <c r="T28" s="600">
        <f>V!C21</f>
        <v>0</v>
      </c>
    </row>
    <row r="29" spans="1:28" ht="14.25" customHeight="1">
      <c r="K29" s="604" t="s">
        <v>409</v>
      </c>
      <c r="L29" s="605"/>
      <c r="M29" s="606">
        <f>M28/L28-1</f>
        <v>0.670592016831278</v>
      </c>
      <c r="N29" s="606">
        <f>N28/M28-1</f>
        <v>0.18233020237533015</v>
      </c>
      <c r="P29" s="558" t="s">
        <v>415</v>
      </c>
      <c r="Q29" s="601">
        <f>(V!Y20-V!Y21)</f>
        <v>203.244</v>
      </c>
      <c r="S29" s="558" t="s">
        <v>416</v>
      </c>
      <c r="T29" s="602" t="e">
        <f ca="1">T25*T26</f>
        <v>#NAME?</v>
      </c>
    </row>
    <row r="30" spans="1:28" ht="14.25" customHeight="1">
      <c r="P30" s="558" t="s">
        <v>417</v>
      </c>
      <c r="Q30" s="601">
        <f>Q28+Q29</f>
        <v>3469.0083935999996</v>
      </c>
      <c r="S30" s="558" t="s">
        <v>400</v>
      </c>
      <c r="T30" s="602" t="e">
        <f ca="1">T29-T27</f>
        <v>#NAME?</v>
      </c>
    </row>
    <row r="31" spans="1:28" ht="14.25" customHeight="1">
      <c r="P31" s="558" t="s">
        <v>418</v>
      </c>
      <c r="Q31" s="601">
        <f>V!Y22</f>
        <v>58.513249999999999</v>
      </c>
      <c r="S31" s="558" t="s">
        <v>419</v>
      </c>
      <c r="T31" s="557" t="e">
        <f ca="1">T30/M28</f>
        <v>#NAME?</v>
      </c>
    </row>
    <row r="32" spans="1:28" ht="14.25" customHeight="1">
      <c r="P32" s="558" t="s">
        <v>420</v>
      </c>
      <c r="Q32" s="608">
        <f>Q30/Q31</f>
        <v>59.285860785377665</v>
      </c>
      <c r="S32" s="558" t="s">
        <v>421</v>
      </c>
      <c r="T32" s="557" t="e">
        <f ca="1">T30/N28</f>
        <v>#NAME?</v>
      </c>
    </row>
    <row r="33" spans="11:24" ht="14.25" customHeight="1"/>
    <row r="34" spans="11:24" ht="14.25" customHeight="1"/>
    <row r="35" spans="11:24" ht="14.25" customHeight="1"/>
    <row r="36" spans="11:24" s="605" customFormat="1" ht="14.25" customHeight="1">
      <c r="K36" s="558"/>
      <c r="L36" s="558"/>
      <c r="M36" s="558"/>
      <c r="N36" s="558"/>
      <c r="O36" s="558"/>
      <c r="P36" s="558"/>
      <c r="Q36" s="558"/>
      <c r="R36" s="558"/>
      <c r="S36" s="558"/>
      <c r="T36" s="558"/>
      <c r="W36" s="558"/>
      <c r="X36" s="558"/>
    </row>
    <row r="37" spans="11:24" ht="14.25" customHeight="1">
      <c r="W37" s="605"/>
      <c r="X37" s="605"/>
    </row>
    <row r="38" spans="11:24" ht="14.25" customHeight="1"/>
    <row r="39" spans="11:24" ht="14.25" customHeight="1"/>
    <row r="40" spans="11:24" ht="14.25" customHeight="1"/>
    <row r="41" spans="11:24" ht="14.25" customHeight="1"/>
    <row r="42" spans="11:24" ht="14.25" customHeight="1"/>
    <row r="43" spans="11:24" ht="14.25" customHeight="1"/>
    <row r="44" spans="11:24" ht="14.25" customHeight="1"/>
    <row r="45" spans="11:24" ht="14.25" customHeight="1"/>
    <row r="46" spans="11:24" ht="14.25" customHeight="1"/>
    <row r="47" spans="11:24" ht="14.25" customHeight="1"/>
  </sheetData>
  <mergeCells count="8">
    <mergeCell ref="K2:Q2"/>
    <mergeCell ref="D4:I4"/>
    <mergeCell ref="C5:C10"/>
    <mergeCell ref="AD7:AH7"/>
    <mergeCell ref="D13:I13"/>
    <mergeCell ref="C14:C19"/>
    <mergeCell ref="P24:Q24"/>
    <mergeCell ref="S24:T24"/>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6EDC4-B38E-478B-AF76-9F5477FBA00C}">
  <dimension ref="F5:G12"/>
  <sheetViews>
    <sheetView workbookViewId="0">
      <selection activeCell="F13" sqref="F13"/>
    </sheetView>
  </sheetViews>
  <sheetFormatPr defaultRowHeight="13.5"/>
  <cols>
    <col min="6" max="6" width="19.125" bestFit="1" customWidth="1"/>
    <col min="7" max="7" width="9.875" bestFit="1" customWidth="1"/>
  </cols>
  <sheetData>
    <row r="5" spans="6:7">
      <c r="F5" t="s">
        <v>485</v>
      </c>
      <c r="G5" s="889">
        <f>IS!AI50</f>
        <v>-2688</v>
      </c>
    </row>
    <row r="6" spans="6:7" ht="54">
      <c r="F6" s="890" t="s">
        <v>486</v>
      </c>
      <c r="G6" s="891">
        <f>-G5/0.6</f>
        <v>4480</v>
      </c>
    </row>
    <row r="8" spans="6:7">
      <c r="F8" t="s">
        <v>487</v>
      </c>
      <c r="G8" s="892">
        <f>IS!AI11</f>
        <v>38106</v>
      </c>
    </row>
    <row r="10" spans="6:7" ht="67.5">
      <c r="F10" s="890" t="s">
        <v>488</v>
      </c>
      <c r="G10" s="891">
        <f>G8+G6</f>
        <v>42586</v>
      </c>
    </row>
    <row r="12" spans="6:7">
      <c r="F12" t="s">
        <v>489</v>
      </c>
      <c r="G12">
        <f>IS!AP11</f>
        <v>45909.808000000005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72035795"><![CDATA[{"LAW^P_PRICE(NOW)":22.32}]]></FdsFormulaCache>
</file>

<file path=customXml/itemProps1.xml><?xml version="1.0" encoding="utf-8"?>
<ds:datastoreItem xmlns:ds="http://schemas.openxmlformats.org/officeDocument/2006/customXml" ds:itemID="{4940DCEA-9E12-483B-9D2A-7412C45373C2}">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Comparison</vt:lpstr>
      <vt:lpstr>G Chg</vt:lpstr>
      <vt:lpstr>IS</vt:lpstr>
      <vt:lpstr>BS</vt:lpstr>
      <vt:lpstr>CF</vt:lpstr>
      <vt:lpstr>Metrics</vt:lpstr>
      <vt:lpstr>V</vt:lpstr>
      <vt:lpstr>BM Upload</vt:lpstr>
      <vt:lpstr>DCF</vt:lpstr>
      <vt:lpstr>Summary Metrics</vt:lpstr>
      <vt:lpstr>Initiation</vt:lpstr>
      <vt:lpstr>CF Metrics</vt:lpstr>
      <vt:lpstr>V Sensitivity</vt:lpstr>
      <vt:lpstr>Sheet1</vt:lpstr>
      <vt:lpstr>BS!Print_Area</vt:lpstr>
      <vt:lpstr>CF!Print_Area</vt:lpstr>
      <vt:lpstr>Comparison!Print_Area</vt:lpstr>
      <vt:lpstr>IS!Print_Area</vt:lpstr>
      <vt:lpstr>Metrics!Print_Area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Black</dc:creator>
  <cp:lastModifiedBy>Yuuji Anderson</cp:lastModifiedBy>
  <cp:lastPrinted>2026-02-25T15:52:33Z</cp:lastPrinted>
  <dcterms:created xsi:type="dcterms:W3CDTF">2013-09-19T12:47:26Z</dcterms:created>
  <dcterms:modified xsi:type="dcterms:W3CDTF">2026-03-12T22:42:01Z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d23050b8-1242-4ee2-b6c5-942f0318d03b</vt:lpwstr>
  </property>
</Properties>
</file>